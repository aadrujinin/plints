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 defaultThemeVersion="124226"/>
  <xr:revisionPtr revIDLastSave="0" documentId="13_ncr:1_{51FD5A82-DD77-446D-88E9-F79F94AAFC7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V777-1 (SV004)" sheetId="4" r:id="rId1"/>
    <sheet name="SV777-2 (SV004)" sheetId="7" state="hidden" r:id="rId2"/>
    <sheet name="SV777-3 (SV004)" sheetId="8" state="hidden" r:id="rId3"/>
    <sheet name="шпоргалка-1" sheetId="6" r:id="rId4"/>
    <sheet name="шпоргалка-2" sheetId="9" state="hidden" r:id="rId5"/>
    <sheet name="шпоргалка-3" sheetId="10" state="hidden" r:id="rId6"/>
    <sheet name="Шпоргалка общая" sheetId="15" state="hidden" r:id="rId7"/>
    <sheet name="Disp-1" sheetId="19" r:id="rId8"/>
    <sheet name="Disp-2" sheetId="18" state="hidden" r:id="rId9"/>
    <sheet name="Disp-3" sheetId="20" state="hidden" r:id="rId10"/>
  </sheets>
  <definedNames>
    <definedName name="_xlnm.Print_Area" localSheetId="7">'Disp-1'!$B2:$I17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21" i="15" l="1"/>
  <c r="B321" i="15"/>
  <c r="E320" i="15"/>
  <c r="B320" i="15"/>
  <c r="E319" i="15"/>
  <c r="B319" i="15"/>
  <c r="E318" i="15"/>
  <c r="D318" i="15"/>
  <c r="B318" i="15"/>
  <c r="E317" i="15"/>
  <c r="B317" i="15"/>
  <c r="E316" i="15"/>
  <c r="B316" i="15"/>
  <c r="E315" i="15"/>
  <c r="B315" i="15"/>
  <c r="E314" i="15"/>
  <c r="B314" i="15"/>
  <c r="E312" i="15"/>
  <c r="B312" i="15"/>
  <c r="E311" i="15"/>
  <c r="B311" i="15"/>
  <c r="E310" i="15"/>
  <c r="B310" i="15"/>
  <c r="E309" i="15"/>
  <c r="D309" i="15"/>
  <c r="B309" i="15"/>
  <c r="E308" i="15"/>
  <c r="B308" i="15"/>
  <c r="E307" i="15"/>
  <c r="B307" i="15"/>
  <c r="E306" i="15"/>
  <c r="B306" i="15"/>
  <c r="E305" i="15"/>
  <c r="B305" i="15"/>
  <c r="E303" i="15"/>
  <c r="B303" i="15"/>
  <c r="E302" i="15"/>
  <c r="B302" i="15"/>
  <c r="E301" i="15"/>
  <c r="B301" i="15"/>
  <c r="E300" i="15"/>
  <c r="D300" i="15"/>
  <c r="B300" i="15"/>
  <c r="E299" i="15"/>
  <c r="B299" i="15"/>
  <c r="E298" i="15"/>
  <c r="B298" i="15"/>
  <c r="E297" i="15"/>
  <c r="B297" i="15"/>
  <c r="E296" i="15"/>
  <c r="B296" i="15"/>
  <c r="E294" i="15"/>
  <c r="B294" i="15"/>
  <c r="E293" i="15"/>
  <c r="B293" i="15"/>
  <c r="E292" i="15"/>
  <c r="D292" i="15"/>
  <c r="B292" i="15"/>
  <c r="E291" i="15"/>
  <c r="D291" i="15"/>
  <c r="B291" i="15"/>
  <c r="E290" i="15"/>
  <c r="B290" i="15"/>
  <c r="E289" i="15"/>
  <c r="B289" i="15"/>
  <c r="E288" i="15"/>
  <c r="B288" i="15"/>
  <c r="E287" i="15"/>
  <c r="B287" i="15"/>
  <c r="E285" i="15"/>
  <c r="B285" i="15"/>
  <c r="E284" i="15"/>
  <c r="B284" i="15"/>
  <c r="E283" i="15"/>
  <c r="B283" i="15"/>
  <c r="E282" i="15"/>
  <c r="D282" i="15"/>
  <c r="B282" i="15"/>
  <c r="E281" i="15"/>
  <c r="B281" i="15"/>
  <c r="E280" i="15"/>
  <c r="B280" i="15"/>
  <c r="E279" i="15"/>
  <c r="B279" i="15"/>
  <c r="E278" i="15"/>
  <c r="B278" i="15"/>
  <c r="E276" i="15"/>
  <c r="B276" i="15"/>
  <c r="E275" i="15"/>
  <c r="B275" i="15"/>
  <c r="E274" i="15"/>
  <c r="D274" i="15"/>
  <c r="B274" i="15"/>
  <c r="E273" i="15"/>
  <c r="D273" i="15"/>
  <c r="B273" i="15"/>
  <c r="E272" i="15"/>
  <c r="B272" i="15"/>
  <c r="E271" i="15"/>
  <c r="B271" i="15"/>
  <c r="E270" i="15"/>
  <c r="B270" i="15"/>
  <c r="E269" i="15"/>
  <c r="B269" i="15"/>
  <c r="E267" i="15"/>
  <c r="B267" i="15"/>
  <c r="E266" i="15"/>
  <c r="B266" i="15"/>
  <c r="E265" i="15"/>
  <c r="B265" i="15"/>
  <c r="E264" i="15"/>
  <c r="D264" i="15"/>
  <c r="B264" i="15"/>
  <c r="E263" i="15"/>
  <c r="B263" i="15"/>
  <c r="E262" i="15"/>
  <c r="B262" i="15"/>
  <c r="E261" i="15"/>
  <c r="B261" i="15"/>
  <c r="E260" i="15"/>
  <c r="B260" i="15"/>
  <c r="E258" i="15"/>
  <c r="B258" i="15"/>
  <c r="E257" i="15"/>
  <c r="B257" i="15"/>
  <c r="E256" i="15"/>
  <c r="D256" i="15"/>
  <c r="B256" i="15"/>
  <c r="E255" i="15"/>
  <c r="D255" i="15"/>
  <c r="B255" i="15"/>
  <c r="E254" i="15"/>
  <c r="B254" i="15"/>
  <c r="E253" i="15"/>
  <c r="B253" i="15"/>
  <c r="E252" i="15"/>
  <c r="B252" i="15"/>
  <c r="E251" i="15"/>
  <c r="B251" i="15"/>
  <c r="E249" i="15"/>
  <c r="B249" i="15"/>
  <c r="E248" i="15"/>
  <c r="B248" i="15"/>
  <c r="E247" i="15"/>
  <c r="B247" i="15"/>
  <c r="E246" i="15"/>
  <c r="D246" i="15"/>
  <c r="B246" i="15"/>
  <c r="E245" i="15"/>
  <c r="B245" i="15"/>
  <c r="E244" i="15"/>
  <c r="B244" i="15"/>
  <c r="E243" i="15"/>
  <c r="B243" i="15"/>
  <c r="E242" i="15"/>
  <c r="B242" i="15"/>
  <c r="E240" i="15"/>
  <c r="B240" i="15"/>
  <c r="E239" i="15"/>
  <c r="B239" i="15"/>
  <c r="E238" i="15"/>
  <c r="B238" i="15"/>
  <c r="E237" i="15"/>
  <c r="D237" i="15"/>
  <c r="B237" i="15"/>
  <c r="E236" i="15"/>
  <c r="B236" i="15"/>
  <c r="E235" i="15"/>
  <c r="B235" i="15"/>
  <c r="E234" i="15"/>
  <c r="B234" i="15"/>
  <c r="E233" i="15"/>
  <c r="B233" i="15"/>
  <c r="E231" i="15"/>
  <c r="B231" i="15"/>
  <c r="E230" i="15"/>
  <c r="B230" i="15"/>
  <c r="E229" i="15"/>
  <c r="B229" i="15"/>
  <c r="E228" i="15"/>
  <c r="D228" i="15"/>
  <c r="B228" i="15"/>
  <c r="E227" i="15"/>
  <c r="D227" i="15"/>
  <c r="B227" i="15"/>
  <c r="E226" i="15"/>
  <c r="B226" i="15"/>
  <c r="E225" i="15"/>
  <c r="B225" i="15"/>
  <c r="E224" i="15"/>
  <c r="B224" i="15"/>
  <c r="E222" i="15"/>
  <c r="B222" i="15"/>
  <c r="E221" i="15"/>
  <c r="B221" i="15"/>
  <c r="E220" i="15"/>
  <c r="B220" i="15"/>
  <c r="E219" i="15"/>
  <c r="D219" i="15"/>
  <c r="B219" i="15"/>
  <c r="E218" i="15"/>
  <c r="B218" i="15"/>
  <c r="E217" i="15"/>
  <c r="D217" i="15"/>
  <c r="B217" i="15"/>
  <c r="E216" i="15"/>
  <c r="B216" i="15"/>
  <c r="E215" i="15"/>
  <c r="B215" i="15"/>
  <c r="E213" i="15"/>
  <c r="B213" i="15"/>
  <c r="E212" i="15"/>
  <c r="B212" i="15"/>
  <c r="E211" i="15"/>
  <c r="B211" i="15"/>
  <c r="E210" i="15"/>
  <c r="D210" i="15"/>
  <c r="B210" i="15"/>
  <c r="E209" i="15"/>
  <c r="D209" i="15"/>
  <c r="B209" i="15"/>
  <c r="E208" i="15"/>
  <c r="D208" i="15"/>
  <c r="B208" i="15"/>
  <c r="E207" i="15"/>
  <c r="D207" i="15"/>
  <c r="B207" i="15"/>
  <c r="E206" i="15"/>
  <c r="D206" i="15"/>
  <c r="B206" i="15"/>
  <c r="E204" i="15"/>
  <c r="D204" i="15"/>
  <c r="B204" i="15"/>
  <c r="E203" i="15"/>
  <c r="D203" i="15"/>
  <c r="B203" i="15"/>
  <c r="E202" i="15"/>
  <c r="D202" i="15"/>
  <c r="B202" i="15"/>
  <c r="E201" i="15"/>
  <c r="D201" i="15"/>
  <c r="B201" i="15"/>
  <c r="E200" i="15"/>
  <c r="D200" i="15"/>
  <c r="B200" i="15"/>
  <c r="E199" i="15"/>
  <c r="D199" i="15"/>
  <c r="B199" i="15"/>
  <c r="E198" i="15"/>
  <c r="D198" i="15"/>
  <c r="B198" i="15"/>
  <c r="E197" i="15"/>
  <c r="D197" i="15"/>
  <c r="B197" i="15"/>
  <c r="E195" i="15"/>
  <c r="D195" i="15"/>
  <c r="B195" i="15"/>
  <c r="E194" i="15"/>
  <c r="D194" i="15"/>
  <c r="B194" i="15"/>
  <c r="E193" i="15"/>
  <c r="D193" i="15"/>
  <c r="B193" i="15"/>
  <c r="E192" i="15"/>
  <c r="D192" i="15"/>
  <c r="B192" i="15"/>
  <c r="E191" i="15"/>
  <c r="D191" i="15"/>
  <c r="B191" i="15"/>
  <c r="E190" i="15"/>
  <c r="D190" i="15"/>
  <c r="B190" i="15"/>
  <c r="E189" i="15"/>
  <c r="D189" i="15"/>
  <c r="B189" i="15"/>
  <c r="E188" i="15"/>
  <c r="D188" i="15"/>
  <c r="B188" i="15"/>
  <c r="E186" i="15"/>
  <c r="D186" i="15"/>
  <c r="B186" i="15"/>
  <c r="E185" i="15"/>
  <c r="D185" i="15"/>
  <c r="B185" i="15"/>
  <c r="E184" i="15"/>
  <c r="D184" i="15"/>
  <c r="B184" i="15"/>
  <c r="E183" i="15"/>
  <c r="D183" i="15"/>
  <c r="B183" i="15"/>
  <c r="E182" i="15"/>
  <c r="D182" i="15"/>
  <c r="B182" i="15"/>
  <c r="E181" i="15"/>
  <c r="D181" i="15"/>
  <c r="B181" i="15"/>
  <c r="E180" i="15"/>
  <c r="D180" i="15"/>
  <c r="B180" i="15"/>
  <c r="E179" i="15"/>
  <c r="D179" i="15"/>
  <c r="B179" i="15"/>
  <c r="E178" i="15"/>
  <c r="D178" i="15"/>
  <c r="B178" i="15"/>
  <c r="E177" i="15"/>
  <c r="D177" i="15"/>
  <c r="B177" i="15"/>
  <c r="E176" i="15"/>
  <c r="B176" i="15"/>
  <c r="E175" i="15"/>
  <c r="D175" i="15"/>
  <c r="B175" i="15"/>
  <c r="E174" i="15"/>
  <c r="D174" i="15"/>
  <c r="B174" i="15"/>
  <c r="E173" i="15"/>
  <c r="D173" i="15"/>
  <c r="B173" i="15"/>
  <c r="E172" i="15"/>
  <c r="B172" i="15"/>
  <c r="E171" i="15"/>
  <c r="B171" i="15"/>
  <c r="E169" i="15"/>
  <c r="D169" i="15"/>
  <c r="B169" i="15"/>
  <c r="E168" i="15"/>
  <c r="D168" i="15"/>
  <c r="B168" i="15"/>
  <c r="E167" i="15"/>
  <c r="B167" i="15"/>
  <c r="E166" i="15"/>
  <c r="D166" i="15"/>
  <c r="B166" i="15"/>
  <c r="E165" i="15"/>
  <c r="B165" i="15"/>
  <c r="E164" i="15"/>
  <c r="B164" i="15"/>
  <c r="E163" i="15"/>
  <c r="B163" i="15"/>
  <c r="E162" i="15"/>
  <c r="B162" i="15"/>
  <c r="E160" i="15"/>
  <c r="D160" i="15"/>
  <c r="B160" i="15"/>
  <c r="E159" i="15"/>
  <c r="D159" i="15"/>
  <c r="B159" i="15"/>
  <c r="E158" i="15"/>
  <c r="B158" i="15"/>
  <c r="E157" i="15"/>
  <c r="D157" i="15"/>
  <c r="B157" i="15"/>
  <c r="E156" i="15"/>
  <c r="D156" i="15"/>
  <c r="B156" i="15"/>
  <c r="E155" i="15"/>
  <c r="D155" i="15"/>
  <c r="B155" i="15"/>
  <c r="E154" i="15"/>
  <c r="B154" i="15"/>
  <c r="E153" i="15"/>
  <c r="B153" i="15"/>
  <c r="E151" i="15"/>
  <c r="D151" i="15"/>
  <c r="B151" i="15"/>
  <c r="E150" i="15"/>
  <c r="B150" i="15"/>
  <c r="E149" i="15"/>
  <c r="B149" i="15"/>
  <c r="E148" i="15"/>
  <c r="D148" i="15"/>
  <c r="B148" i="15"/>
  <c r="E147" i="15"/>
  <c r="D147" i="15"/>
  <c r="B147" i="15"/>
  <c r="M146" i="15"/>
  <c r="G146" i="15"/>
  <c r="E146" i="15"/>
  <c r="B146" i="15"/>
  <c r="D321" i="15" s="1"/>
  <c r="M145" i="15"/>
  <c r="G145" i="15"/>
  <c r="E145" i="15"/>
  <c r="B145" i="15"/>
  <c r="D320" i="15" s="1"/>
  <c r="M144" i="15"/>
  <c r="G144" i="15"/>
  <c r="E144" i="15"/>
  <c r="B144" i="15"/>
  <c r="M143" i="15"/>
  <c r="G143" i="15"/>
  <c r="E143" i="15"/>
  <c r="D143" i="15"/>
  <c r="C143" i="15"/>
  <c r="A143" i="15"/>
  <c r="M142" i="15"/>
  <c r="G142" i="15"/>
  <c r="E142" i="15"/>
  <c r="D142" i="15"/>
  <c r="B142" i="15"/>
  <c r="D317" i="15" s="1"/>
  <c r="M141" i="15"/>
  <c r="G141" i="15"/>
  <c r="E141" i="15"/>
  <c r="D141" i="15"/>
  <c r="B141" i="15"/>
  <c r="D316" i="15" s="1"/>
  <c r="M140" i="15"/>
  <c r="G140" i="15"/>
  <c r="E140" i="15"/>
  <c r="B140" i="15"/>
  <c r="D315" i="15" s="1"/>
  <c r="M139" i="15"/>
  <c r="G139" i="15"/>
  <c r="E139" i="15"/>
  <c r="D139" i="15"/>
  <c r="B139" i="15"/>
  <c r="N138" i="15"/>
  <c r="H138" i="15"/>
  <c r="E138" i="15"/>
  <c r="B138" i="15"/>
  <c r="M137" i="15"/>
  <c r="G137" i="15"/>
  <c r="E137" i="15"/>
  <c r="D137" i="15"/>
  <c r="B137" i="15"/>
  <c r="D312" i="15" s="1"/>
  <c r="M136" i="15"/>
  <c r="G136" i="15"/>
  <c r="E136" i="15"/>
  <c r="D136" i="15"/>
  <c r="B136" i="15"/>
  <c r="D311" i="15" s="1"/>
  <c r="M135" i="15"/>
  <c r="G135" i="15"/>
  <c r="E135" i="15"/>
  <c r="D135" i="15"/>
  <c r="B135" i="15"/>
  <c r="M134" i="15"/>
  <c r="G134" i="15"/>
  <c r="E134" i="15"/>
  <c r="D134" i="15"/>
  <c r="C134" i="15"/>
  <c r="A134" i="15"/>
  <c r="M133" i="15"/>
  <c r="G133" i="15"/>
  <c r="E133" i="15"/>
  <c r="B133" i="15"/>
  <c r="M132" i="15"/>
  <c r="G132" i="15"/>
  <c r="E132" i="15"/>
  <c r="B132" i="15"/>
  <c r="D307" i="15" s="1"/>
  <c r="M131" i="15"/>
  <c r="G131" i="15"/>
  <c r="E131" i="15"/>
  <c r="B131" i="15"/>
  <c r="D306" i="15" s="1"/>
  <c r="M130" i="15"/>
  <c r="G130" i="15"/>
  <c r="E130" i="15"/>
  <c r="D130" i="15"/>
  <c r="B130" i="15"/>
  <c r="D305" i="15" s="1"/>
  <c r="N129" i="15"/>
  <c r="H129" i="15"/>
  <c r="E129" i="15"/>
  <c r="B129" i="15"/>
  <c r="M128" i="15"/>
  <c r="G128" i="15"/>
  <c r="E128" i="15"/>
  <c r="B128" i="15"/>
  <c r="D303" i="15" s="1"/>
  <c r="M127" i="15"/>
  <c r="G127" i="15"/>
  <c r="E127" i="15"/>
  <c r="B127" i="15"/>
  <c r="D302" i="15" s="1"/>
  <c r="M126" i="15"/>
  <c r="G126" i="15"/>
  <c r="E126" i="15"/>
  <c r="B126" i="15"/>
  <c r="D301" i="15" s="1"/>
  <c r="M125" i="15"/>
  <c r="G125" i="15"/>
  <c r="E125" i="15"/>
  <c r="D125" i="15"/>
  <c r="C125" i="15"/>
  <c r="A125" i="15"/>
  <c r="M124" i="15"/>
  <c r="G124" i="15"/>
  <c r="E124" i="15"/>
  <c r="D124" i="15"/>
  <c r="B124" i="15"/>
  <c r="D299" i="15" s="1"/>
  <c r="M123" i="15"/>
  <c r="G123" i="15"/>
  <c r="E123" i="15"/>
  <c r="D123" i="15"/>
  <c r="B123" i="15"/>
  <c r="D298" i="15" s="1"/>
  <c r="M122" i="15"/>
  <c r="G122" i="15"/>
  <c r="E122" i="15"/>
  <c r="B122" i="15"/>
  <c r="D297" i="15" s="1"/>
  <c r="M121" i="15"/>
  <c r="G121" i="15"/>
  <c r="E121" i="15"/>
  <c r="D121" i="15"/>
  <c r="B121" i="15"/>
  <c r="N120" i="15"/>
  <c r="H120" i="15"/>
  <c r="E120" i="15"/>
  <c r="B120" i="15"/>
  <c r="M119" i="15"/>
  <c r="G119" i="15"/>
  <c r="E119" i="15"/>
  <c r="D119" i="15"/>
  <c r="B119" i="15"/>
  <c r="D294" i="15" s="1"/>
  <c r="M118" i="15"/>
  <c r="G118" i="15"/>
  <c r="E118" i="15"/>
  <c r="B118" i="15"/>
  <c r="M117" i="15"/>
  <c r="G117" i="15"/>
  <c r="E117" i="15"/>
  <c r="D117" i="15"/>
  <c r="B117" i="15"/>
  <c r="D149" i="15" s="1"/>
  <c r="M116" i="15"/>
  <c r="G116" i="15"/>
  <c r="E116" i="15"/>
  <c r="D116" i="15"/>
  <c r="C116" i="15"/>
  <c r="A116" i="15"/>
  <c r="M115" i="15"/>
  <c r="G115" i="15"/>
  <c r="E115" i="15"/>
  <c r="D115" i="15"/>
  <c r="B115" i="15"/>
  <c r="D290" i="15" s="1"/>
  <c r="M114" i="15"/>
  <c r="K114" i="15"/>
  <c r="G114" i="15"/>
  <c r="E114" i="15"/>
  <c r="B114" i="15"/>
  <c r="M113" i="15"/>
  <c r="G113" i="15"/>
  <c r="E113" i="15"/>
  <c r="D113" i="15"/>
  <c r="B113" i="15"/>
  <c r="D288" i="15" s="1"/>
  <c r="M112" i="15"/>
  <c r="G112" i="15"/>
  <c r="E112" i="15"/>
  <c r="D112" i="15"/>
  <c r="B112" i="15"/>
  <c r="N111" i="15"/>
  <c r="H111" i="15"/>
  <c r="E111" i="15"/>
  <c r="D111" i="15"/>
  <c r="B111" i="15"/>
  <c r="M110" i="15"/>
  <c r="G110" i="15"/>
  <c r="E110" i="15"/>
  <c r="B110" i="15"/>
  <c r="D285" i="15" s="1"/>
  <c r="M109" i="15"/>
  <c r="G109" i="15"/>
  <c r="E109" i="15"/>
  <c r="D109" i="15"/>
  <c r="B109" i="15"/>
  <c r="D284" i="15" s="1"/>
  <c r="M108" i="15"/>
  <c r="G108" i="15"/>
  <c r="E108" i="15"/>
  <c r="B108" i="15"/>
  <c r="M107" i="15"/>
  <c r="G107" i="15"/>
  <c r="E107" i="15"/>
  <c r="D107" i="15"/>
  <c r="C107" i="15"/>
  <c r="A107" i="15"/>
  <c r="M106" i="15"/>
  <c r="G106" i="15"/>
  <c r="E106" i="15"/>
  <c r="B106" i="15"/>
  <c r="D281" i="15" s="1"/>
  <c r="M105" i="15"/>
  <c r="G105" i="15"/>
  <c r="E105" i="15"/>
  <c r="D105" i="15"/>
  <c r="B105" i="15"/>
  <c r="D280" i="15" s="1"/>
  <c r="M104" i="15"/>
  <c r="G104" i="15"/>
  <c r="E104" i="15"/>
  <c r="B104" i="15"/>
  <c r="D279" i="15" s="1"/>
  <c r="M103" i="15"/>
  <c r="G103" i="15"/>
  <c r="E103" i="15"/>
  <c r="D103" i="15"/>
  <c r="B103" i="15"/>
  <c r="D278" i="15" s="1"/>
  <c r="N102" i="15"/>
  <c r="H102" i="15"/>
  <c r="E102" i="15"/>
  <c r="B102" i="15"/>
  <c r="M101" i="15"/>
  <c r="G101" i="15"/>
  <c r="E101" i="15"/>
  <c r="D101" i="15"/>
  <c r="B101" i="15"/>
  <c r="D276" i="15" s="1"/>
  <c r="M100" i="15"/>
  <c r="K100" i="15"/>
  <c r="G100" i="15"/>
  <c r="E100" i="15"/>
  <c r="B100" i="15"/>
  <c r="M99" i="15"/>
  <c r="G99" i="15"/>
  <c r="E99" i="15"/>
  <c r="B99" i="15"/>
  <c r="D131" i="15" s="1"/>
  <c r="M98" i="15"/>
  <c r="G98" i="15"/>
  <c r="E98" i="15"/>
  <c r="D98" i="15"/>
  <c r="C98" i="15"/>
  <c r="A98" i="15"/>
  <c r="M97" i="15"/>
  <c r="G97" i="15"/>
  <c r="E97" i="15"/>
  <c r="B97" i="15"/>
  <c r="D272" i="15" s="1"/>
  <c r="M96" i="15"/>
  <c r="G96" i="15"/>
  <c r="E96" i="15"/>
  <c r="B96" i="15"/>
  <c r="M95" i="15"/>
  <c r="G95" i="15"/>
  <c r="E95" i="15"/>
  <c r="B95" i="15"/>
  <c r="D127" i="15" s="1"/>
  <c r="M94" i="15"/>
  <c r="G94" i="15"/>
  <c r="E94" i="15"/>
  <c r="D94" i="15"/>
  <c r="B94" i="15"/>
  <c r="D269" i="15" s="1"/>
  <c r="N93" i="15"/>
  <c r="H93" i="15"/>
  <c r="E93" i="15"/>
  <c r="B93" i="15"/>
  <c r="M92" i="15"/>
  <c r="G92" i="15"/>
  <c r="E92" i="15"/>
  <c r="B92" i="15"/>
  <c r="D267" i="15" s="1"/>
  <c r="M91" i="15"/>
  <c r="G91" i="15"/>
  <c r="E91" i="15"/>
  <c r="B91" i="15"/>
  <c r="D266" i="15" s="1"/>
  <c r="M90" i="15"/>
  <c r="G90" i="15"/>
  <c r="E90" i="15"/>
  <c r="B90" i="15"/>
  <c r="D265" i="15" s="1"/>
  <c r="M89" i="15"/>
  <c r="G89" i="15"/>
  <c r="E89" i="15"/>
  <c r="D89" i="15"/>
  <c r="C89" i="15"/>
  <c r="A89" i="15"/>
  <c r="M88" i="15"/>
  <c r="H88" i="15"/>
  <c r="G88" i="15"/>
  <c r="E88" i="15"/>
  <c r="B88" i="15"/>
  <c r="M87" i="15"/>
  <c r="G87" i="15"/>
  <c r="E87" i="15"/>
  <c r="D87" i="15"/>
  <c r="B87" i="15"/>
  <c r="D262" i="15" s="1"/>
  <c r="M86" i="15"/>
  <c r="G86" i="15"/>
  <c r="E86" i="15"/>
  <c r="B86" i="15"/>
  <c r="M85" i="15"/>
  <c r="G85" i="15"/>
  <c r="E85" i="15"/>
  <c r="D85" i="15"/>
  <c r="B85" i="15"/>
  <c r="D260" i="15" s="1"/>
  <c r="N84" i="15"/>
  <c r="H84" i="15"/>
  <c r="E84" i="15"/>
  <c r="B84" i="15"/>
  <c r="M83" i="15"/>
  <c r="G83" i="15"/>
  <c r="E83" i="15"/>
  <c r="D83" i="15"/>
  <c r="B83" i="15"/>
  <c r="D258" i="15" s="1"/>
  <c r="M82" i="15"/>
  <c r="G82" i="15"/>
  <c r="E82" i="15"/>
  <c r="B82" i="15"/>
  <c r="M81" i="15"/>
  <c r="G81" i="15"/>
  <c r="E81" i="15"/>
  <c r="B81" i="15"/>
  <c r="M80" i="15"/>
  <c r="G80" i="15"/>
  <c r="E80" i="15"/>
  <c r="D80" i="15"/>
  <c r="C80" i="15"/>
  <c r="A80" i="15"/>
  <c r="M79" i="15"/>
  <c r="G79" i="15"/>
  <c r="E79" i="15"/>
  <c r="B79" i="15"/>
  <c r="D254" i="15" s="1"/>
  <c r="M78" i="15"/>
  <c r="G78" i="15"/>
  <c r="E78" i="15"/>
  <c r="B78" i="15"/>
  <c r="M77" i="15"/>
  <c r="G77" i="15"/>
  <c r="E77" i="15"/>
  <c r="B77" i="15"/>
  <c r="D252" i="15" s="1"/>
  <c r="M76" i="15"/>
  <c r="G76" i="15"/>
  <c r="E76" i="15"/>
  <c r="D76" i="15"/>
  <c r="B76" i="15"/>
  <c r="N75" i="15"/>
  <c r="H75" i="15"/>
  <c r="E75" i="15"/>
  <c r="B75" i="15"/>
  <c r="Q74" i="15"/>
  <c r="M74" i="15"/>
  <c r="G74" i="15"/>
  <c r="E74" i="15"/>
  <c r="B74" i="15"/>
  <c r="M73" i="15"/>
  <c r="G73" i="15"/>
  <c r="E73" i="15"/>
  <c r="D73" i="15"/>
  <c r="B73" i="15"/>
  <c r="D248" i="15" s="1"/>
  <c r="M72" i="15"/>
  <c r="G72" i="15"/>
  <c r="E72" i="15"/>
  <c r="B72" i="15"/>
  <c r="M71" i="15"/>
  <c r="G71" i="15"/>
  <c r="E71" i="15"/>
  <c r="D71" i="15"/>
  <c r="C71" i="15"/>
  <c r="A71" i="15"/>
  <c r="M70" i="15"/>
  <c r="G70" i="15"/>
  <c r="E70" i="15"/>
  <c r="B70" i="15"/>
  <c r="M69" i="15"/>
  <c r="G69" i="15"/>
  <c r="E69" i="15"/>
  <c r="B69" i="15"/>
  <c r="D244" i="15" s="1"/>
  <c r="M68" i="15"/>
  <c r="G68" i="15"/>
  <c r="E68" i="15"/>
  <c r="B68" i="15"/>
  <c r="M67" i="15"/>
  <c r="K67" i="15"/>
  <c r="G67" i="15"/>
  <c r="E67" i="15"/>
  <c r="D67" i="15"/>
  <c r="B67" i="15"/>
  <c r="N66" i="15"/>
  <c r="H66" i="15"/>
  <c r="E66" i="15"/>
  <c r="D66" i="15"/>
  <c r="B66" i="15"/>
  <c r="M65" i="15"/>
  <c r="G65" i="15"/>
  <c r="E65" i="15"/>
  <c r="D65" i="15"/>
  <c r="B65" i="15"/>
  <c r="D240" i="15" s="1"/>
  <c r="M64" i="15"/>
  <c r="G64" i="15"/>
  <c r="E64" i="15"/>
  <c r="D64" i="15"/>
  <c r="B64" i="15"/>
  <c r="D96" i="15" s="1"/>
  <c r="M63" i="15"/>
  <c r="G63" i="15"/>
  <c r="E63" i="15"/>
  <c r="D63" i="15"/>
  <c r="B63" i="15"/>
  <c r="Q62" i="15"/>
  <c r="M62" i="15"/>
  <c r="G62" i="15"/>
  <c r="E62" i="15"/>
  <c r="D62" i="15"/>
  <c r="C62" i="15"/>
  <c r="A62" i="15"/>
  <c r="M61" i="15"/>
  <c r="G61" i="15"/>
  <c r="E61" i="15"/>
  <c r="D61" i="15"/>
  <c r="B61" i="15"/>
  <c r="N60" i="15"/>
  <c r="M60" i="15"/>
  <c r="G60" i="15"/>
  <c r="E60" i="15"/>
  <c r="D60" i="15"/>
  <c r="B60" i="15"/>
  <c r="D92" i="15" s="1"/>
  <c r="M59" i="15"/>
  <c r="G59" i="15"/>
  <c r="E59" i="15"/>
  <c r="D59" i="15"/>
  <c r="B59" i="15"/>
  <c r="M58" i="15"/>
  <c r="G58" i="15"/>
  <c r="E58" i="15"/>
  <c r="D58" i="15"/>
  <c r="B58" i="15"/>
  <c r="N57" i="15"/>
  <c r="H57" i="15"/>
  <c r="E57" i="15"/>
  <c r="D57" i="15"/>
  <c r="B57" i="15"/>
  <c r="M56" i="15"/>
  <c r="G56" i="15"/>
  <c r="E56" i="15"/>
  <c r="D56" i="15"/>
  <c r="B56" i="15"/>
  <c r="D88" i="15" s="1"/>
  <c r="M55" i="15"/>
  <c r="G55" i="15"/>
  <c r="E55" i="15"/>
  <c r="D55" i="15"/>
  <c r="B55" i="15"/>
  <c r="D230" i="15" s="1"/>
  <c r="M54" i="15"/>
  <c r="G54" i="15"/>
  <c r="E54" i="15"/>
  <c r="D54" i="15"/>
  <c r="B54" i="15"/>
  <c r="M53" i="15"/>
  <c r="G53" i="15"/>
  <c r="E53" i="15"/>
  <c r="D53" i="15"/>
  <c r="C53" i="15"/>
  <c r="A53" i="15"/>
  <c r="M52" i="15"/>
  <c r="G52" i="15"/>
  <c r="E52" i="15"/>
  <c r="D52" i="15"/>
  <c r="B52" i="15"/>
  <c r="D84" i="15" s="1"/>
  <c r="M51" i="15"/>
  <c r="G51" i="15"/>
  <c r="E51" i="15"/>
  <c r="D51" i="15"/>
  <c r="B51" i="15"/>
  <c r="D226" i="15" s="1"/>
  <c r="M50" i="15"/>
  <c r="G50" i="15"/>
  <c r="E50" i="15"/>
  <c r="D50" i="15"/>
  <c r="B50" i="15"/>
  <c r="M49" i="15"/>
  <c r="K49" i="15"/>
  <c r="G49" i="15"/>
  <c r="E49" i="15"/>
  <c r="D49" i="15"/>
  <c r="B49" i="15"/>
  <c r="N48" i="15"/>
  <c r="H48" i="15"/>
  <c r="E48" i="15"/>
  <c r="D48" i="15"/>
  <c r="B48" i="15"/>
  <c r="M47" i="15"/>
  <c r="G47" i="15"/>
  <c r="E47" i="15"/>
  <c r="D47" i="15"/>
  <c r="B47" i="15"/>
  <c r="M46" i="15"/>
  <c r="G46" i="15"/>
  <c r="E46" i="15"/>
  <c r="D46" i="15"/>
  <c r="B46" i="15"/>
  <c r="D78" i="15" s="1"/>
  <c r="M45" i="15"/>
  <c r="G45" i="15"/>
  <c r="E45" i="15"/>
  <c r="D45" i="15"/>
  <c r="B45" i="15"/>
  <c r="Q44" i="15"/>
  <c r="M44" i="15"/>
  <c r="G44" i="15"/>
  <c r="E44" i="15"/>
  <c r="D44" i="15"/>
  <c r="C44" i="15"/>
  <c r="A44" i="15"/>
  <c r="M43" i="15"/>
  <c r="G43" i="15"/>
  <c r="E43" i="15"/>
  <c r="D43" i="15"/>
  <c r="B43" i="15"/>
  <c r="D218" i="15" s="1"/>
  <c r="N42" i="15"/>
  <c r="M42" i="15"/>
  <c r="G42" i="15"/>
  <c r="E42" i="15"/>
  <c r="D42" i="15"/>
  <c r="B42" i="15"/>
  <c r="D74" i="15" s="1"/>
  <c r="M41" i="15"/>
  <c r="G41" i="15"/>
  <c r="E41" i="15"/>
  <c r="D41" i="15"/>
  <c r="B41" i="15"/>
  <c r="D216" i="15" s="1"/>
  <c r="M40" i="15"/>
  <c r="G40" i="15"/>
  <c r="E40" i="15"/>
  <c r="D40" i="15"/>
  <c r="B40" i="15"/>
  <c r="N39" i="15"/>
  <c r="H39" i="15"/>
  <c r="E39" i="15"/>
  <c r="D39" i="15"/>
  <c r="B39" i="15"/>
  <c r="M38" i="15"/>
  <c r="G38" i="15"/>
  <c r="E38" i="15"/>
  <c r="D38" i="15"/>
  <c r="B38" i="15"/>
  <c r="D70" i="15" s="1"/>
  <c r="M37" i="15"/>
  <c r="G37" i="15"/>
  <c r="E37" i="15"/>
  <c r="D37" i="15"/>
  <c r="B37" i="15"/>
  <c r="M36" i="15"/>
  <c r="G36" i="15"/>
  <c r="E36" i="15"/>
  <c r="D36" i="15"/>
  <c r="C36" i="15"/>
  <c r="B36" i="15"/>
  <c r="M35" i="15"/>
  <c r="M34" i="15"/>
  <c r="Q33" i="15"/>
  <c r="M33" i="15"/>
  <c r="M32" i="15"/>
  <c r="M31" i="15"/>
  <c r="N30" i="15"/>
  <c r="H30" i="15"/>
  <c r="M29" i="15"/>
  <c r="M28" i="15"/>
  <c r="M27" i="15"/>
  <c r="K27" i="15"/>
  <c r="M26" i="15"/>
  <c r="N25" i="15"/>
  <c r="M25" i="15"/>
  <c r="M24" i="15"/>
  <c r="M23" i="15"/>
  <c r="K23" i="15"/>
  <c r="M22" i="15"/>
  <c r="N21" i="15"/>
  <c r="H21" i="15"/>
  <c r="M20" i="15"/>
  <c r="K20" i="15"/>
  <c r="M19" i="15"/>
  <c r="M18" i="15"/>
  <c r="M17" i="15"/>
  <c r="M16" i="15"/>
  <c r="K16" i="15"/>
  <c r="M15" i="15"/>
  <c r="M14" i="15"/>
  <c r="M13" i="15"/>
  <c r="N12" i="15"/>
  <c r="H12" i="15"/>
  <c r="N11" i="15"/>
  <c r="M11" i="15"/>
  <c r="M10" i="15"/>
  <c r="M9" i="15"/>
  <c r="K9" i="15"/>
  <c r="M8" i="15"/>
  <c r="N7" i="15"/>
  <c r="M7" i="15"/>
  <c r="M6" i="15"/>
  <c r="M5" i="15"/>
  <c r="K5" i="15"/>
  <c r="M4" i="15"/>
  <c r="N3" i="15"/>
  <c r="H3" i="15"/>
  <c r="B3" i="15"/>
  <c r="O2" i="15"/>
  <c r="I2" i="15"/>
  <c r="E146" i="10"/>
  <c r="Q146" i="15" s="1"/>
  <c r="B146" i="10"/>
  <c r="E145" i="10"/>
  <c r="Q145" i="15" s="1"/>
  <c r="C145" i="10"/>
  <c r="O145" i="15" s="1"/>
  <c r="B145" i="10"/>
  <c r="D145" i="10" s="1"/>
  <c r="P145" i="15" s="1"/>
  <c r="E144" i="10"/>
  <c r="Q144" i="15" s="1"/>
  <c r="B144" i="10"/>
  <c r="E143" i="10"/>
  <c r="Q143" i="15" s="1"/>
  <c r="B143" i="10"/>
  <c r="E142" i="10"/>
  <c r="Q142" i="15" s="1"/>
  <c r="B142" i="10"/>
  <c r="E141" i="10"/>
  <c r="Q141" i="15" s="1"/>
  <c r="C141" i="10"/>
  <c r="O141" i="15" s="1"/>
  <c r="B141" i="10"/>
  <c r="E140" i="10"/>
  <c r="Q140" i="15" s="1"/>
  <c r="B140" i="10"/>
  <c r="E139" i="10"/>
  <c r="Q139" i="15" s="1"/>
  <c r="B139" i="10"/>
  <c r="E137" i="10"/>
  <c r="Q137" i="15" s="1"/>
  <c r="B137" i="10"/>
  <c r="E136" i="10"/>
  <c r="Q136" i="15" s="1"/>
  <c r="B136" i="10"/>
  <c r="E135" i="10"/>
  <c r="Q135" i="15" s="1"/>
  <c r="B135" i="10"/>
  <c r="E134" i="10"/>
  <c r="Q134" i="15" s="1"/>
  <c r="B134" i="10"/>
  <c r="E133" i="10"/>
  <c r="Q133" i="15" s="1"/>
  <c r="B133" i="10"/>
  <c r="E132" i="10"/>
  <c r="Q132" i="15" s="1"/>
  <c r="C132" i="10"/>
  <c r="O132" i="15" s="1"/>
  <c r="B132" i="10"/>
  <c r="E131" i="10"/>
  <c r="Q131" i="15" s="1"/>
  <c r="B131" i="10"/>
  <c r="E130" i="10"/>
  <c r="Q130" i="15" s="1"/>
  <c r="B130" i="10"/>
  <c r="E128" i="10"/>
  <c r="Q128" i="15" s="1"/>
  <c r="B128" i="10"/>
  <c r="E127" i="10"/>
  <c r="Q127" i="15" s="1"/>
  <c r="C127" i="10"/>
  <c r="O127" i="15" s="1"/>
  <c r="B127" i="10"/>
  <c r="E126" i="10"/>
  <c r="Q126" i="15" s="1"/>
  <c r="B126" i="10"/>
  <c r="E125" i="10"/>
  <c r="Q125" i="15" s="1"/>
  <c r="B125" i="10"/>
  <c r="E124" i="10"/>
  <c r="Q124" i="15" s="1"/>
  <c r="B124" i="10"/>
  <c r="E123" i="10"/>
  <c r="Q123" i="15" s="1"/>
  <c r="C123" i="10"/>
  <c r="O123" i="15" s="1"/>
  <c r="B123" i="10"/>
  <c r="E122" i="10"/>
  <c r="Q122" i="15" s="1"/>
  <c r="B122" i="10"/>
  <c r="E121" i="10"/>
  <c r="Q121" i="15" s="1"/>
  <c r="B121" i="10"/>
  <c r="E119" i="10"/>
  <c r="Q119" i="15" s="1"/>
  <c r="B119" i="10"/>
  <c r="E118" i="10"/>
  <c r="Q118" i="15" s="1"/>
  <c r="B118" i="10"/>
  <c r="E117" i="10"/>
  <c r="Q117" i="15" s="1"/>
  <c r="B117" i="10"/>
  <c r="E116" i="10"/>
  <c r="Q116" i="15" s="1"/>
  <c r="B116" i="10"/>
  <c r="E115" i="10"/>
  <c r="Q115" i="15" s="1"/>
  <c r="B115" i="10"/>
  <c r="E114" i="10"/>
  <c r="Q114" i="15" s="1"/>
  <c r="C114" i="10"/>
  <c r="O114" i="15" s="1"/>
  <c r="B114" i="10"/>
  <c r="E113" i="10"/>
  <c r="Q113" i="15" s="1"/>
  <c r="B113" i="10"/>
  <c r="E112" i="10"/>
  <c r="Q112" i="15" s="1"/>
  <c r="B112" i="10"/>
  <c r="E110" i="10"/>
  <c r="Q110" i="15" s="1"/>
  <c r="B110" i="10"/>
  <c r="E109" i="10"/>
  <c r="Q109" i="15" s="1"/>
  <c r="C109" i="10"/>
  <c r="O109" i="15" s="1"/>
  <c r="B109" i="10"/>
  <c r="E108" i="10"/>
  <c r="Q108" i="15" s="1"/>
  <c r="B108" i="10"/>
  <c r="E107" i="10"/>
  <c r="Q107" i="15" s="1"/>
  <c r="B107" i="10"/>
  <c r="E106" i="10"/>
  <c r="Q106" i="15" s="1"/>
  <c r="B106" i="10"/>
  <c r="E105" i="10"/>
  <c r="Q105" i="15" s="1"/>
  <c r="C105" i="10"/>
  <c r="O105" i="15" s="1"/>
  <c r="B105" i="10"/>
  <c r="E104" i="10"/>
  <c r="Q104" i="15" s="1"/>
  <c r="B104" i="10"/>
  <c r="E103" i="10"/>
  <c r="Q103" i="15" s="1"/>
  <c r="B103" i="10"/>
  <c r="E101" i="10"/>
  <c r="Q101" i="15" s="1"/>
  <c r="B101" i="10"/>
  <c r="E100" i="10"/>
  <c r="Q100" i="15" s="1"/>
  <c r="B100" i="10"/>
  <c r="E99" i="10"/>
  <c r="Q99" i="15" s="1"/>
  <c r="B99" i="10"/>
  <c r="E98" i="10"/>
  <c r="Q98" i="15" s="1"/>
  <c r="B98" i="10"/>
  <c r="E97" i="10"/>
  <c r="Q97" i="15" s="1"/>
  <c r="B97" i="10"/>
  <c r="E96" i="10"/>
  <c r="Q96" i="15" s="1"/>
  <c r="C96" i="10"/>
  <c r="O96" i="15" s="1"/>
  <c r="B96" i="10"/>
  <c r="E95" i="10"/>
  <c r="Q95" i="15" s="1"/>
  <c r="B95" i="10"/>
  <c r="E94" i="10"/>
  <c r="Q94" i="15" s="1"/>
  <c r="B94" i="10"/>
  <c r="E92" i="10"/>
  <c r="Q92" i="15" s="1"/>
  <c r="B92" i="10"/>
  <c r="E91" i="10"/>
  <c r="Q91" i="15" s="1"/>
  <c r="C91" i="10"/>
  <c r="O91" i="15" s="1"/>
  <c r="B91" i="10"/>
  <c r="E90" i="10"/>
  <c r="Q90" i="15" s="1"/>
  <c r="B90" i="10"/>
  <c r="E89" i="10"/>
  <c r="Q89" i="15" s="1"/>
  <c r="B89" i="10"/>
  <c r="E88" i="10"/>
  <c r="Q88" i="15" s="1"/>
  <c r="B88" i="10"/>
  <c r="E87" i="10"/>
  <c r="Q87" i="15" s="1"/>
  <c r="C87" i="10"/>
  <c r="O87" i="15" s="1"/>
  <c r="B87" i="10"/>
  <c r="E86" i="10"/>
  <c r="Q86" i="15" s="1"/>
  <c r="B86" i="10"/>
  <c r="E85" i="10"/>
  <c r="Q85" i="15" s="1"/>
  <c r="B85" i="10"/>
  <c r="E83" i="10"/>
  <c r="Q83" i="15" s="1"/>
  <c r="B83" i="10"/>
  <c r="E82" i="10"/>
  <c r="Q82" i="15" s="1"/>
  <c r="B82" i="10"/>
  <c r="E81" i="10"/>
  <c r="Q81" i="15" s="1"/>
  <c r="B81" i="10"/>
  <c r="E80" i="10"/>
  <c r="Q80" i="15" s="1"/>
  <c r="B80" i="10"/>
  <c r="E79" i="10"/>
  <c r="Q79" i="15" s="1"/>
  <c r="B79" i="10"/>
  <c r="D79" i="10" s="1"/>
  <c r="P79" i="15" s="1"/>
  <c r="E78" i="10"/>
  <c r="Q78" i="15" s="1"/>
  <c r="C78" i="10"/>
  <c r="O78" i="15" s="1"/>
  <c r="B78" i="10"/>
  <c r="E77" i="10"/>
  <c r="Q77" i="15" s="1"/>
  <c r="B77" i="10"/>
  <c r="E76" i="10"/>
  <c r="Q76" i="15" s="1"/>
  <c r="B76" i="10"/>
  <c r="E74" i="10"/>
  <c r="B74" i="10"/>
  <c r="E73" i="10"/>
  <c r="Q73" i="15" s="1"/>
  <c r="C73" i="10"/>
  <c r="O73" i="15" s="1"/>
  <c r="B73" i="10"/>
  <c r="E72" i="10"/>
  <c r="Q72" i="15" s="1"/>
  <c r="B72" i="10"/>
  <c r="E71" i="10"/>
  <c r="Q71" i="15" s="1"/>
  <c r="B71" i="10"/>
  <c r="D71" i="10" s="1"/>
  <c r="E70" i="10"/>
  <c r="Q70" i="15" s="1"/>
  <c r="B70" i="10"/>
  <c r="E69" i="10"/>
  <c r="Q69" i="15" s="1"/>
  <c r="B69" i="10"/>
  <c r="E68" i="10"/>
  <c r="Q68" i="15" s="1"/>
  <c r="B68" i="10"/>
  <c r="E67" i="10"/>
  <c r="Q67" i="15" s="1"/>
  <c r="B67" i="10"/>
  <c r="E65" i="10"/>
  <c r="Q65" i="15" s="1"/>
  <c r="B65" i="10"/>
  <c r="E64" i="10"/>
  <c r="Q64" i="15" s="1"/>
  <c r="B64" i="10"/>
  <c r="E63" i="10"/>
  <c r="Q63" i="15" s="1"/>
  <c r="B63" i="10"/>
  <c r="E62" i="10"/>
  <c r="B62" i="10"/>
  <c r="E61" i="10"/>
  <c r="Q61" i="15" s="1"/>
  <c r="B61" i="10"/>
  <c r="E60" i="10"/>
  <c r="Q60" i="15" s="1"/>
  <c r="B60" i="10"/>
  <c r="D60" i="10" s="1"/>
  <c r="E59" i="10"/>
  <c r="Q59" i="15" s="1"/>
  <c r="B59" i="10"/>
  <c r="E58" i="10"/>
  <c r="Q58" i="15" s="1"/>
  <c r="B58" i="10"/>
  <c r="D58" i="10" s="1"/>
  <c r="E56" i="10"/>
  <c r="Q56" i="15" s="1"/>
  <c r="B56" i="10"/>
  <c r="E55" i="10"/>
  <c r="Q55" i="15" s="1"/>
  <c r="C55" i="10"/>
  <c r="O55" i="15" s="1"/>
  <c r="B55" i="10"/>
  <c r="E54" i="10"/>
  <c r="Q54" i="15" s="1"/>
  <c r="B54" i="10"/>
  <c r="E53" i="10"/>
  <c r="Q53" i="15" s="1"/>
  <c r="B53" i="10"/>
  <c r="E52" i="10"/>
  <c r="Q52" i="15" s="1"/>
  <c r="B52" i="10"/>
  <c r="E51" i="10"/>
  <c r="Q51" i="15" s="1"/>
  <c r="B51" i="10"/>
  <c r="E50" i="10"/>
  <c r="Q50" i="15" s="1"/>
  <c r="B50" i="10"/>
  <c r="E49" i="10"/>
  <c r="Q49" i="15" s="1"/>
  <c r="B49" i="10"/>
  <c r="E47" i="10"/>
  <c r="Q47" i="15" s="1"/>
  <c r="B47" i="10"/>
  <c r="E46" i="10"/>
  <c r="Q46" i="15" s="1"/>
  <c r="B46" i="10"/>
  <c r="E45" i="10"/>
  <c r="Q45" i="15" s="1"/>
  <c r="B45" i="10"/>
  <c r="E44" i="10"/>
  <c r="B44" i="10"/>
  <c r="E43" i="10"/>
  <c r="Q43" i="15" s="1"/>
  <c r="B43" i="10"/>
  <c r="E42" i="10"/>
  <c r="Q42" i="15" s="1"/>
  <c r="B42" i="10"/>
  <c r="D42" i="10" s="1"/>
  <c r="E41" i="10"/>
  <c r="Q41" i="15" s="1"/>
  <c r="B41" i="10"/>
  <c r="E40" i="10"/>
  <c r="Q40" i="15" s="1"/>
  <c r="B40" i="10"/>
  <c r="D40" i="10" s="1"/>
  <c r="E38" i="10"/>
  <c r="Q38" i="15" s="1"/>
  <c r="B38" i="10"/>
  <c r="E37" i="10"/>
  <c r="Q37" i="15" s="1"/>
  <c r="C37" i="10"/>
  <c r="O37" i="15" s="1"/>
  <c r="B37" i="10"/>
  <c r="E36" i="10"/>
  <c r="Q36" i="15" s="1"/>
  <c r="B36" i="10"/>
  <c r="E35" i="10"/>
  <c r="Q35" i="15" s="1"/>
  <c r="B35" i="10"/>
  <c r="D35" i="10" s="1"/>
  <c r="E34" i="10"/>
  <c r="Q34" i="15" s="1"/>
  <c r="B34" i="10"/>
  <c r="E33" i="10"/>
  <c r="B33" i="10"/>
  <c r="E32" i="10"/>
  <c r="Q32" i="15" s="1"/>
  <c r="B32" i="10"/>
  <c r="E31" i="10"/>
  <c r="Q31" i="15" s="1"/>
  <c r="B31" i="10"/>
  <c r="D31" i="10" s="1"/>
  <c r="E29" i="10"/>
  <c r="Q29" i="15" s="1"/>
  <c r="B29" i="10"/>
  <c r="E28" i="10"/>
  <c r="Q28" i="15" s="1"/>
  <c r="B28" i="10"/>
  <c r="D28" i="10" s="1"/>
  <c r="E27" i="10"/>
  <c r="Q27" i="15" s="1"/>
  <c r="B27" i="10"/>
  <c r="E26" i="10"/>
  <c r="Q26" i="15" s="1"/>
  <c r="B26" i="10"/>
  <c r="E25" i="10"/>
  <c r="Q25" i="15" s="1"/>
  <c r="B25" i="10"/>
  <c r="D25" i="10" s="1"/>
  <c r="E24" i="10"/>
  <c r="Q24" i="15" s="1"/>
  <c r="B24" i="10"/>
  <c r="D24" i="10" s="1"/>
  <c r="E23" i="10"/>
  <c r="Q23" i="15" s="1"/>
  <c r="B23" i="10"/>
  <c r="E22" i="10"/>
  <c r="Q22" i="15" s="1"/>
  <c r="B22" i="10"/>
  <c r="E20" i="10"/>
  <c r="Q20" i="15" s="1"/>
  <c r="B20" i="10"/>
  <c r="E19" i="10"/>
  <c r="Q19" i="15" s="1"/>
  <c r="B19" i="10"/>
  <c r="E18" i="10"/>
  <c r="Q18" i="15" s="1"/>
  <c r="B18" i="10"/>
  <c r="D18" i="10" s="1"/>
  <c r="E17" i="10"/>
  <c r="Q17" i="15" s="1"/>
  <c r="B17" i="10"/>
  <c r="D17" i="10" s="1"/>
  <c r="E16" i="10"/>
  <c r="Q16" i="15" s="1"/>
  <c r="B16" i="10"/>
  <c r="E15" i="10"/>
  <c r="Q15" i="15" s="1"/>
  <c r="B15" i="10"/>
  <c r="E14" i="10"/>
  <c r="Q14" i="15" s="1"/>
  <c r="B14" i="10"/>
  <c r="D14" i="10" s="1"/>
  <c r="E13" i="10"/>
  <c r="Q13" i="15" s="1"/>
  <c r="B13" i="10"/>
  <c r="D13" i="10" s="1"/>
  <c r="E11" i="10"/>
  <c r="Q11" i="15" s="1"/>
  <c r="B11" i="10"/>
  <c r="D11" i="10" s="1"/>
  <c r="E10" i="10"/>
  <c r="Q10" i="15" s="1"/>
  <c r="B10" i="10"/>
  <c r="D10" i="10" s="1"/>
  <c r="E9" i="10"/>
  <c r="Q9" i="15" s="1"/>
  <c r="B9" i="10"/>
  <c r="E8" i="10"/>
  <c r="Q8" i="15" s="1"/>
  <c r="B8" i="10"/>
  <c r="E7" i="10"/>
  <c r="Q7" i="15" s="1"/>
  <c r="B7" i="10"/>
  <c r="D7" i="10" s="1"/>
  <c r="E6" i="10"/>
  <c r="Q6" i="15" s="1"/>
  <c r="B6" i="10"/>
  <c r="D6" i="10" s="1"/>
  <c r="E5" i="10"/>
  <c r="Q5" i="15" s="1"/>
  <c r="B5" i="10"/>
  <c r="E4" i="10"/>
  <c r="Q4" i="15" s="1"/>
  <c r="B4" i="10"/>
  <c r="E146" i="9"/>
  <c r="K146" i="15" s="1"/>
  <c r="B146" i="9"/>
  <c r="E145" i="9"/>
  <c r="K145" i="15" s="1"/>
  <c r="C145" i="9"/>
  <c r="I145" i="15" s="1"/>
  <c r="B145" i="9"/>
  <c r="E144" i="9"/>
  <c r="K144" i="15" s="1"/>
  <c r="B144" i="9"/>
  <c r="E143" i="9"/>
  <c r="K143" i="15" s="1"/>
  <c r="B143" i="9"/>
  <c r="E142" i="9"/>
  <c r="K142" i="15" s="1"/>
  <c r="B142" i="9"/>
  <c r="E141" i="9"/>
  <c r="K141" i="15" s="1"/>
  <c r="B141" i="9"/>
  <c r="E140" i="9"/>
  <c r="K140" i="15" s="1"/>
  <c r="B140" i="9"/>
  <c r="E139" i="9"/>
  <c r="K139" i="15" s="1"/>
  <c r="B139" i="9"/>
  <c r="E137" i="9"/>
  <c r="K137" i="15" s="1"/>
  <c r="B137" i="9"/>
  <c r="E136" i="9"/>
  <c r="K136" i="15" s="1"/>
  <c r="B136" i="9"/>
  <c r="E135" i="9"/>
  <c r="K135" i="15" s="1"/>
  <c r="B135" i="9"/>
  <c r="E134" i="9"/>
  <c r="K134" i="15" s="1"/>
  <c r="B134" i="9"/>
  <c r="E133" i="9"/>
  <c r="K133" i="15" s="1"/>
  <c r="B133" i="9"/>
  <c r="E132" i="9"/>
  <c r="K132" i="15" s="1"/>
  <c r="C132" i="9"/>
  <c r="I132" i="15" s="1"/>
  <c r="B132" i="9"/>
  <c r="E131" i="9"/>
  <c r="K131" i="15" s="1"/>
  <c r="B131" i="9"/>
  <c r="E130" i="9"/>
  <c r="K130" i="15" s="1"/>
  <c r="B130" i="9"/>
  <c r="E128" i="9"/>
  <c r="K128" i="15" s="1"/>
  <c r="B128" i="9"/>
  <c r="E127" i="9"/>
  <c r="K127" i="15" s="1"/>
  <c r="C127" i="9"/>
  <c r="I127" i="15" s="1"/>
  <c r="B127" i="9"/>
  <c r="E126" i="9"/>
  <c r="K126" i="15" s="1"/>
  <c r="B126" i="9"/>
  <c r="E125" i="9"/>
  <c r="K125" i="15" s="1"/>
  <c r="B125" i="9"/>
  <c r="E124" i="9"/>
  <c r="K124" i="15" s="1"/>
  <c r="B124" i="9"/>
  <c r="E123" i="9"/>
  <c r="K123" i="15" s="1"/>
  <c r="B123" i="9"/>
  <c r="E122" i="9"/>
  <c r="K122" i="15" s="1"/>
  <c r="B122" i="9"/>
  <c r="E121" i="9"/>
  <c r="K121" i="15" s="1"/>
  <c r="B121" i="9"/>
  <c r="E119" i="9"/>
  <c r="K119" i="15" s="1"/>
  <c r="B119" i="9"/>
  <c r="E118" i="9"/>
  <c r="K118" i="15" s="1"/>
  <c r="B118" i="9"/>
  <c r="D118" i="9" s="1"/>
  <c r="J118" i="15" s="1"/>
  <c r="E117" i="9"/>
  <c r="K117" i="15" s="1"/>
  <c r="B117" i="9"/>
  <c r="E116" i="9"/>
  <c r="K116" i="15" s="1"/>
  <c r="B116" i="9"/>
  <c r="E115" i="9"/>
  <c r="K115" i="15" s="1"/>
  <c r="B115" i="9"/>
  <c r="E114" i="9"/>
  <c r="C114" i="9"/>
  <c r="I114" i="15" s="1"/>
  <c r="B114" i="9"/>
  <c r="E113" i="9"/>
  <c r="K113" i="15" s="1"/>
  <c r="B113" i="9"/>
  <c r="E112" i="9"/>
  <c r="K112" i="15" s="1"/>
  <c r="B112" i="9"/>
  <c r="E110" i="9"/>
  <c r="K110" i="15" s="1"/>
  <c r="B110" i="9"/>
  <c r="E109" i="9"/>
  <c r="K109" i="15" s="1"/>
  <c r="C109" i="9"/>
  <c r="I109" i="15" s="1"/>
  <c r="B109" i="9"/>
  <c r="E108" i="9"/>
  <c r="K108" i="15" s="1"/>
  <c r="B108" i="9"/>
  <c r="E107" i="9"/>
  <c r="K107" i="15" s="1"/>
  <c r="B107" i="9"/>
  <c r="E106" i="9"/>
  <c r="K106" i="15" s="1"/>
  <c r="B106" i="9"/>
  <c r="E105" i="9"/>
  <c r="K105" i="15" s="1"/>
  <c r="B105" i="9"/>
  <c r="E104" i="9"/>
  <c r="K104" i="15" s="1"/>
  <c r="B104" i="9"/>
  <c r="E103" i="9"/>
  <c r="K103" i="15" s="1"/>
  <c r="B103" i="9"/>
  <c r="E101" i="9"/>
  <c r="K101" i="15" s="1"/>
  <c r="B101" i="9"/>
  <c r="E100" i="9"/>
  <c r="B100" i="9"/>
  <c r="E99" i="9"/>
  <c r="K99" i="15" s="1"/>
  <c r="B99" i="9"/>
  <c r="E98" i="9"/>
  <c r="K98" i="15" s="1"/>
  <c r="B98" i="9"/>
  <c r="E97" i="9"/>
  <c r="K97" i="15" s="1"/>
  <c r="B97" i="9"/>
  <c r="E96" i="9"/>
  <c r="K96" i="15" s="1"/>
  <c r="C96" i="9"/>
  <c r="I96" i="15" s="1"/>
  <c r="B96" i="9"/>
  <c r="E95" i="9"/>
  <c r="K95" i="15" s="1"/>
  <c r="B95" i="9"/>
  <c r="E94" i="9"/>
  <c r="K94" i="15" s="1"/>
  <c r="B94" i="9"/>
  <c r="D94" i="9" s="1"/>
  <c r="J94" i="15" s="1"/>
  <c r="E92" i="9"/>
  <c r="K92" i="15" s="1"/>
  <c r="B92" i="9"/>
  <c r="E91" i="9"/>
  <c r="K91" i="15" s="1"/>
  <c r="C91" i="9"/>
  <c r="I91" i="15" s="1"/>
  <c r="B91" i="9"/>
  <c r="E90" i="9"/>
  <c r="K90" i="15" s="1"/>
  <c r="B90" i="9"/>
  <c r="E89" i="9"/>
  <c r="K89" i="15" s="1"/>
  <c r="B89" i="9"/>
  <c r="E88" i="9"/>
  <c r="K88" i="15" s="1"/>
  <c r="B88" i="9"/>
  <c r="D88" i="9" s="1"/>
  <c r="J88" i="15" s="1"/>
  <c r="E87" i="9"/>
  <c r="K87" i="15" s="1"/>
  <c r="B87" i="9"/>
  <c r="E86" i="9"/>
  <c r="K86" i="15" s="1"/>
  <c r="B86" i="9"/>
  <c r="E85" i="9"/>
  <c r="K85" i="15" s="1"/>
  <c r="B85" i="9"/>
  <c r="E83" i="9"/>
  <c r="K83" i="15" s="1"/>
  <c r="B83" i="9"/>
  <c r="E82" i="9"/>
  <c r="K82" i="15" s="1"/>
  <c r="B82" i="9"/>
  <c r="E81" i="9"/>
  <c r="K81" i="15" s="1"/>
  <c r="B81" i="9"/>
  <c r="E80" i="9"/>
  <c r="K80" i="15" s="1"/>
  <c r="B80" i="9"/>
  <c r="E79" i="9"/>
  <c r="K79" i="15" s="1"/>
  <c r="B79" i="9"/>
  <c r="E78" i="9"/>
  <c r="K78" i="15" s="1"/>
  <c r="C78" i="9"/>
  <c r="I78" i="15" s="1"/>
  <c r="B78" i="9"/>
  <c r="E77" i="9"/>
  <c r="K77" i="15" s="1"/>
  <c r="B77" i="9"/>
  <c r="E76" i="9"/>
  <c r="K76" i="15" s="1"/>
  <c r="B76" i="9"/>
  <c r="E74" i="9"/>
  <c r="K74" i="15" s="1"/>
  <c r="B74" i="9"/>
  <c r="E73" i="9"/>
  <c r="K73" i="15" s="1"/>
  <c r="C73" i="9"/>
  <c r="I73" i="15" s="1"/>
  <c r="B73" i="9"/>
  <c r="D73" i="9" s="1"/>
  <c r="E72" i="9"/>
  <c r="K72" i="15" s="1"/>
  <c r="B72" i="9"/>
  <c r="E71" i="9"/>
  <c r="K71" i="15" s="1"/>
  <c r="B71" i="9"/>
  <c r="E70" i="9"/>
  <c r="K70" i="15" s="1"/>
  <c r="B70" i="9"/>
  <c r="E69" i="9"/>
  <c r="K69" i="15" s="1"/>
  <c r="B69" i="9"/>
  <c r="E68" i="9"/>
  <c r="K68" i="15" s="1"/>
  <c r="B68" i="9"/>
  <c r="E67" i="9"/>
  <c r="B67" i="9"/>
  <c r="E65" i="9"/>
  <c r="K65" i="15" s="1"/>
  <c r="B65" i="9"/>
  <c r="E64" i="9"/>
  <c r="K64" i="15" s="1"/>
  <c r="B64" i="9"/>
  <c r="E63" i="9"/>
  <c r="K63" i="15" s="1"/>
  <c r="B63" i="9"/>
  <c r="E62" i="9"/>
  <c r="K62" i="15" s="1"/>
  <c r="B62" i="9"/>
  <c r="D62" i="9" s="1"/>
  <c r="E61" i="9"/>
  <c r="K61" i="15" s="1"/>
  <c r="B61" i="9"/>
  <c r="E60" i="9"/>
  <c r="K60" i="15" s="1"/>
  <c r="C60" i="9"/>
  <c r="I60" i="15" s="1"/>
  <c r="B60" i="9"/>
  <c r="D60" i="9" s="1"/>
  <c r="E59" i="9"/>
  <c r="K59" i="15" s="1"/>
  <c r="B59" i="9"/>
  <c r="E58" i="9"/>
  <c r="K58" i="15" s="1"/>
  <c r="B58" i="9"/>
  <c r="E56" i="9"/>
  <c r="K56" i="15" s="1"/>
  <c r="B56" i="9"/>
  <c r="E55" i="9"/>
  <c r="K55" i="15" s="1"/>
  <c r="C55" i="9"/>
  <c r="I55" i="15" s="1"/>
  <c r="B55" i="9"/>
  <c r="E54" i="9"/>
  <c r="K54" i="15" s="1"/>
  <c r="B54" i="9"/>
  <c r="E53" i="9"/>
  <c r="K53" i="15" s="1"/>
  <c r="B53" i="9"/>
  <c r="E52" i="9"/>
  <c r="K52" i="15" s="1"/>
  <c r="B52" i="9"/>
  <c r="D52" i="9" s="1"/>
  <c r="E51" i="9"/>
  <c r="K51" i="15" s="1"/>
  <c r="B51" i="9"/>
  <c r="E50" i="9"/>
  <c r="K50" i="15" s="1"/>
  <c r="B50" i="9"/>
  <c r="E49" i="9"/>
  <c r="B49" i="9"/>
  <c r="E47" i="9"/>
  <c r="K47" i="15" s="1"/>
  <c r="B47" i="9"/>
  <c r="E46" i="9"/>
  <c r="K46" i="15" s="1"/>
  <c r="B46" i="9"/>
  <c r="E45" i="9"/>
  <c r="K45" i="15" s="1"/>
  <c r="B45" i="9"/>
  <c r="E44" i="9"/>
  <c r="K44" i="15" s="1"/>
  <c r="B44" i="9"/>
  <c r="D44" i="9" s="1"/>
  <c r="E43" i="9"/>
  <c r="K43" i="15" s="1"/>
  <c r="B43" i="9"/>
  <c r="E42" i="9"/>
  <c r="K42" i="15" s="1"/>
  <c r="C42" i="9"/>
  <c r="I42" i="15" s="1"/>
  <c r="B42" i="9"/>
  <c r="D42" i="9" s="1"/>
  <c r="E41" i="9"/>
  <c r="K41" i="15" s="1"/>
  <c r="B41" i="9"/>
  <c r="E40" i="9"/>
  <c r="K40" i="15" s="1"/>
  <c r="B40" i="9"/>
  <c r="E38" i="9"/>
  <c r="K38" i="15" s="1"/>
  <c r="B38" i="9"/>
  <c r="E37" i="9"/>
  <c r="K37" i="15" s="1"/>
  <c r="C37" i="9"/>
  <c r="I37" i="15" s="1"/>
  <c r="B37" i="9"/>
  <c r="E36" i="9"/>
  <c r="K36" i="15" s="1"/>
  <c r="B36" i="9"/>
  <c r="E35" i="9"/>
  <c r="K35" i="15" s="1"/>
  <c r="B35" i="9"/>
  <c r="E34" i="9"/>
  <c r="K34" i="15" s="1"/>
  <c r="B34" i="9"/>
  <c r="D34" i="9" s="1"/>
  <c r="E33" i="9"/>
  <c r="K33" i="15" s="1"/>
  <c r="B33" i="9"/>
  <c r="E32" i="9"/>
  <c r="K32" i="15" s="1"/>
  <c r="B32" i="9"/>
  <c r="E31" i="9"/>
  <c r="K31" i="15" s="1"/>
  <c r="B31" i="9"/>
  <c r="E29" i="9"/>
  <c r="K29" i="15" s="1"/>
  <c r="B29" i="9"/>
  <c r="E28" i="9"/>
  <c r="K28" i="15" s="1"/>
  <c r="B28" i="9"/>
  <c r="E27" i="9"/>
  <c r="B27" i="9"/>
  <c r="E26" i="9"/>
  <c r="K26" i="15" s="1"/>
  <c r="B26" i="9"/>
  <c r="E25" i="9"/>
  <c r="K25" i="15" s="1"/>
  <c r="B25" i="9"/>
  <c r="E24" i="9"/>
  <c r="K24" i="15" s="1"/>
  <c r="B24" i="9"/>
  <c r="E23" i="9"/>
  <c r="B23" i="9"/>
  <c r="E22" i="9"/>
  <c r="K22" i="15" s="1"/>
  <c r="B22" i="9"/>
  <c r="E20" i="9"/>
  <c r="B20" i="9"/>
  <c r="E19" i="9"/>
  <c r="K19" i="15" s="1"/>
  <c r="B19" i="9"/>
  <c r="E18" i="9"/>
  <c r="K18" i="15" s="1"/>
  <c r="B18" i="9"/>
  <c r="E17" i="9"/>
  <c r="K17" i="15" s="1"/>
  <c r="B17" i="9"/>
  <c r="E16" i="9"/>
  <c r="B16" i="9"/>
  <c r="E15" i="9"/>
  <c r="K15" i="15" s="1"/>
  <c r="B15" i="9"/>
  <c r="E14" i="9"/>
  <c r="K14" i="15" s="1"/>
  <c r="B14" i="9"/>
  <c r="E13" i="9"/>
  <c r="K13" i="15" s="1"/>
  <c r="B13" i="9"/>
  <c r="E11" i="9"/>
  <c r="K11" i="15" s="1"/>
  <c r="B11" i="9"/>
  <c r="E10" i="9"/>
  <c r="K10" i="15" s="1"/>
  <c r="B10" i="9"/>
  <c r="E9" i="9"/>
  <c r="B9" i="9"/>
  <c r="E8" i="9"/>
  <c r="K8" i="15" s="1"/>
  <c r="B8" i="9"/>
  <c r="E7" i="9"/>
  <c r="K7" i="15" s="1"/>
  <c r="B7" i="9"/>
  <c r="E6" i="9"/>
  <c r="K6" i="15" s="1"/>
  <c r="B6" i="9"/>
  <c r="E5" i="9"/>
  <c r="B5" i="9"/>
  <c r="E4" i="9"/>
  <c r="K4" i="15" s="1"/>
  <c r="C4" i="9"/>
  <c r="I4" i="15" s="1"/>
  <c r="B4" i="9"/>
  <c r="N667" i="8"/>
  <c r="C321" i="15" s="1"/>
  <c r="J667" i="8"/>
  <c r="C320" i="15" s="1"/>
  <c r="F667" i="8"/>
  <c r="C319" i="15" s="1"/>
  <c r="B667" i="8"/>
  <c r="N647" i="8"/>
  <c r="C317" i="15" s="1"/>
  <c r="J647" i="8"/>
  <c r="C316" i="15" s="1"/>
  <c r="F647" i="8"/>
  <c r="B647" i="8"/>
  <c r="C314" i="15" s="1"/>
  <c r="N625" i="8"/>
  <c r="C312" i="15" s="1"/>
  <c r="J625" i="8"/>
  <c r="C311" i="15" s="1"/>
  <c r="F625" i="8"/>
  <c r="C310" i="15" s="1"/>
  <c r="B625" i="8"/>
  <c r="C134" i="10" s="1"/>
  <c r="O134" i="15" s="1"/>
  <c r="N605" i="8"/>
  <c r="J605" i="8"/>
  <c r="C307" i="15" s="1"/>
  <c r="F605" i="8"/>
  <c r="C306" i="15" s="1"/>
  <c r="B605" i="8"/>
  <c r="C305" i="15" s="1"/>
  <c r="N583" i="8"/>
  <c r="C303" i="15" s="1"/>
  <c r="J583" i="8"/>
  <c r="C302" i="15" s="1"/>
  <c r="F583" i="8"/>
  <c r="C301" i="15" s="1"/>
  <c r="B583" i="8"/>
  <c r="N563" i="8"/>
  <c r="C299" i="15" s="1"/>
  <c r="J563" i="8"/>
  <c r="C298" i="15" s="1"/>
  <c r="F563" i="8"/>
  <c r="B563" i="8"/>
  <c r="C296" i="15" s="1"/>
  <c r="N541" i="8"/>
  <c r="C294" i="15" s="1"/>
  <c r="J541" i="8"/>
  <c r="C293" i="15" s="1"/>
  <c r="F541" i="8"/>
  <c r="C292" i="15" s="1"/>
  <c r="B541" i="8"/>
  <c r="C291" i="15" s="1"/>
  <c r="N521" i="8"/>
  <c r="J521" i="8"/>
  <c r="C289" i="15" s="1"/>
  <c r="F521" i="8"/>
  <c r="C288" i="15" s="1"/>
  <c r="B521" i="8"/>
  <c r="C287" i="15" s="1"/>
  <c r="N499" i="8"/>
  <c r="C285" i="15" s="1"/>
  <c r="J499" i="8"/>
  <c r="C284" i="15" s="1"/>
  <c r="F499" i="8"/>
  <c r="C283" i="15" s="1"/>
  <c r="B499" i="8"/>
  <c r="N479" i="8"/>
  <c r="C281" i="15" s="1"/>
  <c r="J479" i="8"/>
  <c r="C280" i="15" s="1"/>
  <c r="F479" i="8"/>
  <c r="B479" i="8"/>
  <c r="C278" i="15" s="1"/>
  <c r="N457" i="8"/>
  <c r="C276" i="15" s="1"/>
  <c r="J457" i="8"/>
  <c r="C275" i="15" s="1"/>
  <c r="F457" i="8"/>
  <c r="C274" i="15" s="1"/>
  <c r="B457" i="8"/>
  <c r="C273" i="15" s="1"/>
  <c r="N437" i="8"/>
  <c r="J437" i="8"/>
  <c r="C271" i="15" s="1"/>
  <c r="F437" i="8"/>
  <c r="C270" i="15" s="1"/>
  <c r="B437" i="8"/>
  <c r="C269" i="15" s="1"/>
  <c r="N415" i="8"/>
  <c r="C267" i="15" s="1"/>
  <c r="J415" i="8"/>
  <c r="C266" i="15" s="1"/>
  <c r="F415" i="8"/>
  <c r="C265" i="15" s="1"/>
  <c r="B415" i="8"/>
  <c r="N395" i="8"/>
  <c r="C263" i="15" s="1"/>
  <c r="J395" i="8"/>
  <c r="C262" i="15" s="1"/>
  <c r="F395" i="8"/>
  <c r="B395" i="8"/>
  <c r="C260" i="15" s="1"/>
  <c r="N373" i="8"/>
  <c r="C258" i="15" s="1"/>
  <c r="J373" i="8"/>
  <c r="C257" i="15" s="1"/>
  <c r="F373" i="8"/>
  <c r="C256" i="15" s="1"/>
  <c r="B373" i="8"/>
  <c r="C255" i="15" s="1"/>
  <c r="N353" i="8"/>
  <c r="J353" i="8"/>
  <c r="C253" i="15" s="1"/>
  <c r="F353" i="8"/>
  <c r="C252" i="15" s="1"/>
  <c r="B353" i="8"/>
  <c r="N331" i="8"/>
  <c r="C249" i="15" s="1"/>
  <c r="J331" i="8"/>
  <c r="C248" i="15" s="1"/>
  <c r="F331" i="8"/>
  <c r="B331" i="8"/>
  <c r="N311" i="8"/>
  <c r="C245" i="15" s="1"/>
  <c r="J311" i="8"/>
  <c r="C244" i="15" s="1"/>
  <c r="F311" i="8"/>
  <c r="B311" i="8"/>
  <c r="C242" i="15" s="1"/>
  <c r="N289" i="8"/>
  <c r="J289" i="8"/>
  <c r="C239" i="15" s="1"/>
  <c r="F289" i="8"/>
  <c r="C238" i="15" s="1"/>
  <c r="B289" i="8"/>
  <c r="C237" i="15" s="1"/>
  <c r="N269" i="8"/>
  <c r="J269" i="8"/>
  <c r="C235" i="15" s="1"/>
  <c r="F269" i="8"/>
  <c r="C234" i="15" s="1"/>
  <c r="B269" i="8"/>
  <c r="N247" i="8"/>
  <c r="J247" i="8"/>
  <c r="C230" i="15" s="1"/>
  <c r="F247" i="8"/>
  <c r="B247" i="8"/>
  <c r="N227" i="8"/>
  <c r="C227" i="15" s="1"/>
  <c r="J227" i="8"/>
  <c r="C226" i="15" s="1"/>
  <c r="F227" i="8"/>
  <c r="B227" i="8"/>
  <c r="N205" i="8"/>
  <c r="J205" i="8"/>
  <c r="C221" i="15" s="1"/>
  <c r="F205" i="8"/>
  <c r="B205" i="8"/>
  <c r="C219" i="15" s="1"/>
  <c r="N185" i="8"/>
  <c r="J185" i="8"/>
  <c r="C217" i="15" s="1"/>
  <c r="F185" i="8"/>
  <c r="C216" i="15" s="1"/>
  <c r="B185" i="8"/>
  <c r="N163" i="8"/>
  <c r="J163" i="8"/>
  <c r="C212" i="15" s="1"/>
  <c r="F163" i="8"/>
  <c r="B163" i="8"/>
  <c r="N143" i="8"/>
  <c r="C209" i="15" s="1"/>
  <c r="J143" i="8"/>
  <c r="C208" i="15" s="1"/>
  <c r="F143" i="8"/>
  <c r="B143" i="8"/>
  <c r="N121" i="8"/>
  <c r="J121" i="8"/>
  <c r="C203" i="15" s="1"/>
  <c r="F121" i="8"/>
  <c r="B121" i="8"/>
  <c r="C201" i="15" s="1"/>
  <c r="N101" i="8"/>
  <c r="J101" i="8"/>
  <c r="C199" i="15" s="1"/>
  <c r="F101" i="8"/>
  <c r="B101" i="8"/>
  <c r="N79" i="8"/>
  <c r="J79" i="8"/>
  <c r="C194" i="15" s="1"/>
  <c r="F79" i="8"/>
  <c r="B79" i="8"/>
  <c r="N59" i="8"/>
  <c r="J59" i="8"/>
  <c r="C190" i="15" s="1"/>
  <c r="F59" i="8"/>
  <c r="B59" i="8"/>
  <c r="N44" i="8"/>
  <c r="N64" i="8" s="1"/>
  <c r="N86" i="8" s="1"/>
  <c r="N37" i="8"/>
  <c r="J37" i="8"/>
  <c r="C185" i="15" s="1"/>
  <c r="F37" i="8"/>
  <c r="B37" i="8"/>
  <c r="N24" i="8"/>
  <c r="N46" i="8" s="1"/>
  <c r="N66" i="8" s="1"/>
  <c r="N88" i="8" s="1"/>
  <c r="N108" i="8" s="1"/>
  <c r="N130" i="8" s="1"/>
  <c r="N150" i="8" s="1"/>
  <c r="N172" i="8" s="1"/>
  <c r="N192" i="8" s="1"/>
  <c r="N214" i="8" s="1"/>
  <c r="N234" i="8" s="1"/>
  <c r="N256" i="8" s="1"/>
  <c r="N276" i="8" s="1"/>
  <c r="N298" i="8" s="1"/>
  <c r="N318" i="8" s="1"/>
  <c r="N340" i="8" s="1"/>
  <c r="N360" i="8" s="1"/>
  <c r="N382" i="8" s="1"/>
  <c r="N402" i="8" s="1"/>
  <c r="N424" i="8" s="1"/>
  <c r="N444" i="8" s="1"/>
  <c r="N466" i="8" s="1"/>
  <c r="N486" i="8" s="1"/>
  <c r="N508" i="8" s="1"/>
  <c r="N528" i="8" s="1"/>
  <c r="N550" i="8" s="1"/>
  <c r="N570" i="8" s="1"/>
  <c r="N592" i="8" s="1"/>
  <c r="N612" i="8" s="1"/>
  <c r="N634" i="8" s="1"/>
  <c r="N654" i="8" s="1"/>
  <c r="N23" i="8"/>
  <c r="N22" i="8"/>
  <c r="N17" i="8"/>
  <c r="J17" i="8"/>
  <c r="C181" i="15" s="1"/>
  <c r="F17" i="8"/>
  <c r="B17" i="8"/>
  <c r="AK5" i="8"/>
  <c r="N5" i="8"/>
  <c r="N25" i="8" s="1"/>
  <c r="AK3" i="8"/>
  <c r="N3" i="8"/>
  <c r="N667" i="7"/>
  <c r="J667" i="7"/>
  <c r="C177" i="15" s="1"/>
  <c r="F667" i="7"/>
  <c r="B667" i="7"/>
  <c r="N647" i="7"/>
  <c r="J647" i="7"/>
  <c r="C173" i="15" s="1"/>
  <c r="F647" i="7"/>
  <c r="B647" i="7"/>
  <c r="N625" i="7"/>
  <c r="J625" i="7"/>
  <c r="C168" i="15" s="1"/>
  <c r="F625" i="7"/>
  <c r="B625" i="7"/>
  <c r="N605" i="7"/>
  <c r="J605" i="7"/>
  <c r="C164" i="15" s="1"/>
  <c r="F605" i="7"/>
  <c r="B605" i="7"/>
  <c r="N583" i="7"/>
  <c r="J583" i="7"/>
  <c r="C159" i="15" s="1"/>
  <c r="F583" i="7"/>
  <c r="B583" i="7"/>
  <c r="N563" i="7"/>
  <c r="J563" i="7"/>
  <c r="C155" i="15" s="1"/>
  <c r="F563" i="7"/>
  <c r="B563" i="7"/>
  <c r="N541" i="7"/>
  <c r="J541" i="7"/>
  <c r="C150" i="15" s="1"/>
  <c r="F541" i="7"/>
  <c r="B541" i="7"/>
  <c r="N521" i="7"/>
  <c r="J521" i="7"/>
  <c r="C146" i="15" s="1"/>
  <c r="F521" i="7"/>
  <c r="B521" i="7"/>
  <c r="N499" i="7"/>
  <c r="J499" i="7"/>
  <c r="C141" i="15" s="1"/>
  <c r="F499" i="7"/>
  <c r="B499" i="7"/>
  <c r="N479" i="7"/>
  <c r="J479" i="7"/>
  <c r="C137" i="15" s="1"/>
  <c r="F479" i="7"/>
  <c r="B479" i="7"/>
  <c r="N457" i="7"/>
  <c r="J457" i="7"/>
  <c r="C132" i="15" s="1"/>
  <c r="F457" i="7"/>
  <c r="B457" i="7"/>
  <c r="N437" i="7"/>
  <c r="J437" i="7"/>
  <c r="C128" i="15" s="1"/>
  <c r="F437" i="7"/>
  <c r="B437" i="7"/>
  <c r="N415" i="7"/>
  <c r="J415" i="7"/>
  <c r="C123" i="15" s="1"/>
  <c r="F415" i="7"/>
  <c r="B415" i="7"/>
  <c r="N395" i="7"/>
  <c r="J395" i="7"/>
  <c r="C119" i="15" s="1"/>
  <c r="F395" i="7"/>
  <c r="B395" i="7"/>
  <c r="N373" i="7"/>
  <c r="J373" i="7"/>
  <c r="C114" i="15" s="1"/>
  <c r="F373" i="7"/>
  <c r="B373" i="7"/>
  <c r="N353" i="7"/>
  <c r="J353" i="7"/>
  <c r="C110" i="15" s="1"/>
  <c r="F353" i="7"/>
  <c r="B353" i="7"/>
  <c r="N331" i="7"/>
  <c r="J331" i="7"/>
  <c r="C105" i="15" s="1"/>
  <c r="F331" i="7"/>
  <c r="B331" i="7"/>
  <c r="N311" i="7"/>
  <c r="J311" i="7"/>
  <c r="C101" i="15" s="1"/>
  <c r="F311" i="7"/>
  <c r="B311" i="7"/>
  <c r="N289" i="7"/>
  <c r="J289" i="7"/>
  <c r="C96" i="15" s="1"/>
  <c r="F289" i="7"/>
  <c r="B289" i="7"/>
  <c r="N269" i="7"/>
  <c r="J269" i="7"/>
  <c r="C92" i="15" s="1"/>
  <c r="F269" i="7"/>
  <c r="B269" i="7"/>
  <c r="N247" i="7"/>
  <c r="J247" i="7"/>
  <c r="C87" i="15" s="1"/>
  <c r="F247" i="7"/>
  <c r="B247" i="7"/>
  <c r="N227" i="7"/>
  <c r="J227" i="7"/>
  <c r="C83" i="15" s="1"/>
  <c r="F227" i="7"/>
  <c r="B227" i="7"/>
  <c r="N205" i="7"/>
  <c r="J205" i="7"/>
  <c r="C78" i="15" s="1"/>
  <c r="F205" i="7"/>
  <c r="B205" i="7"/>
  <c r="N185" i="7"/>
  <c r="J185" i="7"/>
  <c r="C74" i="15" s="1"/>
  <c r="F185" i="7"/>
  <c r="B185" i="7"/>
  <c r="N163" i="7"/>
  <c r="J163" i="7"/>
  <c r="C69" i="15" s="1"/>
  <c r="F163" i="7"/>
  <c r="B163" i="7"/>
  <c r="N143" i="7"/>
  <c r="J143" i="7"/>
  <c r="C65" i="15" s="1"/>
  <c r="F143" i="7"/>
  <c r="B143" i="7"/>
  <c r="N121" i="7"/>
  <c r="J121" i="7"/>
  <c r="C60" i="15" s="1"/>
  <c r="F121" i="7"/>
  <c r="B121" i="7"/>
  <c r="N101" i="7"/>
  <c r="J101" i="7"/>
  <c r="F101" i="7"/>
  <c r="B101" i="7"/>
  <c r="N79" i="7"/>
  <c r="J79" i="7"/>
  <c r="F79" i="7"/>
  <c r="B79" i="7"/>
  <c r="N59" i="7"/>
  <c r="J59" i="7"/>
  <c r="F59" i="7"/>
  <c r="B59" i="7"/>
  <c r="N37" i="7"/>
  <c r="J37" i="7"/>
  <c r="F37" i="7"/>
  <c r="B37" i="7"/>
  <c r="N24" i="7"/>
  <c r="N46" i="7" s="1"/>
  <c r="N66" i="7" s="1"/>
  <c r="N88" i="7" s="1"/>
  <c r="N108" i="7" s="1"/>
  <c r="N130" i="7" s="1"/>
  <c r="N150" i="7" s="1"/>
  <c r="N172" i="7" s="1"/>
  <c r="N192" i="7" s="1"/>
  <c r="N214" i="7" s="1"/>
  <c r="N234" i="7" s="1"/>
  <c r="N256" i="7" s="1"/>
  <c r="N276" i="7" s="1"/>
  <c r="N298" i="7" s="1"/>
  <c r="N318" i="7" s="1"/>
  <c r="N340" i="7" s="1"/>
  <c r="N360" i="7" s="1"/>
  <c r="N382" i="7" s="1"/>
  <c r="N402" i="7" s="1"/>
  <c r="N424" i="7" s="1"/>
  <c r="N444" i="7" s="1"/>
  <c r="N466" i="7" s="1"/>
  <c r="N486" i="7" s="1"/>
  <c r="N508" i="7" s="1"/>
  <c r="N528" i="7" s="1"/>
  <c r="N550" i="7" s="1"/>
  <c r="N570" i="7" s="1"/>
  <c r="N592" i="7" s="1"/>
  <c r="N612" i="7" s="1"/>
  <c r="N634" i="7" s="1"/>
  <c r="N654" i="7" s="1"/>
  <c r="N22" i="7"/>
  <c r="N44" i="7" s="1"/>
  <c r="N17" i="7"/>
  <c r="J17" i="7"/>
  <c r="F17" i="7"/>
  <c r="AK5" i="7"/>
  <c r="N5" i="7"/>
  <c r="N25" i="7" s="1"/>
  <c r="AK3" i="7"/>
  <c r="N3" i="7"/>
  <c r="N23" i="7" s="1"/>
  <c r="N26" i="8" l="1"/>
  <c r="N47" i="8" s="1"/>
  <c r="N26" i="7"/>
  <c r="N47" i="7" s="1"/>
  <c r="N64" i="7"/>
  <c r="N86" i="7" s="1"/>
  <c r="N45" i="7"/>
  <c r="N65" i="7" s="1"/>
  <c r="N106" i="8"/>
  <c r="N128" i="8" s="1"/>
  <c r="N87" i="8"/>
  <c r="N107" i="8" s="1"/>
  <c r="C43" i="15"/>
  <c r="C11" i="9"/>
  <c r="I11" i="15" s="1"/>
  <c r="C50" i="15"/>
  <c r="C18" i="9"/>
  <c r="I18" i="15" s="1"/>
  <c r="C79" i="15"/>
  <c r="C47" i="9"/>
  <c r="I47" i="15" s="1"/>
  <c r="C86" i="15"/>
  <c r="C54" i="9"/>
  <c r="I54" i="15" s="1"/>
  <c r="C108" i="15"/>
  <c r="C76" i="9"/>
  <c r="I76" i="15" s="1"/>
  <c r="C133" i="15"/>
  <c r="C101" i="9"/>
  <c r="I101" i="15" s="1"/>
  <c r="C112" i="9"/>
  <c r="I112" i="15" s="1"/>
  <c r="C144" i="15"/>
  <c r="C180" i="15"/>
  <c r="C5" i="10"/>
  <c r="O5" i="15" s="1"/>
  <c r="H4" i="15"/>
  <c r="D4" i="9"/>
  <c r="D50" i="9"/>
  <c r="H50" i="15"/>
  <c r="H68" i="15"/>
  <c r="D68" i="9"/>
  <c r="H86" i="15"/>
  <c r="D86" i="9"/>
  <c r="J86" i="15" s="1"/>
  <c r="H122" i="15"/>
  <c r="D122" i="9"/>
  <c r="J122" i="15" s="1"/>
  <c r="C11" i="20"/>
  <c r="E11" i="20" s="1"/>
  <c r="P14" i="15"/>
  <c r="C51" i="15"/>
  <c r="C19" i="9"/>
  <c r="I19" i="15" s="1"/>
  <c r="C58" i="15"/>
  <c r="C26" i="9"/>
  <c r="I26" i="15" s="1"/>
  <c r="C66" i="15"/>
  <c r="C34" i="9"/>
  <c r="I34" i="15" s="1"/>
  <c r="C73" i="15"/>
  <c r="C41" i="9"/>
  <c r="I41" i="15" s="1"/>
  <c r="C84" i="15"/>
  <c r="C52" i="9"/>
  <c r="I52" i="15" s="1"/>
  <c r="C94" i="15"/>
  <c r="C62" i="9"/>
  <c r="I62" i="15" s="1"/>
  <c r="C112" i="15"/>
  <c r="C80" i="9"/>
  <c r="I80" i="15" s="1"/>
  <c r="C188" i="15"/>
  <c r="C13" i="10"/>
  <c r="O13" i="15" s="1"/>
  <c r="C195" i="15"/>
  <c r="C20" i="10"/>
  <c r="O20" i="15" s="1"/>
  <c r="C202" i="15"/>
  <c r="C27" i="10"/>
  <c r="O27" i="15" s="1"/>
  <c r="C231" i="15"/>
  <c r="C56" i="10"/>
  <c r="O56" i="15" s="1"/>
  <c r="C240" i="15"/>
  <c r="C65" i="10"/>
  <c r="O65" i="15" s="1"/>
  <c r="C264" i="15"/>
  <c r="C89" i="10"/>
  <c r="O89" i="15" s="1"/>
  <c r="H8" i="15"/>
  <c r="D8" i="9"/>
  <c r="H17" i="15"/>
  <c r="D17" i="9"/>
  <c r="H90" i="15"/>
  <c r="D90" i="9"/>
  <c r="J90" i="15" s="1"/>
  <c r="H108" i="15"/>
  <c r="D108" i="9"/>
  <c r="J108" i="15" s="1"/>
  <c r="C24" i="10"/>
  <c r="O24" i="15" s="1"/>
  <c r="N36" i="15"/>
  <c r="D36" i="10"/>
  <c r="C42" i="10"/>
  <c r="O42" i="15" s="1"/>
  <c r="N54" i="15"/>
  <c r="D54" i="10"/>
  <c r="C60" i="10"/>
  <c r="O60" i="15" s="1"/>
  <c r="N72" i="15"/>
  <c r="D72" i="10"/>
  <c r="N90" i="15"/>
  <c r="D90" i="10"/>
  <c r="P90" i="15" s="1"/>
  <c r="N108" i="15"/>
  <c r="D108" i="10"/>
  <c r="P108" i="15" s="1"/>
  <c r="N126" i="15"/>
  <c r="D126" i="10"/>
  <c r="P126" i="15" s="1"/>
  <c r="N144" i="15"/>
  <c r="D144" i="10"/>
  <c r="P144" i="15" s="1"/>
  <c r="C61" i="15"/>
  <c r="C29" i="9"/>
  <c r="I29" i="15" s="1"/>
  <c r="C68" i="15"/>
  <c r="C36" i="9"/>
  <c r="I36" i="15" s="1"/>
  <c r="C90" i="15"/>
  <c r="C58" i="9"/>
  <c r="I58" i="15" s="1"/>
  <c r="C97" i="15"/>
  <c r="C65" i="9"/>
  <c r="I65" i="15" s="1"/>
  <c r="C104" i="15"/>
  <c r="C72" i="9"/>
  <c r="I72" i="15" s="1"/>
  <c r="C115" i="15"/>
  <c r="C83" i="9"/>
  <c r="I83" i="15" s="1"/>
  <c r="C122" i="15"/>
  <c r="C90" i="9"/>
  <c r="I90" i="15" s="1"/>
  <c r="C162" i="15"/>
  <c r="C130" i="9"/>
  <c r="I130" i="15" s="1"/>
  <c r="C169" i="15"/>
  <c r="C137" i="9"/>
  <c r="I137" i="15" s="1"/>
  <c r="C176" i="15"/>
  <c r="C144" i="9"/>
  <c r="I144" i="15" s="1"/>
  <c r="C191" i="15"/>
  <c r="C16" i="10"/>
  <c r="O16" i="15" s="1"/>
  <c r="C198" i="15"/>
  <c r="C23" i="10"/>
  <c r="O23" i="15" s="1"/>
  <c r="C211" i="15"/>
  <c r="C36" i="10"/>
  <c r="O36" i="15" s="1"/>
  <c r="C220" i="15"/>
  <c r="C45" i="10"/>
  <c r="O45" i="15" s="1"/>
  <c r="C254" i="15"/>
  <c r="C79" i="10"/>
  <c r="O79" i="15" s="1"/>
  <c r="C308" i="15"/>
  <c r="C133" i="10"/>
  <c r="O133" i="15" s="1"/>
  <c r="C315" i="15"/>
  <c r="C140" i="10"/>
  <c r="O140" i="15" s="1"/>
  <c r="H104" i="15"/>
  <c r="D104" i="9"/>
  <c r="J104" i="15" s="1"/>
  <c r="H140" i="15"/>
  <c r="D140" i="9"/>
  <c r="J140" i="15" s="1"/>
  <c r="C19" i="10"/>
  <c r="O19" i="15" s="1"/>
  <c r="N32" i="15"/>
  <c r="D32" i="10"/>
  <c r="D50" i="10"/>
  <c r="N50" i="15"/>
  <c r="N86" i="15"/>
  <c r="D86" i="10"/>
  <c r="P86" i="15" s="1"/>
  <c r="N104" i="15"/>
  <c r="D104" i="10"/>
  <c r="P104" i="15" s="1"/>
  <c r="N122" i="15"/>
  <c r="D122" i="10"/>
  <c r="P122" i="15" s="1"/>
  <c r="D140" i="10"/>
  <c r="P140" i="15" s="1"/>
  <c r="N140" i="15"/>
  <c r="C37" i="15"/>
  <c r="C5" i="9"/>
  <c r="I5" i="15" s="1"/>
  <c r="C40" i="15"/>
  <c r="C8" i="9"/>
  <c r="I8" i="15" s="1"/>
  <c r="C48" i="15"/>
  <c r="C16" i="9"/>
  <c r="I16" i="15" s="1"/>
  <c r="C55" i="15"/>
  <c r="C23" i="9"/>
  <c r="I23" i="15" s="1"/>
  <c r="C76" i="15"/>
  <c r="C44" i="9"/>
  <c r="I44" i="15" s="1"/>
  <c r="C91" i="15"/>
  <c r="C59" i="9"/>
  <c r="I59" i="15" s="1"/>
  <c r="C102" i="15"/>
  <c r="C70" i="9"/>
  <c r="I70" i="15" s="1"/>
  <c r="C109" i="15"/>
  <c r="C77" i="9"/>
  <c r="I77" i="15" s="1"/>
  <c r="C127" i="15"/>
  <c r="C95" i="9"/>
  <c r="I95" i="15" s="1"/>
  <c r="C148" i="15"/>
  <c r="C116" i="9"/>
  <c r="I116" i="15" s="1"/>
  <c r="C166" i="15"/>
  <c r="C134" i="9"/>
  <c r="I134" i="15" s="1"/>
  <c r="N45" i="8"/>
  <c r="N65" i="8" s="1"/>
  <c r="C243" i="15"/>
  <c r="C68" i="10"/>
  <c r="O68" i="15" s="1"/>
  <c r="C251" i="15"/>
  <c r="C76" i="10"/>
  <c r="O76" i="15" s="1"/>
  <c r="C261" i="15"/>
  <c r="C86" i="10"/>
  <c r="O86" i="15" s="1"/>
  <c r="H6" i="15"/>
  <c r="D6" i="9"/>
  <c r="H13" i="15"/>
  <c r="D13" i="9"/>
  <c r="H19" i="15"/>
  <c r="D19" i="9"/>
  <c r="H24" i="15"/>
  <c r="D24" i="9"/>
  <c r="D54" i="9"/>
  <c r="H54" i="15"/>
  <c r="H144" i="15"/>
  <c r="D144" i="9"/>
  <c r="J144" i="15" s="1"/>
  <c r="C15" i="20"/>
  <c r="E15" i="20" s="1"/>
  <c r="P18" i="15"/>
  <c r="C38" i="15"/>
  <c r="C6" i="9"/>
  <c r="I6" i="15" s="1"/>
  <c r="C41" i="15"/>
  <c r="C9" i="9"/>
  <c r="I9" i="15" s="1"/>
  <c r="C45" i="15"/>
  <c r="C13" i="9"/>
  <c r="I13" i="15" s="1"/>
  <c r="C52" i="15"/>
  <c r="C20" i="9"/>
  <c r="I20" i="15" s="1"/>
  <c r="C56" i="15"/>
  <c r="C24" i="9"/>
  <c r="I24" i="15" s="1"/>
  <c r="C59" i="15"/>
  <c r="C27" i="9"/>
  <c r="I27" i="15" s="1"/>
  <c r="C63" i="15"/>
  <c r="C31" i="9"/>
  <c r="I31" i="15" s="1"/>
  <c r="C70" i="15"/>
  <c r="C38" i="9"/>
  <c r="I38" i="15" s="1"/>
  <c r="C77" i="15"/>
  <c r="C45" i="9"/>
  <c r="I45" i="15" s="1"/>
  <c r="C81" i="15"/>
  <c r="C49" i="9"/>
  <c r="I49" i="15" s="1"/>
  <c r="C88" i="15"/>
  <c r="C56" i="9"/>
  <c r="I56" i="15" s="1"/>
  <c r="C95" i="15"/>
  <c r="C63" i="9"/>
  <c r="I63" i="15" s="1"/>
  <c r="C99" i="15"/>
  <c r="C67" i="9"/>
  <c r="I67" i="15" s="1"/>
  <c r="C106" i="15"/>
  <c r="C74" i="9"/>
  <c r="I74" i="15" s="1"/>
  <c r="C113" i="15"/>
  <c r="C81" i="9"/>
  <c r="I81" i="15" s="1"/>
  <c r="C117" i="15"/>
  <c r="C85" i="9"/>
  <c r="I85" i="15" s="1"/>
  <c r="C124" i="15"/>
  <c r="C92" i="9"/>
  <c r="I92" i="15" s="1"/>
  <c r="C131" i="15"/>
  <c r="C99" i="9"/>
  <c r="I99" i="15" s="1"/>
  <c r="C135" i="15"/>
  <c r="C103" i="9"/>
  <c r="I103" i="15" s="1"/>
  <c r="C142" i="15"/>
  <c r="C110" i="9"/>
  <c r="I110" i="15" s="1"/>
  <c r="C149" i="15"/>
  <c r="C117" i="9"/>
  <c r="I117" i="15" s="1"/>
  <c r="C153" i="15"/>
  <c r="C121" i="9"/>
  <c r="I121" i="15" s="1"/>
  <c r="C160" i="15"/>
  <c r="C128" i="9"/>
  <c r="I128" i="15" s="1"/>
  <c r="C167" i="15"/>
  <c r="C135" i="9"/>
  <c r="I135" i="15" s="1"/>
  <c r="C171" i="15"/>
  <c r="C139" i="9"/>
  <c r="I139" i="15" s="1"/>
  <c r="C178" i="15"/>
  <c r="C146" i="9"/>
  <c r="I146" i="15" s="1"/>
  <c r="C182" i="15"/>
  <c r="C7" i="10"/>
  <c r="O7" i="15" s="1"/>
  <c r="C189" i="15"/>
  <c r="C14" i="10"/>
  <c r="O14" i="15" s="1"/>
  <c r="C192" i="15"/>
  <c r="C17" i="10"/>
  <c r="O17" i="15" s="1"/>
  <c r="C200" i="15"/>
  <c r="C25" i="10"/>
  <c r="O25" i="15" s="1"/>
  <c r="C213" i="15"/>
  <c r="C38" i="10"/>
  <c r="O38" i="15" s="1"/>
  <c r="C218" i="15"/>
  <c r="C43" i="10"/>
  <c r="O43" i="15" s="1"/>
  <c r="C222" i="15"/>
  <c r="C47" i="10"/>
  <c r="O47" i="15" s="1"/>
  <c r="C224" i="15"/>
  <c r="C49" i="10"/>
  <c r="O49" i="15" s="1"/>
  <c r="C228" i="15"/>
  <c r="C53" i="10"/>
  <c r="O53" i="15" s="1"/>
  <c r="C233" i="15"/>
  <c r="C58" i="10"/>
  <c r="O58" i="15" s="1"/>
  <c r="C246" i="15"/>
  <c r="C71" i="10"/>
  <c r="O71" i="15" s="1"/>
  <c r="C272" i="15"/>
  <c r="C97" i="10"/>
  <c r="O97" i="15" s="1"/>
  <c r="C279" i="15"/>
  <c r="C104" i="10"/>
  <c r="O104" i="15" s="1"/>
  <c r="C282" i="15"/>
  <c r="C107" i="10"/>
  <c r="O107" i="15" s="1"/>
  <c r="C28" i="9"/>
  <c r="I28" i="15" s="1"/>
  <c r="H41" i="15"/>
  <c r="D41" i="9"/>
  <c r="C46" i="9"/>
  <c r="I46" i="15" s="1"/>
  <c r="H59" i="15"/>
  <c r="D59" i="9"/>
  <c r="C64" i="9"/>
  <c r="I64" i="15" s="1"/>
  <c r="H77" i="15"/>
  <c r="D77" i="9"/>
  <c r="J77" i="15" s="1"/>
  <c r="C82" i="9"/>
  <c r="I82" i="15" s="1"/>
  <c r="H95" i="15"/>
  <c r="D95" i="9"/>
  <c r="J95" i="15" s="1"/>
  <c r="C100" i="9"/>
  <c r="I100" i="15" s="1"/>
  <c r="H113" i="15"/>
  <c r="D113" i="9"/>
  <c r="J113" i="15" s="1"/>
  <c r="C118" i="9"/>
  <c r="I118" i="15" s="1"/>
  <c r="H131" i="15"/>
  <c r="D131" i="9"/>
  <c r="J131" i="15" s="1"/>
  <c r="C136" i="9"/>
  <c r="I136" i="15" s="1"/>
  <c r="N5" i="15"/>
  <c r="D5" i="10"/>
  <c r="C10" i="10"/>
  <c r="O10" i="15" s="1"/>
  <c r="N23" i="15"/>
  <c r="D23" i="10"/>
  <c r="C28" i="10"/>
  <c r="O28" i="15" s="1"/>
  <c r="N41" i="15"/>
  <c r="D41" i="10"/>
  <c r="C46" i="10"/>
  <c r="O46" i="15" s="1"/>
  <c r="N59" i="15"/>
  <c r="D59" i="10"/>
  <c r="C64" i="10"/>
  <c r="O64" i="15" s="1"/>
  <c r="N77" i="15"/>
  <c r="D77" i="10"/>
  <c r="P77" i="15" s="1"/>
  <c r="C82" i="10"/>
  <c r="O82" i="15" s="1"/>
  <c r="N95" i="15"/>
  <c r="D95" i="10"/>
  <c r="P95" i="15" s="1"/>
  <c r="C100" i="10"/>
  <c r="O100" i="15" s="1"/>
  <c r="N113" i="15"/>
  <c r="D113" i="10"/>
  <c r="P113" i="15" s="1"/>
  <c r="C118" i="10"/>
  <c r="O118" i="15" s="1"/>
  <c r="N131" i="15"/>
  <c r="D131" i="10"/>
  <c r="P131" i="15" s="1"/>
  <c r="C136" i="10"/>
  <c r="O136" i="15" s="1"/>
  <c r="C47" i="15"/>
  <c r="C15" i="9"/>
  <c r="I15" i="15" s="1"/>
  <c r="C54" i="15"/>
  <c r="C22" i="9"/>
  <c r="I22" i="15" s="1"/>
  <c r="C72" i="15"/>
  <c r="C40" i="9"/>
  <c r="I40" i="15" s="1"/>
  <c r="C126" i="15"/>
  <c r="C94" i="9"/>
  <c r="I94" i="15" s="1"/>
  <c r="C140" i="15"/>
  <c r="C108" i="9"/>
  <c r="I108" i="15" s="1"/>
  <c r="C151" i="15"/>
  <c r="C119" i="9"/>
  <c r="I119" i="15" s="1"/>
  <c r="C158" i="15"/>
  <c r="C126" i="9"/>
  <c r="I126" i="15" s="1"/>
  <c r="C183" i="15"/>
  <c r="C8" i="10"/>
  <c r="O8" i="15" s="1"/>
  <c r="C207" i="15"/>
  <c r="C32" i="10"/>
  <c r="O32" i="15" s="1"/>
  <c r="C318" i="15"/>
  <c r="C143" i="10"/>
  <c r="O143" i="15" s="1"/>
  <c r="H32" i="15"/>
  <c r="D32" i="9"/>
  <c r="N68" i="15"/>
  <c r="D68" i="10"/>
  <c r="D245" i="15"/>
  <c r="D102" i="15"/>
  <c r="C120" i="15"/>
  <c r="C88" i="9"/>
  <c r="I88" i="15" s="1"/>
  <c r="C130" i="15"/>
  <c r="C98" i="9"/>
  <c r="I98" i="15" s="1"/>
  <c r="C138" i="15"/>
  <c r="C106" i="9"/>
  <c r="I106" i="15" s="1"/>
  <c r="C145" i="15"/>
  <c r="C113" i="9"/>
  <c r="I113" i="15" s="1"/>
  <c r="C156" i="15"/>
  <c r="C124" i="9"/>
  <c r="I124" i="15" s="1"/>
  <c r="C163" i="15"/>
  <c r="C131" i="9"/>
  <c r="I131" i="15" s="1"/>
  <c r="C174" i="15"/>
  <c r="C142" i="9"/>
  <c r="I142" i="15" s="1"/>
  <c r="C184" i="15"/>
  <c r="C9" i="10"/>
  <c r="O9" i="15" s="1"/>
  <c r="C236" i="15"/>
  <c r="C61" i="10"/>
  <c r="O61" i="15" s="1"/>
  <c r="H10" i="15"/>
  <c r="D10" i="9"/>
  <c r="H15" i="15"/>
  <c r="D15" i="9"/>
  <c r="H22" i="15"/>
  <c r="D22" i="9"/>
  <c r="H26" i="15"/>
  <c r="D26" i="9"/>
  <c r="D36" i="9"/>
  <c r="H36" i="15"/>
  <c r="H72" i="15"/>
  <c r="D72" i="9"/>
  <c r="H126" i="15"/>
  <c r="D126" i="9"/>
  <c r="J126" i="15" s="1"/>
  <c r="C6" i="10"/>
  <c r="O6" i="15" s="1"/>
  <c r="C39" i="15"/>
  <c r="C7" i="9"/>
  <c r="I7" i="15" s="1"/>
  <c r="C42" i="15"/>
  <c r="C10" i="9"/>
  <c r="I10" i="15" s="1"/>
  <c r="C46" i="15"/>
  <c r="C14" i="9"/>
  <c r="I14" i="15" s="1"/>
  <c r="C49" i="15"/>
  <c r="C17" i="9"/>
  <c r="I17" i="15" s="1"/>
  <c r="C57" i="15"/>
  <c r="C25" i="9"/>
  <c r="I25" i="15" s="1"/>
  <c r="C64" i="15"/>
  <c r="C32" i="9"/>
  <c r="I32" i="15" s="1"/>
  <c r="C67" i="15"/>
  <c r="C35" i="9"/>
  <c r="I35" i="15" s="1"/>
  <c r="C75" i="15"/>
  <c r="C43" i="9"/>
  <c r="I43" i="15" s="1"/>
  <c r="C82" i="15"/>
  <c r="C50" i="9"/>
  <c r="I50" i="15" s="1"/>
  <c r="C85" i="15"/>
  <c r="C53" i="9"/>
  <c r="I53" i="15" s="1"/>
  <c r="C93" i="15"/>
  <c r="C61" i="9"/>
  <c r="I61" i="15" s="1"/>
  <c r="C100" i="15"/>
  <c r="C68" i="9"/>
  <c r="I68" i="15" s="1"/>
  <c r="C103" i="15"/>
  <c r="C71" i="9"/>
  <c r="I71" i="15" s="1"/>
  <c r="C111" i="15"/>
  <c r="C79" i="9"/>
  <c r="I79" i="15" s="1"/>
  <c r="C118" i="15"/>
  <c r="C86" i="9"/>
  <c r="I86" i="15" s="1"/>
  <c r="C121" i="15"/>
  <c r="C89" i="9"/>
  <c r="I89" i="15" s="1"/>
  <c r="C129" i="15"/>
  <c r="C97" i="9"/>
  <c r="I97" i="15" s="1"/>
  <c r="C136" i="15"/>
  <c r="C104" i="9"/>
  <c r="I104" i="15" s="1"/>
  <c r="C139" i="15"/>
  <c r="C107" i="9"/>
  <c r="I107" i="15" s="1"/>
  <c r="C147" i="15"/>
  <c r="C115" i="9"/>
  <c r="I115" i="15" s="1"/>
  <c r="C154" i="15"/>
  <c r="C122" i="9"/>
  <c r="I122" i="15" s="1"/>
  <c r="C157" i="15"/>
  <c r="C125" i="9"/>
  <c r="I125" i="15" s="1"/>
  <c r="C165" i="15"/>
  <c r="C133" i="9"/>
  <c r="I133" i="15" s="1"/>
  <c r="C172" i="15"/>
  <c r="C140" i="9"/>
  <c r="I140" i="15" s="1"/>
  <c r="C175" i="15"/>
  <c r="C143" i="9"/>
  <c r="I143" i="15" s="1"/>
  <c r="C179" i="15"/>
  <c r="C4" i="10"/>
  <c r="O4" i="15" s="1"/>
  <c r="C186" i="15"/>
  <c r="C11" i="10"/>
  <c r="O11" i="15" s="1"/>
  <c r="C193" i="15"/>
  <c r="C18" i="10"/>
  <c r="O18" i="15" s="1"/>
  <c r="C197" i="15"/>
  <c r="C22" i="10"/>
  <c r="O22" i="15" s="1"/>
  <c r="C204" i="15"/>
  <c r="C29" i="10"/>
  <c r="O29" i="15" s="1"/>
  <c r="C206" i="15"/>
  <c r="C31" i="10"/>
  <c r="O31" i="15" s="1"/>
  <c r="C210" i="15"/>
  <c r="C35" i="10"/>
  <c r="O35" i="15" s="1"/>
  <c r="C215" i="15"/>
  <c r="C40" i="10"/>
  <c r="O40" i="15" s="1"/>
  <c r="C225" i="15"/>
  <c r="C50" i="10"/>
  <c r="O50" i="15" s="1"/>
  <c r="C229" i="15"/>
  <c r="C54" i="10"/>
  <c r="O54" i="15" s="1"/>
  <c r="C247" i="15"/>
  <c r="C72" i="10"/>
  <c r="O72" i="15" s="1"/>
  <c r="C290" i="15"/>
  <c r="C115" i="10"/>
  <c r="O115" i="15" s="1"/>
  <c r="C297" i="15"/>
  <c r="C122" i="10"/>
  <c r="O122" i="15" s="1"/>
  <c r="C300" i="15"/>
  <c r="C125" i="10"/>
  <c r="O125" i="15" s="1"/>
  <c r="H5" i="15"/>
  <c r="D5" i="9"/>
  <c r="D7" i="9"/>
  <c r="H7" i="15"/>
  <c r="H9" i="15"/>
  <c r="D9" i="9"/>
  <c r="D11" i="9"/>
  <c r="H11" i="15"/>
  <c r="D14" i="9"/>
  <c r="H14" i="15"/>
  <c r="H16" i="15"/>
  <c r="D16" i="9"/>
  <c r="D18" i="9"/>
  <c r="H18" i="15"/>
  <c r="H20" i="15"/>
  <c r="D20" i="9"/>
  <c r="H23" i="15"/>
  <c r="D23" i="9"/>
  <c r="D25" i="9"/>
  <c r="H25" i="15"/>
  <c r="H27" i="15"/>
  <c r="D27" i="9"/>
  <c r="C33" i="9"/>
  <c r="I33" i="15" s="1"/>
  <c r="H45" i="15"/>
  <c r="D45" i="9"/>
  <c r="C51" i="9"/>
  <c r="I51" i="15" s="1"/>
  <c r="H63" i="15"/>
  <c r="D63" i="9"/>
  <c r="C69" i="9"/>
  <c r="I69" i="15" s="1"/>
  <c r="D81" i="9"/>
  <c r="J81" i="15" s="1"/>
  <c r="H81" i="15"/>
  <c r="C87" i="9"/>
  <c r="I87" i="15" s="1"/>
  <c r="H99" i="15"/>
  <c r="D99" i="9"/>
  <c r="J99" i="15" s="1"/>
  <c r="C105" i="9"/>
  <c r="I105" i="15" s="1"/>
  <c r="H117" i="15"/>
  <c r="D117" i="9"/>
  <c r="J117" i="15" s="1"/>
  <c r="C123" i="9"/>
  <c r="I123" i="15" s="1"/>
  <c r="H135" i="15"/>
  <c r="D135" i="9"/>
  <c r="J135" i="15" s="1"/>
  <c r="C141" i="9"/>
  <c r="I141" i="15" s="1"/>
  <c r="N9" i="15"/>
  <c r="D9" i="10"/>
  <c r="C15" i="10"/>
  <c r="O15" i="15" s="1"/>
  <c r="N27" i="15"/>
  <c r="D27" i="10"/>
  <c r="C33" i="10"/>
  <c r="O33" i="15" s="1"/>
  <c r="N45" i="15"/>
  <c r="D45" i="10"/>
  <c r="C51" i="10"/>
  <c r="O51" i="15" s="1"/>
  <c r="N63" i="15"/>
  <c r="D63" i="10"/>
  <c r="C69" i="10"/>
  <c r="O69" i="15" s="1"/>
  <c r="N81" i="15"/>
  <c r="D81" i="10"/>
  <c r="P81" i="15" s="1"/>
  <c r="N99" i="15"/>
  <c r="D99" i="10"/>
  <c r="P99" i="15" s="1"/>
  <c r="N117" i="15"/>
  <c r="D117" i="10"/>
  <c r="P117" i="15" s="1"/>
  <c r="N135" i="15"/>
  <c r="D135" i="10"/>
  <c r="P135" i="15" s="1"/>
  <c r="N14" i="15"/>
  <c r="N18" i="15"/>
  <c r="H31" i="15"/>
  <c r="D31" i="9"/>
  <c r="H35" i="15"/>
  <c r="D35" i="9"/>
  <c r="H40" i="15"/>
  <c r="D40" i="9"/>
  <c r="C25" i="18"/>
  <c r="E25" i="18" s="1"/>
  <c r="J44" i="15"/>
  <c r="H49" i="15"/>
  <c r="D49" i="9"/>
  <c r="H53" i="15"/>
  <c r="D53" i="9"/>
  <c r="H58" i="15"/>
  <c r="D58" i="9"/>
  <c r="G25" i="18"/>
  <c r="I25" i="18" s="1"/>
  <c r="J62" i="15"/>
  <c r="H67" i="15"/>
  <c r="D67" i="9"/>
  <c r="H71" i="15"/>
  <c r="D71" i="9"/>
  <c r="H76" i="15"/>
  <c r="D76" i="9"/>
  <c r="J76" i="15" s="1"/>
  <c r="H80" i="15"/>
  <c r="D80" i="9"/>
  <c r="J80" i="15" s="1"/>
  <c r="H85" i="15"/>
  <c r="D85" i="9"/>
  <c r="J85" i="15" s="1"/>
  <c r="H89" i="15"/>
  <c r="D89" i="9"/>
  <c r="J89" i="15" s="1"/>
  <c r="H98" i="15"/>
  <c r="D98" i="9"/>
  <c r="J98" i="15" s="1"/>
  <c r="H103" i="15"/>
  <c r="D103" i="9"/>
  <c r="J103" i="15" s="1"/>
  <c r="H107" i="15"/>
  <c r="D107" i="9"/>
  <c r="J107" i="15" s="1"/>
  <c r="H112" i="15"/>
  <c r="D112" i="9"/>
  <c r="J112" i="15" s="1"/>
  <c r="H116" i="15"/>
  <c r="D116" i="9"/>
  <c r="J116" i="15" s="1"/>
  <c r="H121" i="15"/>
  <c r="D121" i="9"/>
  <c r="J121" i="15" s="1"/>
  <c r="H125" i="15"/>
  <c r="D125" i="9"/>
  <c r="J125" i="15" s="1"/>
  <c r="H130" i="15"/>
  <c r="D130" i="9"/>
  <c r="J130" i="15" s="1"/>
  <c r="H134" i="15"/>
  <c r="D134" i="9"/>
  <c r="J134" i="15" s="1"/>
  <c r="H139" i="15"/>
  <c r="D139" i="9"/>
  <c r="J139" i="15" s="1"/>
  <c r="H143" i="15"/>
  <c r="D143" i="9"/>
  <c r="J143" i="15" s="1"/>
  <c r="N4" i="15"/>
  <c r="D4" i="10"/>
  <c r="N8" i="15"/>
  <c r="D8" i="10"/>
  <c r="C10" i="20"/>
  <c r="E10" i="20" s="1"/>
  <c r="P13" i="15"/>
  <c r="C14" i="20"/>
  <c r="E14" i="20" s="1"/>
  <c r="P17" i="15"/>
  <c r="N22" i="15"/>
  <c r="D22" i="10"/>
  <c r="N26" i="15"/>
  <c r="D26" i="10"/>
  <c r="G10" i="20"/>
  <c r="I10" i="20" s="1"/>
  <c r="P31" i="15"/>
  <c r="G14" i="20"/>
  <c r="I14" i="20" s="1"/>
  <c r="P35" i="15"/>
  <c r="C21" i="20"/>
  <c r="E21" i="20" s="1"/>
  <c r="P40" i="15"/>
  <c r="C41" i="10"/>
  <c r="O41" i="15" s="1"/>
  <c r="N44" i="15"/>
  <c r="D44" i="10"/>
  <c r="N49" i="15"/>
  <c r="D49" i="10"/>
  <c r="N53" i="15"/>
  <c r="D53" i="10"/>
  <c r="G21" i="20"/>
  <c r="I21" i="20" s="1"/>
  <c r="P58" i="15"/>
  <c r="C59" i="10"/>
  <c r="O59" i="15" s="1"/>
  <c r="N62" i="15"/>
  <c r="D62" i="10"/>
  <c r="C63" i="10"/>
  <c r="O63" i="15" s="1"/>
  <c r="N67" i="15"/>
  <c r="D67" i="10"/>
  <c r="G33" i="20"/>
  <c r="I33" i="20" s="1"/>
  <c r="P71" i="15"/>
  <c r="N76" i="15"/>
  <c r="D76" i="10"/>
  <c r="P76" i="15" s="1"/>
  <c r="C77" i="10"/>
  <c r="O77" i="15" s="1"/>
  <c r="N80" i="15"/>
  <c r="D80" i="10"/>
  <c r="P80" i="15" s="1"/>
  <c r="C81" i="10"/>
  <c r="O81" i="15" s="1"/>
  <c r="N85" i="15"/>
  <c r="D85" i="10"/>
  <c r="P85" i="15" s="1"/>
  <c r="N89" i="15"/>
  <c r="D89" i="10"/>
  <c r="P89" i="15" s="1"/>
  <c r="C90" i="10"/>
  <c r="O90" i="15" s="1"/>
  <c r="N94" i="15"/>
  <c r="D94" i="10"/>
  <c r="P94" i="15" s="1"/>
  <c r="C95" i="10"/>
  <c r="O95" i="15" s="1"/>
  <c r="N98" i="15"/>
  <c r="D98" i="10"/>
  <c r="P98" i="15" s="1"/>
  <c r="C99" i="10"/>
  <c r="O99" i="15" s="1"/>
  <c r="N103" i="15"/>
  <c r="D103" i="10"/>
  <c r="P103" i="15" s="1"/>
  <c r="N107" i="15"/>
  <c r="D107" i="10"/>
  <c r="P107" i="15" s="1"/>
  <c r="C108" i="10"/>
  <c r="O108" i="15" s="1"/>
  <c r="N112" i="15"/>
  <c r="D112" i="10"/>
  <c r="P112" i="15" s="1"/>
  <c r="C113" i="10"/>
  <c r="O113" i="15" s="1"/>
  <c r="N116" i="15"/>
  <c r="D116" i="10"/>
  <c r="P116" i="15" s="1"/>
  <c r="C117" i="10"/>
  <c r="O117" i="15" s="1"/>
  <c r="N121" i="15"/>
  <c r="D121" i="10"/>
  <c r="P121" i="15" s="1"/>
  <c r="N125" i="15"/>
  <c r="D125" i="10"/>
  <c r="P125" i="15" s="1"/>
  <c r="C126" i="10"/>
  <c r="O126" i="15" s="1"/>
  <c r="N130" i="15"/>
  <c r="D130" i="10"/>
  <c r="P130" i="15" s="1"/>
  <c r="C131" i="10"/>
  <c r="O131" i="15" s="1"/>
  <c r="N134" i="15"/>
  <c r="D134" i="10"/>
  <c r="P134" i="15" s="1"/>
  <c r="C135" i="10"/>
  <c r="O135" i="15" s="1"/>
  <c r="N139" i="15"/>
  <c r="D139" i="10"/>
  <c r="P139" i="15" s="1"/>
  <c r="N143" i="15"/>
  <c r="D143" i="10"/>
  <c r="P143" i="15" s="1"/>
  <c r="C144" i="10"/>
  <c r="O144" i="15" s="1"/>
  <c r="H34" i="15"/>
  <c r="H44" i="15"/>
  <c r="D220" i="15"/>
  <c r="D77" i="15"/>
  <c r="H62" i="15"/>
  <c r="D238" i="15"/>
  <c r="D95" i="15"/>
  <c r="D97" i="15"/>
  <c r="N145" i="15"/>
  <c r="C309" i="15"/>
  <c r="H29" i="15"/>
  <c r="D29" i="9"/>
  <c r="G13" i="18"/>
  <c r="I13" i="18" s="1"/>
  <c r="J34" i="15"/>
  <c r="H38" i="15"/>
  <c r="D38" i="9"/>
  <c r="H43" i="15"/>
  <c r="D43" i="9"/>
  <c r="H47" i="15"/>
  <c r="D47" i="9"/>
  <c r="C32" i="18"/>
  <c r="E32" i="18" s="1"/>
  <c r="J52" i="15"/>
  <c r="H56" i="15"/>
  <c r="D56" i="9"/>
  <c r="H61" i="15"/>
  <c r="D61" i="9"/>
  <c r="H65" i="15"/>
  <c r="D65" i="9"/>
  <c r="H70" i="15"/>
  <c r="D70" i="9"/>
  <c r="H74" i="15"/>
  <c r="D74" i="9"/>
  <c r="H79" i="15"/>
  <c r="D79" i="9"/>
  <c r="J79" i="15" s="1"/>
  <c r="H83" i="15"/>
  <c r="D83" i="9"/>
  <c r="J83" i="15" s="1"/>
  <c r="H92" i="15"/>
  <c r="D92" i="9"/>
  <c r="J92" i="15" s="1"/>
  <c r="H97" i="15"/>
  <c r="D97" i="9"/>
  <c r="J97" i="15" s="1"/>
  <c r="H101" i="15"/>
  <c r="D101" i="9"/>
  <c r="J101" i="15" s="1"/>
  <c r="H106" i="15"/>
  <c r="D106" i="9"/>
  <c r="J106" i="15" s="1"/>
  <c r="H110" i="15"/>
  <c r="D110" i="9"/>
  <c r="J110" i="15" s="1"/>
  <c r="H115" i="15"/>
  <c r="D115" i="9"/>
  <c r="J115" i="15" s="1"/>
  <c r="H119" i="15"/>
  <c r="D119" i="9"/>
  <c r="J119" i="15" s="1"/>
  <c r="H124" i="15"/>
  <c r="D124" i="9"/>
  <c r="J124" i="15" s="1"/>
  <c r="H128" i="15"/>
  <c r="D128" i="9"/>
  <c r="J128" i="15" s="1"/>
  <c r="H133" i="15"/>
  <c r="D133" i="9"/>
  <c r="J133" i="15" s="1"/>
  <c r="H137" i="15"/>
  <c r="D137" i="9"/>
  <c r="J137" i="15" s="1"/>
  <c r="H142" i="15"/>
  <c r="D142" i="9"/>
  <c r="J142" i="15" s="1"/>
  <c r="H146" i="15"/>
  <c r="D146" i="9"/>
  <c r="J146" i="15" s="1"/>
  <c r="C5" i="20"/>
  <c r="E5" i="20" s="1"/>
  <c r="P7" i="15"/>
  <c r="C9" i="20"/>
  <c r="E9" i="20" s="1"/>
  <c r="P11" i="15"/>
  <c r="N16" i="15"/>
  <c r="D16" i="10"/>
  <c r="N20" i="15"/>
  <c r="D20" i="10"/>
  <c r="G5" i="20"/>
  <c r="I5" i="20" s="1"/>
  <c r="P25" i="15"/>
  <c r="C26" i="10"/>
  <c r="O26" i="15" s="1"/>
  <c r="N29" i="15"/>
  <c r="D29" i="10"/>
  <c r="N34" i="15"/>
  <c r="D34" i="10"/>
  <c r="N38" i="15"/>
  <c r="D38" i="10"/>
  <c r="N43" i="15"/>
  <c r="D43" i="10"/>
  <c r="C44" i="10"/>
  <c r="O44" i="15" s="1"/>
  <c r="N47" i="15"/>
  <c r="D47" i="10"/>
  <c r="N52" i="15"/>
  <c r="D52" i="10"/>
  <c r="N56" i="15"/>
  <c r="D56" i="10"/>
  <c r="N61" i="15"/>
  <c r="D61" i="10"/>
  <c r="C62" i="10"/>
  <c r="O62" i="15" s="1"/>
  <c r="N65" i="15"/>
  <c r="D65" i="10"/>
  <c r="C67" i="10"/>
  <c r="O67" i="15" s="1"/>
  <c r="N70" i="15"/>
  <c r="D70" i="10"/>
  <c r="N74" i="15"/>
  <c r="D74" i="10"/>
  <c r="C80" i="10"/>
  <c r="O80" i="15" s="1"/>
  <c r="N83" i="15"/>
  <c r="D83" i="10"/>
  <c r="P83" i="15" s="1"/>
  <c r="C85" i="10"/>
  <c r="O85" i="15" s="1"/>
  <c r="N88" i="15"/>
  <c r="D88" i="10"/>
  <c r="P88" i="15" s="1"/>
  <c r="N92" i="15"/>
  <c r="D92" i="10"/>
  <c r="P92" i="15" s="1"/>
  <c r="C94" i="10"/>
  <c r="O94" i="15" s="1"/>
  <c r="N97" i="15"/>
  <c r="D97" i="10"/>
  <c r="P97" i="15" s="1"/>
  <c r="C98" i="10"/>
  <c r="O98" i="15" s="1"/>
  <c r="N101" i="15"/>
  <c r="D101" i="10"/>
  <c r="P101" i="15" s="1"/>
  <c r="C103" i="10"/>
  <c r="O103" i="15" s="1"/>
  <c r="N106" i="15"/>
  <c r="D106" i="10"/>
  <c r="P106" i="15" s="1"/>
  <c r="N110" i="15"/>
  <c r="D110" i="10"/>
  <c r="P110" i="15" s="1"/>
  <c r="C112" i="10"/>
  <c r="O112" i="15" s="1"/>
  <c r="N115" i="15"/>
  <c r="D115" i="10"/>
  <c r="P115" i="15" s="1"/>
  <c r="C116" i="10"/>
  <c r="O116" i="15" s="1"/>
  <c r="N119" i="15"/>
  <c r="D119" i="10"/>
  <c r="P119" i="15" s="1"/>
  <c r="C121" i="10"/>
  <c r="O121" i="15" s="1"/>
  <c r="N124" i="15"/>
  <c r="D124" i="10"/>
  <c r="P124" i="15" s="1"/>
  <c r="N128" i="15"/>
  <c r="D128" i="10"/>
  <c r="P128" i="15" s="1"/>
  <c r="C130" i="10"/>
  <c r="O130" i="15" s="1"/>
  <c r="N133" i="15"/>
  <c r="D133" i="10"/>
  <c r="P133" i="15" s="1"/>
  <c r="N137" i="15"/>
  <c r="D137" i="10"/>
  <c r="P137" i="15" s="1"/>
  <c r="C139" i="10"/>
  <c r="O139" i="15" s="1"/>
  <c r="N142" i="15"/>
  <c r="D142" i="10"/>
  <c r="P142" i="15" s="1"/>
  <c r="N146" i="15"/>
  <c r="D146" i="10"/>
  <c r="P146" i="15" s="1"/>
  <c r="D69" i="15"/>
  <c r="D212" i="15"/>
  <c r="N40" i="15"/>
  <c r="H42" i="15"/>
  <c r="H52" i="15"/>
  <c r="N58" i="15"/>
  <c r="H60" i="15"/>
  <c r="H73" i="15"/>
  <c r="D253" i="15"/>
  <c r="D110" i="15"/>
  <c r="H94" i="15"/>
  <c r="D144" i="15"/>
  <c r="D287" i="15"/>
  <c r="H118" i="15"/>
  <c r="H28" i="15"/>
  <c r="D28" i="9"/>
  <c r="H33" i="15"/>
  <c r="D33" i="9"/>
  <c r="H37" i="15"/>
  <c r="D37" i="9"/>
  <c r="C23" i="18"/>
  <c r="E23" i="18" s="1"/>
  <c r="J42" i="15"/>
  <c r="H46" i="15"/>
  <c r="D46" i="9"/>
  <c r="H51" i="15"/>
  <c r="D51" i="9"/>
  <c r="H55" i="15"/>
  <c r="D55" i="9"/>
  <c r="G23" i="18"/>
  <c r="I23" i="18" s="1"/>
  <c r="J60" i="15"/>
  <c r="H64" i="15"/>
  <c r="D64" i="9"/>
  <c r="H69" i="15"/>
  <c r="D69" i="9"/>
  <c r="G35" i="18"/>
  <c r="I35" i="18" s="1"/>
  <c r="J73" i="15"/>
  <c r="H78" i="15"/>
  <c r="D78" i="9"/>
  <c r="J78" i="15" s="1"/>
  <c r="H82" i="15"/>
  <c r="D82" i="9"/>
  <c r="J82" i="15" s="1"/>
  <c r="H87" i="15"/>
  <c r="D87" i="9"/>
  <c r="J87" i="15" s="1"/>
  <c r="H91" i="15"/>
  <c r="D91" i="9"/>
  <c r="J91" i="15" s="1"/>
  <c r="H96" i="15"/>
  <c r="D96" i="9"/>
  <c r="J96" i="15" s="1"/>
  <c r="H100" i="15"/>
  <c r="D100" i="9"/>
  <c r="J100" i="15" s="1"/>
  <c r="H105" i="15"/>
  <c r="D105" i="9"/>
  <c r="J105" i="15" s="1"/>
  <c r="H109" i="15"/>
  <c r="D109" i="9"/>
  <c r="J109" i="15" s="1"/>
  <c r="H114" i="15"/>
  <c r="D114" i="9"/>
  <c r="J114" i="15" s="1"/>
  <c r="H123" i="15"/>
  <c r="D123" i="9"/>
  <c r="J123" i="15" s="1"/>
  <c r="H127" i="15"/>
  <c r="D127" i="9"/>
  <c r="J127" i="15" s="1"/>
  <c r="H132" i="15"/>
  <c r="D132" i="9"/>
  <c r="J132" i="15" s="1"/>
  <c r="H136" i="15"/>
  <c r="D136" i="9"/>
  <c r="J136" i="15" s="1"/>
  <c r="H141" i="15"/>
  <c r="D141" i="9"/>
  <c r="J141" i="15" s="1"/>
  <c r="H145" i="15"/>
  <c r="D145" i="9"/>
  <c r="J145" i="15" s="1"/>
  <c r="C4" i="20"/>
  <c r="E4" i="20" s="1"/>
  <c r="P6" i="15"/>
  <c r="C8" i="20"/>
  <c r="E8" i="20" s="1"/>
  <c r="P10" i="15"/>
  <c r="N15" i="15"/>
  <c r="D15" i="10"/>
  <c r="N19" i="15"/>
  <c r="D19" i="10"/>
  <c r="G4" i="20"/>
  <c r="I4" i="20" s="1"/>
  <c r="P24" i="15"/>
  <c r="G8" i="20"/>
  <c r="I8" i="20" s="1"/>
  <c r="P28" i="15"/>
  <c r="N33" i="15"/>
  <c r="D33" i="10"/>
  <c r="C34" i="10"/>
  <c r="O34" i="15" s="1"/>
  <c r="N37" i="15"/>
  <c r="D37" i="10"/>
  <c r="C23" i="20"/>
  <c r="E23" i="20" s="1"/>
  <c r="P42" i="15"/>
  <c r="N46" i="15"/>
  <c r="D46" i="10"/>
  <c r="N51" i="15"/>
  <c r="D51" i="10"/>
  <c r="C52" i="10"/>
  <c r="O52" i="15" s="1"/>
  <c r="N55" i="15"/>
  <c r="D55" i="10"/>
  <c r="G23" i="20"/>
  <c r="I23" i="20" s="1"/>
  <c r="P60" i="15"/>
  <c r="N64" i="15"/>
  <c r="D64" i="10"/>
  <c r="N69" i="15"/>
  <c r="D69" i="10"/>
  <c r="C70" i="10"/>
  <c r="O70" i="15" s="1"/>
  <c r="N73" i="15"/>
  <c r="D73" i="10"/>
  <c r="C74" i="10"/>
  <c r="O74" i="15" s="1"/>
  <c r="N78" i="15"/>
  <c r="D78" i="10"/>
  <c r="P78" i="15" s="1"/>
  <c r="N82" i="15"/>
  <c r="D82" i="10"/>
  <c r="P82" i="15" s="1"/>
  <c r="C83" i="10"/>
  <c r="O83" i="15" s="1"/>
  <c r="N87" i="15"/>
  <c r="D87" i="10"/>
  <c r="P87" i="15" s="1"/>
  <c r="C88" i="10"/>
  <c r="O88" i="15" s="1"/>
  <c r="N91" i="15"/>
  <c r="D91" i="10"/>
  <c r="P91" i="15" s="1"/>
  <c r="C92" i="10"/>
  <c r="O92" i="15" s="1"/>
  <c r="N96" i="15"/>
  <c r="D96" i="10"/>
  <c r="P96" i="15" s="1"/>
  <c r="N100" i="15"/>
  <c r="D100" i="10"/>
  <c r="P100" i="15" s="1"/>
  <c r="C101" i="10"/>
  <c r="O101" i="15" s="1"/>
  <c r="N105" i="15"/>
  <c r="D105" i="10"/>
  <c r="P105" i="15" s="1"/>
  <c r="C106" i="10"/>
  <c r="O106" i="15" s="1"/>
  <c r="N109" i="15"/>
  <c r="D109" i="10"/>
  <c r="P109" i="15" s="1"/>
  <c r="C110" i="10"/>
  <c r="O110" i="15" s="1"/>
  <c r="N114" i="15"/>
  <c r="D114" i="10"/>
  <c r="P114" i="15" s="1"/>
  <c r="N118" i="15"/>
  <c r="D118" i="10"/>
  <c r="P118" i="15" s="1"/>
  <c r="C119" i="10"/>
  <c r="O119" i="15" s="1"/>
  <c r="N123" i="15"/>
  <c r="D123" i="10"/>
  <c r="P123" i="15" s="1"/>
  <c r="C124" i="10"/>
  <c r="O124" i="15" s="1"/>
  <c r="N127" i="15"/>
  <c r="D127" i="10"/>
  <c r="P127" i="15" s="1"/>
  <c r="C128" i="10"/>
  <c r="O128" i="15" s="1"/>
  <c r="N132" i="15"/>
  <c r="D132" i="10"/>
  <c r="P132" i="15" s="1"/>
  <c r="N136" i="15"/>
  <c r="D136" i="10"/>
  <c r="P136" i="15" s="1"/>
  <c r="C137" i="10"/>
  <c r="O137" i="15" s="1"/>
  <c r="N141" i="15"/>
  <c r="D141" i="10"/>
  <c r="P141" i="15" s="1"/>
  <c r="C142" i="10"/>
  <c r="O142" i="15" s="1"/>
  <c r="C146" i="10"/>
  <c r="O146" i="15" s="1"/>
  <c r="N6" i="15"/>
  <c r="N10" i="15"/>
  <c r="N13" i="15"/>
  <c r="N17" i="15"/>
  <c r="N24" i="15"/>
  <c r="N28" i="15"/>
  <c r="N31" i="15"/>
  <c r="N35" i="15"/>
  <c r="D222" i="15"/>
  <c r="D79" i="15"/>
  <c r="N71" i="15"/>
  <c r="N79" i="15"/>
  <c r="D283" i="15"/>
  <c r="D140" i="15"/>
  <c r="D293" i="15"/>
  <c r="D150" i="15"/>
  <c r="D93" i="15"/>
  <c r="D236" i="15"/>
  <c r="D104" i="15"/>
  <c r="D247" i="15"/>
  <c r="D263" i="15"/>
  <c r="D120" i="15"/>
  <c r="D308" i="15"/>
  <c r="D165" i="15"/>
  <c r="D211" i="15"/>
  <c r="D68" i="15"/>
  <c r="D224" i="15"/>
  <c r="D81" i="15"/>
  <c r="D234" i="15"/>
  <c r="D91" i="15"/>
  <c r="D242" i="15"/>
  <c r="D99" i="15"/>
  <c r="D75" i="15"/>
  <c r="D251" i="15"/>
  <c r="D108" i="15"/>
  <c r="D213" i="15"/>
  <c r="D239" i="15"/>
  <c r="D243" i="15"/>
  <c r="D100" i="15"/>
  <c r="D257" i="15"/>
  <c r="D114" i="15"/>
  <c r="D261" i="15"/>
  <c r="D118" i="15"/>
  <c r="D271" i="15"/>
  <c r="D128" i="15"/>
  <c r="D122" i="15"/>
  <c r="D310" i="15"/>
  <c r="D167" i="15"/>
  <c r="D235" i="15"/>
  <c r="D215" i="15"/>
  <c r="D72" i="15"/>
  <c r="D225" i="15"/>
  <c r="D82" i="15"/>
  <c r="D229" i="15"/>
  <c r="D86" i="15"/>
  <c r="D233" i="15"/>
  <c r="D90" i="15"/>
  <c r="D249" i="15"/>
  <c r="D106" i="15"/>
  <c r="D275" i="15"/>
  <c r="D132" i="15"/>
  <c r="D289" i="15"/>
  <c r="D146" i="15"/>
  <c r="D296" i="15"/>
  <c r="D153" i="15"/>
  <c r="D126" i="15"/>
  <c r="D138" i="15"/>
  <c r="D314" i="15"/>
  <c r="D171" i="15"/>
  <c r="D319" i="15"/>
  <c r="D176" i="15"/>
  <c r="D164" i="15"/>
  <c r="D221" i="15"/>
  <c r="D231" i="15"/>
  <c r="D129" i="15"/>
  <c r="D133" i="15"/>
  <c r="D145" i="15"/>
  <c r="D154" i="15"/>
  <c r="D158" i="15"/>
  <c r="D163" i="15"/>
  <c r="D172" i="15"/>
  <c r="D270" i="15"/>
  <c r="D162" i="15"/>
  <c r="N67" i="7" l="1"/>
  <c r="N48" i="7"/>
  <c r="N48" i="8"/>
  <c r="N67" i="8" s="1"/>
  <c r="G35" i="20"/>
  <c r="I35" i="20" s="1"/>
  <c r="P73" i="15"/>
  <c r="G14" i="18"/>
  <c r="I14" i="18" s="1"/>
  <c r="J35" i="15"/>
  <c r="C9" i="18"/>
  <c r="E9" i="18" s="1"/>
  <c r="J11" i="15"/>
  <c r="G34" i="18"/>
  <c r="I34" i="18" s="1"/>
  <c r="J72" i="15"/>
  <c r="G30" i="20"/>
  <c r="I30" i="20" s="1"/>
  <c r="P68" i="15"/>
  <c r="C34" i="18"/>
  <c r="E34" i="18" s="1"/>
  <c r="J54" i="15"/>
  <c r="G11" i="20"/>
  <c r="I11" i="20" s="1"/>
  <c r="P32" i="15"/>
  <c r="C35" i="20"/>
  <c r="E35" i="20" s="1"/>
  <c r="P55" i="15"/>
  <c r="G12" i="20"/>
  <c r="I12" i="20" s="1"/>
  <c r="P33" i="15"/>
  <c r="G27" i="18"/>
  <c r="I27" i="18" s="1"/>
  <c r="J64" i="15"/>
  <c r="C27" i="18"/>
  <c r="E27" i="18" s="1"/>
  <c r="J46" i="15"/>
  <c r="G8" i="18"/>
  <c r="I8" i="18" s="1"/>
  <c r="J28" i="15"/>
  <c r="G36" i="20"/>
  <c r="I36" i="20" s="1"/>
  <c r="P74" i="15"/>
  <c r="G24" i="20"/>
  <c r="I24" i="20" s="1"/>
  <c r="P61" i="15"/>
  <c r="C17" i="20"/>
  <c r="E17" i="20" s="1"/>
  <c r="P20" i="15"/>
  <c r="G32" i="18"/>
  <c r="I32" i="18" s="1"/>
  <c r="J70" i="15"/>
  <c r="G24" i="18"/>
  <c r="I24" i="18" s="1"/>
  <c r="J61" i="15"/>
  <c r="C24" i="18"/>
  <c r="E24" i="18" s="1"/>
  <c r="J43" i="15"/>
  <c r="G29" i="20"/>
  <c r="I29" i="20" s="1"/>
  <c r="P67" i="15"/>
  <c r="C33" i="20"/>
  <c r="E33" i="20" s="1"/>
  <c r="P53" i="15"/>
  <c r="C25" i="20"/>
  <c r="E25" i="20" s="1"/>
  <c r="P44" i="15"/>
  <c r="G7" i="20"/>
  <c r="I7" i="20" s="1"/>
  <c r="P27" i="15"/>
  <c r="G7" i="18"/>
  <c r="I7" i="18" s="1"/>
  <c r="J27" i="15"/>
  <c r="G3" i="18"/>
  <c r="I3" i="18" s="1"/>
  <c r="J23" i="15"/>
  <c r="C7" i="18"/>
  <c r="E7" i="18" s="1"/>
  <c r="J9" i="15"/>
  <c r="C3" i="18"/>
  <c r="E3" i="18" s="1"/>
  <c r="J5" i="15"/>
  <c r="G22" i="20"/>
  <c r="I22" i="20" s="1"/>
  <c r="P59" i="15"/>
  <c r="G22" i="18"/>
  <c r="I22" i="18" s="1"/>
  <c r="J59" i="15"/>
  <c r="G4" i="18"/>
  <c r="I4" i="18" s="1"/>
  <c r="J24" i="15"/>
  <c r="C10" i="18"/>
  <c r="E10" i="18" s="1"/>
  <c r="J13" i="15"/>
  <c r="G34" i="20"/>
  <c r="I34" i="20" s="1"/>
  <c r="P72" i="15"/>
  <c r="C30" i="18"/>
  <c r="E30" i="18" s="1"/>
  <c r="J50" i="15"/>
  <c r="N148" i="8"/>
  <c r="N170" i="8" s="1"/>
  <c r="N129" i="8"/>
  <c r="N149" i="8" s="1"/>
  <c r="C31" i="20"/>
  <c r="E31" i="20" s="1"/>
  <c r="P51" i="15"/>
  <c r="G17" i="20"/>
  <c r="I17" i="20" s="1"/>
  <c r="P38" i="15"/>
  <c r="G25" i="20"/>
  <c r="I25" i="20" s="1"/>
  <c r="P62" i="15"/>
  <c r="G2" i="20"/>
  <c r="I2" i="20" s="1"/>
  <c r="P22" i="15"/>
  <c r="C2" i="20"/>
  <c r="E2" i="20" s="1"/>
  <c r="P4" i="15"/>
  <c r="C33" i="18"/>
  <c r="E33" i="18" s="1"/>
  <c r="J53" i="15"/>
  <c r="G5" i="18"/>
  <c r="I5" i="18" s="1"/>
  <c r="J25" i="15"/>
  <c r="C12" i="18"/>
  <c r="E12" i="18" s="1"/>
  <c r="J15" i="15"/>
  <c r="C22" i="20"/>
  <c r="E22" i="20" s="1"/>
  <c r="P41" i="15"/>
  <c r="C22" i="18"/>
  <c r="E22" i="18" s="1"/>
  <c r="J41" i="15"/>
  <c r="C34" i="20"/>
  <c r="E34" i="20" s="1"/>
  <c r="P54" i="15"/>
  <c r="C6" i="18"/>
  <c r="E6" i="18" s="1"/>
  <c r="J8" i="15"/>
  <c r="G27" i="20"/>
  <c r="I27" i="20" s="1"/>
  <c r="P64" i="15"/>
  <c r="C12" i="20"/>
  <c r="E12" i="20" s="1"/>
  <c r="P15" i="15"/>
  <c r="C35" i="18"/>
  <c r="E35" i="18" s="1"/>
  <c r="J55" i="15"/>
  <c r="G16" i="18"/>
  <c r="I16" i="18" s="1"/>
  <c r="J37" i="15"/>
  <c r="C32" i="20"/>
  <c r="E32" i="20" s="1"/>
  <c r="P52" i="15"/>
  <c r="C27" i="20"/>
  <c r="E27" i="20" s="1"/>
  <c r="P46" i="15"/>
  <c r="G16" i="20"/>
  <c r="I16" i="20" s="1"/>
  <c r="P37" i="15"/>
  <c r="G28" i="20"/>
  <c r="I28" i="20" s="1"/>
  <c r="P65" i="15"/>
  <c r="C24" i="20"/>
  <c r="E24" i="20" s="1"/>
  <c r="P43" i="15"/>
  <c r="G13" i="20"/>
  <c r="I13" i="20" s="1"/>
  <c r="P34" i="15"/>
  <c r="G6" i="20"/>
  <c r="I6" i="20" s="1"/>
  <c r="P26" i="15"/>
  <c r="C6" i="20"/>
  <c r="E6" i="20" s="1"/>
  <c r="P8" i="15"/>
  <c r="G29" i="18"/>
  <c r="I29" i="18" s="1"/>
  <c r="J67" i="15"/>
  <c r="G21" i="18"/>
  <c r="I21" i="18" s="1"/>
  <c r="J58" i="15"/>
  <c r="C29" i="18"/>
  <c r="E29" i="18" s="1"/>
  <c r="J49" i="15"/>
  <c r="C21" i="18"/>
  <c r="E21" i="18" s="1"/>
  <c r="J40" i="15"/>
  <c r="G10" i="18"/>
  <c r="I10" i="18" s="1"/>
  <c r="J31" i="15"/>
  <c r="C26" i="20"/>
  <c r="E26" i="20" s="1"/>
  <c r="P45" i="15"/>
  <c r="C26" i="18"/>
  <c r="E26" i="18" s="1"/>
  <c r="J45" i="15"/>
  <c r="C15" i="18"/>
  <c r="E15" i="18" s="1"/>
  <c r="J18" i="15"/>
  <c r="C11" i="18"/>
  <c r="E11" i="18" s="1"/>
  <c r="J14" i="15"/>
  <c r="G2" i="18"/>
  <c r="I2" i="18" s="1"/>
  <c r="J22" i="15"/>
  <c r="C8" i="18"/>
  <c r="E8" i="18" s="1"/>
  <c r="J10" i="15"/>
  <c r="G11" i="18"/>
  <c r="I11" i="18" s="1"/>
  <c r="J32" i="15"/>
  <c r="C3" i="20"/>
  <c r="E3" i="20" s="1"/>
  <c r="P5" i="15"/>
  <c r="C14" i="18"/>
  <c r="E14" i="18" s="1"/>
  <c r="J17" i="15"/>
  <c r="G30" i="18"/>
  <c r="I30" i="18" s="1"/>
  <c r="J68" i="15"/>
  <c r="C2" i="18"/>
  <c r="E2" i="18" s="1"/>
  <c r="J4" i="15"/>
  <c r="G9" i="20"/>
  <c r="I9" i="20" s="1"/>
  <c r="P29" i="15"/>
  <c r="G33" i="18"/>
  <c r="I33" i="18" s="1"/>
  <c r="J71" i="15"/>
  <c r="C7" i="20"/>
  <c r="E7" i="20" s="1"/>
  <c r="P9" i="15"/>
  <c r="C5" i="18"/>
  <c r="E5" i="18" s="1"/>
  <c r="J7" i="15"/>
  <c r="G6" i="18"/>
  <c r="I6" i="18" s="1"/>
  <c r="J26" i="15"/>
  <c r="G31" i="20"/>
  <c r="I31" i="20" s="1"/>
  <c r="P69" i="15"/>
  <c r="C16" i="20"/>
  <c r="E16" i="20" s="1"/>
  <c r="P19" i="15"/>
  <c r="G31" i="18"/>
  <c r="I31" i="18" s="1"/>
  <c r="J69" i="15"/>
  <c r="C31" i="18"/>
  <c r="E31" i="18" s="1"/>
  <c r="J51" i="15"/>
  <c r="G12" i="18"/>
  <c r="I12" i="18" s="1"/>
  <c r="J33" i="15"/>
  <c r="G32" i="20"/>
  <c r="I32" i="20" s="1"/>
  <c r="P70" i="15"/>
  <c r="C36" i="20"/>
  <c r="E36" i="20" s="1"/>
  <c r="P56" i="15"/>
  <c r="C28" i="20"/>
  <c r="E28" i="20" s="1"/>
  <c r="P47" i="15"/>
  <c r="C13" i="20"/>
  <c r="E13" i="20" s="1"/>
  <c r="P16" i="15"/>
  <c r="G36" i="18"/>
  <c r="I36" i="18" s="1"/>
  <c r="J74" i="15"/>
  <c r="G28" i="18"/>
  <c r="I28" i="18" s="1"/>
  <c r="J65" i="15"/>
  <c r="C36" i="18"/>
  <c r="E36" i="18" s="1"/>
  <c r="J56" i="15"/>
  <c r="C28" i="18"/>
  <c r="E28" i="18" s="1"/>
  <c r="J47" i="15"/>
  <c r="G17" i="18"/>
  <c r="I17" i="18" s="1"/>
  <c r="J38" i="15"/>
  <c r="G9" i="18"/>
  <c r="I9" i="18" s="1"/>
  <c r="J29" i="15"/>
  <c r="C29" i="20"/>
  <c r="E29" i="20" s="1"/>
  <c r="P49" i="15"/>
  <c r="G26" i="20"/>
  <c r="I26" i="20" s="1"/>
  <c r="P63" i="15"/>
  <c r="G26" i="18"/>
  <c r="I26" i="18" s="1"/>
  <c r="J63" i="15"/>
  <c r="C17" i="18"/>
  <c r="E17" i="18" s="1"/>
  <c r="J20" i="15"/>
  <c r="C13" i="18"/>
  <c r="E13" i="18" s="1"/>
  <c r="J16" i="15"/>
  <c r="G15" i="18"/>
  <c r="I15" i="18" s="1"/>
  <c r="J36" i="15"/>
  <c r="G3" i="20"/>
  <c r="I3" i="20" s="1"/>
  <c r="P23" i="15"/>
  <c r="C16" i="18"/>
  <c r="E16" i="18" s="1"/>
  <c r="J19" i="15"/>
  <c r="C4" i="18"/>
  <c r="E4" i="18" s="1"/>
  <c r="J6" i="15"/>
  <c r="C30" i="20"/>
  <c r="E30" i="20" s="1"/>
  <c r="P50" i="15"/>
  <c r="G15" i="20"/>
  <c r="I15" i="20" s="1"/>
  <c r="P36" i="15"/>
  <c r="N87" i="7"/>
  <c r="N107" i="7" s="1"/>
  <c r="N106" i="7"/>
  <c r="N128" i="7" s="1"/>
  <c r="N89" i="8" l="1"/>
  <c r="N68" i="8"/>
  <c r="N148" i="7"/>
  <c r="N170" i="7" s="1"/>
  <c r="N129" i="7"/>
  <c r="N149" i="7" s="1"/>
  <c r="N190" i="8"/>
  <c r="N212" i="8" s="1"/>
  <c r="N171" i="8"/>
  <c r="N191" i="8" s="1"/>
  <c r="N68" i="7"/>
  <c r="N89" i="7" s="1"/>
  <c r="N90" i="7" l="1"/>
  <c r="N109" i="7" s="1"/>
  <c r="N190" i="7"/>
  <c r="N212" i="7" s="1"/>
  <c r="N171" i="7"/>
  <c r="N191" i="7" s="1"/>
  <c r="N213" i="8"/>
  <c r="N233" i="8" s="1"/>
  <c r="N232" i="8"/>
  <c r="N254" i="8" s="1"/>
  <c r="N90" i="8"/>
  <c r="N109" i="8" s="1"/>
  <c r="N110" i="8" l="1"/>
  <c r="N131" i="8"/>
  <c r="N110" i="7"/>
  <c r="N131" i="7" s="1"/>
  <c r="N232" i="7"/>
  <c r="N254" i="7" s="1"/>
  <c r="N213" i="7"/>
  <c r="N233" i="7" s="1"/>
  <c r="N255" i="8"/>
  <c r="N275" i="8" s="1"/>
  <c r="N274" i="8"/>
  <c r="N296" i="8" s="1"/>
  <c r="N132" i="7" l="1"/>
  <c r="N151" i="7" s="1"/>
  <c r="N132" i="8"/>
  <c r="N151" i="8" s="1"/>
  <c r="N316" i="8"/>
  <c r="N338" i="8" s="1"/>
  <c r="N297" i="8"/>
  <c r="N317" i="8" s="1"/>
  <c r="N255" i="7"/>
  <c r="N275" i="7" s="1"/>
  <c r="N274" i="7"/>
  <c r="N296" i="7" s="1"/>
  <c r="N152" i="8" l="1"/>
  <c r="N173" i="8"/>
  <c r="N152" i="7"/>
  <c r="N173" i="7" s="1"/>
  <c r="N316" i="7"/>
  <c r="N338" i="7" s="1"/>
  <c r="N297" i="7"/>
  <c r="N317" i="7" s="1"/>
  <c r="N339" i="8"/>
  <c r="N359" i="8" s="1"/>
  <c r="N358" i="8"/>
  <c r="N380" i="8" s="1"/>
  <c r="N174" i="7" l="1"/>
  <c r="N193" i="7" s="1"/>
  <c r="N174" i="8"/>
  <c r="N193" i="8" s="1"/>
  <c r="N400" i="8"/>
  <c r="N422" i="8" s="1"/>
  <c r="N381" i="8"/>
  <c r="N401" i="8" s="1"/>
  <c r="N339" i="7"/>
  <c r="N359" i="7" s="1"/>
  <c r="N358" i="7"/>
  <c r="N380" i="7" s="1"/>
  <c r="N194" i="8" l="1"/>
  <c r="N215" i="8" s="1"/>
  <c r="N194" i="7"/>
  <c r="N215" i="7" s="1"/>
  <c r="N400" i="7"/>
  <c r="N422" i="7" s="1"/>
  <c r="N381" i="7"/>
  <c r="N401" i="7" s="1"/>
  <c r="N442" i="8"/>
  <c r="N464" i="8" s="1"/>
  <c r="N423" i="8"/>
  <c r="N443" i="8" s="1"/>
  <c r="N216" i="7" l="1"/>
  <c r="N235" i="7" s="1"/>
  <c r="N216" i="8"/>
  <c r="N235" i="8" s="1"/>
  <c r="N484" i="8"/>
  <c r="N506" i="8" s="1"/>
  <c r="N465" i="8"/>
  <c r="N485" i="8" s="1"/>
  <c r="N442" i="7"/>
  <c r="N464" i="7" s="1"/>
  <c r="N423" i="7"/>
  <c r="N443" i="7" s="1"/>
  <c r="N236" i="8" l="1"/>
  <c r="N257" i="8" s="1"/>
  <c r="N236" i="7"/>
  <c r="N257" i="7" s="1"/>
  <c r="N484" i="7"/>
  <c r="N506" i="7" s="1"/>
  <c r="N465" i="7"/>
  <c r="N485" i="7" s="1"/>
  <c r="N526" i="8"/>
  <c r="N548" i="8" s="1"/>
  <c r="N507" i="8"/>
  <c r="N527" i="8" s="1"/>
  <c r="N277" i="7" l="1"/>
  <c r="N258" i="7"/>
  <c r="N258" i="8"/>
  <c r="N277" i="8" s="1"/>
  <c r="N568" i="8"/>
  <c r="N590" i="8" s="1"/>
  <c r="N549" i="8"/>
  <c r="N569" i="8" s="1"/>
  <c r="N507" i="7"/>
  <c r="N527" i="7" s="1"/>
  <c r="N526" i="7"/>
  <c r="N548" i="7" s="1"/>
  <c r="N278" i="8" l="1"/>
  <c r="N299" i="8" s="1"/>
  <c r="N568" i="7"/>
  <c r="N590" i="7" s="1"/>
  <c r="N549" i="7"/>
  <c r="N569" i="7" s="1"/>
  <c r="N610" i="8"/>
  <c r="N632" i="8" s="1"/>
  <c r="N591" i="8"/>
  <c r="N611" i="8" s="1"/>
  <c r="N278" i="7"/>
  <c r="N299" i="7" s="1"/>
  <c r="N300" i="7" l="1"/>
  <c r="N319" i="7" s="1"/>
  <c r="N300" i="8"/>
  <c r="N319" i="8" s="1"/>
  <c r="N610" i="7"/>
  <c r="N632" i="7" s="1"/>
  <c r="N591" i="7"/>
  <c r="N611" i="7" s="1"/>
  <c r="N652" i="8"/>
  <c r="N633" i="8"/>
  <c r="N653" i="8" s="1"/>
  <c r="N341" i="8" l="1"/>
  <c r="N320" i="8"/>
  <c r="N341" i="7"/>
  <c r="N320" i="7"/>
  <c r="N652" i="7"/>
  <c r="N633" i="7"/>
  <c r="N653" i="7" s="1"/>
  <c r="N361" i="7" l="1"/>
  <c r="N342" i="7"/>
  <c r="N342" i="8"/>
  <c r="N361" i="8"/>
  <c r="N383" i="8" l="1"/>
  <c r="N362" i="8"/>
  <c r="N383" i="7"/>
  <c r="N362" i="7"/>
  <c r="N403" i="7" l="1"/>
  <c r="N384" i="7"/>
  <c r="N403" i="8"/>
  <c r="N384" i="8"/>
  <c r="N425" i="8" l="1"/>
  <c r="N404" i="8"/>
  <c r="N425" i="7"/>
  <c r="N404" i="7"/>
  <c r="N445" i="7" l="1"/>
  <c r="N426" i="7"/>
  <c r="N445" i="8"/>
  <c r="N426" i="8"/>
  <c r="N467" i="8" l="1"/>
  <c r="N446" i="8"/>
  <c r="N467" i="7"/>
  <c r="N446" i="7"/>
  <c r="N487" i="7" l="1"/>
  <c r="N468" i="7"/>
  <c r="N487" i="8"/>
  <c r="N468" i="8"/>
  <c r="N509" i="8" l="1"/>
  <c r="N488" i="8"/>
  <c r="N509" i="7"/>
  <c r="N488" i="7"/>
  <c r="N529" i="7" l="1"/>
  <c r="N510" i="7"/>
  <c r="N510" i="8"/>
  <c r="N529" i="8"/>
  <c r="N551" i="8" l="1"/>
  <c r="N530" i="8"/>
  <c r="N551" i="7"/>
  <c r="N530" i="7"/>
  <c r="N571" i="7" l="1"/>
  <c r="N552" i="7"/>
  <c r="N571" i="8"/>
  <c r="N552" i="8"/>
  <c r="N593" i="8" l="1"/>
  <c r="N572" i="8"/>
  <c r="N593" i="7"/>
  <c r="N572" i="7"/>
  <c r="N613" i="7" l="1"/>
  <c r="N594" i="7"/>
  <c r="N613" i="8"/>
  <c r="N594" i="8"/>
  <c r="N635" i="8" l="1"/>
  <c r="N614" i="8"/>
  <c r="N635" i="7"/>
  <c r="N614" i="7"/>
  <c r="N655" i="7" l="1"/>
  <c r="N656" i="7" s="1"/>
  <c r="N636" i="7"/>
  <c r="N655" i="8"/>
  <c r="N656" i="8" s="1"/>
  <c r="N636" i="8"/>
</calcChain>
</file>

<file path=xl/sharedStrings.xml><?xml version="1.0" encoding="utf-8"?>
<sst xmlns="http://schemas.openxmlformats.org/spreadsheetml/2006/main" count="4491" uniqueCount="283">
  <si>
    <t>*******************************************************************************************</t>
  </si>
  <si>
    <t>Стойка</t>
  </si>
  <si>
    <t>XK</t>
  </si>
  <si>
    <t/>
  </si>
  <si>
    <t>Контроллер SV 777</t>
  </si>
  <si>
    <t>№</t>
  </si>
  <si>
    <t>ХК .1</t>
  </si>
  <si>
    <t>Плата SV 004</t>
  </si>
  <si>
    <t>Наименование плинтодержателя</t>
  </si>
  <si>
    <t>ХВ-.1</t>
  </si>
  <si>
    <t>Номер плинта</t>
  </si>
  <si>
    <t>к БП</t>
  </si>
  <si>
    <t>к SV 004*</t>
  </si>
  <si>
    <t>A</t>
  </si>
  <si>
    <t>B</t>
  </si>
  <si>
    <t>C</t>
  </si>
  <si>
    <t>D</t>
  </si>
  <si>
    <t>ИК (1), КАВ (2)</t>
  </si>
  <si>
    <t>664</t>
  </si>
  <si>
    <t>КАВ (1), СМК (2)</t>
  </si>
  <si>
    <t>862</t>
  </si>
  <si>
    <t>СМК (2), ДРС (1)</t>
  </si>
  <si>
    <t>243</t>
  </si>
  <si>
    <t>ДРС (1), ИК (3)</t>
  </si>
  <si>
    <t>511</t>
  </si>
  <si>
    <t>пом.</t>
  </si>
  <si>
    <t>685</t>
  </si>
  <si>
    <t>960</t>
  </si>
  <si>
    <t>539</t>
  </si>
  <si>
    <t>963</t>
  </si>
  <si>
    <t>A -</t>
  </si>
  <si>
    <t>питание "+"</t>
  </si>
  <si>
    <t>красный</t>
  </si>
  <si>
    <t>C -</t>
  </si>
  <si>
    <t>сигнальный</t>
  </si>
  <si>
    <t>синий</t>
  </si>
  <si>
    <t>B -</t>
  </si>
  <si>
    <t>питание "-"</t>
  </si>
  <si>
    <t>черный</t>
  </si>
  <si>
    <t>D -</t>
  </si>
  <si>
    <t>коричневый</t>
  </si>
  <si>
    <t>ИК (2), КАВ (3)</t>
  </si>
  <si>
    <t>116</t>
  </si>
  <si>
    <t>КАВ (2), СМК (1)</t>
  </si>
  <si>
    <t>309</t>
  </si>
  <si>
    <t>СМК (3), ДРС (2)</t>
  </si>
  <si>
    <t>231</t>
  </si>
  <si>
    <t>ДРС (3), ИК (3)</t>
  </si>
  <si>
    <t>909</t>
  </si>
  <si>
    <t>276</t>
  </si>
  <si>
    <t>805</t>
  </si>
  <si>
    <t>415</t>
  </si>
  <si>
    <t>889</t>
  </si>
  <si>
    <t>ИК (3), КАВ (3)</t>
  </si>
  <si>
    <t>478</t>
  </si>
  <si>
    <t>290</t>
  </si>
  <si>
    <t>139</t>
  </si>
  <si>
    <t>ДРС (3), ИК (1)</t>
  </si>
  <si>
    <t>536</t>
  </si>
  <si>
    <t>789</t>
  </si>
  <si>
    <t>823</t>
  </si>
  <si>
    <t>930</t>
  </si>
  <si>
    <t>486</t>
  </si>
  <si>
    <t>ИК (3), КАВ (1)</t>
  </si>
  <si>
    <t>876</t>
  </si>
  <si>
    <t>776</t>
  </si>
  <si>
    <t>СМК (3), ДРС (1)</t>
  </si>
  <si>
    <t>191</t>
  </si>
  <si>
    <t>ДРС (1), ИК (2)</t>
  </si>
  <si>
    <t>680</t>
  </si>
  <si>
    <t>610</t>
  </si>
  <si>
    <t>979</t>
  </si>
  <si>
    <t>388</t>
  </si>
  <si>
    <t>624</t>
  </si>
  <si>
    <t>ИК (2), КАВ (2)</t>
  </si>
  <si>
    <t>169</t>
  </si>
  <si>
    <t>КАВ (1), СМК (3)</t>
  </si>
  <si>
    <t>984</t>
  </si>
  <si>
    <t>579</t>
  </si>
  <si>
    <t>ДРС (2), ИК (3)</t>
  </si>
  <si>
    <t>599</t>
  </si>
  <si>
    <t>379</t>
  </si>
  <si>
    <t>267</t>
  </si>
  <si>
    <t>105</t>
  </si>
  <si>
    <t>195</t>
  </si>
  <si>
    <t>957</t>
  </si>
  <si>
    <t>КАВ (2), СМК (2)</t>
  </si>
  <si>
    <t>240</t>
  </si>
  <si>
    <t>СМК (3), ДРС (3)</t>
  </si>
  <si>
    <t>498</t>
  </si>
  <si>
    <t>ДРС (2), ИК (1)</t>
  </si>
  <si>
    <t>667</t>
  </si>
  <si>
    <t>980</t>
  </si>
  <si>
    <t>524</t>
  </si>
  <si>
    <t>269</t>
  </si>
  <si>
    <t>851</t>
  </si>
  <si>
    <t>Резерв</t>
  </si>
  <si>
    <t>1.1</t>
  </si>
  <si>
    <t>RS 485</t>
  </si>
  <si>
    <t>XB1</t>
  </si>
  <si>
    <t>SV20P</t>
  </si>
  <si>
    <t>GND</t>
  </si>
  <si>
    <t>SVDPO</t>
  </si>
  <si>
    <t>COM-1</t>
  </si>
  <si>
    <t>COM-2</t>
  </si>
  <si>
    <t>COM-3</t>
  </si>
  <si>
    <t xml:space="preserve"> RS-485  1.1</t>
  </si>
  <si>
    <t>земля.5</t>
  </si>
  <si>
    <t>RS-485</t>
  </si>
  <si>
    <t>желтый</t>
  </si>
  <si>
    <t>COM-4</t>
  </si>
  <si>
    <t>Device</t>
  </si>
  <si>
    <t>adress</t>
  </si>
  <si>
    <t>SV 485</t>
  </si>
  <si>
    <t>SV777 - 1</t>
  </si>
  <si>
    <t>SV004 -1</t>
  </si>
  <si>
    <t>Пин0</t>
  </si>
  <si>
    <t>пом. 685</t>
  </si>
  <si>
    <t>ШЛ.664</t>
  </si>
  <si>
    <t>Пин1</t>
  </si>
  <si>
    <t>пом. 960</t>
  </si>
  <si>
    <t>ШЛ.862</t>
  </si>
  <si>
    <t>Пин2</t>
  </si>
  <si>
    <t>пом. 539</t>
  </si>
  <si>
    <t>ШЛ.243</t>
  </si>
  <si>
    <t>Пин3</t>
  </si>
  <si>
    <t>пом. 963</t>
  </si>
  <si>
    <t>ШЛ.511</t>
  </si>
  <si>
    <t>пом. 276</t>
  </si>
  <si>
    <t>ШЛ.116</t>
  </si>
  <si>
    <t>пом. 805</t>
  </si>
  <si>
    <t>ШЛ.309</t>
  </si>
  <si>
    <t>пом. 415</t>
  </si>
  <si>
    <t>ШЛ.231</t>
  </si>
  <si>
    <t>пом. 889</t>
  </si>
  <si>
    <t>ШЛ.909</t>
  </si>
  <si>
    <t>пом. 789</t>
  </si>
  <si>
    <t>ШЛ.478</t>
  </si>
  <si>
    <t>пом. 823</t>
  </si>
  <si>
    <t>ШЛ.290</t>
  </si>
  <si>
    <t>пом. 930</t>
  </si>
  <si>
    <t>ШЛ.139</t>
  </si>
  <si>
    <t>пом. 486</t>
  </si>
  <si>
    <t>ШЛ.536</t>
  </si>
  <si>
    <t>пом. 610</t>
  </si>
  <si>
    <t>ШЛ.876</t>
  </si>
  <si>
    <t>пом. 979</t>
  </si>
  <si>
    <t>ШЛ.776</t>
  </si>
  <si>
    <t>пом. 388</t>
  </si>
  <si>
    <t>ШЛ.191</t>
  </si>
  <si>
    <t>пом. 624</t>
  </si>
  <si>
    <t>ШЛ.680</t>
  </si>
  <si>
    <t>пом. 379</t>
  </si>
  <si>
    <t>ШЛ.169</t>
  </si>
  <si>
    <t>пом. 267</t>
  </si>
  <si>
    <t>ШЛ.984</t>
  </si>
  <si>
    <t>пом. 105</t>
  </si>
  <si>
    <t>ШЛ.579</t>
  </si>
  <si>
    <t>пом. 195</t>
  </si>
  <si>
    <t>ШЛ.599</t>
  </si>
  <si>
    <t>пом. 980</t>
  </si>
  <si>
    <t>ШЛ.957</t>
  </si>
  <si>
    <t>пом. 524</t>
  </si>
  <si>
    <t>ШЛ.240</t>
  </si>
  <si>
    <t>пом. 269</t>
  </si>
  <si>
    <t>ШЛ.498</t>
  </si>
  <si>
    <t>пом. 851</t>
  </si>
  <si>
    <t>ШЛ.667</t>
  </si>
  <si>
    <t>SV777 - 2</t>
  </si>
  <si>
    <t>SV004 - 1</t>
  </si>
  <si>
    <t>SV004 - 2</t>
  </si>
  <si>
    <t>SV004 - 3</t>
  </si>
  <si>
    <t>SV004 - 4</t>
  </si>
  <si>
    <t>SV004  - 5</t>
  </si>
  <si>
    <t>SV004 - 6</t>
  </si>
  <si>
    <t>SV004 -7</t>
  </si>
  <si>
    <t>SV004 - 8</t>
  </si>
  <si>
    <t>SV004 - 9</t>
  </si>
  <si>
    <t>SV004 - 10</t>
  </si>
  <si>
    <t>SV004 - 11</t>
  </si>
  <si>
    <t>SV004 - 12</t>
  </si>
  <si>
    <t>SV004 - 13</t>
  </si>
  <si>
    <t>SV004 - 14</t>
  </si>
  <si>
    <t>SV004 - 15</t>
  </si>
  <si>
    <t>SV004 - 16</t>
  </si>
  <si>
    <t>SV777 - 3</t>
  </si>
  <si>
    <t xml:space="preserve">SV004 - 3 </t>
  </si>
  <si>
    <t>SV004 - 5</t>
  </si>
  <si>
    <t>SV004 - 7</t>
  </si>
  <si>
    <t>SV004  - 8</t>
  </si>
  <si>
    <t>1</t>
  </si>
  <si>
    <t>п.685 - ИК (1), КАВ (2)</t>
  </si>
  <si>
    <t>17</t>
  </si>
  <si>
    <t>п.379 - ИК (2), КАВ (2)</t>
  </si>
  <si>
    <t>Display panel №1</t>
  </si>
  <si>
    <t>2</t>
  </si>
  <si>
    <t>п.960 - КАВ (1), СМК (2)</t>
  </si>
  <si>
    <t>18</t>
  </si>
  <si>
    <t>п.267 - КАВ (1), СМК (3)</t>
  </si>
  <si>
    <t>3</t>
  </si>
  <si>
    <t>п.539 - СМК (2), ДРС (1)</t>
  </si>
  <si>
    <t>19</t>
  </si>
  <si>
    <t>п.105 - СМК (2), ДРС (1)</t>
  </si>
  <si>
    <t>4</t>
  </si>
  <si>
    <t>п.963 - ДРС (1), ИК (3)</t>
  </si>
  <si>
    <t>20</t>
  </si>
  <si>
    <t>п.195 - ДРС (2), ИК (3)</t>
  </si>
  <si>
    <t>5</t>
  </si>
  <si>
    <t>п.276 - ИК (2), КАВ (3)</t>
  </si>
  <si>
    <t>21</t>
  </si>
  <si>
    <t>п.980 - ИК (2), КАВ (2)</t>
  </si>
  <si>
    <t>6</t>
  </si>
  <si>
    <t>п.805 - КАВ (2), СМК (1)</t>
  </si>
  <si>
    <t>22</t>
  </si>
  <si>
    <t>п.524 - КАВ (2), СМК (2)</t>
  </si>
  <si>
    <t>7</t>
  </si>
  <si>
    <t>п.415 - СМК (3), ДРС (2)</t>
  </si>
  <si>
    <t>23</t>
  </si>
  <si>
    <t>п.269 - СМК (3), ДРС (3)</t>
  </si>
  <si>
    <t>8</t>
  </si>
  <si>
    <t>п.889 - ДРС (3), ИК (3)</t>
  </si>
  <si>
    <t>24</t>
  </si>
  <si>
    <t>п.851 - ДРС (2), ИК (1)</t>
  </si>
  <si>
    <t>9</t>
  </si>
  <si>
    <t>п.789 - ИК (3), КАВ (3)</t>
  </si>
  <si>
    <t>25</t>
  </si>
  <si>
    <t>10</t>
  </si>
  <si>
    <t>п.823 - КАВ (1), СМК (2)</t>
  </si>
  <si>
    <t>26</t>
  </si>
  <si>
    <t>11</t>
  </si>
  <si>
    <t>п.930 - СМК (3), ДРС (2)</t>
  </si>
  <si>
    <t>27</t>
  </si>
  <si>
    <t>12</t>
  </si>
  <si>
    <t>п.486 - ДРС (3), ИК (1)</t>
  </si>
  <si>
    <t>28</t>
  </si>
  <si>
    <t>13</t>
  </si>
  <si>
    <t>п.610 - ИК (3), КАВ (1)</t>
  </si>
  <si>
    <t>29</t>
  </si>
  <si>
    <t>14</t>
  </si>
  <si>
    <t>п.979 - КАВ (1), СМК (2)</t>
  </si>
  <si>
    <t>30</t>
  </si>
  <si>
    <t>15</t>
  </si>
  <si>
    <t>п.388 - СМК (3), ДРС (1)</t>
  </si>
  <si>
    <t>31</t>
  </si>
  <si>
    <t>16</t>
  </si>
  <si>
    <t>п.624 - ДРС (1), ИК (2)</t>
  </si>
  <si>
    <t>32</t>
  </si>
  <si>
    <t>ХК</t>
  </si>
  <si>
    <t>IP</t>
  </si>
  <si>
    <t>33</t>
  </si>
  <si>
    <t>49</t>
  </si>
  <si>
    <t>Display panel №2</t>
  </si>
  <si>
    <t>34</t>
  </si>
  <si>
    <t>50</t>
  </si>
  <si>
    <t>35</t>
  </si>
  <si>
    <t>51</t>
  </si>
  <si>
    <t>36</t>
  </si>
  <si>
    <t>52</t>
  </si>
  <si>
    <t>37</t>
  </si>
  <si>
    <t>53</t>
  </si>
  <si>
    <t>38</t>
  </si>
  <si>
    <t>54</t>
  </si>
  <si>
    <t>39</t>
  </si>
  <si>
    <t>55</t>
  </si>
  <si>
    <t>40</t>
  </si>
  <si>
    <t>56</t>
  </si>
  <si>
    <t>41</t>
  </si>
  <si>
    <t>57</t>
  </si>
  <si>
    <t>42</t>
  </si>
  <si>
    <t>58</t>
  </si>
  <si>
    <t>43</t>
  </si>
  <si>
    <t>59</t>
  </si>
  <si>
    <t>44</t>
  </si>
  <si>
    <t>60</t>
  </si>
  <si>
    <t>45</t>
  </si>
  <si>
    <t>61</t>
  </si>
  <si>
    <t>46</t>
  </si>
  <si>
    <t>62</t>
  </si>
  <si>
    <t>47</t>
  </si>
  <si>
    <t>63</t>
  </si>
  <si>
    <t>48</t>
  </si>
  <si>
    <t>64</t>
  </si>
  <si>
    <t>ОПС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</si>
</sst>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6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 diagonalUp="1"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28">
    <xf numFmtId="0" fontId="0" fillId="0" borderId="0" xfId="0"/>
    <xf numFmtId="49" fontId="2" fillId="0" borderId="0" xfId="0" applyNumberFormat="1" applyFont="1"/>
    <xf numFmtId="0" fontId="2" fillId="0" borderId="0" xfId="0" applyFont="1"/>
    <xf numFmtId="0" fontId="2" fillId="0" borderId="0" xfId="0" applyFont="1" applyProtection="1">
      <protection hidden="1"/>
    </xf>
    <xf numFmtId="49" fontId="2" fillId="0" borderId="0" xfId="0" applyNumberFormat="1" applyFont="1" applyProtection="1">
      <protection hidden="1"/>
    </xf>
    <xf numFmtId="49" fontId="2" fillId="0" borderId="0" xfId="0" applyNumberFormat="1" applyFont="1" applyAlignment="1" applyProtection="1">
      <alignment horizontal="center" vertical="center"/>
      <protection hidden="1"/>
    </xf>
    <xf numFmtId="49" fontId="3" fillId="0" borderId="0" xfId="0" applyNumberFormat="1" applyFont="1" applyProtection="1">
      <protection hidden="1"/>
    </xf>
    <xf numFmtId="0" fontId="2" fillId="0" borderId="1" xfId="0" applyFont="1" applyBorder="1" applyProtection="1">
      <protection hidden="1"/>
    </xf>
    <xf numFmtId="49" fontId="2" fillId="0" borderId="1" xfId="0" applyNumberFormat="1" applyFont="1" applyBorder="1" applyProtection="1">
      <protection hidden="1"/>
    </xf>
    <xf numFmtId="49" fontId="4" fillId="0" borderId="0" xfId="0" applyNumberFormat="1" applyFont="1" applyAlignment="1" applyProtection="1">
      <alignment horizontal="right"/>
      <protection hidden="1"/>
    </xf>
    <xf numFmtId="0" fontId="3" fillId="0" borderId="0" xfId="0" applyFont="1" applyProtection="1">
      <protection hidden="1"/>
    </xf>
    <xf numFmtId="0" fontId="4" fillId="0" borderId="0" xfId="0" applyFont="1" applyAlignment="1" applyProtection="1">
      <alignment horizontal="right"/>
      <protection hidden="1"/>
    </xf>
    <xf numFmtId="0" fontId="4" fillId="0" borderId="0" xfId="0" applyFont="1" applyAlignment="1" applyProtection="1">
      <alignment horizontal="left" wrapText="1"/>
      <protection hidden="1"/>
    </xf>
    <xf numFmtId="0" fontId="2" fillId="0" borderId="2" xfId="0" applyFont="1" applyBorder="1" applyProtection="1">
      <protection hidden="1"/>
    </xf>
    <xf numFmtId="49" fontId="2" fillId="0" borderId="2" xfId="0" applyNumberFormat="1" applyFont="1" applyBorder="1" applyProtection="1">
      <protection hidden="1"/>
    </xf>
    <xf numFmtId="0" fontId="4" fillId="0" borderId="0" xfId="0" applyFont="1" applyAlignment="1" applyProtection="1">
      <alignment horizontal="left"/>
      <protection hidden="1"/>
    </xf>
    <xf numFmtId="49" fontId="5" fillId="0" borderId="0" xfId="0" applyNumberFormat="1" applyFont="1" applyAlignment="1" applyProtection="1">
      <alignment horizontal="right"/>
      <protection hidden="1"/>
    </xf>
    <xf numFmtId="0" fontId="5" fillId="0" borderId="0" xfId="0" applyFont="1" applyAlignment="1" applyProtection="1">
      <alignment horizontal="left"/>
      <protection hidden="1"/>
    </xf>
    <xf numFmtId="0" fontId="5" fillId="0" borderId="0" xfId="0" applyFont="1" applyAlignment="1" applyProtection="1">
      <alignment horizontal="right"/>
      <protection hidden="1"/>
    </xf>
    <xf numFmtId="0" fontId="5" fillId="0" borderId="0" xfId="0" applyFont="1" applyProtection="1">
      <protection hidden="1"/>
    </xf>
    <xf numFmtId="49" fontId="5" fillId="0" borderId="0" xfId="0" applyNumberFormat="1" applyFont="1" applyProtection="1">
      <protection hidden="1"/>
    </xf>
    <xf numFmtId="49" fontId="2" fillId="2" borderId="0" xfId="0" applyNumberFormat="1" applyFont="1" applyFill="1" applyProtection="1">
      <protection hidden="1"/>
    </xf>
    <xf numFmtId="0" fontId="5" fillId="0" borderId="0" xfId="0" applyFont="1" applyAlignment="1" applyProtection="1">
      <alignment horizontal="left"/>
      <protection locked="0"/>
    </xf>
    <xf numFmtId="164" fontId="2" fillId="0" borderId="0" xfId="0" applyNumberFormat="1" applyFont="1" applyProtection="1">
      <protection hidden="1"/>
    </xf>
    <xf numFmtId="0" fontId="2" fillId="0" borderId="3" xfId="0" applyFont="1" applyBorder="1" applyProtection="1">
      <protection hidden="1"/>
    </xf>
    <xf numFmtId="0" fontId="2" fillId="0" borderId="4" xfId="0" applyFont="1" applyBorder="1" applyProtection="1">
      <protection hidden="1"/>
    </xf>
    <xf numFmtId="49" fontId="2" fillId="0" borderId="4" xfId="0" applyNumberFormat="1" applyFont="1" applyBorder="1" applyProtection="1">
      <protection hidden="1"/>
    </xf>
    <xf numFmtId="0" fontId="2" fillId="0" borderId="5" xfId="0" applyFont="1" applyBorder="1" applyProtection="1"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49" fontId="2" fillId="0" borderId="6" xfId="0" applyNumberFormat="1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 textRotation="90"/>
      <protection hidden="1"/>
    </xf>
    <xf numFmtId="0" fontId="2" fillId="0" borderId="9" xfId="0" applyFont="1" applyBorder="1" applyProtection="1">
      <protection hidden="1"/>
    </xf>
    <xf numFmtId="0" fontId="2" fillId="0" borderId="10" xfId="0" applyFont="1" applyBorder="1" applyAlignment="1" applyProtection="1">
      <alignment horizontal="center" vertical="center"/>
      <protection hidden="1"/>
    </xf>
    <xf numFmtId="49" fontId="2" fillId="0" borderId="11" xfId="0" applyNumberFormat="1" applyFont="1" applyBorder="1" applyAlignment="1" applyProtection="1">
      <alignment horizontal="center" vertical="center"/>
      <protection hidden="1"/>
    </xf>
    <xf numFmtId="49" fontId="2" fillId="0" borderId="10" xfId="0" applyNumberFormat="1" applyFont="1" applyBorder="1" applyAlignment="1" applyProtection="1">
      <alignment horizontal="center" vertical="center"/>
      <protection hidden="1"/>
    </xf>
    <xf numFmtId="0" fontId="2" fillId="0" borderId="12" xfId="0" applyFont="1" applyBorder="1" applyAlignment="1" applyProtection="1">
      <alignment horizontal="center" vertical="center" textRotation="90"/>
      <protection hidden="1"/>
    </xf>
    <xf numFmtId="0" fontId="8" fillId="0" borderId="0" xfId="0" applyFont="1" applyAlignment="1" applyProtection="1">
      <alignment horizontal="center" vertical="center"/>
      <protection hidden="1"/>
    </xf>
    <xf numFmtId="164" fontId="2" fillId="0" borderId="0" xfId="0" applyNumberFormat="1" applyFont="1" applyAlignment="1" applyProtection="1">
      <alignment horizontal="center" vertical="center"/>
      <protection hidden="1"/>
    </xf>
    <xf numFmtId="0" fontId="2" fillId="4" borderId="4" xfId="0" applyFont="1" applyFill="1" applyBorder="1" applyAlignment="1" applyProtection="1">
      <alignment horizontal="right" vertical="center"/>
      <protection hidden="1"/>
    </xf>
    <xf numFmtId="0" fontId="2" fillId="0" borderId="13" xfId="0" applyFont="1" applyBorder="1" applyProtection="1">
      <protection hidden="1"/>
    </xf>
    <xf numFmtId="49" fontId="2" fillId="0" borderId="13" xfId="0" applyNumberFormat="1" applyFont="1" applyBorder="1" applyProtection="1">
      <protection hidden="1"/>
    </xf>
    <xf numFmtId="49" fontId="2" fillId="0" borderId="13" xfId="0" applyNumberFormat="1" applyFont="1" applyBorder="1" applyAlignment="1" applyProtection="1">
      <alignment horizontal="center" vertical="center"/>
      <protection hidden="1"/>
    </xf>
    <xf numFmtId="0" fontId="2" fillId="2" borderId="0" xfId="0" applyFont="1" applyFill="1" applyProtection="1">
      <protection hidden="1"/>
    </xf>
    <xf numFmtId="0" fontId="2" fillId="0" borderId="14" xfId="0" applyFont="1" applyBorder="1" applyProtection="1">
      <protection hidden="1"/>
    </xf>
    <xf numFmtId="0" fontId="2" fillId="0" borderId="15" xfId="0" applyFont="1" applyBorder="1" applyProtection="1">
      <protection hidden="1"/>
    </xf>
    <xf numFmtId="0" fontId="6" fillId="0" borderId="6" xfId="0" applyFont="1" applyBorder="1" applyAlignment="1" applyProtection="1">
      <alignment horizontal="center" vertical="center"/>
      <protection hidden="1"/>
    </xf>
    <xf numFmtId="0" fontId="2" fillId="0" borderId="15" xfId="0" applyFont="1" applyBorder="1" applyAlignment="1" applyProtection="1">
      <alignment horizontal="center" vertical="center"/>
      <protection hidden="1"/>
    </xf>
    <xf numFmtId="0" fontId="2" fillId="0" borderId="15" xfId="0" applyFont="1" applyBorder="1" applyAlignment="1" applyProtection="1">
      <alignment horizontal="center" vertical="center" textRotation="90"/>
      <protection hidden="1"/>
    </xf>
    <xf numFmtId="0" fontId="2" fillId="0" borderId="16" xfId="0" applyFont="1" applyBorder="1" applyAlignment="1" applyProtection="1">
      <alignment horizontal="center" vertical="center" textRotation="90"/>
      <protection hidden="1"/>
    </xf>
    <xf numFmtId="0" fontId="8" fillId="2" borderId="12" xfId="0" applyFont="1" applyFill="1" applyBorder="1" applyAlignment="1" applyProtection="1">
      <alignment horizontal="center" vertical="center"/>
      <protection hidden="1"/>
    </xf>
    <xf numFmtId="0" fontId="2" fillId="0" borderId="11" xfId="0" applyFont="1" applyBorder="1" applyAlignment="1" applyProtection="1">
      <alignment horizontal="center" vertical="center"/>
      <protection hidden="1"/>
    </xf>
    <xf numFmtId="164" fontId="2" fillId="0" borderId="10" xfId="0" applyNumberFormat="1" applyFont="1" applyBorder="1" applyAlignment="1" applyProtection="1">
      <alignment horizontal="center" vertical="center"/>
      <protection hidden="1"/>
    </xf>
    <xf numFmtId="49" fontId="2" fillId="0" borderId="17" xfId="0" applyNumberFormat="1" applyFont="1" applyBorder="1" applyAlignment="1" applyProtection="1">
      <alignment horizontal="center" vertical="center"/>
      <protection hidden="1"/>
    </xf>
    <xf numFmtId="0" fontId="2" fillId="0" borderId="18" xfId="0" applyFont="1" applyBorder="1" applyProtection="1">
      <protection hidden="1"/>
    </xf>
    <xf numFmtId="0" fontId="2" fillId="0" borderId="13" xfId="0" applyFont="1" applyBorder="1" applyAlignment="1" applyProtection="1">
      <alignment horizontal="center" vertical="center"/>
      <protection hidden="1"/>
    </xf>
    <xf numFmtId="164" fontId="2" fillId="0" borderId="13" xfId="0" applyNumberFormat="1" applyFont="1" applyBorder="1" applyProtection="1">
      <protection hidden="1"/>
    </xf>
    <xf numFmtId="0" fontId="2" fillId="0" borderId="0" xfId="0" applyFont="1" applyAlignment="1" applyProtection="1">
      <alignment horizontal="left"/>
      <protection hidden="1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9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vertical="center"/>
    </xf>
    <xf numFmtId="49" fontId="4" fillId="0" borderId="0" xfId="0" applyNumberFormat="1" applyFont="1" applyAlignment="1" applyProtection="1">
      <alignment horizontal="left" wrapText="1"/>
      <protection locked="0"/>
    </xf>
    <xf numFmtId="0" fontId="4" fillId="0" borderId="0" xfId="0" applyFont="1" applyAlignment="1" applyProtection="1">
      <alignment horizontal="left" wrapText="1"/>
      <protection locked="0"/>
    </xf>
    <xf numFmtId="0" fontId="4" fillId="0" borderId="0" xfId="0" applyFont="1" applyAlignment="1" applyProtection="1">
      <alignment horizontal="left" wrapText="1"/>
      <protection hidden="1"/>
    </xf>
    <xf numFmtId="0" fontId="4" fillId="0" borderId="0" xfId="0" applyFont="1" applyAlignment="1" applyProtection="1">
      <alignment horizontal="left"/>
      <protection locked="0"/>
    </xf>
    <xf numFmtId="0" fontId="4" fillId="0" borderId="0" xfId="0" applyFont="1" applyAlignment="1" applyProtection="1">
      <alignment horizontal="left"/>
      <protection hidden="1"/>
    </xf>
    <xf numFmtId="49" fontId="2" fillId="0" borderId="7" xfId="0" applyNumberFormat="1" applyFont="1" applyBorder="1" applyAlignment="1" applyProtection="1">
      <alignment horizontal="center" vertical="center"/>
      <protection hidden="1"/>
    </xf>
    <xf numFmtId="49" fontId="2" fillId="0" borderId="8" xfId="0" applyNumberFormat="1" applyFont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49" fontId="2" fillId="0" borderId="0" xfId="0" applyNumberFormat="1" applyFont="1" applyAlignment="1" applyProtection="1">
      <alignment horizontal="center" vertical="center"/>
      <protection hidden="1"/>
    </xf>
    <xf numFmtId="49" fontId="2" fillId="0" borderId="6" xfId="0" applyNumberFormat="1" applyFont="1" applyBorder="1" applyAlignment="1" applyProtection="1">
      <alignment horizontal="center" vertical="center"/>
      <protection hidden="1"/>
    </xf>
    <xf numFmtId="0" fontId="2" fillId="3" borderId="4" xfId="0" applyFont="1" applyFill="1" applyBorder="1" applyAlignment="1" applyProtection="1">
      <alignment horizontal="left" vertical="center" wrapText="1"/>
      <protection hidden="1"/>
    </xf>
    <xf numFmtId="0" fontId="2" fillId="3" borderId="4" xfId="0" applyFont="1" applyFill="1" applyBorder="1" applyAlignment="1">
      <alignment horizontal="left" vertical="center" wrapText="1"/>
    </xf>
    <xf numFmtId="0" fontId="2" fillId="3" borderId="12" xfId="0" applyFont="1" applyFill="1" applyBorder="1" applyAlignment="1">
      <alignment horizontal="left" vertical="center" wrapText="1"/>
    </xf>
    <xf numFmtId="49" fontId="2" fillId="3" borderId="4" xfId="0" applyNumberFormat="1" applyFont="1" applyFill="1" applyBorder="1" applyAlignment="1" applyProtection="1">
      <alignment horizontal="left" vertical="center" wrapText="1"/>
      <protection hidden="1"/>
    </xf>
    <xf numFmtId="0" fontId="2" fillId="4" borderId="4" xfId="0" applyFont="1" applyFill="1" applyBorder="1" applyAlignment="1" applyProtection="1">
      <alignment horizontal="right" vertical="center"/>
      <protection hidden="1"/>
    </xf>
    <xf numFmtId="0" fontId="2" fillId="0" borderId="4" xfId="0" applyFont="1" applyBorder="1" applyAlignment="1">
      <alignment horizontal="right" vertical="center"/>
    </xf>
    <xf numFmtId="49" fontId="2" fillId="3" borderId="4" xfId="0" applyNumberFormat="1" applyFont="1" applyFill="1" applyBorder="1" applyAlignment="1" applyProtection="1">
      <alignment horizontal="left" vertical="center"/>
      <protection locked="0"/>
    </xf>
    <xf numFmtId="49" fontId="2" fillId="0" borderId="4" xfId="0" applyNumberFormat="1" applyFont="1" applyBorder="1" applyAlignment="1" applyProtection="1">
      <alignment horizontal="left" vertical="center"/>
      <protection locked="0"/>
    </xf>
    <xf numFmtId="0" fontId="2" fillId="0" borderId="0" xfId="0" applyFont="1" applyAlignment="1" applyProtection="1">
      <alignment horizont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0" fontId="6" fillId="0" borderId="2" xfId="0" applyFont="1" applyBorder="1" applyAlignment="1" applyProtection="1">
      <alignment horizontal="center" vertical="center"/>
      <protection hidden="1"/>
    </xf>
    <xf numFmtId="0" fontId="6" fillId="0" borderId="8" xfId="0" applyFont="1" applyBorder="1" applyAlignment="1" applyProtection="1">
      <alignment horizontal="center" vertical="center"/>
      <protection hidden="1"/>
    </xf>
    <xf numFmtId="0" fontId="6" fillId="0" borderId="6" xfId="0" applyFont="1" applyBorder="1" applyAlignment="1" applyProtection="1">
      <alignment horizontal="center" vertical="center"/>
      <protection hidden="1"/>
    </xf>
    <xf numFmtId="0" fontId="7" fillId="0" borderId="6" xfId="0" applyFont="1" applyBorder="1" applyAlignment="1" applyProtection="1">
      <alignment horizontal="center" vertical="center"/>
      <protection hidden="1"/>
    </xf>
    <xf numFmtId="0" fontId="2" fillId="5" borderId="19" xfId="0" applyFont="1" applyFill="1" applyBorder="1" applyAlignment="1" applyProtection="1">
      <alignment horizontal="center" vertical="center"/>
      <protection hidden="1"/>
    </xf>
    <xf numFmtId="0" fontId="2" fillId="5" borderId="20" xfId="0" applyFont="1" applyFill="1" applyBorder="1" applyAlignment="1" applyProtection="1">
      <alignment horizontal="center" vertical="center"/>
      <protection hidden="1"/>
    </xf>
    <xf numFmtId="0" fontId="2" fillId="3" borderId="21" xfId="0" applyFont="1" applyFill="1" applyBorder="1" applyAlignment="1" applyProtection="1">
      <alignment horizontal="right" vertical="center"/>
      <protection locked="0"/>
    </xf>
    <xf numFmtId="0" fontId="2" fillId="3" borderId="20" xfId="0" applyFont="1" applyFill="1" applyBorder="1" applyAlignment="1" applyProtection="1">
      <alignment horizontal="right" vertical="center"/>
      <protection locked="0"/>
    </xf>
    <xf numFmtId="49" fontId="2" fillId="3" borderId="20" xfId="0" applyNumberFormat="1" applyFont="1" applyFill="1" applyBorder="1" applyAlignment="1" applyProtection="1">
      <alignment horizontal="center" vertical="center"/>
      <protection locked="0"/>
    </xf>
    <xf numFmtId="49" fontId="2" fillId="3" borderId="22" xfId="0" applyNumberFormat="1" applyFont="1" applyFill="1" applyBorder="1" applyAlignment="1" applyProtection="1">
      <alignment horizontal="center" vertical="center"/>
      <protection locked="0"/>
    </xf>
    <xf numFmtId="0" fontId="2" fillId="6" borderId="19" xfId="0" applyFont="1" applyFill="1" applyBorder="1" applyAlignment="1" applyProtection="1">
      <alignment horizontal="center" vertical="center"/>
      <protection hidden="1"/>
    </xf>
    <xf numFmtId="0" fontId="2" fillId="6" borderId="20" xfId="0" applyFont="1" applyFill="1" applyBorder="1" applyAlignment="1" applyProtection="1">
      <alignment horizontal="center" vertical="center"/>
      <protection hidden="1"/>
    </xf>
    <xf numFmtId="0" fontId="2" fillId="0" borderId="23" xfId="0" applyFont="1" applyBorder="1" applyAlignment="1" applyProtection="1">
      <alignment horizontal="center"/>
      <protection hidden="1"/>
    </xf>
    <xf numFmtId="0" fontId="2" fillId="0" borderId="24" xfId="0" applyFont="1" applyBorder="1" applyAlignment="1" applyProtection="1">
      <alignment horizontal="center"/>
      <protection hidden="1"/>
    </xf>
    <xf numFmtId="0" fontId="2" fillId="0" borderId="25" xfId="0" applyFont="1" applyBorder="1" applyAlignment="1" applyProtection="1">
      <alignment horizontal="center"/>
      <protection hidden="1"/>
    </xf>
    <xf numFmtId="0" fontId="2" fillId="0" borderId="26" xfId="0" applyFont="1" applyBorder="1" applyAlignment="1" applyProtection="1">
      <alignment horizontal="center"/>
      <protection hidden="1"/>
    </xf>
    <xf numFmtId="0" fontId="2" fillId="0" borderId="27" xfId="0" applyFont="1" applyBorder="1" applyAlignment="1" applyProtection="1">
      <alignment horizontal="center"/>
      <protection hidden="1"/>
    </xf>
    <xf numFmtId="0" fontId="2" fillId="0" borderId="28" xfId="0" applyFont="1" applyBorder="1" applyAlignment="1" applyProtection="1">
      <alignment horizontal="center"/>
      <protection hidden="1"/>
    </xf>
    <xf numFmtId="0" fontId="2" fillId="0" borderId="29" xfId="0" applyFont="1" applyBorder="1" applyAlignment="1" applyProtection="1">
      <alignment horizontal="center"/>
      <protection hidden="1"/>
    </xf>
    <xf numFmtId="0" fontId="2" fillId="0" borderId="6" xfId="0" applyFont="1" applyBorder="1" applyAlignment="1" applyProtection="1">
      <alignment horizontal="center"/>
      <protection hidden="1"/>
    </xf>
    <xf numFmtId="0" fontId="2" fillId="0" borderId="30" xfId="0" applyFont="1" applyBorder="1" applyAlignment="1" applyProtection="1">
      <alignment horizontal="center"/>
      <protection hidden="1"/>
    </xf>
    <xf numFmtId="0" fontId="6" fillId="0" borderId="29" xfId="0" applyFont="1" applyBorder="1" applyAlignment="1" applyProtection="1">
      <alignment horizontal="center" vertical="center"/>
      <protection hidden="1"/>
    </xf>
    <xf numFmtId="0" fontId="7" fillId="0" borderId="29" xfId="0" applyFont="1" applyBorder="1" applyAlignment="1" applyProtection="1">
      <alignment horizontal="center" vertical="center"/>
      <protection hidden="1"/>
    </xf>
    <xf numFmtId="0" fontId="2" fillId="0" borderId="31" xfId="0" applyFont="1" applyBorder="1" applyAlignment="1" applyProtection="1">
      <alignment horizontal="center"/>
      <protection hidden="1"/>
    </xf>
    <xf numFmtId="0" fontId="2" fillId="0" borderId="32" xfId="0" applyFont="1" applyBorder="1" applyAlignment="1" applyProtection="1">
      <alignment horizontal="center"/>
      <protection hidden="1"/>
    </xf>
    <xf numFmtId="0" fontId="2" fillId="0" borderId="33" xfId="0" applyFont="1" applyBorder="1" applyAlignment="1" applyProtection="1">
      <alignment horizontal="center"/>
      <protection hidden="1"/>
    </xf>
    <xf numFmtId="0" fontId="7" fillId="0" borderId="31" xfId="0" applyFont="1" applyBorder="1" applyAlignment="1" applyProtection="1">
      <alignment horizontal="center" vertical="center"/>
      <protection hidden="1"/>
    </xf>
    <xf numFmtId="0" fontId="7" fillId="0" borderId="32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left"/>
      <protection hidden="1"/>
    </xf>
    <xf numFmtId="0" fontId="2" fillId="0" borderId="1" xfId="0" applyFont="1" applyBorder="1" applyAlignment="1" applyProtection="1">
      <alignment horizontal="left"/>
      <protection hidden="1"/>
    </xf>
    <xf numFmtId="0" fontId="6" fillId="0" borderId="23" xfId="0" applyFont="1" applyBorder="1" applyAlignment="1" applyProtection="1">
      <alignment horizontal="center" vertical="center"/>
      <protection hidden="1"/>
    </xf>
    <xf numFmtId="0" fontId="6" fillId="0" borderId="25" xfId="0" applyFont="1" applyBorder="1" applyAlignment="1" applyProtection="1">
      <alignment horizontal="center" vertical="center"/>
      <protection hidden="1"/>
    </xf>
    <xf numFmtId="0" fontId="1" fillId="7" borderId="4" xfId="0" applyFont="1" applyFill="1" applyBorder="1" applyAlignment="1" applyProtection="1">
      <alignment horizontal="left" vertical="center" wrapText="1"/>
      <protection hidden="1"/>
    </xf>
    <xf numFmtId="0" fontId="2" fillId="7" borderId="4" xfId="0" applyFont="1" applyFill="1" applyBorder="1" applyAlignment="1">
      <alignment horizontal="left" vertical="center" wrapText="1"/>
    </xf>
    <xf numFmtId="49" fontId="2" fillId="7" borderId="4" xfId="0" applyNumberFormat="1" applyFont="1" applyFill="1" applyBorder="1" applyAlignment="1" applyProtection="1">
      <alignment horizontal="left" vertical="center" wrapText="1"/>
      <protection hidden="1"/>
    </xf>
    <xf numFmtId="0" fontId="2" fillId="7" borderId="12" xfId="0" applyFont="1" applyFill="1" applyBorder="1" applyAlignment="1">
      <alignment horizontal="left" vertical="center" wrapText="1"/>
    </xf>
    <xf numFmtId="0" fontId="2" fillId="7" borderId="4" xfId="0" applyFont="1" applyFill="1" applyBorder="1" applyAlignment="1" applyProtection="1">
      <alignment horizontal="right" vertical="center"/>
      <protection hidden="1"/>
    </xf>
    <xf numFmtId="0" fontId="2" fillId="7" borderId="4" xfId="0" applyFont="1" applyFill="1" applyBorder="1" applyAlignment="1">
      <alignment horizontal="right" vertical="center"/>
    </xf>
    <xf numFmtId="49" fontId="2" fillId="7" borderId="4" xfId="0" applyNumberFormat="1" applyFont="1" applyFill="1" applyBorder="1" applyAlignment="1" applyProtection="1">
      <alignment horizontal="left" vertical="center"/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61"/>
  <sheetViews>
    <sheetView tabSelected="1" showWhiteSpace="0" view="pageLayout" topLeftCell="A148" zoomScaleNormal="100" workbookViewId="0">
      <selection activeCell="S157" sqref="S157"/>
    </sheetView>
  </sheetViews>
  <sheetFormatPr defaultColWidth="8.42578125" defaultRowHeight="15" x14ac:dyDescent="0.25"/>
  <cols>
    <col min="1" max="1" width="2.140625" customWidth="1"/>
    <col min="2" max="3" width="4.28515625" customWidth="1"/>
    <col min="4" max="5" width="3.85546875" style="1" customWidth="1"/>
    <col min="6" max="7" width="4.28515625" customWidth="1"/>
    <col min="8" max="9" width="3.85546875" style="1" customWidth="1"/>
    <col min="10" max="11" width="4.28515625" customWidth="1"/>
    <col min="12" max="12" width="3.85546875" style="1" customWidth="1"/>
    <col min="13" max="13" width="4.42578125" style="1" customWidth="1"/>
    <col min="14" max="14" width="4.7109375" customWidth="1"/>
    <col min="15" max="15" width="4.28515625" customWidth="1"/>
    <col min="16" max="17" width="3.85546875" style="1" customWidth="1"/>
    <col min="18" max="21" width="3.85546875" customWidth="1"/>
    <col min="22" max="22" width="2.140625" customWidth="1"/>
    <col min="23" max="23" width="2.42578125" customWidth="1"/>
    <col min="24" max="25" width="4" customWidth="1"/>
    <col min="26" max="26" width="3.7109375" customWidth="1"/>
    <col min="27" max="27" width="5.140625" customWidth="1"/>
    <col min="28" max="28" width="4.140625" customWidth="1"/>
    <col min="29" max="29" width="5" customWidth="1"/>
    <col min="30" max="30" width="4.5703125" customWidth="1"/>
    <col min="31" max="31" width="4.7109375" customWidth="1"/>
    <col min="32" max="32" width="3.7109375" customWidth="1"/>
    <col min="33" max="33" width="4.140625" customWidth="1"/>
    <col min="34" max="34" width="4" customWidth="1"/>
    <col min="35" max="35" width="4.140625" customWidth="1"/>
    <col min="36" max="36" width="4" customWidth="1"/>
    <col min="37" max="37" width="4.85546875" customWidth="1"/>
    <col min="38" max="38" width="4.42578125" customWidth="1"/>
    <col min="39" max="39" width="4" customWidth="1"/>
    <col min="40" max="40" width="3.85546875" customWidth="1"/>
    <col min="41" max="41" width="3.7109375" customWidth="1"/>
    <col min="42" max="42" width="3.140625" customWidth="1"/>
    <col min="43" max="43" width="3" customWidth="1"/>
    <col min="44" max="44" width="2.85546875" customWidth="1"/>
  </cols>
  <sheetData>
    <row r="1" spans="1:44" s="2" customFormat="1" x14ac:dyDescent="0.25">
      <c r="A1" s="3" t="s">
        <v>0</v>
      </c>
      <c r="B1" s="3"/>
      <c r="C1" s="3"/>
      <c r="D1" s="4"/>
      <c r="E1" s="5"/>
      <c r="F1" s="3"/>
      <c r="G1" s="3"/>
      <c r="H1" s="4"/>
      <c r="I1" s="4"/>
      <c r="J1" s="3"/>
      <c r="K1" s="3"/>
      <c r="L1" s="4"/>
      <c r="M1" s="4"/>
      <c r="N1" s="3"/>
      <c r="O1" s="3"/>
      <c r="P1" s="4"/>
      <c r="Q1" s="4"/>
      <c r="R1" s="3"/>
      <c r="S1" s="3"/>
      <c r="T1" s="3"/>
      <c r="U1" s="3"/>
      <c r="V1" s="3"/>
      <c r="W1" s="3"/>
      <c r="X1" s="3"/>
      <c r="Y1" s="3"/>
      <c r="Z1" s="4"/>
      <c r="AA1" s="5"/>
      <c r="AB1" s="3"/>
      <c r="AC1" s="3"/>
      <c r="AD1" s="4"/>
      <c r="AE1" s="4"/>
      <c r="AF1" s="3"/>
      <c r="AG1" s="3"/>
      <c r="AH1" s="4"/>
      <c r="AI1" s="4"/>
      <c r="AJ1" s="3"/>
      <c r="AK1" s="3"/>
      <c r="AL1" s="4"/>
      <c r="AM1" s="4"/>
      <c r="AN1" s="3"/>
      <c r="AO1" s="3"/>
      <c r="AP1" s="3"/>
      <c r="AQ1" s="3"/>
      <c r="AR1" s="3"/>
    </row>
    <row r="2" spans="1:44" ht="15.6" customHeight="1" x14ac:dyDescent="0.3">
      <c r="A2" s="3"/>
      <c r="B2" s="3"/>
      <c r="C2" s="3"/>
      <c r="D2" s="4"/>
      <c r="E2" s="6" t="s">
        <v>1</v>
      </c>
      <c r="F2" s="3"/>
      <c r="G2" s="7"/>
      <c r="H2" s="8"/>
      <c r="I2" s="8"/>
      <c r="J2" s="7"/>
      <c r="K2" s="7"/>
      <c r="L2" s="8"/>
      <c r="M2" s="9" t="s">
        <v>2</v>
      </c>
      <c r="N2" s="66" t="s">
        <v>3</v>
      </c>
      <c r="O2" s="67"/>
      <c r="P2" s="4"/>
      <c r="Q2" s="4"/>
      <c r="R2" s="3"/>
      <c r="S2" s="3"/>
      <c r="T2" s="3"/>
      <c r="U2" s="3"/>
      <c r="V2" s="3"/>
      <c r="W2" s="3"/>
      <c r="X2" s="3"/>
      <c r="Y2" s="3"/>
      <c r="Z2" s="3"/>
      <c r="AA2" s="3"/>
      <c r="AB2" s="10"/>
      <c r="AC2" s="3"/>
      <c r="AD2" s="3"/>
      <c r="AE2" s="3"/>
      <c r="AF2" s="3"/>
      <c r="AG2" s="3"/>
      <c r="AH2" s="3"/>
      <c r="AI2" s="3"/>
      <c r="AJ2" s="11"/>
      <c r="AK2" s="68"/>
      <c r="AL2" s="68"/>
      <c r="AM2" s="3"/>
      <c r="AN2" s="3"/>
      <c r="AO2" s="3"/>
      <c r="AP2" s="3"/>
      <c r="AQ2" s="3"/>
      <c r="AR2" s="3"/>
    </row>
    <row r="3" spans="1:44" ht="15.6" customHeight="1" x14ac:dyDescent="0.3">
      <c r="A3" s="3"/>
      <c r="B3" s="3"/>
      <c r="C3" s="3"/>
      <c r="D3" s="4"/>
      <c r="E3" s="6" t="s">
        <v>4</v>
      </c>
      <c r="F3" s="3"/>
      <c r="G3" s="3"/>
      <c r="H3" s="4"/>
      <c r="I3" s="4"/>
      <c r="J3" s="13"/>
      <c r="K3" s="13"/>
      <c r="L3" s="14"/>
      <c r="M3" s="9" t="s">
        <v>5</v>
      </c>
      <c r="N3" s="69" t="s">
        <v>6</v>
      </c>
      <c r="O3" s="69"/>
      <c r="P3" s="4"/>
      <c r="Q3" s="4"/>
      <c r="R3" s="3"/>
      <c r="S3" s="3"/>
      <c r="T3" s="3"/>
      <c r="U3" s="3"/>
      <c r="V3" s="3"/>
      <c r="W3" s="3"/>
      <c r="X3" s="3"/>
      <c r="Y3" s="3"/>
      <c r="Z3" s="3"/>
      <c r="AA3" s="3"/>
      <c r="AB3" s="10"/>
      <c r="AC3" s="3"/>
      <c r="AD3" s="3"/>
      <c r="AE3" s="3"/>
      <c r="AF3" s="3"/>
      <c r="AG3" s="3"/>
      <c r="AH3" s="3"/>
      <c r="AI3" s="3"/>
      <c r="AJ3" s="11"/>
      <c r="AK3" s="70"/>
      <c r="AL3" s="70"/>
      <c r="AM3" s="3"/>
      <c r="AN3" s="3"/>
      <c r="AO3" s="3"/>
      <c r="AP3" s="3"/>
      <c r="AQ3" s="3"/>
      <c r="AR3" s="3"/>
    </row>
    <row r="4" spans="1:44" ht="15.6" customHeight="1" x14ac:dyDescent="0.3">
      <c r="A4" s="3"/>
      <c r="B4" s="3"/>
      <c r="C4" s="3"/>
      <c r="D4" s="4"/>
      <c r="E4" s="4" t="s">
        <v>7</v>
      </c>
      <c r="F4" s="3"/>
      <c r="G4" s="3"/>
      <c r="H4" s="8"/>
      <c r="I4" s="8"/>
      <c r="J4" s="7"/>
      <c r="K4" s="7"/>
      <c r="L4" s="8"/>
      <c r="M4" s="16" t="s">
        <v>5</v>
      </c>
      <c r="N4" s="17">
        <v>1</v>
      </c>
      <c r="O4" s="3"/>
      <c r="P4" s="4"/>
      <c r="Q4" s="4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18"/>
      <c r="AK4" s="17"/>
      <c r="AL4" s="3"/>
      <c r="AM4" s="3"/>
      <c r="AN4" s="3"/>
      <c r="AO4" s="3"/>
      <c r="AP4" s="3"/>
      <c r="AQ4" s="3"/>
      <c r="AR4" s="3"/>
    </row>
    <row r="5" spans="1:44" ht="15.6" customHeight="1" x14ac:dyDescent="0.3">
      <c r="A5" s="3"/>
      <c r="B5" s="3"/>
      <c r="C5" s="3"/>
      <c r="D5" s="4"/>
      <c r="E5" s="4" t="s">
        <v>8</v>
      </c>
      <c r="F5" s="3"/>
      <c r="G5" s="3"/>
      <c r="H5" s="4"/>
      <c r="I5" s="4"/>
      <c r="J5" s="3"/>
      <c r="K5" s="3"/>
      <c r="L5" s="14"/>
      <c r="M5" s="16" t="s">
        <v>5</v>
      </c>
      <c r="N5" s="17" t="s">
        <v>9</v>
      </c>
      <c r="O5" s="19"/>
      <c r="P5" s="4"/>
      <c r="Q5" s="4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18"/>
      <c r="AK5" s="17"/>
      <c r="AL5" s="20"/>
      <c r="AM5" s="3"/>
      <c r="AN5" s="3"/>
      <c r="AO5" s="3"/>
      <c r="AP5" s="3"/>
      <c r="AQ5" s="3"/>
      <c r="AR5" s="3"/>
    </row>
    <row r="6" spans="1:44" ht="15.6" customHeight="1" x14ac:dyDescent="0.3">
      <c r="A6" s="3"/>
      <c r="B6" s="3"/>
      <c r="C6" s="3"/>
      <c r="D6" s="4"/>
      <c r="E6" s="21" t="s">
        <v>10</v>
      </c>
      <c r="F6" s="3"/>
      <c r="G6" s="3"/>
      <c r="H6" s="4"/>
      <c r="I6" s="8"/>
      <c r="J6" s="7"/>
      <c r="K6" s="7"/>
      <c r="L6" s="8"/>
      <c r="M6" s="16" t="s">
        <v>5</v>
      </c>
      <c r="N6" s="22">
        <v>1</v>
      </c>
      <c r="O6" s="3"/>
      <c r="P6" s="4"/>
      <c r="Q6" s="4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18"/>
      <c r="AK6" s="17"/>
      <c r="AL6" s="3"/>
      <c r="AM6" s="3"/>
      <c r="AN6" s="3"/>
      <c r="AO6" s="3"/>
      <c r="AP6" s="3"/>
      <c r="AQ6" s="3"/>
      <c r="AR6" s="3"/>
    </row>
    <row r="7" spans="1:44" ht="15.6" customHeight="1" x14ac:dyDescent="0.25">
      <c r="A7" s="3"/>
      <c r="B7" s="3"/>
      <c r="C7" s="3"/>
      <c r="D7" s="4"/>
      <c r="E7" s="4"/>
      <c r="F7" s="3"/>
      <c r="G7" s="3"/>
      <c r="H7" s="4"/>
      <c r="I7" s="4"/>
      <c r="J7" s="3"/>
      <c r="K7" s="3"/>
      <c r="L7" s="4"/>
      <c r="M7" s="4"/>
      <c r="N7" s="3"/>
      <c r="O7" s="3"/>
      <c r="P7" s="4"/>
      <c r="Q7" s="4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23"/>
      <c r="AL7" s="3"/>
      <c r="AM7" s="3"/>
      <c r="AN7" s="3"/>
      <c r="AO7" s="3"/>
      <c r="AP7" s="3"/>
      <c r="AQ7" s="3"/>
      <c r="AR7" s="3"/>
    </row>
    <row r="8" spans="1:44" ht="15.6" customHeight="1" x14ac:dyDescent="0.25">
      <c r="A8" s="24"/>
      <c r="B8" s="25"/>
      <c r="C8" s="25"/>
      <c r="D8" s="26"/>
      <c r="E8" s="26"/>
      <c r="F8" s="25"/>
      <c r="G8" s="25"/>
      <c r="H8" s="26"/>
      <c r="I8" s="26"/>
      <c r="J8" s="25"/>
      <c r="K8" s="25"/>
      <c r="L8" s="26"/>
      <c r="M8" s="26"/>
      <c r="N8" s="25"/>
      <c r="O8" s="25"/>
      <c r="P8" s="26"/>
      <c r="Q8" s="26"/>
      <c r="R8" s="25"/>
      <c r="S8" s="25"/>
      <c r="T8" s="25"/>
      <c r="U8" s="25"/>
      <c r="V8" s="25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23"/>
      <c r="AL8" s="3"/>
      <c r="AM8" s="3"/>
      <c r="AN8" s="3"/>
      <c r="AO8" s="3"/>
      <c r="AP8" s="3"/>
      <c r="AQ8" s="3"/>
      <c r="AR8" s="3"/>
    </row>
    <row r="9" spans="1:44" ht="15.6" customHeight="1" x14ac:dyDescent="0.25">
      <c r="A9" s="27"/>
      <c r="B9" s="28"/>
      <c r="C9" s="28"/>
      <c r="D9" s="71">
        <v>1</v>
      </c>
      <c r="E9" s="72"/>
      <c r="F9" s="28"/>
      <c r="G9" s="28"/>
      <c r="H9" s="71">
        <v>2</v>
      </c>
      <c r="I9" s="72"/>
      <c r="J9" s="28"/>
      <c r="K9" s="28"/>
      <c r="L9" s="71">
        <v>3</v>
      </c>
      <c r="M9" s="72"/>
      <c r="N9" s="28"/>
      <c r="O9" s="28"/>
      <c r="P9" s="71">
        <v>4</v>
      </c>
      <c r="Q9" s="72"/>
      <c r="R9" s="28"/>
      <c r="S9" s="28"/>
      <c r="T9" s="28"/>
      <c r="U9" s="28"/>
      <c r="V9" s="3"/>
      <c r="W9" s="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29"/>
      <c r="AO9" s="29"/>
      <c r="AP9" s="30"/>
      <c r="AQ9" s="30"/>
      <c r="AR9" s="2"/>
    </row>
    <row r="10" spans="1:44" ht="15.6" customHeight="1" x14ac:dyDescent="0.25">
      <c r="A10" s="27"/>
      <c r="B10" s="74" t="s">
        <v>11</v>
      </c>
      <c r="C10" s="74"/>
      <c r="D10" s="71" t="s">
        <v>12</v>
      </c>
      <c r="E10" s="72"/>
      <c r="F10" s="74" t="s">
        <v>11</v>
      </c>
      <c r="G10" s="74"/>
      <c r="H10" s="71" t="s">
        <v>12</v>
      </c>
      <c r="I10" s="72"/>
      <c r="J10" s="74" t="s">
        <v>11</v>
      </c>
      <c r="K10" s="74"/>
      <c r="L10" s="71" t="s">
        <v>12</v>
      </c>
      <c r="M10" s="72"/>
      <c r="N10" s="74" t="s">
        <v>11</v>
      </c>
      <c r="O10" s="74"/>
      <c r="P10" s="71" t="s">
        <v>12</v>
      </c>
      <c r="Q10" s="72"/>
      <c r="R10" s="74"/>
      <c r="S10" s="74"/>
      <c r="T10" s="74"/>
      <c r="U10" s="74"/>
      <c r="V10" s="30"/>
      <c r="W10" s="3"/>
      <c r="X10" s="73"/>
      <c r="Y10" s="73"/>
      <c r="Z10" s="73"/>
      <c r="AA10" s="73"/>
      <c r="AB10" s="75"/>
      <c r="AC10" s="75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6"/>
      <c r="AQ10" s="76"/>
      <c r="AR10" s="2"/>
    </row>
    <row r="11" spans="1:44" ht="15.6" customHeight="1" x14ac:dyDescent="0.25">
      <c r="A11" s="27"/>
      <c r="B11" s="76"/>
      <c r="C11" s="76"/>
      <c r="D11" s="77"/>
      <c r="E11" s="77"/>
      <c r="F11" s="76"/>
      <c r="G11" s="76"/>
      <c r="H11" s="77"/>
      <c r="I11" s="77"/>
      <c r="J11" s="76"/>
      <c r="K11" s="76"/>
      <c r="L11" s="77"/>
      <c r="M11" s="77"/>
      <c r="N11" s="76"/>
      <c r="O11" s="76"/>
      <c r="P11" s="77"/>
      <c r="Q11" s="77"/>
      <c r="R11" s="76"/>
      <c r="S11" s="76"/>
      <c r="T11" s="76"/>
      <c r="U11" s="76"/>
      <c r="V11" s="30"/>
      <c r="W11" s="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3"/>
      <c r="AQ11" s="73"/>
      <c r="AR11" s="2"/>
    </row>
    <row r="12" spans="1:44" ht="15.6" customHeight="1" x14ac:dyDescent="0.25">
      <c r="A12" s="27"/>
      <c r="B12" s="74">
        <v>0</v>
      </c>
      <c r="C12" s="74"/>
      <c r="D12" s="78">
        <v>1</v>
      </c>
      <c r="E12" s="78"/>
      <c r="F12" s="74">
        <v>2</v>
      </c>
      <c r="G12" s="74"/>
      <c r="H12" s="78">
        <v>3</v>
      </c>
      <c r="I12" s="78"/>
      <c r="J12" s="74">
        <v>4</v>
      </c>
      <c r="K12" s="74"/>
      <c r="L12" s="78">
        <v>5</v>
      </c>
      <c r="M12" s="78"/>
      <c r="N12" s="74">
        <v>6</v>
      </c>
      <c r="O12" s="74"/>
      <c r="P12" s="78">
        <v>7</v>
      </c>
      <c r="Q12" s="78"/>
      <c r="R12" s="74">
        <v>8</v>
      </c>
      <c r="S12" s="74"/>
      <c r="T12" s="74">
        <v>9</v>
      </c>
      <c r="U12" s="74"/>
      <c r="V12" s="32"/>
      <c r="W12" s="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  <c r="AO12" s="73"/>
      <c r="AP12" s="76"/>
      <c r="AQ12" s="76"/>
    </row>
    <row r="13" spans="1:44" ht="15.6" customHeight="1" x14ac:dyDescent="0.25">
      <c r="A13" s="27"/>
      <c r="B13" s="28" t="s">
        <v>13</v>
      </c>
      <c r="C13" s="28" t="s">
        <v>14</v>
      </c>
      <c r="D13" s="31" t="s">
        <v>15</v>
      </c>
      <c r="E13" s="31" t="s">
        <v>16</v>
      </c>
      <c r="F13" s="28" t="s">
        <v>13</v>
      </c>
      <c r="G13" s="28" t="s">
        <v>14</v>
      </c>
      <c r="H13" s="31" t="s">
        <v>15</v>
      </c>
      <c r="I13" s="31" t="s">
        <v>16</v>
      </c>
      <c r="J13" s="28" t="s">
        <v>13</v>
      </c>
      <c r="K13" s="28" t="s">
        <v>14</v>
      </c>
      <c r="L13" s="31" t="s">
        <v>15</v>
      </c>
      <c r="M13" s="31" t="s">
        <v>16</v>
      </c>
      <c r="N13" s="28" t="s">
        <v>13</v>
      </c>
      <c r="O13" s="28" t="s">
        <v>14</v>
      </c>
      <c r="P13" s="31" t="s">
        <v>15</v>
      </c>
      <c r="Q13" s="31" t="s">
        <v>16</v>
      </c>
      <c r="R13" s="28" t="s">
        <v>13</v>
      </c>
      <c r="S13" s="28" t="s">
        <v>14</v>
      </c>
      <c r="T13" s="28" t="s">
        <v>15</v>
      </c>
      <c r="U13" s="28" t="s">
        <v>16</v>
      </c>
      <c r="V13" s="32"/>
      <c r="W13" s="3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30"/>
      <c r="AQ13" s="30"/>
    </row>
    <row r="14" spans="1:44" ht="15.6" customHeight="1" x14ac:dyDescent="0.25">
      <c r="A14" s="33"/>
      <c r="B14" s="34"/>
      <c r="C14" s="34"/>
      <c r="D14" s="35"/>
      <c r="E14" s="36"/>
      <c r="F14" s="34"/>
      <c r="G14" s="34"/>
      <c r="H14" s="35"/>
      <c r="I14" s="36"/>
      <c r="J14" s="34"/>
      <c r="K14" s="34"/>
      <c r="L14" s="35"/>
      <c r="M14" s="36"/>
      <c r="N14" s="34"/>
      <c r="O14" s="34"/>
      <c r="P14" s="35"/>
      <c r="Q14" s="36"/>
      <c r="R14" s="34"/>
      <c r="S14" s="34"/>
      <c r="T14" s="34"/>
      <c r="U14" s="34"/>
      <c r="V14" s="37"/>
      <c r="W14" s="3"/>
      <c r="X14" s="38"/>
      <c r="Y14" s="38"/>
      <c r="Z14" s="38"/>
      <c r="AA14" s="38"/>
      <c r="AB14" s="30"/>
      <c r="AC14" s="30"/>
      <c r="AD14" s="30"/>
      <c r="AE14" s="30"/>
      <c r="AF14" s="30"/>
      <c r="AG14" s="30"/>
      <c r="AH14" s="30"/>
      <c r="AI14" s="30"/>
      <c r="AJ14" s="30"/>
      <c r="AK14" s="39"/>
      <c r="AL14" s="30"/>
      <c r="AM14" s="30"/>
      <c r="AN14" s="30"/>
      <c r="AO14" s="30"/>
      <c r="AP14" s="30"/>
      <c r="AQ14" s="30"/>
    </row>
    <row r="15" spans="1:44" ht="15.6" customHeight="1" x14ac:dyDescent="0.25">
      <c r="A15" s="3"/>
      <c r="B15" s="79" t="s">
        <v>17</v>
      </c>
      <c r="C15" s="80"/>
      <c r="D15" s="82" t="s">
        <v>18</v>
      </c>
      <c r="E15" s="80"/>
      <c r="F15" s="79" t="s">
        <v>19</v>
      </c>
      <c r="G15" s="80"/>
      <c r="H15" s="82" t="s">
        <v>20</v>
      </c>
      <c r="I15" s="80"/>
      <c r="J15" s="79" t="s">
        <v>21</v>
      </c>
      <c r="K15" s="80"/>
      <c r="L15" s="82" t="s">
        <v>22</v>
      </c>
      <c r="M15" s="80"/>
      <c r="N15" s="79" t="s">
        <v>23</v>
      </c>
      <c r="O15" s="80"/>
      <c r="P15" s="82" t="s">
        <v>24</v>
      </c>
      <c r="Q15" s="80"/>
      <c r="R15" s="30"/>
      <c r="S15" s="30"/>
      <c r="T15" s="30"/>
      <c r="U15" s="30"/>
      <c r="V15" s="32"/>
      <c r="W15" s="3"/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6"/>
      <c r="AI15" s="76"/>
      <c r="AJ15" s="76"/>
      <c r="AK15" s="76"/>
      <c r="AL15" s="76"/>
      <c r="AM15" s="76"/>
      <c r="AN15" s="76"/>
      <c r="AO15" s="76"/>
      <c r="AP15" s="76"/>
      <c r="AQ15" s="76"/>
    </row>
    <row r="16" spans="1:44" ht="15.6" customHeight="1" x14ac:dyDescent="0.25">
      <c r="A16" s="3"/>
      <c r="B16" s="81"/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76"/>
      <c r="S16" s="76"/>
      <c r="T16" s="76"/>
      <c r="U16" s="76"/>
      <c r="V16" s="32"/>
      <c r="W16" s="3"/>
      <c r="X16" s="76"/>
      <c r="Y16" s="76"/>
      <c r="Z16" s="76"/>
      <c r="AA16" s="76"/>
      <c r="AB16" s="76"/>
      <c r="AC16" s="76"/>
      <c r="AD16" s="76"/>
      <c r="AE16" s="76"/>
      <c r="AF16" s="76"/>
      <c r="AG16" s="76"/>
      <c r="AH16" s="76"/>
      <c r="AI16" s="76"/>
      <c r="AJ16" s="76"/>
      <c r="AK16" s="76"/>
      <c r="AL16" s="76"/>
      <c r="AM16" s="76"/>
      <c r="AN16" s="76"/>
      <c r="AO16" s="76"/>
      <c r="AP16" s="76"/>
      <c r="AQ16" s="76"/>
    </row>
    <row r="17" spans="1:44" ht="15.6" customHeight="1" x14ac:dyDescent="0.25">
      <c r="A17" s="3"/>
      <c r="B17" s="83" t="s">
        <v>25</v>
      </c>
      <c r="C17" s="84"/>
      <c r="D17" s="85" t="s">
        <v>26</v>
      </c>
      <c r="E17" s="86"/>
      <c r="F17" s="83" t="s">
        <v>25</v>
      </c>
      <c r="G17" s="84"/>
      <c r="H17" s="85" t="s">
        <v>27</v>
      </c>
      <c r="I17" s="86"/>
      <c r="J17" s="83" t="s">
        <v>25</v>
      </c>
      <c r="K17" s="84"/>
      <c r="L17" s="85" t="s">
        <v>28</v>
      </c>
      <c r="M17" s="86"/>
      <c r="N17" s="83" t="s">
        <v>25</v>
      </c>
      <c r="O17" s="84"/>
      <c r="P17" s="85" t="s">
        <v>29</v>
      </c>
      <c r="Q17" s="86"/>
      <c r="R17" s="30"/>
      <c r="S17" s="30"/>
      <c r="T17" s="30"/>
      <c r="U17" s="30"/>
      <c r="V17" s="32"/>
      <c r="W17" s="3"/>
      <c r="X17" s="3"/>
      <c r="Y17" s="3"/>
      <c r="Z17" s="3"/>
      <c r="AA17" s="3"/>
      <c r="AB17" s="30"/>
      <c r="AC17" s="3"/>
      <c r="AD17" s="3"/>
      <c r="AE17" s="3"/>
      <c r="AF17" s="3"/>
      <c r="AG17" s="3"/>
      <c r="AH17" s="3"/>
      <c r="AI17" s="3"/>
      <c r="AJ17" s="3"/>
      <c r="AK17" s="23"/>
      <c r="AL17" s="3"/>
      <c r="AM17" s="3"/>
      <c r="AN17" s="3"/>
      <c r="AO17" s="3"/>
      <c r="AP17" s="3"/>
      <c r="AQ17" s="3"/>
    </row>
    <row r="18" spans="1:44" ht="15.6" customHeight="1" x14ac:dyDescent="0.25">
      <c r="A18" s="3"/>
      <c r="B18" s="3"/>
      <c r="C18" s="3"/>
      <c r="D18" s="4"/>
      <c r="E18" s="4"/>
      <c r="F18" s="3"/>
      <c r="G18" s="3"/>
      <c r="H18" s="4"/>
      <c r="I18" s="4"/>
      <c r="J18" s="3"/>
      <c r="K18" s="3"/>
      <c r="L18" s="4"/>
      <c r="M18" s="4"/>
      <c r="N18" s="3"/>
      <c r="O18" s="3"/>
      <c r="P18" s="4"/>
      <c r="Q18" s="4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</row>
    <row r="19" spans="1:44" ht="15.6" customHeight="1" x14ac:dyDescent="0.25">
      <c r="A19" s="3"/>
      <c r="B19" s="3"/>
      <c r="C19" s="3"/>
      <c r="D19" s="4"/>
      <c r="E19" s="5" t="s">
        <v>30</v>
      </c>
      <c r="F19" s="87" t="s">
        <v>31</v>
      </c>
      <c r="G19" s="87"/>
      <c r="H19" s="87"/>
      <c r="I19" s="87" t="s">
        <v>32</v>
      </c>
      <c r="J19" s="87"/>
      <c r="K19" s="3"/>
      <c r="L19" s="4"/>
      <c r="M19" s="4"/>
      <c r="N19" s="3"/>
      <c r="O19" s="30" t="s">
        <v>33</v>
      </c>
      <c r="P19" s="4" t="s">
        <v>34</v>
      </c>
      <c r="Q19" s="4"/>
      <c r="R19" s="3"/>
      <c r="S19" s="3" t="s">
        <v>35</v>
      </c>
      <c r="T19" s="3"/>
      <c r="U19" s="3"/>
      <c r="V19" s="3"/>
      <c r="W19" s="3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7"/>
      <c r="AQ19" s="87"/>
      <c r="AR19" s="3"/>
    </row>
    <row r="20" spans="1:44" ht="15.6" customHeight="1" x14ac:dyDescent="0.25">
      <c r="A20" s="3"/>
      <c r="B20" s="3"/>
      <c r="C20" s="3"/>
      <c r="D20" s="4"/>
      <c r="E20" s="5" t="s">
        <v>36</v>
      </c>
      <c r="F20" s="87" t="s">
        <v>37</v>
      </c>
      <c r="G20" s="87"/>
      <c r="H20" s="87"/>
      <c r="I20" s="4" t="s">
        <v>38</v>
      </c>
      <c r="J20" s="3"/>
      <c r="K20" s="3"/>
      <c r="L20" s="4"/>
      <c r="M20" s="4"/>
      <c r="N20" s="3"/>
      <c r="O20" s="30" t="s">
        <v>39</v>
      </c>
      <c r="P20" s="4" t="s">
        <v>34</v>
      </c>
      <c r="Q20" s="4"/>
      <c r="R20" s="3"/>
      <c r="S20" s="3" t="s">
        <v>40</v>
      </c>
      <c r="T20" s="3"/>
      <c r="U20" s="3"/>
      <c r="V20" s="3"/>
      <c r="W20" s="3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7"/>
      <c r="AQ20" s="87"/>
      <c r="AR20" s="3"/>
    </row>
    <row r="21" spans="1:44" s="2" customFormat="1" ht="15.6" customHeight="1" x14ac:dyDescent="0.25">
      <c r="A21" s="3" t="s">
        <v>0</v>
      </c>
      <c r="B21" s="3"/>
      <c r="C21" s="3"/>
      <c r="D21" s="4"/>
      <c r="E21" s="5"/>
      <c r="F21" s="3"/>
      <c r="G21" s="3"/>
      <c r="H21" s="4"/>
      <c r="I21" s="4"/>
      <c r="J21" s="3"/>
      <c r="K21" s="3"/>
      <c r="L21" s="4"/>
      <c r="M21" s="4"/>
      <c r="N21" s="3"/>
      <c r="O21" s="3"/>
      <c r="P21" s="4"/>
      <c r="Q21" s="4"/>
      <c r="R21" s="3"/>
      <c r="S21" s="3"/>
      <c r="T21" s="3"/>
      <c r="U21" s="3"/>
      <c r="V21" s="3"/>
      <c r="W21" s="3"/>
      <c r="X21" s="87"/>
      <c r="Y21" s="87"/>
      <c r="Z21" s="87"/>
      <c r="AA21" s="87"/>
      <c r="AB21" s="87"/>
      <c r="AC21" s="87"/>
      <c r="AD21" s="87"/>
      <c r="AE21" s="87"/>
      <c r="AF21" s="87"/>
      <c r="AG21" s="87"/>
      <c r="AH21" s="87"/>
      <c r="AI21" s="87"/>
      <c r="AJ21" s="87"/>
      <c r="AK21" s="87"/>
      <c r="AL21" s="87"/>
      <c r="AM21" s="87"/>
      <c r="AN21" s="87"/>
      <c r="AO21" s="87"/>
      <c r="AP21" s="87"/>
      <c r="AQ21" s="87"/>
      <c r="AR21" s="3"/>
    </row>
    <row r="22" spans="1:44" ht="15.6" customHeight="1" x14ac:dyDescent="0.3">
      <c r="A22" s="3"/>
      <c r="B22" s="3"/>
      <c r="C22" s="3"/>
      <c r="D22" s="4"/>
      <c r="E22" s="6" t="s">
        <v>1</v>
      </c>
      <c r="F22" s="3"/>
      <c r="G22" s="7"/>
      <c r="H22" s="8"/>
      <c r="I22" s="8"/>
      <c r="J22" s="7"/>
      <c r="K22" s="7"/>
      <c r="L22" s="8"/>
      <c r="M22" s="9" t="s">
        <v>2</v>
      </c>
      <c r="N22" s="66" t="s">
        <v>3</v>
      </c>
      <c r="O22" s="67"/>
      <c r="P22" s="4"/>
      <c r="Q22" s="4"/>
      <c r="R22" s="3"/>
      <c r="S22" s="3"/>
      <c r="T22" s="3"/>
      <c r="U22" s="3"/>
      <c r="V22" s="3"/>
      <c r="W22" s="3"/>
      <c r="X22" s="3"/>
      <c r="Y22" s="3"/>
      <c r="Z22" s="3"/>
      <c r="AA22" s="3"/>
      <c r="AB22" s="10"/>
      <c r="AC22" s="3"/>
      <c r="AD22" s="3"/>
      <c r="AE22" s="3"/>
      <c r="AF22" s="3"/>
      <c r="AG22" s="3"/>
      <c r="AH22" s="3"/>
      <c r="AI22" s="3"/>
      <c r="AJ22" s="11"/>
      <c r="AK22" s="68"/>
      <c r="AL22" s="68"/>
      <c r="AM22" s="3"/>
      <c r="AN22" s="3"/>
      <c r="AO22" s="3"/>
      <c r="AP22" s="3"/>
      <c r="AQ22" s="3"/>
      <c r="AR22" s="3"/>
    </row>
    <row r="23" spans="1:44" ht="15.6" customHeight="1" x14ac:dyDescent="0.3">
      <c r="A23" s="3"/>
      <c r="B23" s="3"/>
      <c r="C23" s="3"/>
      <c r="D23" s="4"/>
      <c r="E23" s="6" t="s">
        <v>4</v>
      </c>
      <c r="F23" s="3"/>
      <c r="G23" s="3"/>
      <c r="H23" s="4"/>
      <c r="I23" s="4"/>
      <c r="J23" s="13"/>
      <c r="K23" s="13"/>
      <c r="L23" s="14"/>
      <c r="M23" s="9" t="s">
        <v>5</v>
      </c>
      <c r="N23" s="69" t="s">
        <v>6</v>
      </c>
      <c r="O23" s="69"/>
      <c r="P23" s="4"/>
      <c r="Q23" s="4"/>
      <c r="R23" s="3"/>
      <c r="S23" s="3"/>
      <c r="T23" s="3"/>
      <c r="U23" s="3"/>
      <c r="V23" s="3"/>
      <c r="W23" s="3"/>
      <c r="X23" s="3"/>
      <c r="Y23" s="3"/>
      <c r="Z23" s="3"/>
      <c r="AA23" s="3"/>
      <c r="AB23" s="10"/>
      <c r="AC23" s="3"/>
      <c r="AD23" s="3"/>
      <c r="AE23" s="3"/>
      <c r="AF23" s="3"/>
      <c r="AG23" s="3"/>
      <c r="AH23" s="3"/>
      <c r="AI23" s="3"/>
      <c r="AJ23" s="11"/>
      <c r="AK23" s="70"/>
      <c r="AL23" s="70"/>
      <c r="AM23" s="3"/>
      <c r="AN23" s="3"/>
      <c r="AO23" s="3"/>
      <c r="AP23" s="3"/>
      <c r="AQ23" s="3"/>
      <c r="AR23" s="3"/>
    </row>
    <row r="24" spans="1:44" ht="15.6" customHeight="1" x14ac:dyDescent="0.3">
      <c r="A24" s="3"/>
      <c r="B24" s="3"/>
      <c r="C24" s="3"/>
      <c r="D24" s="4"/>
      <c r="E24" s="4" t="s">
        <v>7</v>
      </c>
      <c r="F24" s="3"/>
      <c r="G24" s="3"/>
      <c r="H24" s="8"/>
      <c r="I24" s="8"/>
      <c r="J24" s="7"/>
      <c r="K24" s="7"/>
      <c r="L24" s="8"/>
      <c r="M24" s="16" t="s">
        <v>5</v>
      </c>
      <c r="N24" s="17">
        <v>1</v>
      </c>
      <c r="O24" s="3"/>
      <c r="P24" s="4"/>
      <c r="Q24" s="4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18"/>
      <c r="AK24" s="17"/>
      <c r="AL24" s="3"/>
      <c r="AM24" s="3"/>
      <c r="AN24" s="3"/>
      <c r="AO24" s="3"/>
      <c r="AP24" s="3"/>
      <c r="AQ24" s="3"/>
      <c r="AR24" s="3"/>
    </row>
    <row r="25" spans="1:44" ht="15.6" customHeight="1" x14ac:dyDescent="0.3">
      <c r="A25" s="3"/>
      <c r="B25" s="3"/>
      <c r="C25" s="3"/>
      <c r="D25" s="4"/>
      <c r="E25" s="4" t="s">
        <v>8</v>
      </c>
      <c r="F25" s="3"/>
      <c r="G25" s="3"/>
      <c r="H25" s="4"/>
      <c r="I25" s="4"/>
      <c r="J25" s="3"/>
      <c r="K25" s="3"/>
      <c r="L25" s="14"/>
      <c r="M25" s="16" t="s">
        <v>5</v>
      </c>
      <c r="N25" s="17" t="s">
        <v>9</v>
      </c>
      <c r="O25" s="19"/>
      <c r="P25" s="4"/>
      <c r="Q25" s="4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18"/>
      <c r="AK25" s="17"/>
      <c r="AL25" s="20"/>
      <c r="AM25" s="3"/>
      <c r="AN25" s="3"/>
      <c r="AO25" s="3"/>
      <c r="AP25" s="3"/>
      <c r="AQ25" s="3"/>
      <c r="AR25" s="3"/>
    </row>
    <row r="26" spans="1:44" ht="15.6" customHeight="1" x14ac:dyDescent="0.3">
      <c r="A26" s="3"/>
      <c r="B26" s="3"/>
      <c r="C26" s="3"/>
      <c r="D26" s="4"/>
      <c r="E26" s="21" t="s">
        <v>10</v>
      </c>
      <c r="F26" s="3"/>
      <c r="G26" s="3"/>
      <c r="H26" s="4"/>
      <c r="I26" s="8"/>
      <c r="J26" s="7"/>
      <c r="K26" s="7"/>
      <c r="L26" s="8"/>
      <c r="M26" s="16" t="s">
        <v>5</v>
      </c>
      <c r="N26" s="22">
        <v>2</v>
      </c>
      <c r="O26" s="3"/>
      <c r="P26" s="4"/>
      <c r="Q26" s="4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18"/>
      <c r="AK26" s="17"/>
      <c r="AL26" s="3"/>
      <c r="AM26" s="3"/>
      <c r="AN26" s="3"/>
      <c r="AO26" s="3"/>
      <c r="AP26" s="3"/>
      <c r="AQ26" s="3"/>
      <c r="AR26" s="3"/>
    </row>
    <row r="27" spans="1:44" ht="15.6" customHeight="1" x14ac:dyDescent="0.25">
      <c r="A27" s="3"/>
      <c r="B27" s="3"/>
      <c r="C27" s="3"/>
      <c r="D27" s="4"/>
      <c r="E27" s="4"/>
      <c r="F27" s="3"/>
      <c r="G27" s="3"/>
      <c r="H27" s="4"/>
      <c r="I27" s="4"/>
      <c r="J27" s="3"/>
      <c r="K27" s="3"/>
      <c r="L27" s="4"/>
      <c r="M27" s="4"/>
      <c r="N27" s="3"/>
      <c r="O27" s="3"/>
      <c r="P27" s="4"/>
      <c r="Q27" s="4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23"/>
      <c r="AL27" s="3"/>
      <c r="AM27" s="3"/>
      <c r="AN27" s="3"/>
      <c r="AO27" s="3"/>
      <c r="AP27" s="3"/>
      <c r="AQ27" s="3"/>
      <c r="AR27" s="3"/>
    </row>
    <row r="28" spans="1:44" ht="15.6" customHeight="1" x14ac:dyDescent="0.25">
      <c r="A28" s="24"/>
      <c r="B28" s="25"/>
      <c r="C28" s="25"/>
      <c r="D28" s="26"/>
      <c r="E28" s="26"/>
      <c r="F28" s="25"/>
      <c r="G28" s="25"/>
      <c r="H28" s="26"/>
      <c r="I28" s="26"/>
      <c r="J28" s="25"/>
      <c r="K28" s="25"/>
      <c r="L28" s="26"/>
      <c r="M28" s="26"/>
      <c r="N28" s="25"/>
      <c r="O28" s="25"/>
      <c r="P28" s="26"/>
      <c r="Q28" s="26"/>
      <c r="R28" s="25"/>
      <c r="S28" s="25"/>
      <c r="T28" s="25"/>
      <c r="U28" s="25"/>
      <c r="V28" s="25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23"/>
      <c r="AL28" s="3"/>
      <c r="AM28" s="3"/>
      <c r="AN28" s="3"/>
      <c r="AO28" s="3"/>
      <c r="AP28" s="3"/>
      <c r="AQ28" s="3"/>
      <c r="AR28" s="3"/>
    </row>
    <row r="29" spans="1:44" ht="15.6" customHeight="1" x14ac:dyDescent="0.25">
      <c r="A29" s="27"/>
      <c r="B29" s="28"/>
      <c r="C29" s="28"/>
      <c r="D29" s="71">
        <v>1</v>
      </c>
      <c r="E29" s="72"/>
      <c r="F29" s="28"/>
      <c r="G29" s="28"/>
      <c r="H29" s="71">
        <v>2</v>
      </c>
      <c r="I29" s="72"/>
      <c r="J29" s="28"/>
      <c r="K29" s="28"/>
      <c r="L29" s="71">
        <v>3</v>
      </c>
      <c r="M29" s="72"/>
      <c r="N29" s="28"/>
      <c r="O29" s="28"/>
      <c r="P29" s="71">
        <v>4</v>
      </c>
      <c r="Q29" s="72"/>
      <c r="R29" s="28"/>
      <c r="S29" s="28"/>
      <c r="T29" s="28"/>
      <c r="U29" s="28"/>
      <c r="V29" s="3"/>
      <c r="W29" s="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3"/>
      <c r="AN29" s="29"/>
      <c r="AO29" s="29"/>
      <c r="AP29" s="30"/>
      <c r="AQ29" s="30"/>
      <c r="AR29" s="2"/>
    </row>
    <row r="30" spans="1:44" ht="15.6" customHeight="1" x14ac:dyDescent="0.25">
      <c r="A30" s="27"/>
      <c r="B30" s="74" t="s">
        <v>11</v>
      </c>
      <c r="C30" s="74"/>
      <c r="D30" s="71" t="s">
        <v>12</v>
      </c>
      <c r="E30" s="72"/>
      <c r="F30" s="74" t="s">
        <v>11</v>
      </c>
      <c r="G30" s="74"/>
      <c r="H30" s="71" t="s">
        <v>12</v>
      </c>
      <c r="I30" s="72"/>
      <c r="J30" s="74" t="s">
        <v>11</v>
      </c>
      <c r="K30" s="74"/>
      <c r="L30" s="71" t="s">
        <v>12</v>
      </c>
      <c r="M30" s="72"/>
      <c r="N30" s="74" t="s">
        <v>11</v>
      </c>
      <c r="O30" s="74"/>
      <c r="P30" s="71" t="s">
        <v>12</v>
      </c>
      <c r="Q30" s="72"/>
      <c r="R30" s="74"/>
      <c r="S30" s="74"/>
      <c r="T30" s="74"/>
      <c r="U30" s="74"/>
      <c r="V30" s="30"/>
      <c r="W30" s="3"/>
      <c r="X30" s="73"/>
      <c r="Y30" s="73"/>
      <c r="Z30" s="73"/>
      <c r="AA30" s="73"/>
      <c r="AB30" s="75"/>
      <c r="AC30" s="75"/>
      <c r="AD30" s="73"/>
      <c r="AE30" s="73"/>
      <c r="AF30" s="73"/>
      <c r="AG30" s="73"/>
      <c r="AH30" s="73"/>
      <c r="AI30" s="73"/>
      <c r="AJ30" s="73"/>
      <c r="AK30" s="73"/>
      <c r="AL30" s="73"/>
      <c r="AM30" s="73"/>
      <c r="AN30" s="73"/>
      <c r="AO30" s="73"/>
      <c r="AP30" s="76"/>
      <c r="AQ30" s="76"/>
      <c r="AR30" s="2"/>
    </row>
    <row r="31" spans="1:44" ht="15.6" customHeight="1" x14ac:dyDescent="0.25">
      <c r="A31" s="27"/>
      <c r="B31" s="76"/>
      <c r="C31" s="76"/>
      <c r="D31" s="77"/>
      <c r="E31" s="77"/>
      <c r="F31" s="76"/>
      <c r="G31" s="76"/>
      <c r="H31" s="77"/>
      <c r="I31" s="77"/>
      <c r="J31" s="76"/>
      <c r="K31" s="76"/>
      <c r="L31" s="77"/>
      <c r="M31" s="77"/>
      <c r="N31" s="76"/>
      <c r="O31" s="76"/>
      <c r="P31" s="77"/>
      <c r="Q31" s="77"/>
      <c r="R31" s="76"/>
      <c r="S31" s="76"/>
      <c r="T31" s="76"/>
      <c r="U31" s="76"/>
      <c r="V31" s="30"/>
      <c r="W31" s="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3"/>
      <c r="AQ31" s="73"/>
      <c r="AR31" s="2"/>
    </row>
    <row r="32" spans="1:44" ht="15.6" customHeight="1" x14ac:dyDescent="0.25">
      <c r="A32" s="27"/>
      <c r="B32" s="74">
        <v>0</v>
      </c>
      <c r="C32" s="74"/>
      <c r="D32" s="78">
        <v>1</v>
      </c>
      <c r="E32" s="78"/>
      <c r="F32" s="74">
        <v>2</v>
      </c>
      <c r="G32" s="74"/>
      <c r="H32" s="78">
        <v>3</v>
      </c>
      <c r="I32" s="78"/>
      <c r="J32" s="74">
        <v>4</v>
      </c>
      <c r="K32" s="74"/>
      <c r="L32" s="78">
        <v>5</v>
      </c>
      <c r="M32" s="78"/>
      <c r="N32" s="74">
        <v>6</v>
      </c>
      <c r="O32" s="74"/>
      <c r="P32" s="78">
        <v>7</v>
      </c>
      <c r="Q32" s="78"/>
      <c r="R32" s="74">
        <v>8</v>
      </c>
      <c r="S32" s="74"/>
      <c r="T32" s="74">
        <v>9</v>
      </c>
      <c r="U32" s="74"/>
      <c r="V32" s="32"/>
      <c r="W32" s="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  <c r="AO32" s="73"/>
      <c r="AP32" s="76"/>
      <c r="AQ32" s="76"/>
    </row>
    <row r="33" spans="1:44" ht="15.6" customHeight="1" x14ac:dyDescent="0.25">
      <c r="A33" s="27"/>
      <c r="B33" s="28" t="s">
        <v>13</v>
      </c>
      <c r="C33" s="28" t="s">
        <v>14</v>
      </c>
      <c r="D33" s="31" t="s">
        <v>15</v>
      </c>
      <c r="E33" s="31" t="s">
        <v>16</v>
      </c>
      <c r="F33" s="28" t="s">
        <v>13</v>
      </c>
      <c r="G33" s="28" t="s">
        <v>14</v>
      </c>
      <c r="H33" s="31" t="s">
        <v>15</v>
      </c>
      <c r="I33" s="31" t="s">
        <v>16</v>
      </c>
      <c r="J33" s="28" t="s">
        <v>13</v>
      </c>
      <c r="K33" s="28" t="s">
        <v>14</v>
      </c>
      <c r="L33" s="31" t="s">
        <v>15</v>
      </c>
      <c r="M33" s="31" t="s">
        <v>16</v>
      </c>
      <c r="N33" s="28" t="s">
        <v>13</v>
      </c>
      <c r="O33" s="28" t="s">
        <v>14</v>
      </c>
      <c r="P33" s="31" t="s">
        <v>15</v>
      </c>
      <c r="Q33" s="31" t="s">
        <v>16</v>
      </c>
      <c r="R33" s="28" t="s">
        <v>13</v>
      </c>
      <c r="S33" s="28" t="s">
        <v>14</v>
      </c>
      <c r="T33" s="28" t="s">
        <v>15</v>
      </c>
      <c r="U33" s="28" t="s">
        <v>16</v>
      </c>
      <c r="V33" s="32"/>
      <c r="W33" s="3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30"/>
      <c r="AQ33" s="30"/>
    </row>
    <row r="34" spans="1:44" ht="15.6" customHeight="1" x14ac:dyDescent="0.25">
      <c r="A34" s="33"/>
      <c r="B34" s="34"/>
      <c r="C34" s="34"/>
      <c r="D34" s="35"/>
      <c r="E34" s="36"/>
      <c r="F34" s="34"/>
      <c r="G34" s="34"/>
      <c r="H34" s="35"/>
      <c r="I34" s="36"/>
      <c r="J34" s="34"/>
      <c r="K34" s="34"/>
      <c r="L34" s="35"/>
      <c r="M34" s="36"/>
      <c r="N34" s="34"/>
      <c r="O34" s="34"/>
      <c r="P34" s="35"/>
      <c r="Q34" s="36"/>
      <c r="R34" s="34"/>
      <c r="S34" s="34"/>
      <c r="T34" s="34"/>
      <c r="U34" s="34"/>
      <c r="V34" s="37"/>
      <c r="W34" s="3"/>
      <c r="X34" s="38"/>
      <c r="Y34" s="38"/>
      <c r="Z34" s="38"/>
      <c r="AA34" s="38"/>
      <c r="AB34" s="30"/>
      <c r="AC34" s="30"/>
      <c r="AD34" s="30"/>
      <c r="AE34" s="30"/>
      <c r="AF34" s="30"/>
      <c r="AG34" s="30"/>
      <c r="AH34" s="30"/>
      <c r="AI34" s="30"/>
      <c r="AJ34" s="30"/>
      <c r="AK34" s="39"/>
      <c r="AL34" s="30"/>
      <c r="AM34" s="30"/>
      <c r="AN34" s="30"/>
      <c r="AO34" s="30"/>
      <c r="AP34" s="30"/>
      <c r="AQ34" s="30"/>
    </row>
    <row r="35" spans="1:44" ht="15.6" customHeight="1" x14ac:dyDescent="0.25">
      <c r="A35" s="3"/>
      <c r="B35" s="79" t="s">
        <v>41</v>
      </c>
      <c r="C35" s="80"/>
      <c r="D35" s="82" t="s">
        <v>42</v>
      </c>
      <c r="E35" s="80"/>
      <c r="F35" s="79" t="s">
        <v>43</v>
      </c>
      <c r="G35" s="80"/>
      <c r="H35" s="82" t="s">
        <v>44</v>
      </c>
      <c r="I35" s="80"/>
      <c r="J35" s="79" t="s">
        <v>45</v>
      </c>
      <c r="K35" s="80"/>
      <c r="L35" s="82" t="s">
        <v>46</v>
      </c>
      <c r="M35" s="80"/>
      <c r="N35" s="79" t="s">
        <v>47</v>
      </c>
      <c r="O35" s="80"/>
      <c r="P35" s="82" t="s">
        <v>48</v>
      </c>
      <c r="Q35" s="80"/>
      <c r="R35" s="30"/>
      <c r="S35" s="30"/>
      <c r="T35" s="30"/>
      <c r="U35" s="30"/>
      <c r="V35" s="32"/>
      <c r="W35" s="3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76"/>
      <c r="AJ35" s="76"/>
      <c r="AK35" s="76"/>
      <c r="AL35" s="76"/>
      <c r="AM35" s="76"/>
      <c r="AN35" s="76"/>
      <c r="AO35" s="76"/>
      <c r="AP35" s="76"/>
      <c r="AQ35" s="76"/>
    </row>
    <row r="36" spans="1:44" ht="15.6" customHeight="1" x14ac:dyDescent="0.25">
      <c r="A36" s="3"/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76"/>
      <c r="S36" s="76"/>
      <c r="T36" s="76"/>
      <c r="U36" s="76"/>
      <c r="V36" s="32"/>
      <c r="W36" s="3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</row>
    <row r="37" spans="1:44" ht="15.6" customHeight="1" x14ac:dyDescent="0.25">
      <c r="A37" s="3"/>
      <c r="B37" s="83" t="s">
        <v>25</v>
      </c>
      <c r="C37" s="84"/>
      <c r="D37" s="85" t="s">
        <v>49</v>
      </c>
      <c r="E37" s="86"/>
      <c r="F37" s="83" t="s">
        <v>25</v>
      </c>
      <c r="G37" s="84"/>
      <c r="H37" s="85" t="s">
        <v>50</v>
      </c>
      <c r="I37" s="86"/>
      <c r="J37" s="83" t="s">
        <v>25</v>
      </c>
      <c r="K37" s="84"/>
      <c r="L37" s="85" t="s">
        <v>51</v>
      </c>
      <c r="M37" s="86"/>
      <c r="N37" s="83" t="s">
        <v>25</v>
      </c>
      <c r="O37" s="84"/>
      <c r="P37" s="85" t="s">
        <v>52</v>
      </c>
      <c r="Q37" s="86"/>
      <c r="R37" s="30"/>
      <c r="S37" s="30"/>
      <c r="T37" s="30"/>
      <c r="U37" s="30"/>
      <c r="V37" s="32"/>
      <c r="W37" s="3"/>
      <c r="X37" s="3"/>
      <c r="Y37" s="3"/>
      <c r="Z37" s="3"/>
      <c r="AA37" s="3"/>
      <c r="AB37" s="30"/>
      <c r="AC37" s="3"/>
      <c r="AD37" s="3"/>
      <c r="AE37" s="3"/>
      <c r="AF37" s="3"/>
      <c r="AG37" s="3"/>
      <c r="AH37" s="3"/>
      <c r="AI37" s="3"/>
      <c r="AJ37" s="3"/>
      <c r="AK37" s="23"/>
      <c r="AL37" s="3"/>
      <c r="AM37" s="3"/>
      <c r="AN37" s="3"/>
      <c r="AO37" s="3"/>
      <c r="AP37" s="3"/>
      <c r="AQ37" s="3"/>
    </row>
    <row r="38" spans="1:44" ht="15.6" customHeight="1" x14ac:dyDescent="0.25">
      <c r="A38" s="3"/>
      <c r="B38" s="3"/>
      <c r="C38" s="3"/>
      <c r="D38" s="4"/>
      <c r="E38" s="4"/>
      <c r="F38" s="3"/>
      <c r="G38" s="3"/>
      <c r="H38" s="4"/>
      <c r="I38" s="4"/>
      <c r="J38" s="3"/>
      <c r="K38" s="3"/>
      <c r="L38" s="4"/>
      <c r="M38" s="4"/>
      <c r="N38" s="3"/>
      <c r="O38" s="3"/>
      <c r="P38" s="4"/>
      <c r="Q38" s="4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</row>
    <row r="39" spans="1:44" ht="15.6" customHeight="1" x14ac:dyDescent="0.25">
      <c r="A39" s="3"/>
      <c r="B39" s="3"/>
      <c r="C39" s="3"/>
      <c r="D39" s="4"/>
      <c r="E39" s="5" t="s">
        <v>30</v>
      </c>
      <c r="F39" s="87" t="s">
        <v>31</v>
      </c>
      <c r="G39" s="87"/>
      <c r="H39" s="87"/>
      <c r="I39" s="87" t="s">
        <v>32</v>
      </c>
      <c r="J39" s="87"/>
      <c r="K39" s="3"/>
      <c r="L39" s="4"/>
      <c r="M39" s="4"/>
      <c r="N39" s="3"/>
      <c r="O39" s="30" t="s">
        <v>33</v>
      </c>
      <c r="P39" s="4" t="s">
        <v>34</v>
      </c>
      <c r="Q39" s="4"/>
      <c r="R39" s="3"/>
      <c r="S39" s="3" t="s">
        <v>35</v>
      </c>
      <c r="T39" s="3"/>
      <c r="U39" s="3"/>
      <c r="V39" s="3"/>
      <c r="W39" s="3"/>
      <c r="X39" s="87"/>
      <c r="Y39" s="87"/>
      <c r="Z39" s="87"/>
      <c r="AA39" s="87"/>
      <c r="AB39" s="87"/>
      <c r="AC39" s="87"/>
      <c r="AD39" s="87"/>
      <c r="AE39" s="87"/>
      <c r="AF39" s="87"/>
      <c r="AG39" s="87"/>
      <c r="AH39" s="87"/>
      <c r="AI39" s="87"/>
      <c r="AJ39" s="87"/>
      <c r="AK39" s="87"/>
      <c r="AL39" s="87"/>
      <c r="AM39" s="87"/>
      <c r="AN39" s="87"/>
      <c r="AO39" s="87"/>
      <c r="AP39" s="87"/>
      <c r="AQ39" s="87"/>
      <c r="AR39" s="3"/>
    </row>
    <row r="40" spans="1:44" ht="15.6" customHeight="1" x14ac:dyDescent="0.25">
      <c r="A40" s="3"/>
      <c r="B40" s="3"/>
      <c r="C40" s="3"/>
      <c r="D40" s="4"/>
      <c r="E40" s="5" t="s">
        <v>36</v>
      </c>
      <c r="F40" s="87" t="s">
        <v>37</v>
      </c>
      <c r="G40" s="87"/>
      <c r="H40" s="87"/>
      <c r="I40" s="4" t="s">
        <v>38</v>
      </c>
      <c r="J40" s="3"/>
      <c r="K40" s="3"/>
      <c r="L40" s="4"/>
      <c r="M40" s="4"/>
      <c r="N40" s="3"/>
      <c r="O40" s="30" t="s">
        <v>39</v>
      </c>
      <c r="P40" s="4" t="s">
        <v>34</v>
      </c>
      <c r="Q40" s="4"/>
      <c r="R40" s="3"/>
      <c r="S40" s="3" t="s">
        <v>40</v>
      </c>
      <c r="T40" s="3"/>
      <c r="U40" s="3"/>
      <c r="V40" s="3"/>
      <c r="W40" s="3"/>
      <c r="X40" s="87"/>
      <c r="Y40" s="87"/>
      <c r="Z40" s="87"/>
      <c r="AA40" s="87"/>
      <c r="AB40" s="87"/>
      <c r="AC40" s="87"/>
      <c r="AD40" s="87"/>
      <c r="AE40" s="87"/>
      <c r="AF40" s="87"/>
      <c r="AG40" s="87"/>
      <c r="AH40" s="87"/>
      <c r="AI40" s="87"/>
      <c r="AJ40" s="87"/>
      <c r="AK40" s="87"/>
      <c r="AL40" s="87"/>
      <c r="AM40" s="87"/>
      <c r="AN40" s="87"/>
      <c r="AO40" s="87"/>
      <c r="AP40" s="87"/>
      <c r="AQ40" s="87"/>
      <c r="AR40" s="3"/>
    </row>
    <row r="41" spans="1:44" s="2" customFormat="1" ht="15.6" customHeight="1" x14ac:dyDescent="0.25">
      <c r="A41" s="3" t="s">
        <v>0</v>
      </c>
      <c r="B41" s="3"/>
      <c r="C41" s="3"/>
      <c r="D41" s="4"/>
      <c r="E41" s="5"/>
      <c r="F41" s="3"/>
      <c r="G41" s="3"/>
      <c r="H41" s="4"/>
      <c r="I41" s="4"/>
      <c r="J41" s="3"/>
      <c r="K41" s="3"/>
      <c r="L41" s="4"/>
      <c r="M41" s="4"/>
      <c r="N41" s="3"/>
      <c r="O41" s="3"/>
      <c r="P41" s="4"/>
      <c r="Q41" s="4"/>
      <c r="R41" s="3"/>
      <c r="S41" s="3"/>
      <c r="T41" s="3"/>
      <c r="U41" s="3"/>
      <c r="V41" s="3"/>
      <c r="W41" s="3"/>
      <c r="X41" s="87"/>
      <c r="Y41" s="87"/>
      <c r="Z41" s="87"/>
      <c r="AA41" s="87"/>
      <c r="AB41" s="87"/>
      <c r="AC41" s="87"/>
      <c r="AD41" s="87"/>
      <c r="AE41" s="87"/>
      <c r="AF41" s="87"/>
      <c r="AG41" s="87"/>
      <c r="AH41" s="87"/>
      <c r="AI41" s="87"/>
      <c r="AJ41" s="87"/>
      <c r="AK41" s="87"/>
      <c r="AL41" s="87"/>
      <c r="AM41" s="87"/>
      <c r="AN41" s="87"/>
      <c r="AO41" s="87"/>
      <c r="AP41" s="87"/>
      <c r="AQ41" s="87"/>
      <c r="AR41" s="3"/>
    </row>
    <row r="42" spans="1:44" ht="18.75" customHeight="1" x14ac:dyDescent="0.3">
      <c r="A42" s="3"/>
      <c r="B42" s="3"/>
      <c r="C42" s="3"/>
      <c r="D42" s="4"/>
      <c r="E42" s="6" t="s">
        <v>1</v>
      </c>
      <c r="F42" s="3"/>
      <c r="G42" s="7"/>
      <c r="H42" s="8"/>
      <c r="I42" s="8"/>
      <c r="J42" s="7"/>
      <c r="K42" s="7"/>
      <c r="L42" s="8"/>
      <c r="M42" s="9" t="s">
        <v>2</v>
      </c>
      <c r="N42" s="66" t="s">
        <v>3</v>
      </c>
      <c r="O42" s="67"/>
      <c r="P42" s="4"/>
      <c r="Q42" s="4"/>
      <c r="R42" s="3"/>
      <c r="S42" s="3"/>
      <c r="T42" s="3"/>
      <c r="U42" s="3"/>
      <c r="V42" s="3"/>
    </row>
    <row r="43" spans="1:44" ht="18.75" customHeight="1" x14ac:dyDescent="0.3">
      <c r="A43" s="3"/>
      <c r="B43" s="3"/>
      <c r="C43" s="3"/>
      <c r="D43" s="4"/>
      <c r="E43" s="6" t="s">
        <v>4</v>
      </c>
      <c r="F43" s="3"/>
      <c r="G43" s="3"/>
      <c r="H43" s="4"/>
      <c r="I43" s="4"/>
      <c r="J43" s="13"/>
      <c r="K43" s="13"/>
      <c r="L43" s="14"/>
      <c r="M43" s="9" t="s">
        <v>5</v>
      </c>
      <c r="N43" s="69" t="s">
        <v>6</v>
      </c>
      <c r="O43" s="69"/>
      <c r="P43" s="4"/>
      <c r="Q43" s="4"/>
      <c r="R43" s="3"/>
      <c r="S43" s="3"/>
      <c r="T43" s="3"/>
      <c r="U43" s="3"/>
      <c r="V43" s="3"/>
    </row>
    <row r="44" spans="1:44" ht="18.75" customHeight="1" x14ac:dyDescent="0.3">
      <c r="A44" s="3"/>
      <c r="B44" s="3"/>
      <c r="C44" s="3"/>
      <c r="D44" s="4"/>
      <c r="E44" s="4" t="s">
        <v>7</v>
      </c>
      <c r="F44" s="3"/>
      <c r="G44" s="3"/>
      <c r="H44" s="8"/>
      <c r="I44" s="8"/>
      <c r="J44" s="7"/>
      <c r="K44" s="7"/>
      <c r="L44" s="8"/>
      <c r="M44" s="16" t="s">
        <v>5</v>
      </c>
      <c r="N44" s="17">
        <v>2</v>
      </c>
      <c r="O44" s="3"/>
      <c r="P44" s="4"/>
      <c r="Q44" s="4"/>
      <c r="R44" s="3"/>
      <c r="S44" s="3"/>
      <c r="T44" s="3"/>
      <c r="U44" s="3"/>
      <c r="V44" s="3"/>
    </row>
    <row r="45" spans="1:44" ht="18.75" customHeight="1" x14ac:dyDescent="0.3">
      <c r="A45" s="3"/>
      <c r="B45" s="3"/>
      <c r="C45" s="3"/>
      <c r="D45" s="4"/>
      <c r="E45" s="4" t="s">
        <v>8</v>
      </c>
      <c r="F45" s="3"/>
      <c r="G45" s="3"/>
      <c r="H45" s="4"/>
      <c r="I45" s="4"/>
      <c r="J45" s="3"/>
      <c r="K45" s="3"/>
      <c r="L45" s="14"/>
      <c r="M45" s="16" t="s">
        <v>5</v>
      </c>
      <c r="N45" s="17" t="s">
        <v>9</v>
      </c>
      <c r="O45" s="19"/>
      <c r="P45" s="4"/>
      <c r="Q45" s="4"/>
      <c r="R45" s="3"/>
      <c r="S45" s="3"/>
      <c r="T45" s="3"/>
      <c r="U45" s="3"/>
      <c r="V45" s="3"/>
    </row>
    <row r="46" spans="1:44" ht="18.75" customHeight="1" x14ac:dyDescent="0.3">
      <c r="A46" s="3"/>
      <c r="B46" s="3"/>
      <c r="C46" s="3"/>
      <c r="D46" s="4"/>
      <c r="E46" s="21" t="s">
        <v>10</v>
      </c>
      <c r="F46" s="3"/>
      <c r="G46" s="3"/>
      <c r="H46" s="4"/>
      <c r="I46" s="8"/>
      <c r="J46" s="7"/>
      <c r="K46" s="7"/>
      <c r="L46" s="8"/>
      <c r="M46" s="16" t="s">
        <v>5</v>
      </c>
      <c r="N46" s="22">
        <v>3</v>
      </c>
      <c r="O46" s="3"/>
      <c r="P46" s="4"/>
      <c r="Q46" s="4"/>
      <c r="R46" s="3"/>
      <c r="S46" s="3"/>
      <c r="T46" s="3"/>
      <c r="U46" s="3"/>
      <c r="V46" s="3"/>
    </row>
    <row r="47" spans="1:44" ht="15.75" customHeight="1" x14ac:dyDescent="0.25">
      <c r="A47" s="3"/>
      <c r="B47" s="3"/>
      <c r="C47" s="3"/>
      <c r="D47" s="4"/>
      <c r="E47" s="4"/>
      <c r="F47" s="3"/>
      <c r="G47" s="3"/>
      <c r="H47" s="4"/>
      <c r="I47" s="4"/>
      <c r="J47" s="3"/>
      <c r="K47" s="3"/>
      <c r="L47" s="4"/>
      <c r="M47" s="4"/>
      <c r="N47" s="3"/>
      <c r="O47" s="3"/>
      <c r="P47" s="4"/>
      <c r="Q47" s="4"/>
      <c r="R47" s="3"/>
      <c r="S47" s="3"/>
      <c r="T47" s="3"/>
      <c r="U47" s="3"/>
      <c r="V47" s="3"/>
    </row>
    <row r="48" spans="1:44" x14ac:dyDescent="0.25">
      <c r="A48" s="24"/>
      <c r="B48" s="25"/>
      <c r="C48" s="25"/>
      <c r="D48" s="26"/>
      <c r="E48" s="26"/>
      <c r="F48" s="25"/>
      <c r="G48" s="25"/>
      <c r="H48" s="26"/>
      <c r="I48" s="26"/>
      <c r="J48" s="25"/>
      <c r="K48" s="25"/>
      <c r="L48" s="26"/>
      <c r="M48" s="26"/>
      <c r="N48" s="25"/>
      <c r="O48" s="25"/>
      <c r="P48" s="26"/>
      <c r="Q48" s="26"/>
      <c r="R48" s="25"/>
      <c r="S48" s="25"/>
      <c r="T48" s="25"/>
      <c r="U48" s="25"/>
      <c r="V48" s="25"/>
    </row>
    <row r="49" spans="1:43" x14ac:dyDescent="0.25">
      <c r="A49" s="27"/>
      <c r="B49" s="28"/>
      <c r="C49" s="28"/>
      <c r="D49" s="71">
        <v>1</v>
      </c>
      <c r="E49" s="72"/>
      <c r="F49" s="28"/>
      <c r="G49" s="28"/>
      <c r="H49" s="71">
        <v>2</v>
      </c>
      <c r="I49" s="72"/>
      <c r="J49" s="28"/>
      <c r="K49" s="28"/>
      <c r="L49" s="71">
        <v>3</v>
      </c>
      <c r="M49" s="72"/>
      <c r="N49" s="28"/>
      <c r="O49" s="28"/>
      <c r="P49" s="71">
        <v>4</v>
      </c>
      <c r="Q49" s="72"/>
      <c r="R49" s="28"/>
      <c r="S49" s="28"/>
      <c r="T49" s="28"/>
      <c r="U49" s="28"/>
      <c r="V49" s="3"/>
    </row>
    <row r="50" spans="1:43" x14ac:dyDescent="0.25">
      <c r="A50" s="27"/>
      <c r="B50" s="74" t="s">
        <v>11</v>
      </c>
      <c r="C50" s="74"/>
      <c r="D50" s="71" t="s">
        <v>12</v>
      </c>
      <c r="E50" s="72"/>
      <c r="F50" s="74" t="s">
        <v>11</v>
      </c>
      <c r="G50" s="74"/>
      <c r="H50" s="71" t="s">
        <v>12</v>
      </c>
      <c r="I50" s="72"/>
      <c r="J50" s="74" t="s">
        <v>11</v>
      </c>
      <c r="K50" s="74"/>
      <c r="L50" s="71" t="s">
        <v>12</v>
      </c>
      <c r="M50" s="72"/>
      <c r="N50" s="74" t="s">
        <v>11</v>
      </c>
      <c r="O50" s="74"/>
      <c r="P50" s="71" t="s">
        <v>12</v>
      </c>
      <c r="Q50" s="72"/>
      <c r="R50" s="74"/>
      <c r="S50" s="74"/>
      <c r="T50" s="74"/>
      <c r="U50" s="74"/>
      <c r="V50" s="30"/>
    </row>
    <row r="51" spans="1:43" x14ac:dyDescent="0.25">
      <c r="A51" s="27"/>
      <c r="B51" s="76"/>
      <c r="C51" s="76"/>
      <c r="D51" s="77"/>
      <c r="E51" s="77"/>
      <c r="F51" s="76"/>
      <c r="G51" s="76"/>
      <c r="H51" s="77"/>
      <c r="I51" s="77"/>
      <c r="J51" s="76"/>
      <c r="K51" s="76"/>
      <c r="L51" s="77"/>
      <c r="M51" s="77"/>
      <c r="N51" s="76"/>
      <c r="O51" s="76"/>
      <c r="P51" s="77"/>
      <c r="Q51" s="77"/>
      <c r="R51" s="76"/>
      <c r="S51" s="76"/>
      <c r="T51" s="76"/>
      <c r="U51" s="76"/>
      <c r="V51" s="30"/>
    </row>
    <row r="52" spans="1:43" x14ac:dyDescent="0.25">
      <c r="A52" s="27"/>
      <c r="B52" s="74">
        <v>0</v>
      </c>
      <c r="C52" s="74"/>
      <c r="D52" s="78">
        <v>1</v>
      </c>
      <c r="E52" s="78"/>
      <c r="F52" s="74">
        <v>2</v>
      </c>
      <c r="G52" s="74"/>
      <c r="H52" s="78">
        <v>3</v>
      </c>
      <c r="I52" s="78"/>
      <c r="J52" s="74">
        <v>4</v>
      </c>
      <c r="K52" s="74"/>
      <c r="L52" s="78">
        <v>5</v>
      </c>
      <c r="M52" s="78"/>
      <c r="N52" s="74">
        <v>6</v>
      </c>
      <c r="O52" s="74"/>
      <c r="P52" s="78">
        <v>7</v>
      </c>
      <c r="Q52" s="78"/>
      <c r="R52" s="74">
        <v>8</v>
      </c>
      <c r="S52" s="74"/>
      <c r="T52" s="74">
        <v>9</v>
      </c>
      <c r="U52" s="74"/>
      <c r="V52" s="32"/>
    </row>
    <row r="53" spans="1:43" x14ac:dyDescent="0.25">
      <c r="A53" s="27"/>
      <c r="B53" s="28" t="s">
        <v>13</v>
      </c>
      <c r="C53" s="28" t="s">
        <v>14</v>
      </c>
      <c r="D53" s="31" t="s">
        <v>15</v>
      </c>
      <c r="E53" s="31" t="s">
        <v>16</v>
      </c>
      <c r="F53" s="28" t="s">
        <v>13</v>
      </c>
      <c r="G53" s="28" t="s">
        <v>14</v>
      </c>
      <c r="H53" s="31" t="s">
        <v>15</v>
      </c>
      <c r="I53" s="31" t="s">
        <v>16</v>
      </c>
      <c r="J53" s="28" t="s">
        <v>13</v>
      </c>
      <c r="K53" s="28" t="s">
        <v>14</v>
      </c>
      <c r="L53" s="31" t="s">
        <v>15</v>
      </c>
      <c r="M53" s="31" t="s">
        <v>16</v>
      </c>
      <c r="N53" s="28" t="s">
        <v>13</v>
      </c>
      <c r="O53" s="28" t="s">
        <v>14</v>
      </c>
      <c r="P53" s="31" t="s">
        <v>15</v>
      </c>
      <c r="Q53" s="31" t="s">
        <v>16</v>
      </c>
      <c r="R53" s="28" t="s">
        <v>13</v>
      </c>
      <c r="S53" s="28" t="s">
        <v>14</v>
      </c>
      <c r="T53" s="28" t="s">
        <v>15</v>
      </c>
      <c r="U53" s="28" t="s">
        <v>16</v>
      </c>
      <c r="V53" s="32"/>
    </row>
    <row r="54" spans="1:43" ht="15.75" customHeight="1" x14ac:dyDescent="0.25">
      <c r="A54" s="33"/>
      <c r="B54" s="34"/>
      <c r="C54" s="34"/>
      <c r="D54" s="35"/>
      <c r="E54" s="36"/>
      <c r="F54" s="34"/>
      <c r="G54" s="34"/>
      <c r="H54" s="35"/>
      <c r="I54" s="36"/>
      <c r="J54" s="34"/>
      <c r="K54" s="34"/>
      <c r="L54" s="35"/>
      <c r="M54" s="36"/>
      <c r="N54" s="34"/>
      <c r="O54" s="34"/>
      <c r="P54" s="35"/>
      <c r="Q54" s="36"/>
      <c r="R54" s="34"/>
      <c r="S54" s="34"/>
      <c r="T54" s="34"/>
      <c r="U54" s="34"/>
      <c r="V54" s="37"/>
    </row>
    <row r="55" spans="1:43" ht="15.6" customHeight="1" x14ac:dyDescent="0.25">
      <c r="A55" s="3"/>
      <c r="B55" s="79" t="s">
        <v>53</v>
      </c>
      <c r="C55" s="80"/>
      <c r="D55" s="82" t="s">
        <v>54</v>
      </c>
      <c r="E55" s="80"/>
      <c r="F55" s="79" t="s">
        <v>19</v>
      </c>
      <c r="G55" s="80"/>
      <c r="H55" s="82" t="s">
        <v>55</v>
      </c>
      <c r="I55" s="80"/>
      <c r="J55" s="79" t="s">
        <v>45</v>
      </c>
      <c r="K55" s="80"/>
      <c r="L55" s="82" t="s">
        <v>56</v>
      </c>
      <c r="M55" s="80"/>
      <c r="N55" s="79" t="s">
        <v>57</v>
      </c>
      <c r="O55" s="80"/>
      <c r="P55" s="82" t="s">
        <v>58</v>
      </c>
      <c r="Q55" s="80"/>
      <c r="R55" s="30"/>
      <c r="S55" s="30"/>
      <c r="T55" s="30"/>
      <c r="U55" s="30"/>
      <c r="V55" s="32"/>
      <c r="W55" s="3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</row>
    <row r="56" spans="1:43" ht="15.6" customHeight="1" x14ac:dyDescent="0.25">
      <c r="A56" s="3"/>
      <c r="B56" s="81"/>
      <c r="C56" s="81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76"/>
      <c r="S56" s="76"/>
      <c r="T56" s="76"/>
      <c r="U56" s="76"/>
      <c r="V56" s="32"/>
      <c r="W56" s="3"/>
      <c r="X56" s="76"/>
      <c r="Y56" s="76"/>
      <c r="Z56" s="76"/>
      <c r="AA56" s="76"/>
      <c r="AB56" s="76"/>
      <c r="AC56" s="76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</row>
    <row r="57" spans="1:43" x14ac:dyDescent="0.25">
      <c r="A57" s="3"/>
      <c r="B57" s="83" t="s">
        <v>25</v>
      </c>
      <c r="C57" s="83"/>
      <c r="D57" s="85" t="s">
        <v>59</v>
      </c>
      <c r="E57" s="85"/>
      <c r="F57" s="83" t="s">
        <v>25</v>
      </c>
      <c r="G57" s="83"/>
      <c r="H57" s="85" t="s">
        <v>60</v>
      </c>
      <c r="I57" s="85"/>
      <c r="J57" s="83" t="s">
        <v>25</v>
      </c>
      <c r="K57" s="83"/>
      <c r="L57" s="85" t="s">
        <v>61</v>
      </c>
      <c r="M57" s="85"/>
      <c r="N57" s="83" t="s">
        <v>25</v>
      </c>
      <c r="O57" s="83"/>
      <c r="P57" s="85" t="s">
        <v>62</v>
      </c>
      <c r="Q57" s="85"/>
      <c r="R57" s="30"/>
      <c r="S57" s="30"/>
      <c r="T57" s="30"/>
      <c r="U57" s="30"/>
      <c r="V57" s="32"/>
    </row>
    <row r="58" spans="1:43" x14ac:dyDescent="0.25">
      <c r="A58" s="3"/>
      <c r="B58" s="3"/>
      <c r="C58" s="3"/>
      <c r="D58" s="4"/>
      <c r="E58" s="4"/>
      <c r="F58" s="3"/>
      <c r="G58" s="3"/>
      <c r="H58" s="4"/>
      <c r="I58" s="4"/>
      <c r="J58" s="3"/>
      <c r="K58" s="3"/>
      <c r="L58" s="4"/>
      <c r="M58" s="4"/>
      <c r="N58" s="3"/>
      <c r="O58" s="3"/>
      <c r="P58" s="4"/>
      <c r="Q58" s="4"/>
      <c r="R58" s="3"/>
      <c r="S58" s="3"/>
      <c r="T58" s="3"/>
      <c r="U58" s="3"/>
      <c r="V58" s="3"/>
    </row>
    <row r="59" spans="1:43" x14ac:dyDescent="0.25">
      <c r="A59" s="3"/>
      <c r="B59" s="3"/>
      <c r="C59" s="3"/>
      <c r="D59" s="4"/>
      <c r="E59" s="5" t="s">
        <v>30</v>
      </c>
      <c r="F59" s="87" t="s">
        <v>31</v>
      </c>
      <c r="G59" s="87"/>
      <c r="H59" s="87"/>
      <c r="I59" s="87" t="s">
        <v>32</v>
      </c>
      <c r="J59" s="87"/>
      <c r="K59" s="3"/>
      <c r="L59" s="4"/>
      <c r="M59" s="4"/>
      <c r="N59" s="3"/>
      <c r="O59" s="30" t="s">
        <v>33</v>
      </c>
      <c r="P59" s="4" t="s">
        <v>34</v>
      </c>
      <c r="Q59" s="4"/>
      <c r="R59" s="3"/>
      <c r="S59" s="3" t="s">
        <v>35</v>
      </c>
      <c r="T59" s="3"/>
      <c r="U59" s="3"/>
      <c r="V59" s="3"/>
    </row>
    <row r="60" spans="1:43" x14ac:dyDescent="0.25">
      <c r="A60" s="3"/>
      <c r="B60" s="3"/>
      <c r="C60" s="3"/>
      <c r="D60" s="4"/>
      <c r="E60" s="5" t="s">
        <v>36</v>
      </c>
      <c r="F60" s="87" t="s">
        <v>37</v>
      </c>
      <c r="G60" s="87"/>
      <c r="H60" s="87"/>
      <c r="I60" s="4" t="s">
        <v>38</v>
      </c>
      <c r="J60" s="3"/>
      <c r="K60" s="3"/>
      <c r="L60" s="4"/>
      <c r="M60" s="4"/>
      <c r="N60" s="3"/>
      <c r="O60" s="30" t="s">
        <v>39</v>
      </c>
      <c r="P60" s="4" t="s">
        <v>34</v>
      </c>
      <c r="Q60" s="4"/>
      <c r="R60" s="3"/>
      <c r="S60" s="3" t="s">
        <v>40</v>
      </c>
      <c r="T60" s="3"/>
      <c r="U60" s="3"/>
      <c r="V60" s="3"/>
    </row>
    <row r="61" spans="1:43" x14ac:dyDescent="0.25">
      <c r="A61" s="3" t="s">
        <v>0</v>
      </c>
      <c r="B61" s="3"/>
      <c r="C61" s="3"/>
      <c r="D61" s="4"/>
      <c r="E61" s="5"/>
      <c r="F61" s="3"/>
      <c r="G61" s="3"/>
      <c r="H61" s="4"/>
      <c r="I61" s="4"/>
      <c r="J61" s="3"/>
      <c r="K61" s="3"/>
      <c r="L61" s="4"/>
      <c r="M61" s="4"/>
      <c r="N61" s="3"/>
      <c r="O61" s="3"/>
      <c r="P61" s="4"/>
      <c r="Q61" s="4"/>
      <c r="R61" s="3"/>
      <c r="S61" s="3"/>
      <c r="T61" s="3"/>
      <c r="U61" s="3"/>
      <c r="V61" s="3"/>
    </row>
    <row r="62" spans="1:43" ht="18.75" customHeight="1" x14ac:dyDescent="0.3">
      <c r="A62" s="3"/>
      <c r="B62" s="3"/>
      <c r="C62" s="3"/>
      <c r="D62" s="4"/>
      <c r="E62" s="6" t="s">
        <v>1</v>
      </c>
      <c r="F62" s="3"/>
      <c r="G62" s="7"/>
      <c r="H62" s="8"/>
      <c r="I62" s="8"/>
      <c r="J62" s="7"/>
      <c r="K62" s="7"/>
      <c r="L62" s="8"/>
      <c r="M62" s="9" t="s">
        <v>2</v>
      </c>
      <c r="N62" s="66" t="s">
        <v>3</v>
      </c>
      <c r="O62" s="67"/>
      <c r="P62" s="4"/>
      <c r="Q62" s="4"/>
      <c r="R62" s="3"/>
      <c r="S62" s="3"/>
      <c r="T62" s="3"/>
      <c r="U62" s="3"/>
      <c r="V62" s="3"/>
    </row>
    <row r="63" spans="1:43" ht="18.75" customHeight="1" x14ac:dyDescent="0.3">
      <c r="A63" s="3"/>
      <c r="B63" s="3"/>
      <c r="C63" s="3"/>
      <c r="D63" s="4"/>
      <c r="E63" s="6" t="s">
        <v>4</v>
      </c>
      <c r="F63" s="3"/>
      <c r="G63" s="3"/>
      <c r="H63" s="4"/>
      <c r="I63" s="4"/>
      <c r="J63" s="13"/>
      <c r="K63" s="13"/>
      <c r="L63" s="14"/>
      <c r="M63" s="9" t="s">
        <v>5</v>
      </c>
      <c r="N63" s="69" t="s">
        <v>6</v>
      </c>
      <c r="O63" s="69"/>
      <c r="P63" s="4"/>
      <c r="Q63" s="4"/>
      <c r="R63" s="3"/>
      <c r="S63" s="3"/>
      <c r="T63" s="3"/>
      <c r="U63" s="3"/>
      <c r="V63" s="3"/>
    </row>
    <row r="64" spans="1:43" ht="18.75" customHeight="1" x14ac:dyDescent="0.3">
      <c r="A64" s="3"/>
      <c r="B64" s="3"/>
      <c r="C64" s="3"/>
      <c r="D64" s="4"/>
      <c r="E64" s="4" t="s">
        <v>7</v>
      </c>
      <c r="F64" s="3"/>
      <c r="G64" s="3"/>
      <c r="H64" s="8"/>
      <c r="I64" s="8"/>
      <c r="J64" s="7"/>
      <c r="K64" s="7"/>
      <c r="L64" s="8"/>
      <c r="M64" s="16" t="s">
        <v>5</v>
      </c>
      <c r="N64" s="17">
        <v>2</v>
      </c>
      <c r="O64" s="3"/>
      <c r="P64" s="4"/>
      <c r="Q64" s="4"/>
      <c r="R64" s="3"/>
      <c r="S64" s="3"/>
      <c r="T64" s="3"/>
      <c r="U64" s="3"/>
      <c r="V64" s="3"/>
    </row>
    <row r="65" spans="1:43" ht="18.75" customHeight="1" x14ac:dyDescent="0.3">
      <c r="A65" s="3"/>
      <c r="B65" s="3"/>
      <c r="C65" s="3"/>
      <c r="D65" s="4"/>
      <c r="E65" s="4" t="s">
        <v>8</v>
      </c>
      <c r="F65" s="3"/>
      <c r="G65" s="3"/>
      <c r="H65" s="4"/>
      <c r="I65" s="4"/>
      <c r="J65" s="3"/>
      <c r="K65" s="3"/>
      <c r="L65" s="14"/>
      <c r="M65" s="16" t="s">
        <v>5</v>
      </c>
      <c r="N65" s="17" t="s">
        <v>9</v>
      </c>
      <c r="O65" s="19"/>
      <c r="P65" s="4"/>
      <c r="Q65" s="4"/>
      <c r="R65" s="3"/>
      <c r="S65" s="3"/>
      <c r="T65" s="3"/>
      <c r="U65" s="3"/>
      <c r="V65" s="3"/>
    </row>
    <row r="66" spans="1:43" ht="18.75" customHeight="1" x14ac:dyDescent="0.3">
      <c r="A66" s="3"/>
      <c r="B66" s="3"/>
      <c r="C66" s="3"/>
      <c r="D66" s="4"/>
      <c r="E66" s="21" t="s">
        <v>10</v>
      </c>
      <c r="F66" s="3"/>
      <c r="G66" s="3"/>
      <c r="H66" s="4"/>
      <c r="I66" s="8"/>
      <c r="J66" s="7"/>
      <c r="K66" s="7"/>
      <c r="L66" s="8"/>
      <c r="M66" s="16" t="s">
        <v>5</v>
      </c>
      <c r="N66" s="22">
        <v>4</v>
      </c>
      <c r="O66" s="3"/>
      <c r="P66" s="4"/>
      <c r="Q66" s="4"/>
      <c r="R66" s="3"/>
      <c r="S66" s="3"/>
      <c r="T66" s="3"/>
      <c r="U66" s="3"/>
      <c r="V66" s="3"/>
    </row>
    <row r="67" spans="1:43" ht="15.75" customHeight="1" x14ac:dyDescent="0.25">
      <c r="A67" s="3"/>
      <c r="B67" s="3"/>
      <c r="C67" s="3"/>
      <c r="D67" s="4"/>
      <c r="E67" s="4"/>
      <c r="F67" s="3"/>
      <c r="G67" s="3"/>
      <c r="H67" s="4"/>
      <c r="I67" s="4"/>
      <c r="J67" s="3"/>
      <c r="K67" s="3"/>
      <c r="L67" s="4"/>
      <c r="M67" s="4"/>
      <c r="N67" s="3"/>
      <c r="O67" s="3"/>
      <c r="P67" s="4"/>
      <c r="Q67" s="4"/>
      <c r="R67" s="3"/>
      <c r="S67" s="3"/>
      <c r="T67" s="3"/>
      <c r="U67" s="3"/>
      <c r="V67" s="3"/>
    </row>
    <row r="68" spans="1:43" x14ac:dyDescent="0.25">
      <c r="A68" s="24"/>
      <c r="B68" s="25"/>
      <c r="C68" s="25"/>
      <c r="D68" s="26"/>
      <c r="E68" s="26"/>
      <c r="F68" s="25"/>
      <c r="G68" s="25"/>
      <c r="H68" s="26"/>
      <c r="I68" s="26"/>
      <c r="J68" s="25"/>
      <c r="K68" s="25"/>
      <c r="L68" s="26"/>
      <c r="M68" s="26"/>
      <c r="N68" s="25"/>
      <c r="O68" s="25"/>
      <c r="P68" s="26"/>
      <c r="Q68" s="26"/>
      <c r="R68" s="25"/>
      <c r="S68" s="25"/>
      <c r="T68" s="25"/>
      <c r="U68" s="25"/>
      <c r="V68" s="25"/>
    </row>
    <row r="69" spans="1:43" x14ac:dyDescent="0.25">
      <c r="A69" s="27"/>
      <c r="B69" s="28"/>
      <c r="C69" s="28"/>
      <c r="D69" s="71">
        <v>1</v>
      </c>
      <c r="E69" s="72"/>
      <c r="F69" s="28"/>
      <c r="G69" s="28"/>
      <c r="H69" s="71">
        <v>2</v>
      </c>
      <c r="I69" s="72"/>
      <c r="J69" s="28"/>
      <c r="K69" s="28"/>
      <c r="L69" s="71">
        <v>3</v>
      </c>
      <c r="M69" s="72"/>
      <c r="N69" s="28"/>
      <c r="O69" s="28"/>
      <c r="P69" s="71">
        <v>4</v>
      </c>
      <c r="Q69" s="72"/>
      <c r="R69" s="28"/>
      <c r="S69" s="28"/>
      <c r="T69" s="28"/>
      <c r="U69" s="28"/>
      <c r="V69" s="3"/>
    </row>
    <row r="70" spans="1:43" x14ac:dyDescent="0.25">
      <c r="A70" s="27"/>
      <c r="B70" s="74" t="s">
        <v>11</v>
      </c>
      <c r="C70" s="74"/>
      <c r="D70" s="71" t="s">
        <v>12</v>
      </c>
      <c r="E70" s="72"/>
      <c r="F70" s="74" t="s">
        <v>11</v>
      </c>
      <c r="G70" s="74"/>
      <c r="H70" s="71" t="s">
        <v>12</v>
      </c>
      <c r="I70" s="72"/>
      <c r="J70" s="74" t="s">
        <v>11</v>
      </c>
      <c r="K70" s="74"/>
      <c r="L70" s="71" t="s">
        <v>12</v>
      </c>
      <c r="M70" s="72"/>
      <c r="N70" s="74" t="s">
        <v>11</v>
      </c>
      <c r="O70" s="74"/>
      <c r="P70" s="71" t="s">
        <v>12</v>
      </c>
      <c r="Q70" s="72"/>
      <c r="R70" s="74"/>
      <c r="S70" s="74"/>
      <c r="T70" s="74"/>
      <c r="U70" s="74"/>
      <c r="V70" s="30"/>
    </row>
    <row r="71" spans="1:43" x14ac:dyDescent="0.25">
      <c r="A71" s="27"/>
      <c r="B71" s="76"/>
      <c r="C71" s="76"/>
      <c r="D71" s="77"/>
      <c r="E71" s="77"/>
      <c r="F71" s="76"/>
      <c r="G71" s="76"/>
      <c r="H71" s="77"/>
      <c r="I71" s="77"/>
      <c r="J71" s="76"/>
      <c r="K71" s="76"/>
      <c r="L71" s="77"/>
      <c r="M71" s="77"/>
      <c r="N71" s="76"/>
      <c r="O71" s="76"/>
      <c r="P71" s="77"/>
      <c r="Q71" s="77"/>
      <c r="R71" s="76"/>
      <c r="S71" s="76"/>
      <c r="T71" s="76"/>
      <c r="U71" s="76"/>
      <c r="V71" s="30"/>
    </row>
    <row r="72" spans="1:43" x14ac:dyDescent="0.25">
      <c r="A72" s="27"/>
      <c r="B72" s="74">
        <v>0</v>
      </c>
      <c r="C72" s="74"/>
      <c r="D72" s="78">
        <v>1</v>
      </c>
      <c r="E72" s="78"/>
      <c r="F72" s="74">
        <v>2</v>
      </c>
      <c r="G72" s="74"/>
      <c r="H72" s="78">
        <v>3</v>
      </c>
      <c r="I72" s="78"/>
      <c r="J72" s="74">
        <v>4</v>
      </c>
      <c r="K72" s="74"/>
      <c r="L72" s="78">
        <v>5</v>
      </c>
      <c r="M72" s="78"/>
      <c r="N72" s="74">
        <v>6</v>
      </c>
      <c r="O72" s="74"/>
      <c r="P72" s="78">
        <v>7</v>
      </c>
      <c r="Q72" s="78"/>
      <c r="R72" s="74">
        <v>8</v>
      </c>
      <c r="S72" s="74"/>
      <c r="T72" s="74">
        <v>9</v>
      </c>
      <c r="U72" s="74"/>
      <c r="V72" s="32"/>
    </row>
    <row r="73" spans="1:43" x14ac:dyDescent="0.25">
      <c r="A73" s="27"/>
      <c r="B73" s="28" t="s">
        <v>13</v>
      </c>
      <c r="C73" s="28" t="s">
        <v>14</v>
      </c>
      <c r="D73" s="31" t="s">
        <v>15</v>
      </c>
      <c r="E73" s="31" t="s">
        <v>16</v>
      </c>
      <c r="F73" s="28" t="s">
        <v>13</v>
      </c>
      <c r="G73" s="28" t="s">
        <v>14</v>
      </c>
      <c r="H73" s="31" t="s">
        <v>15</v>
      </c>
      <c r="I73" s="31" t="s">
        <v>16</v>
      </c>
      <c r="J73" s="28" t="s">
        <v>13</v>
      </c>
      <c r="K73" s="28" t="s">
        <v>14</v>
      </c>
      <c r="L73" s="31" t="s">
        <v>15</v>
      </c>
      <c r="M73" s="31" t="s">
        <v>16</v>
      </c>
      <c r="N73" s="28" t="s">
        <v>13</v>
      </c>
      <c r="O73" s="28" t="s">
        <v>14</v>
      </c>
      <c r="P73" s="31" t="s">
        <v>15</v>
      </c>
      <c r="Q73" s="31" t="s">
        <v>16</v>
      </c>
      <c r="R73" s="28" t="s">
        <v>13</v>
      </c>
      <c r="S73" s="28" t="s">
        <v>14</v>
      </c>
      <c r="T73" s="28" t="s">
        <v>15</v>
      </c>
      <c r="U73" s="28" t="s">
        <v>16</v>
      </c>
      <c r="V73" s="32"/>
    </row>
    <row r="74" spans="1:43" ht="15.75" customHeight="1" x14ac:dyDescent="0.25">
      <c r="A74" s="33"/>
      <c r="B74" s="34"/>
      <c r="C74" s="34"/>
      <c r="D74" s="35"/>
      <c r="E74" s="36"/>
      <c r="F74" s="34"/>
      <c r="G74" s="34"/>
      <c r="H74" s="35"/>
      <c r="I74" s="36"/>
      <c r="J74" s="34"/>
      <c r="K74" s="34"/>
      <c r="L74" s="35"/>
      <c r="M74" s="36"/>
      <c r="N74" s="34"/>
      <c r="O74" s="34"/>
      <c r="P74" s="35"/>
      <c r="Q74" s="36"/>
      <c r="R74" s="34"/>
      <c r="S74" s="34"/>
      <c r="T74" s="34"/>
      <c r="U74" s="34"/>
      <c r="V74" s="37"/>
    </row>
    <row r="75" spans="1:43" ht="15.6" customHeight="1" x14ac:dyDescent="0.25">
      <c r="A75" s="3"/>
      <c r="B75" s="79" t="s">
        <v>63</v>
      </c>
      <c r="C75" s="80"/>
      <c r="D75" s="82" t="s">
        <v>64</v>
      </c>
      <c r="E75" s="80"/>
      <c r="F75" s="79" t="s">
        <v>19</v>
      </c>
      <c r="G75" s="80"/>
      <c r="H75" s="82" t="s">
        <v>65</v>
      </c>
      <c r="I75" s="80"/>
      <c r="J75" s="79" t="s">
        <v>66</v>
      </c>
      <c r="K75" s="80"/>
      <c r="L75" s="82" t="s">
        <v>67</v>
      </c>
      <c r="M75" s="80"/>
      <c r="N75" s="79" t="s">
        <v>68</v>
      </c>
      <c r="O75" s="80"/>
      <c r="P75" s="82" t="s">
        <v>69</v>
      </c>
      <c r="Q75" s="80"/>
      <c r="R75" s="30"/>
      <c r="S75" s="30"/>
      <c r="T75" s="30"/>
      <c r="U75" s="30"/>
      <c r="V75" s="32"/>
      <c r="W75" s="3"/>
      <c r="X75" s="76"/>
      <c r="Y75" s="76"/>
      <c r="Z75" s="76"/>
      <c r="AA75" s="76"/>
      <c r="AB75" s="76"/>
      <c r="AC75" s="76"/>
      <c r="AD75" s="76"/>
      <c r="AE75" s="76"/>
      <c r="AF75" s="76"/>
      <c r="AG75" s="76"/>
      <c r="AH75" s="76"/>
      <c r="AI75" s="76"/>
      <c r="AJ75" s="76"/>
      <c r="AK75" s="76"/>
      <c r="AL75" s="76"/>
      <c r="AM75" s="76"/>
      <c r="AN75" s="76"/>
      <c r="AO75" s="76"/>
      <c r="AP75" s="76"/>
      <c r="AQ75" s="76"/>
    </row>
    <row r="76" spans="1:43" ht="15.6" customHeight="1" x14ac:dyDescent="0.25">
      <c r="A76" s="3"/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76"/>
      <c r="S76" s="76"/>
      <c r="T76" s="76"/>
      <c r="U76" s="76"/>
      <c r="V76" s="32"/>
      <c r="W76" s="3"/>
      <c r="X76" s="76"/>
      <c r="Y76" s="76"/>
      <c r="Z76" s="76"/>
      <c r="AA76" s="76"/>
      <c r="AB76" s="76"/>
      <c r="AC76" s="76"/>
      <c r="AD76" s="76"/>
      <c r="AE76" s="76"/>
      <c r="AF76" s="76"/>
      <c r="AG76" s="76"/>
      <c r="AH76" s="76"/>
      <c r="AI76" s="76"/>
      <c r="AJ76" s="76"/>
      <c r="AK76" s="76"/>
      <c r="AL76" s="76"/>
      <c r="AM76" s="76"/>
      <c r="AN76" s="76"/>
      <c r="AO76" s="76"/>
      <c r="AP76" s="76"/>
      <c r="AQ76" s="76"/>
    </row>
    <row r="77" spans="1:43" x14ac:dyDescent="0.25">
      <c r="A77" s="3"/>
      <c r="B77" s="83" t="s">
        <v>25</v>
      </c>
      <c r="C77" s="84"/>
      <c r="D77" s="85" t="s">
        <v>70</v>
      </c>
      <c r="E77" s="86"/>
      <c r="F77" s="83" t="s">
        <v>25</v>
      </c>
      <c r="G77" s="84"/>
      <c r="H77" s="85" t="s">
        <v>71</v>
      </c>
      <c r="I77" s="86"/>
      <c r="J77" s="83" t="s">
        <v>25</v>
      </c>
      <c r="K77" s="84"/>
      <c r="L77" s="85" t="s">
        <v>72</v>
      </c>
      <c r="M77" s="86"/>
      <c r="N77" s="83" t="s">
        <v>25</v>
      </c>
      <c r="O77" s="84"/>
      <c r="P77" s="85" t="s">
        <v>73</v>
      </c>
      <c r="Q77" s="86"/>
      <c r="R77" s="30"/>
      <c r="S77" s="30"/>
      <c r="T77" s="30"/>
      <c r="U77" s="30"/>
      <c r="V77" s="32"/>
    </row>
    <row r="78" spans="1:43" x14ac:dyDescent="0.25">
      <c r="A78" s="3"/>
      <c r="B78" s="3"/>
      <c r="C78" s="3"/>
      <c r="D78" s="4"/>
      <c r="E78" s="4"/>
      <c r="F78" s="3"/>
      <c r="G78" s="3"/>
      <c r="H78" s="4"/>
      <c r="I78" s="4"/>
      <c r="J78" s="3"/>
      <c r="K78" s="3"/>
      <c r="L78" s="4"/>
      <c r="M78" s="4"/>
      <c r="N78" s="3"/>
      <c r="O78" s="3"/>
      <c r="P78" s="4"/>
      <c r="Q78" s="4"/>
      <c r="R78" s="3"/>
      <c r="S78" s="3"/>
      <c r="T78" s="3"/>
      <c r="U78" s="3"/>
      <c r="V78" s="3"/>
    </row>
    <row r="79" spans="1:43" x14ac:dyDescent="0.25">
      <c r="A79" s="3"/>
      <c r="B79" s="3"/>
      <c r="C79" s="3"/>
      <c r="D79" s="4"/>
      <c r="E79" s="5" t="s">
        <v>30</v>
      </c>
      <c r="F79" s="87" t="s">
        <v>31</v>
      </c>
      <c r="G79" s="87"/>
      <c r="H79" s="87"/>
      <c r="I79" s="87" t="s">
        <v>32</v>
      </c>
      <c r="J79" s="87"/>
      <c r="K79" s="3"/>
      <c r="L79" s="4"/>
      <c r="M79" s="4"/>
      <c r="N79" s="3"/>
      <c r="O79" s="30" t="s">
        <v>33</v>
      </c>
      <c r="P79" s="4" t="s">
        <v>34</v>
      </c>
      <c r="Q79" s="4"/>
      <c r="R79" s="3"/>
      <c r="S79" s="3" t="s">
        <v>35</v>
      </c>
      <c r="T79" s="3"/>
      <c r="U79" s="3"/>
      <c r="V79" s="3"/>
    </row>
    <row r="80" spans="1:43" x14ac:dyDescent="0.25">
      <c r="A80" s="3"/>
      <c r="B80" s="3"/>
      <c r="C80" s="3"/>
      <c r="D80" s="4"/>
      <c r="E80" s="5" t="s">
        <v>36</v>
      </c>
      <c r="F80" s="87" t="s">
        <v>37</v>
      </c>
      <c r="G80" s="87"/>
      <c r="H80" s="87"/>
      <c r="I80" s="4" t="s">
        <v>38</v>
      </c>
      <c r="J80" s="3"/>
      <c r="K80" s="3"/>
      <c r="L80" s="4"/>
      <c r="M80" s="4"/>
      <c r="N80" s="3"/>
      <c r="O80" s="30" t="s">
        <v>39</v>
      </c>
      <c r="P80" s="4" t="s">
        <v>34</v>
      </c>
      <c r="Q80" s="4"/>
      <c r="R80" s="3"/>
      <c r="S80" s="3" t="s">
        <v>40</v>
      </c>
      <c r="T80" s="3"/>
      <c r="U80" s="3"/>
      <c r="V80" s="3"/>
    </row>
    <row r="81" spans="1:43" x14ac:dyDescent="0.25">
      <c r="A81" s="3" t="s">
        <v>0</v>
      </c>
      <c r="B81" s="3"/>
      <c r="C81" s="3"/>
      <c r="D81" s="4"/>
      <c r="E81" s="5"/>
      <c r="F81" s="3"/>
      <c r="G81" s="3"/>
      <c r="H81" s="4"/>
      <c r="I81" s="4"/>
      <c r="J81" s="3"/>
      <c r="K81" s="3"/>
      <c r="L81" s="4"/>
      <c r="M81" s="4"/>
      <c r="N81" s="3"/>
      <c r="O81" s="3"/>
      <c r="P81" s="4"/>
      <c r="Q81" s="4"/>
      <c r="R81" s="3"/>
      <c r="S81" s="3"/>
      <c r="T81" s="3"/>
      <c r="U81" s="3"/>
      <c r="V81" s="3"/>
    </row>
    <row r="82" spans="1:43" ht="18.75" customHeight="1" x14ac:dyDescent="0.3">
      <c r="A82" s="3"/>
      <c r="B82" s="3"/>
      <c r="C82" s="3"/>
      <c r="D82" s="4"/>
      <c r="E82" s="6" t="s">
        <v>1</v>
      </c>
      <c r="F82" s="3"/>
      <c r="G82" s="7"/>
      <c r="H82" s="8"/>
      <c r="I82" s="8"/>
      <c r="J82" s="7"/>
      <c r="K82" s="7"/>
      <c r="L82" s="8"/>
      <c r="M82" s="9" t="s">
        <v>2</v>
      </c>
      <c r="N82" s="66" t="s">
        <v>3</v>
      </c>
      <c r="O82" s="67"/>
      <c r="P82" s="4"/>
      <c r="Q82" s="4"/>
      <c r="R82" s="3"/>
      <c r="S82" s="3"/>
      <c r="T82" s="3"/>
      <c r="U82" s="3"/>
      <c r="V82" s="3"/>
    </row>
    <row r="83" spans="1:43" ht="18.75" customHeight="1" x14ac:dyDescent="0.3">
      <c r="A83" s="3"/>
      <c r="B83" s="3"/>
      <c r="C83" s="3"/>
      <c r="D83" s="4"/>
      <c r="E83" s="6" t="s">
        <v>4</v>
      </c>
      <c r="F83" s="3"/>
      <c r="G83" s="3"/>
      <c r="H83" s="4"/>
      <c r="I83" s="4"/>
      <c r="J83" s="13"/>
      <c r="K83" s="13"/>
      <c r="L83" s="14"/>
      <c r="M83" s="9" t="s">
        <v>5</v>
      </c>
      <c r="N83" s="69" t="s">
        <v>6</v>
      </c>
      <c r="O83" s="69"/>
      <c r="P83" s="4"/>
      <c r="Q83" s="4"/>
      <c r="R83" s="3"/>
      <c r="S83" s="3"/>
      <c r="T83" s="3"/>
      <c r="U83" s="3"/>
      <c r="V83" s="3"/>
    </row>
    <row r="84" spans="1:43" ht="18.75" customHeight="1" x14ac:dyDescent="0.3">
      <c r="A84" s="3"/>
      <c r="B84" s="3"/>
      <c r="C84" s="3"/>
      <c r="D84" s="4"/>
      <c r="E84" s="4" t="s">
        <v>7</v>
      </c>
      <c r="F84" s="3"/>
      <c r="G84" s="3"/>
      <c r="H84" s="8"/>
      <c r="I84" s="8"/>
      <c r="J84" s="7"/>
      <c r="K84" s="7"/>
      <c r="L84" s="8"/>
      <c r="M84" s="16" t="s">
        <v>5</v>
      </c>
      <c r="N84" s="17">
        <v>3</v>
      </c>
      <c r="O84" s="3"/>
      <c r="P84" s="4"/>
      <c r="Q84" s="4"/>
      <c r="R84" s="3"/>
      <c r="S84" s="3"/>
      <c r="T84" s="3"/>
      <c r="U84" s="3"/>
      <c r="V84" s="3"/>
    </row>
    <row r="85" spans="1:43" ht="18.75" customHeight="1" x14ac:dyDescent="0.3">
      <c r="A85" s="3"/>
      <c r="B85" s="3"/>
      <c r="C85" s="3"/>
      <c r="D85" s="4"/>
      <c r="E85" s="4" t="s">
        <v>8</v>
      </c>
      <c r="F85" s="3"/>
      <c r="G85" s="3"/>
      <c r="H85" s="4"/>
      <c r="I85" s="4"/>
      <c r="J85" s="3"/>
      <c r="K85" s="3"/>
      <c r="L85" s="14"/>
      <c r="M85" s="16" t="s">
        <v>5</v>
      </c>
      <c r="N85" s="17" t="s">
        <v>9</v>
      </c>
      <c r="O85" s="19"/>
      <c r="P85" s="4"/>
      <c r="Q85" s="4"/>
      <c r="R85" s="3"/>
      <c r="S85" s="3"/>
      <c r="T85" s="3"/>
      <c r="U85" s="3"/>
      <c r="V85" s="3"/>
    </row>
    <row r="86" spans="1:43" ht="18.75" customHeight="1" x14ac:dyDescent="0.3">
      <c r="A86" s="3"/>
      <c r="B86" s="3"/>
      <c r="C86" s="3"/>
      <c r="D86" s="4"/>
      <c r="E86" s="21" t="s">
        <v>10</v>
      </c>
      <c r="F86" s="3"/>
      <c r="G86" s="3"/>
      <c r="H86" s="4"/>
      <c r="I86" s="8"/>
      <c r="J86" s="7"/>
      <c r="K86" s="7"/>
      <c r="L86" s="8"/>
      <c r="M86" s="16" t="s">
        <v>5</v>
      </c>
      <c r="N86" s="22">
        <v>5</v>
      </c>
      <c r="O86" s="3"/>
      <c r="P86" s="4"/>
      <c r="Q86" s="4"/>
      <c r="R86" s="3"/>
      <c r="S86" s="3"/>
      <c r="T86" s="3"/>
      <c r="U86" s="3"/>
      <c r="V86" s="3"/>
    </row>
    <row r="87" spans="1:43" ht="15.75" customHeight="1" x14ac:dyDescent="0.25">
      <c r="A87" s="3"/>
      <c r="B87" s="3"/>
      <c r="C87" s="3"/>
      <c r="D87" s="4"/>
      <c r="E87" s="4"/>
      <c r="F87" s="3"/>
      <c r="G87" s="3"/>
      <c r="H87" s="4"/>
      <c r="I87" s="4"/>
      <c r="J87" s="3"/>
      <c r="K87" s="3"/>
      <c r="L87" s="4"/>
      <c r="M87" s="4"/>
      <c r="N87" s="3"/>
      <c r="O87" s="3"/>
      <c r="P87" s="4"/>
      <c r="Q87" s="4"/>
      <c r="R87" s="3"/>
      <c r="S87" s="3"/>
      <c r="T87" s="3"/>
      <c r="U87" s="3"/>
      <c r="V87" s="3"/>
    </row>
    <row r="88" spans="1:43" x14ac:dyDescent="0.25">
      <c r="A88" s="24"/>
      <c r="B88" s="25"/>
      <c r="C88" s="25"/>
      <c r="D88" s="26"/>
      <c r="E88" s="26"/>
      <c r="F88" s="25"/>
      <c r="G88" s="25"/>
      <c r="H88" s="26"/>
      <c r="I88" s="26"/>
      <c r="J88" s="25"/>
      <c r="K88" s="25"/>
      <c r="L88" s="26"/>
      <c r="M88" s="26"/>
      <c r="N88" s="25"/>
      <c r="O88" s="25"/>
      <c r="P88" s="26"/>
      <c r="Q88" s="26"/>
      <c r="R88" s="25"/>
      <c r="S88" s="25"/>
      <c r="T88" s="25"/>
      <c r="U88" s="25"/>
      <c r="V88" s="25"/>
    </row>
    <row r="89" spans="1:43" x14ac:dyDescent="0.25">
      <c r="A89" s="27"/>
      <c r="B89" s="28"/>
      <c r="C89" s="28"/>
      <c r="D89" s="71">
        <v>1</v>
      </c>
      <c r="E89" s="72"/>
      <c r="F89" s="28"/>
      <c r="G89" s="28"/>
      <c r="H89" s="71">
        <v>2</v>
      </c>
      <c r="I89" s="72"/>
      <c r="J89" s="28"/>
      <c r="K89" s="28"/>
      <c r="L89" s="71">
        <v>3</v>
      </c>
      <c r="M89" s="72"/>
      <c r="N89" s="28"/>
      <c r="O89" s="28"/>
      <c r="P89" s="71">
        <v>4</v>
      </c>
      <c r="Q89" s="72"/>
      <c r="R89" s="28"/>
      <c r="S89" s="28"/>
      <c r="T89" s="28"/>
      <c r="U89" s="28"/>
      <c r="V89" s="3"/>
    </row>
    <row r="90" spans="1:43" x14ac:dyDescent="0.25">
      <c r="A90" s="27"/>
      <c r="B90" s="74" t="s">
        <v>11</v>
      </c>
      <c r="C90" s="74"/>
      <c r="D90" s="71" t="s">
        <v>12</v>
      </c>
      <c r="E90" s="72"/>
      <c r="F90" s="74" t="s">
        <v>11</v>
      </c>
      <c r="G90" s="74"/>
      <c r="H90" s="71" t="s">
        <v>12</v>
      </c>
      <c r="I90" s="72"/>
      <c r="J90" s="74" t="s">
        <v>11</v>
      </c>
      <c r="K90" s="74"/>
      <c r="L90" s="71" t="s">
        <v>12</v>
      </c>
      <c r="M90" s="72"/>
      <c r="N90" s="74" t="s">
        <v>11</v>
      </c>
      <c r="O90" s="74"/>
      <c r="P90" s="71" t="s">
        <v>12</v>
      </c>
      <c r="Q90" s="72"/>
      <c r="R90" s="74"/>
      <c r="S90" s="74"/>
      <c r="T90" s="74"/>
      <c r="U90" s="74"/>
      <c r="V90" s="30"/>
    </row>
    <row r="91" spans="1:43" x14ac:dyDescent="0.25">
      <c r="A91" s="27"/>
      <c r="B91" s="76"/>
      <c r="C91" s="76"/>
      <c r="D91" s="77"/>
      <c r="E91" s="77"/>
      <c r="F91" s="76"/>
      <c r="G91" s="76"/>
      <c r="H91" s="77"/>
      <c r="I91" s="77"/>
      <c r="J91" s="76"/>
      <c r="K91" s="76"/>
      <c r="L91" s="77"/>
      <c r="M91" s="77"/>
      <c r="N91" s="76"/>
      <c r="O91" s="76"/>
      <c r="P91" s="77"/>
      <c r="Q91" s="77"/>
      <c r="R91" s="76"/>
      <c r="S91" s="76"/>
      <c r="T91" s="76"/>
      <c r="U91" s="76"/>
      <c r="V91" s="30"/>
    </row>
    <row r="92" spans="1:43" x14ac:dyDescent="0.25">
      <c r="A92" s="27"/>
      <c r="B92" s="74">
        <v>0</v>
      </c>
      <c r="C92" s="74"/>
      <c r="D92" s="78">
        <v>1</v>
      </c>
      <c r="E92" s="78"/>
      <c r="F92" s="74">
        <v>2</v>
      </c>
      <c r="G92" s="74"/>
      <c r="H92" s="78">
        <v>3</v>
      </c>
      <c r="I92" s="78"/>
      <c r="J92" s="74">
        <v>4</v>
      </c>
      <c r="K92" s="74"/>
      <c r="L92" s="78">
        <v>5</v>
      </c>
      <c r="M92" s="78"/>
      <c r="N92" s="74">
        <v>6</v>
      </c>
      <c r="O92" s="74"/>
      <c r="P92" s="78">
        <v>7</v>
      </c>
      <c r="Q92" s="78"/>
      <c r="R92" s="74">
        <v>8</v>
      </c>
      <c r="S92" s="74"/>
      <c r="T92" s="74">
        <v>9</v>
      </c>
      <c r="U92" s="74"/>
      <c r="V92" s="32"/>
    </row>
    <row r="93" spans="1:43" x14ac:dyDescent="0.25">
      <c r="A93" s="27"/>
      <c r="B93" s="28" t="s">
        <v>13</v>
      </c>
      <c r="C93" s="28" t="s">
        <v>14</v>
      </c>
      <c r="D93" s="31" t="s">
        <v>15</v>
      </c>
      <c r="E93" s="31" t="s">
        <v>16</v>
      </c>
      <c r="F93" s="28" t="s">
        <v>13</v>
      </c>
      <c r="G93" s="28" t="s">
        <v>14</v>
      </c>
      <c r="H93" s="31" t="s">
        <v>15</v>
      </c>
      <c r="I93" s="31" t="s">
        <v>16</v>
      </c>
      <c r="J93" s="28" t="s">
        <v>13</v>
      </c>
      <c r="K93" s="28" t="s">
        <v>14</v>
      </c>
      <c r="L93" s="31" t="s">
        <v>15</v>
      </c>
      <c r="M93" s="31" t="s">
        <v>16</v>
      </c>
      <c r="N93" s="28" t="s">
        <v>13</v>
      </c>
      <c r="O93" s="28" t="s">
        <v>14</v>
      </c>
      <c r="P93" s="31" t="s">
        <v>15</v>
      </c>
      <c r="Q93" s="31" t="s">
        <v>16</v>
      </c>
      <c r="R93" s="28" t="s">
        <v>13</v>
      </c>
      <c r="S93" s="28" t="s">
        <v>14</v>
      </c>
      <c r="T93" s="28" t="s">
        <v>15</v>
      </c>
      <c r="U93" s="28" t="s">
        <v>16</v>
      </c>
      <c r="V93" s="32"/>
    </row>
    <row r="94" spans="1:43" ht="15.75" customHeight="1" x14ac:dyDescent="0.25">
      <c r="A94" s="33"/>
      <c r="B94" s="34"/>
      <c r="C94" s="34"/>
      <c r="D94" s="35"/>
      <c r="E94" s="36"/>
      <c r="F94" s="34"/>
      <c r="G94" s="34"/>
      <c r="H94" s="35"/>
      <c r="I94" s="36"/>
      <c r="J94" s="34"/>
      <c r="K94" s="34"/>
      <c r="L94" s="35"/>
      <c r="M94" s="36"/>
      <c r="N94" s="34"/>
      <c r="O94" s="34"/>
      <c r="P94" s="35"/>
      <c r="Q94" s="36"/>
      <c r="R94" s="34"/>
      <c r="S94" s="34"/>
      <c r="T94" s="34"/>
      <c r="U94" s="34"/>
      <c r="V94" s="37"/>
    </row>
    <row r="95" spans="1:43" ht="15.6" customHeight="1" x14ac:dyDescent="0.25">
      <c r="A95" s="3"/>
      <c r="B95" s="79" t="s">
        <v>74</v>
      </c>
      <c r="C95" s="80"/>
      <c r="D95" s="82" t="s">
        <v>75</v>
      </c>
      <c r="E95" s="80"/>
      <c r="F95" s="79" t="s">
        <v>76</v>
      </c>
      <c r="G95" s="80"/>
      <c r="H95" s="82" t="s">
        <v>77</v>
      </c>
      <c r="I95" s="80"/>
      <c r="J95" s="79" t="s">
        <v>21</v>
      </c>
      <c r="K95" s="80"/>
      <c r="L95" s="82" t="s">
        <v>78</v>
      </c>
      <c r="M95" s="80"/>
      <c r="N95" s="79" t="s">
        <v>79</v>
      </c>
      <c r="O95" s="80"/>
      <c r="P95" s="82" t="s">
        <v>80</v>
      </c>
      <c r="Q95" s="80"/>
      <c r="R95" s="30"/>
      <c r="S95" s="30"/>
      <c r="T95" s="30"/>
      <c r="U95" s="30"/>
      <c r="V95" s="32"/>
      <c r="W95" s="3"/>
      <c r="X95" s="76"/>
      <c r="Y95" s="76"/>
      <c r="Z95" s="76"/>
      <c r="AA95" s="76"/>
      <c r="AB95" s="76"/>
      <c r="AC95" s="76"/>
      <c r="AD95" s="76"/>
      <c r="AE95" s="76"/>
      <c r="AF95" s="76"/>
      <c r="AG95" s="76"/>
      <c r="AH95" s="76"/>
      <c r="AI95" s="76"/>
      <c r="AJ95" s="76"/>
      <c r="AK95" s="76"/>
      <c r="AL95" s="76"/>
      <c r="AM95" s="76"/>
      <c r="AN95" s="76"/>
      <c r="AO95" s="76"/>
      <c r="AP95" s="76"/>
      <c r="AQ95" s="76"/>
    </row>
    <row r="96" spans="1:43" ht="15.6" customHeight="1" x14ac:dyDescent="0.25">
      <c r="A96" s="3"/>
      <c r="B96" s="81"/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76"/>
      <c r="S96" s="76"/>
      <c r="T96" s="76"/>
      <c r="U96" s="76"/>
      <c r="V96" s="32"/>
      <c r="W96" s="3"/>
      <c r="X96" s="76"/>
      <c r="Y96" s="76"/>
      <c r="Z96" s="76"/>
      <c r="AA96" s="76"/>
      <c r="AB96" s="76"/>
      <c r="AC96" s="76"/>
      <c r="AD96" s="76"/>
      <c r="AE96" s="76"/>
      <c r="AF96" s="76"/>
      <c r="AG96" s="76"/>
      <c r="AH96" s="76"/>
      <c r="AI96" s="76"/>
      <c r="AJ96" s="76"/>
      <c r="AK96" s="76"/>
      <c r="AL96" s="76"/>
      <c r="AM96" s="76"/>
      <c r="AN96" s="76"/>
      <c r="AO96" s="76"/>
      <c r="AP96" s="76"/>
      <c r="AQ96" s="76"/>
    </row>
    <row r="97" spans="1:22" x14ac:dyDescent="0.25">
      <c r="A97" s="3"/>
      <c r="B97" s="83" t="s">
        <v>25</v>
      </c>
      <c r="C97" s="84"/>
      <c r="D97" s="85" t="s">
        <v>81</v>
      </c>
      <c r="E97" s="86"/>
      <c r="F97" s="83" t="s">
        <v>25</v>
      </c>
      <c r="G97" s="84"/>
      <c r="H97" s="85" t="s">
        <v>82</v>
      </c>
      <c r="I97" s="86"/>
      <c r="J97" s="83" t="s">
        <v>25</v>
      </c>
      <c r="K97" s="84"/>
      <c r="L97" s="85" t="s">
        <v>83</v>
      </c>
      <c r="M97" s="86"/>
      <c r="N97" s="83" t="s">
        <v>25</v>
      </c>
      <c r="O97" s="84"/>
      <c r="P97" s="85" t="s">
        <v>84</v>
      </c>
      <c r="Q97" s="86"/>
      <c r="R97" s="30"/>
      <c r="S97" s="30"/>
      <c r="T97" s="30"/>
      <c r="U97" s="30"/>
      <c r="V97" s="32"/>
    </row>
    <row r="98" spans="1:22" x14ac:dyDescent="0.25">
      <c r="A98" s="3"/>
      <c r="B98" s="3"/>
      <c r="C98" s="3"/>
      <c r="D98" s="4"/>
      <c r="E98" s="4"/>
      <c r="F98" s="3"/>
      <c r="G98" s="3"/>
      <c r="H98" s="4"/>
      <c r="I98" s="4"/>
      <c r="J98" s="3"/>
      <c r="K98" s="3"/>
      <c r="L98" s="4"/>
      <c r="M98" s="4"/>
      <c r="N98" s="3"/>
      <c r="O98" s="3"/>
      <c r="P98" s="4"/>
      <c r="Q98" s="4"/>
      <c r="R98" s="3"/>
      <c r="S98" s="3"/>
      <c r="T98" s="3"/>
      <c r="U98" s="3"/>
      <c r="V98" s="3"/>
    </row>
    <row r="99" spans="1:22" x14ac:dyDescent="0.25">
      <c r="A99" s="3"/>
      <c r="B99" s="3"/>
      <c r="C99" s="3"/>
      <c r="D99" s="4"/>
      <c r="E99" s="5" t="s">
        <v>30</v>
      </c>
      <c r="F99" s="87" t="s">
        <v>31</v>
      </c>
      <c r="G99" s="87"/>
      <c r="H99" s="87"/>
      <c r="I99" s="87" t="s">
        <v>32</v>
      </c>
      <c r="J99" s="87"/>
      <c r="K99" s="3"/>
      <c r="L99" s="4"/>
      <c r="M99" s="4"/>
      <c r="N99" s="3"/>
      <c r="O99" s="30" t="s">
        <v>33</v>
      </c>
      <c r="P99" s="4" t="s">
        <v>34</v>
      </c>
      <c r="Q99" s="4"/>
      <c r="R99" s="3"/>
      <c r="S99" s="3" t="s">
        <v>35</v>
      </c>
      <c r="T99" s="3"/>
      <c r="U99" s="3"/>
      <c r="V99" s="3"/>
    </row>
    <row r="100" spans="1:22" x14ac:dyDescent="0.25">
      <c r="A100" s="3"/>
      <c r="B100" s="3"/>
      <c r="C100" s="3"/>
      <c r="D100" s="4"/>
      <c r="E100" s="5" t="s">
        <v>36</v>
      </c>
      <c r="F100" s="87" t="s">
        <v>37</v>
      </c>
      <c r="G100" s="87"/>
      <c r="H100" s="87"/>
      <c r="I100" s="4" t="s">
        <v>38</v>
      </c>
      <c r="J100" s="3"/>
      <c r="K100" s="3"/>
      <c r="L100" s="4"/>
      <c r="M100" s="4"/>
      <c r="N100" s="3"/>
      <c r="O100" s="30" t="s">
        <v>39</v>
      </c>
      <c r="P100" s="4" t="s">
        <v>34</v>
      </c>
      <c r="Q100" s="4"/>
      <c r="R100" s="3"/>
      <c r="S100" s="3" t="s">
        <v>40</v>
      </c>
      <c r="T100" s="3"/>
      <c r="U100" s="3"/>
      <c r="V100" s="3"/>
    </row>
    <row r="101" spans="1:22" x14ac:dyDescent="0.25">
      <c r="A101" s="3" t="s">
        <v>0</v>
      </c>
      <c r="B101" s="3"/>
      <c r="C101" s="3"/>
      <c r="D101" s="4"/>
      <c r="E101" s="5"/>
      <c r="F101" s="3"/>
      <c r="G101" s="3"/>
      <c r="H101" s="4"/>
      <c r="I101" s="4"/>
      <c r="J101" s="3"/>
      <c r="K101" s="3"/>
      <c r="L101" s="4"/>
      <c r="M101" s="4"/>
      <c r="N101" s="3"/>
      <c r="O101" s="3"/>
      <c r="P101" s="4"/>
      <c r="Q101" s="4"/>
      <c r="R101" s="3"/>
      <c r="S101" s="3"/>
      <c r="T101" s="3"/>
      <c r="U101" s="3"/>
      <c r="V101" s="3"/>
    </row>
    <row r="102" spans="1:22" ht="18.75" customHeight="1" x14ac:dyDescent="0.3">
      <c r="A102" s="3"/>
      <c r="B102" s="3"/>
      <c r="C102" s="3"/>
      <c r="D102" s="4"/>
      <c r="E102" s="6" t="s">
        <v>1</v>
      </c>
      <c r="F102" s="3"/>
      <c r="G102" s="7"/>
      <c r="H102" s="8"/>
      <c r="I102" s="8"/>
      <c r="J102" s="7"/>
      <c r="K102" s="7"/>
      <c r="L102" s="8"/>
      <c r="M102" s="9" t="s">
        <v>2</v>
      </c>
      <c r="N102" s="66" t="s">
        <v>3</v>
      </c>
      <c r="O102" s="67"/>
      <c r="P102" s="4"/>
      <c r="Q102" s="4"/>
      <c r="R102" s="3"/>
      <c r="S102" s="3"/>
      <c r="T102" s="3"/>
      <c r="U102" s="3"/>
      <c r="V102" s="3"/>
    </row>
    <row r="103" spans="1:22" ht="18.75" customHeight="1" x14ac:dyDescent="0.3">
      <c r="A103" s="3"/>
      <c r="B103" s="3"/>
      <c r="C103" s="3"/>
      <c r="D103" s="4"/>
      <c r="E103" s="6" t="s">
        <v>4</v>
      </c>
      <c r="F103" s="3"/>
      <c r="G103" s="3"/>
      <c r="H103" s="4"/>
      <c r="I103" s="4"/>
      <c r="J103" s="13"/>
      <c r="K103" s="13"/>
      <c r="L103" s="14"/>
      <c r="M103" s="9" t="s">
        <v>5</v>
      </c>
      <c r="N103" s="69" t="s">
        <v>6</v>
      </c>
      <c r="O103" s="69"/>
      <c r="P103" s="4"/>
      <c r="Q103" s="4"/>
      <c r="R103" s="3"/>
      <c r="S103" s="3"/>
      <c r="T103" s="3"/>
      <c r="U103" s="3"/>
      <c r="V103" s="3"/>
    </row>
    <row r="104" spans="1:22" ht="18.75" customHeight="1" x14ac:dyDescent="0.3">
      <c r="A104" s="3"/>
      <c r="B104" s="3"/>
      <c r="C104" s="3"/>
      <c r="D104" s="4"/>
      <c r="E104" s="4" t="s">
        <v>7</v>
      </c>
      <c r="F104" s="3"/>
      <c r="G104" s="3"/>
      <c r="H104" s="8"/>
      <c r="I104" s="8"/>
      <c r="J104" s="7"/>
      <c r="K104" s="7"/>
      <c r="L104" s="8"/>
      <c r="M104" s="16" t="s">
        <v>5</v>
      </c>
      <c r="N104" s="17">
        <v>3</v>
      </c>
      <c r="O104" s="3"/>
      <c r="P104" s="4"/>
      <c r="Q104" s="4"/>
      <c r="R104" s="3"/>
      <c r="S104" s="3"/>
      <c r="T104" s="3"/>
      <c r="U104" s="3"/>
      <c r="V104" s="3"/>
    </row>
    <row r="105" spans="1:22" ht="18.75" customHeight="1" x14ac:dyDescent="0.3">
      <c r="A105" s="3"/>
      <c r="B105" s="3"/>
      <c r="C105" s="3"/>
      <c r="D105" s="4"/>
      <c r="E105" s="4" t="s">
        <v>8</v>
      </c>
      <c r="F105" s="3"/>
      <c r="G105" s="3"/>
      <c r="H105" s="4"/>
      <c r="I105" s="4"/>
      <c r="J105" s="3"/>
      <c r="K105" s="3"/>
      <c r="L105" s="14"/>
      <c r="M105" s="16" t="s">
        <v>5</v>
      </c>
      <c r="N105" s="17" t="s">
        <v>9</v>
      </c>
      <c r="O105" s="19"/>
      <c r="P105" s="4"/>
      <c r="Q105" s="4"/>
      <c r="R105" s="3"/>
      <c r="S105" s="3"/>
      <c r="T105" s="3"/>
      <c r="U105" s="3"/>
      <c r="V105" s="3"/>
    </row>
    <row r="106" spans="1:22" ht="18.75" customHeight="1" x14ac:dyDescent="0.3">
      <c r="A106" s="3"/>
      <c r="B106" s="3"/>
      <c r="C106" s="3"/>
      <c r="D106" s="4"/>
      <c r="E106" s="21" t="s">
        <v>10</v>
      </c>
      <c r="F106" s="3"/>
      <c r="G106" s="3"/>
      <c r="H106" s="4"/>
      <c r="I106" s="8"/>
      <c r="J106" s="7"/>
      <c r="K106" s="7"/>
      <c r="L106" s="8"/>
      <c r="M106" s="16" t="s">
        <v>5</v>
      </c>
      <c r="N106" s="22">
        <v>6</v>
      </c>
      <c r="O106" s="3"/>
      <c r="P106" s="4"/>
      <c r="Q106" s="4"/>
      <c r="R106" s="3"/>
      <c r="S106" s="3"/>
      <c r="T106" s="3"/>
      <c r="U106" s="3"/>
      <c r="V106" s="3"/>
    </row>
    <row r="107" spans="1:22" ht="15.75" customHeight="1" x14ac:dyDescent="0.25">
      <c r="A107" s="3"/>
      <c r="B107" s="3"/>
      <c r="C107" s="3"/>
      <c r="D107" s="4"/>
      <c r="E107" s="4"/>
      <c r="F107" s="3"/>
      <c r="G107" s="3"/>
      <c r="H107" s="4"/>
      <c r="I107" s="4"/>
      <c r="J107" s="3"/>
      <c r="K107" s="3"/>
      <c r="L107" s="4"/>
      <c r="M107" s="4"/>
      <c r="N107" s="3"/>
      <c r="O107" s="3"/>
      <c r="P107" s="4"/>
      <c r="Q107" s="4"/>
      <c r="R107" s="3"/>
      <c r="S107" s="3"/>
      <c r="T107" s="3"/>
      <c r="U107" s="3"/>
      <c r="V107" s="3"/>
    </row>
    <row r="108" spans="1:22" x14ac:dyDescent="0.25">
      <c r="A108" s="24"/>
      <c r="B108" s="25"/>
      <c r="C108" s="25"/>
      <c r="D108" s="26"/>
      <c r="E108" s="26"/>
      <c r="F108" s="25"/>
      <c r="G108" s="25"/>
      <c r="H108" s="26"/>
      <c r="I108" s="26"/>
      <c r="J108" s="25"/>
      <c r="K108" s="25"/>
      <c r="L108" s="26"/>
      <c r="M108" s="26"/>
      <c r="N108" s="25"/>
      <c r="O108" s="25"/>
      <c r="P108" s="26"/>
      <c r="Q108" s="26"/>
      <c r="R108" s="25"/>
      <c r="S108" s="25"/>
      <c r="T108" s="25"/>
      <c r="U108" s="25"/>
      <c r="V108" s="25"/>
    </row>
    <row r="109" spans="1:22" x14ac:dyDescent="0.25">
      <c r="A109" s="27"/>
      <c r="B109" s="28"/>
      <c r="C109" s="28"/>
      <c r="D109" s="71">
        <v>1</v>
      </c>
      <c r="E109" s="72"/>
      <c r="F109" s="28"/>
      <c r="G109" s="28"/>
      <c r="H109" s="71">
        <v>2</v>
      </c>
      <c r="I109" s="72"/>
      <c r="J109" s="28"/>
      <c r="K109" s="28"/>
      <c r="L109" s="71">
        <v>3</v>
      </c>
      <c r="M109" s="72"/>
      <c r="N109" s="28"/>
      <c r="O109" s="28"/>
      <c r="P109" s="71">
        <v>4</v>
      </c>
      <c r="Q109" s="72"/>
      <c r="R109" s="28"/>
      <c r="S109" s="28"/>
      <c r="T109" s="28"/>
      <c r="U109" s="28"/>
      <c r="V109" s="3"/>
    </row>
    <row r="110" spans="1:22" x14ac:dyDescent="0.25">
      <c r="A110" s="27"/>
      <c r="B110" s="74" t="s">
        <v>11</v>
      </c>
      <c r="C110" s="74"/>
      <c r="D110" s="71" t="s">
        <v>12</v>
      </c>
      <c r="E110" s="72"/>
      <c r="F110" s="74" t="s">
        <v>11</v>
      </c>
      <c r="G110" s="74"/>
      <c r="H110" s="71" t="s">
        <v>12</v>
      </c>
      <c r="I110" s="72"/>
      <c r="J110" s="74" t="s">
        <v>11</v>
      </c>
      <c r="K110" s="74"/>
      <c r="L110" s="71" t="s">
        <v>12</v>
      </c>
      <c r="M110" s="72"/>
      <c r="N110" s="74" t="s">
        <v>11</v>
      </c>
      <c r="O110" s="74"/>
      <c r="P110" s="71" t="s">
        <v>12</v>
      </c>
      <c r="Q110" s="72"/>
      <c r="R110" s="74"/>
      <c r="S110" s="74"/>
      <c r="T110" s="74"/>
      <c r="U110" s="74"/>
      <c r="V110" s="30"/>
    </row>
    <row r="111" spans="1:22" x14ac:dyDescent="0.25">
      <c r="A111" s="27"/>
      <c r="B111" s="76"/>
      <c r="C111" s="76"/>
      <c r="D111" s="77"/>
      <c r="E111" s="77"/>
      <c r="F111" s="76"/>
      <c r="G111" s="76"/>
      <c r="H111" s="77"/>
      <c r="I111" s="77"/>
      <c r="J111" s="76"/>
      <c r="K111" s="76"/>
      <c r="L111" s="77"/>
      <c r="M111" s="77"/>
      <c r="N111" s="76"/>
      <c r="O111" s="76"/>
      <c r="P111" s="77"/>
      <c r="Q111" s="77"/>
      <c r="R111" s="76"/>
      <c r="S111" s="76"/>
      <c r="T111" s="76"/>
      <c r="U111" s="76"/>
      <c r="V111" s="30"/>
    </row>
    <row r="112" spans="1:22" x14ac:dyDescent="0.25">
      <c r="A112" s="27"/>
      <c r="B112" s="74">
        <v>0</v>
      </c>
      <c r="C112" s="74"/>
      <c r="D112" s="78">
        <v>1</v>
      </c>
      <c r="E112" s="78"/>
      <c r="F112" s="74">
        <v>2</v>
      </c>
      <c r="G112" s="74"/>
      <c r="H112" s="78">
        <v>3</v>
      </c>
      <c r="I112" s="78"/>
      <c r="J112" s="74">
        <v>4</v>
      </c>
      <c r="K112" s="74"/>
      <c r="L112" s="78">
        <v>5</v>
      </c>
      <c r="M112" s="78"/>
      <c r="N112" s="74">
        <v>6</v>
      </c>
      <c r="O112" s="74"/>
      <c r="P112" s="78">
        <v>7</v>
      </c>
      <c r="Q112" s="78"/>
      <c r="R112" s="74">
        <v>8</v>
      </c>
      <c r="S112" s="74"/>
      <c r="T112" s="74">
        <v>9</v>
      </c>
      <c r="U112" s="74"/>
      <c r="V112" s="32"/>
    </row>
    <row r="113" spans="1:43" x14ac:dyDescent="0.25">
      <c r="A113" s="27"/>
      <c r="B113" s="28" t="s">
        <v>13</v>
      </c>
      <c r="C113" s="28" t="s">
        <v>14</v>
      </c>
      <c r="D113" s="31" t="s">
        <v>15</v>
      </c>
      <c r="E113" s="31" t="s">
        <v>16</v>
      </c>
      <c r="F113" s="28" t="s">
        <v>13</v>
      </c>
      <c r="G113" s="28" t="s">
        <v>14</v>
      </c>
      <c r="H113" s="31" t="s">
        <v>15</v>
      </c>
      <c r="I113" s="31" t="s">
        <v>16</v>
      </c>
      <c r="J113" s="28" t="s">
        <v>13</v>
      </c>
      <c r="K113" s="28" t="s">
        <v>14</v>
      </c>
      <c r="L113" s="31" t="s">
        <v>15</v>
      </c>
      <c r="M113" s="31" t="s">
        <v>16</v>
      </c>
      <c r="N113" s="28" t="s">
        <v>13</v>
      </c>
      <c r="O113" s="28" t="s">
        <v>14</v>
      </c>
      <c r="P113" s="31" t="s">
        <v>15</v>
      </c>
      <c r="Q113" s="31" t="s">
        <v>16</v>
      </c>
      <c r="R113" s="28" t="s">
        <v>13</v>
      </c>
      <c r="S113" s="28" t="s">
        <v>14</v>
      </c>
      <c r="T113" s="28" t="s">
        <v>15</v>
      </c>
      <c r="U113" s="28" t="s">
        <v>16</v>
      </c>
      <c r="V113" s="32"/>
    </row>
    <row r="114" spans="1:43" ht="15.75" customHeight="1" x14ac:dyDescent="0.25">
      <c r="A114" s="33"/>
      <c r="B114" s="34"/>
      <c r="C114" s="34"/>
      <c r="D114" s="35"/>
      <c r="E114" s="36"/>
      <c r="F114" s="34"/>
      <c r="G114" s="34"/>
      <c r="H114" s="35"/>
      <c r="I114" s="36"/>
      <c r="J114" s="34"/>
      <c r="K114" s="34"/>
      <c r="L114" s="35"/>
      <c r="M114" s="36"/>
      <c r="N114" s="34"/>
      <c r="O114" s="34"/>
      <c r="P114" s="35"/>
      <c r="Q114" s="36"/>
      <c r="R114" s="34"/>
      <c r="S114" s="34"/>
      <c r="T114" s="34"/>
      <c r="U114" s="34"/>
      <c r="V114" s="37"/>
    </row>
    <row r="115" spans="1:43" ht="15.6" customHeight="1" x14ac:dyDescent="0.25">
      <c r="A115" s="3"/>
      <c r="B115" s="79" t="s">
        <v>74</v>
      </c>
      <c r="C115" s="80"/>
      <c r="D115" s="82" t="s">
        <v>85</v>
      </c>
      <c r="E115" s="80"/>
      <c r="F115" s="79" t="s">
        <v>86</v>
      </c>
      <c r="G115" s="80"/>
      <c r="H115" s="82" t="s">
        <v>87</v>
      </c>
      <c r="I115" s="80"/>
      <c r="J115" s="79" t="s">
        <v>88</v>
      </c>
      <c r="K115" s="80"/>
      <c r="L115" s="82" t="s">
        <v>89</v>
      </c>
      <c r="M115" s="80"/>
      <c r="N115" s="79" t="s">
        <v>90</v>
      </c>
      <c r="O115" s="80"/>
      <c r="P115" s="82" t="s">
        <v>91</v>
      </c>
      <c r="Q115" s="80"/>
      <c r="R115" s="30"/>
      <c r="S115" s="30"/>
      <c r="T115" s="30"/>
      <c r="U115" s="30"/>
      <c r="V115" s="32"/>
      <c r="W115" s="3"/>
      <c r="X115" s="76"/>
      <c r="Y115" s="76"/>
      <c r="Z115" s="76"/>
      <c r="AA115" s="76"/>
      <c r="AB115" s="76"/>
      <c r="AC115" s="76"/>
      <c r="AD115" s="76"/>
      <c r="AE115" s="76"/>
      <c r="AF115" s="76"/>
      <c r="AG115" s="76"/>
      <c r="AH115" s="76"/>
      <c r="AI115" s="76"/>
      <c r="AJ115" s="76"/>
      <c r="AK115" s="76"/>
      <c r="AL115" s="76"/>
      <c r="AM115" s="76"/>
      <c r="AN115" s="76"/>
      <c r="AO115" s="76"/>
      <c r="AP115" s="76"/>
      <c r="AQ115" s="76"/>
    </row>
    <row r="116" spans="1:43" ht="15.6" customHeight="1" x14ac:dyDescent="0.25">
      <c r="A116" s="3"/>
      <c r="B116" s="81"/>
      <c r="C116" s="81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76"/>
      <c r="S116" s="76"/>
      <c r="T116" s="76"/>
      <c r="U116" s="76"/>
      <c r="V116" s="32"/>
      <c r="W116" s="3"/>
      <c r="X116" s="76"/>
      <c r="Y116" s="76"/>
      <c r="Z116" s="76"/>
      <c r="AA116" s="76"/>
      <c r="AB116" s="76"/>
      <c r="AC116" s="76"/>
      <c r="AD116" s="76"/>
      <c r="AE116" s="76"/>
      <c r="AF116" s="76"/>
      <c r="AG116" s="76"/>
      <c r="AH116" s="76"/>
      <c r="AI116" s="76"/>
      <c r="AJ116" s="76"/>
      <c r="AK116" s="76"/>
      <c r="AL116" s="76"/>
      <c r="AM116" s="76"/>
      <c r="AN116" s="76"/>
      <c r="AO116" s="76"/>
      <c r="AP116" s="76"/>
      <c r="AQ116" s="76"/>
    </row>
    <row r="117" spans="1:43" x14ac:dyDescent="0.25">
      <c r="A117" s="3"/>
      <c r="B117" s="83" t="s">
        <v>25</v>
      </c>
      <c r="C117" s="84"/>
      <c r="D117" s="85" t="s">
        <v>92</v>
      </c>
      <c r="E117" s="86"/>
      <c r="F117" s="83" t="s">
        <v>25</v>
      </c>
      <c r="G117" s="84"/>
      <c r="H117" s="85" t="s">
        <v>93</v>
      </c>
      <c r="I117" s="86"/>
      <c r="J117" s="83" t="s">
        <v>25</v>
      </c>
      <c r="K117" s="84"/>
      <c r="L117" s="85" t="s">
        <v>94</v>
      </c>
      <c r="M117" s="86"/>
      <c r="N117" s="83" t="s">
        <v>25</v>
      </c>
      <c r="O117" s="84"/>
      <c r="P117" s="85" t="s">
        <v>95</v>
      </c>
      <c r="Q117" s="86"/>
      <c r="R117" s="30"/>
      <c r="S117" s="30"/>
      <c r="T117" s="30"/>
      <c r="U117" s="30"/>
      <c r="V117" s="32"/>
    </row>
    <row r="118" spans="1:43" x14ac:dyDescent="0.25">
      <c r="A118" s="3"/>
      <c r="B118" s="3"/>
      <c r="C118" s="3"/>
      <c r="D118" s="4"/>
      <c r="E118" s="4"/>
      <c r="F118" s="3"/>
      <c r="G118" s="3"/>
      <c r="H118" s="4"/>
      <c r="I118" s="4"/>
      <c r="J118" s="3"/>
      <c r="K118" s="3"/>
      <c r="L118" s="4"/>
      <c r="M118" s="4"/>
      <c r="N118" s="3"/>
      <c r="O118" s="3"/>
      <c r="P118" s="4"/>
      <c r="Q118" s="4"/>
      <c r="R118" s="3"/>
      <c r="S118" s="3"/>
      <c r="T118" s="3"/>
      <c r="U118" s="3"/>
      <c r="V118" s="3"/>
    </row>
    <row r="119" spans="1:43" x14ac:dyDescent="0.25">
      <c r="A119" s="3"/>
      <c r="B119" s="3"/>
      <c r="C119" s="3"/>
      <c r="D119" s="4"/>
      <c r="E119" s="5" t="s">
        <v>30</v>
      </c>
      <c r="F119" s="87" t="s">
        <v>31</v>
      </c>
      <c r="G119" s="87"/>
      <c r="H119" s="87"/>
      <c r="I119" s="87" t="s">
        <v>32</v>
      </c>
      <c r="J119" s="87"/>
      <c r="K119" s="3"/>
      <c r="L119" s="4"/>
      <c r="M119" s="4"/>
      <c r="N119" s="3"/>
      <c r="O119" s="30" t="s">
        <v>33</v>
      </c>
      <c r="P119" s="4" t="s">
        <v>34</v>
      </c>
      <c r="Q119" s="4"/>
      <c r="R119" s="3"/>
      <c r="S119" s="3" t="s">
        <v>35</v>
      </c>
      <c r="T119" s="3"/>
      <c r="U119" s="3"/>
      <c r="V119" s="3"/>
    </row>
    <row r="120" spans="1:43" x14ac:dyDescent="0.25">
      <c r="A120" s="3"/>
      <c r="B120" s="3"/>
      <c r="C120" s="3"/>
      <c r="D120" s="4"/>
      <c r="E120" s="5" t="s">
        <v>36</v>
      </c>
      <c r="F120" s="87" t="s">
        <v>37</v>
      </c>
      <c r="G120" s="87"/>
      <c r="H120" s="87"/>
      <c r="I120" s="4" t="s">
        <v>38</v>
      </c>
      <c r="J120" s="3"/>
      <c r="K120" s="3"/>
      <c r="L120" s="4"/>
      <c r="M120" s="4"/>
      <c r="N120" s="3"/>
      <c r="O120" s="30" t="s">
        <v>39</v>
      </c>
      <c r="P120" s="4" t="s">
        <v>34</v>
      </c>
      <c r="Q120" s="4"/>
      <c r="R120" s="3"/>
      <c r="S120" s="3" t="s">
        <v>40</v>
      </c>
      <c r="T120" s="3"/>
      <c r="U120" s="3"/>
      <c r="V120" s="3"/>
    </row>
    <row r="121" spans="1:43" x14ac:dyDescent="0.25">
      <c r="A121" s="3" t="s">
        <v>0</v>
      </c>
      <c r="B121" s="3"/>
      <c r="C121" s="3"/>
      <c r="D121" s="4"/>
      <c r="E121" s="5"/>
      <c r="F121" s="3"/>
      <c r="G121" s="3"/>
      <c r="H121" s="4"/>
      <c r="I121" s="4"/>
      <c r="J121" s="3"/>
      <c r="K121" s="3"/>
      <c r="L121" s="4"/>
      <c r="M121" s="4"/>
      <c r="N121" s="3"/>
      <c r="O121" s="3"/>
      <c r="P121" s="4"/>
      <c r="Q121" s="4"/>
      <c r="R121" s="3"/>
      <c r="S121" s="3"/>
      <c r="T121" s="3"/>
      <c r="U121" s="3"/>
      <c r="V121" s="3"/>
    </row>
    <row r="122" spans="1:43" ht="18.75" customHeight="1" x14ac:dyDescent="0.3">
      <c r="A122" s="3"/>
      <c r="B122" s="3"/>
      <c r="C122" s="3"/>
      <c r="D122" s="4"/>
      <c r="E122" s="6" t="s">
        <v>1</v>
      </c>
      <c r="F122" s="3"/>
      <c r="G122" s="7"/>
      <c r="H122" s="8"/>
      <c r="I122" s="8"/>
      <c r="J122" s="7"/>
      <c r="K122" s="7"/>
      <c r="L122" s="8"/>
      <c r="M122" s="9" t="s">
        <v>2</v>
      </c>
      <c r="N122" s="66" t="s">
        <v>3</v>
      </c>
      <c r="O122" s="67"/>
      <c r="P122" s="4"/>
      <c r="Q122" s="4"/>
      <c r="R122" s="3"/>
      <c r="S122" s="3"/>
      <c r="T122" s="3"/>
      <c r="U122" s="3"/>
      <c r="V122" s="3"/>
    </row>
    <row r="123" spans="1:43" ht="18.75" customHeight="1" x14ac:dyDescent="0.3">
      <c r="A123" s="3"/>
      <c r="B123" s="3"/>
      <c r="C123" s="3"/>
      <c r="D123" s="4"/>
      <c r="E123" s="6" t="s">
        <v>4</v>
      </c>
      <c r="F123" s="3"/>
      <c r="G123" s="3"/>
      <c r="H123" s="4"/>
      <c r="I123" s="4"/>
      <c r="J123" s="13"/>
      <c r="K123" s="13"/>
      <c r="L123" s="14"/>
      <c r="M123" s="9" t="s">
        <v>5</v>
      </c>
      <c r="N123" s="69" t="s">
        <v>6</v>
      </c>
      <c r="O123" s="69"/>
      <c r="P123" s="4"/>
      <c r="Q123" s="4"/>
      <c r="R123" s="3"/>
      <c r="S123" s="3"/>
      <c r="T123" s="3"/>
      <c r="U123" s="3"/>
      <c r="V123" s="3"/>
    </row>
    <row r="124" spans="1:43" ht="18.75" customHeight="1" x14ac:dyDescent="0.3">
      <c r="A124" s="3"/>
      <c r="B124" s="3"/>
      <c r="C124" s="3"/>
      <c r="D124" s="4"/>
      <c r="E124" s="4" t="s">
        <v>7</v>
      </c>
      <c r="F124" s="3"/>
      <c r="G124" s="3"/>
      <c r="H124" s="8"/>
      <c r="I124" s="8"/>
      <c r="J124" s="7"/>
      <c r="K124" s="7"/>
      <c r="L124" s="8"/>
      <c r="M124" s="16" t="s">
        <v>5</v>
      </c>
      <c r="N124" s="17">
        <v>4</v>
      </c>
      <c r="O124" s="3"/>
      <c r="P124" s="4"/>
      <c r="Q124" s="4"/>
      <c r="R124" s="3"/>
      <c r="S124" s="3"/>
      <c r="T124" s="3"/>
      <c r="U124" s="3"/>
      <c r="V124" s="3"/>
    </row>
    <row r="125" spans="1:43" ht="18.75" customHeight="1" x14ac:dyDescent="0.3">
      <c r="A125" s="3"/>
      <c r="B125" s="3"/>
      <c r="C125" s="3"/>
      <c r="D125" s="4"/>
      <c r="E125" s="4" t="s">
        <v>8</v>
      </c>
      <c r="F125" s="3"/>
      <c r="G125" s="3"/>
      <c r="H125" s="4"/>
      <c r="I125" s="4"/>
      <c r="J125" s="3"/>
      <c r="K125" s="3"/>
      <c r="L125" s="14"/>
      <c r="M125" s="16" t="s">
        <v>5</v>
      </c>
      <c r="N125" s="17" t="s">
        <v>9</v>
      </c>
      <c r="O125" s="19"/>
      <c r="P125" s="4"/>
      <c r="Q125" s="4"/>
      <c r="R125" s="3"/>
      <c r="S125" s="3"/>
      <c r="T125" s="3"/>
      <c r="U125" s="3"/>
      <c r="V125" s="3"/>
    </row>
    <row r="126" spans="1:43" ht="18.75" customHeight="1" x14ac:dyDescent="0.3">
      <c r="A126" s="3"/>
      <c r="B126" s="3"/>
      <c r="C126" s="3"/>
      <c r="D126" s="4"/>
      <c r="E126" s="21" t="s">
        <v>10</v>
      </c>
      <c r="F126" s="3"/>
      <c r="G126" s="3"/>
      <c r="H126" s="4"/>
      <c r="I126" s="8"/>
      <c r="J126" s="7"/>
      <c r="K126" s="7"/>
      <c r="L126" s="8"/>
      <c r="M126" s="16" t="s">
        <v>5</v>
      </c>
      <c r="N126" s="22">
        <v>7</v>
      </c>
      <c r="O126" s="3"/>
      <c r="P126" s="4"/>
      <c r="Q126" s="4"/>
      <c r="R126" s="3"/>
      <c r="S126" s="3"/>
      <c r="T126" s="3"/>
      <c r="U126" s="3"/>
      <c r="V126" s="3"/>
    </row>
    <row r="127" spans="1:43" ht="15.75" customHeight="1" x14ac:dyDescent="0.25">
      <c r="A127" s="3"/>
      <c r="B127" s="3"/>
      <c r="C127" s="3"/>
      <c r="D127" s="4"/>
      <c r="E127" s="4"/>
      <c r="F127" s="3"/>
      <c r="G127" s="3"/>
      <c r="H127" s="4"/>
      <c r="I127" s="4"/>
      <c r="J127" s="3"/>
      <c r="K127" s="3"/>
      <c r="L127" s="4"/>
      <c r="M127" s="4"/>
      <c r="N127" s="3"/>
      <c r="O127" s="3"/>
      <c r="P127" s="4"/>
      <c r="Q127" s="4"/>
      <c r="R127" s="3"/>
      <c r="S127" s="3"/>
      <c r="T127" s="3"/>
      <c r="U127" s="3"/>
      <c r="V127" s="3"/>
    </row>
    <row r="128" spans="1:43" x14ac:dyDescent="0.25">
      <c r="A128" s="24"/>
      <c r="B128" s="25"/>
      <c r="C128" s="25"/>
      <c r="D128" s="26"/>
      <c r="E128" s="26"/>
      <c r="F128" s="25"/>
      <c r="G128" s="25"/>
      <c r="H128" s="26"/>
      <c r="I128" s="26"/>
      <c r="J128" s="25"/>
      <c r="K128" s="25"/>
      <c r="L128" s="26"/>
      <c r="M128" s="26"/>
      <c r="N128" s="25"/>
      <c r="O128" s="25"/>
      <c r="P128" s="26"/>
      <c r="Q128" s="26"/>
      <c r="R128" s="25"/>
      <c r="S128" s="25"/>
      <c r="T128" s="25"/>
      <c r="U128" s="25"/>
      <c r="V128" s="25"/>
    </row>
    <row r="129" spans="1:43" x14ac:dyDescent="0.25">
      <c r="A129" s="27"/>
      <c r="B129" s="28"/>
      <c r="C129" s="28"/>
      <c r="D129" s="71">
        <v>1</v>
      </c>
      <c r="E129" s="72"/>
      <c r="F129" s="28"/>
      <c r="G129" s="28"/>
      <c r="H129" s="71">
        <v>2</v>
      </c>
      <c r="I129" s="72"/>
      <c r="J129" s="28"/>
      <c r="K129" s="28"/>
      <c r="L129" s="71">
        <v>3</v>
      </c>
      <c r="M129" s="72"/>
      <c r="N129" s="28"/>
      <c r="O129" s="28"/>
      <c r="P129" s="71">
        <v>4</v>
      </c>
      <c r="Q129" s="72"/>
      <c r="R129" s="28"/>
      <c r="S129" s="28"/>
      <c r="T129" s="28"/>
      <c r="U129" s="28"/>
      <c r="V129" s="3"/>
    </row>
    <row r="130" spans="1:43" x14ac:dyDescent="0.25">
      <c r="A130" s="27"/>
      <c r="B130" s="74" t="s">
        <v>11</v>
      </c>
      <c r="C130" s="74"/>
      <c r="D130" s="71" t="s">
        <v>12</v>
      </c>
      <c r="E130" s="72"/>
      <c r="F130" s="74" t="s">
        <v>11</v>
      </c>
      <c r="G130" s="74"/>
      <c r="H130" s="71" t="s">
        <v>12</v>
      </c>
      <c r="I130" s="72"/>
      <c r="J130" s="74" t="s">
        <v>11</v>
      </c>
      <c r="K130" s="74"/>
      <c r="L130" s="71" t="s">
        <v>12</v>
      </c>
      <c r="M130" s="72"/>
      <c r="N130" s="74" t="s">
        <v>11</v>
      </c>
      <c r="O130" s="74"/>
      <c r="P130" s="71" t="s">
        <v>12</v>
      </c>
      <c r="Q130" s="72"/>
      <c r="R130" s="74"/>
      <c r="S130" s="74"/>
      <c r="T130" s="74"/>
      <c r="U130" s="74"/>
      <c r="V130" s="30"/>
    </row>
    <row r="131" spans="1:43" x14ac:dyDescent="0.25">
      <c r="A131" s="27"/>
      <c r="B131" s="76"/>
      <c r="C131" s="76"/>
      <c r="D131" s="77"/>
      <c r="E131" s="77"/>
      <c r="F131" s="76"/>
      <c r="G131" s="76"/>
      <c r="H131" s="77"/>
      <c r="I131" s="77"/>
      <c r="J131" s="76"/>
      <c r="K131" s="76"/>
      <c r="L131" s="77"/>
      <c r="M131" s="77"/>
      <c r="N131" s="76"/>
      <c r="O131" s="76"/>
      <c r="P131" s="77"/>
      <c r="Q131" s="77"/>
      <c r="R131" s="76"/>
      <c r="S131" s="76"/>
      <c r="T131" s="76"/>
      <c r="U131" s="76"/>
      <c r="V131" s="30"/>
    </row>
    <row r="132" spans="1:43" x14ac:dyDescent="0.25">
      <c r="A132" s="27"/>
      <c r="B132" s="74">
        <v>0</v>
      </c>
      <c r="C132" s="74"/>
      <c r="D132" s="78">
        <v>1</v>
      </c>
      <c r="E132" s="78"/>
      <c r="F132" s="74">
        <v>2</v>
      </c>
      <c r="G132" s="74"/>
      <c r="H132" s="78">
        <v>3</v>
      </c>
      <c r="I132" s="78"/>
      <c r="J132" s="74">
        <v>4</v>
      </c>
      <c r="K132" s="74"/>
      <c r="L132" s="78">
        <v>5</v>
      </c>
      <c r="M132" s="78"/>
      <c r="N132" s="74">
        <v>6</v>
      </c>
      <c r="O132" s="74"/>
      <c r="P132" s="78">
        <v>7</v>
      </c>
      <c r="Q132" s="78"/>
      <c r="R132" s="74">
        <v>8</v>
      </c>
      <c r="S132" s="74"/>
      <c r="T132" s="74">
        <v>9</v>
      </c>
      <c r="U132" s="74"/>
      <c r="V132" s="32"/>
    </row>
    <row r="133" spans="1:43" x14ac:dyDescent="0.25">
      <c r="A133" s="27"/>
      <c r="B133" s="28" t="s">
        <v>13</v>
      </c>
      <c r="C133" s="28" t="s">
        <v>14</v>
      </c>
      <c r="D133" s="31" t="s">
        <v>15</v>
      </c>
      <c r="E133" s="31" t="s">
        <v>16</v>
      </c>
      <c r="F133" s="28" t="s">
        <v>13</v>
      </c>
      <c r="G133" s="28" t="s">
        <v>14</v>
      </c>
      <c r="H133" s="31" t="s">
        <v>15</v>
      </c>
      <c r="I133" s="31" t="s">
        <v>16</v>
      </c>
      <c r="J133" s="28" t="s">
        <v>13</v>
      </c>
      <c r="K133" s="28" t="s">
        <v>14</v>
      </c>
      <c r="L133" s="31" t="s">
        <v>15</v>
      </c>
      <c r="M133" s="31" t="s">
        <v>16</v>
      </c>
      <c r="N133" s="28" t="s">
        <v>13</v>
      </c>
      <c r="O133" s="28" t="s">
        <v>14</v>
      </c>
      <c r="P133" s="31" t="s">
        <v>15</v>
      </c>
      <c r="Q133" s="31" t="s">
        <v>16</v>
      </c>
      <c r="R133" s="28" t="s">
        <v>13</v>
      </c>
      <c r="S133" s="28" t="s">
        <v>14</v>
      </c>
      <c r="T133" s="28" t="s">
        <v>15</v>
      </c>
      <c r="U133" s="28" t="s">
        <v>16</v>
      </c>
      <c r="V133" s="32"/>
    </row>
    <row r="134" spans="1:43" ht="15.75" customHeight="1" x14ac:dyDescent="0.25">
      <c r="A134" s="33"/>
      <c r="B134" s="34"/>
      <c r="C134" s="34"/>
      <c r="D134" s="35"/>
      <c r="E134" s="36"/>
      <c r="F134" s="34"/>
      <c r="G134" s="34"/>
      <c r="H134" s="35"/>
      <c r="I134" s="36"/>
      <c r="J134" s="34"/>
      <c r="K134" s="34"/>
      <c r="L134" s="35"/>
      <c r="M134" s="36"/>
      <c r="N134" s="34"/>
      <c r="O134" s="34"/>
      <c r="P134" s="35"/>
      <c r="Q134" s="36"/>
      <c r="R134" s="34"/>
      <c r="S134" s="34"/>
      <c r="T134" s="34"/>
      <c r="U134" s="34"/>
      <c r="V134" s="37"/>
    </row>
    <row r="135" spans="1:43" ht="15.6" customHeight="1" x14ac:dyDescent="0.25">
      <c r="A135" s="3"/>
      <c r="B135" s="79" t="s">
        <v>3</v>
      </c>
      <c r="C135" s="80"/>
      <c r="D135" s="82" t="s">
        <v>3</v>
      </c>
      <c r="E135" s="80"/>
      <c r="F135" s="79" t="s">
        <v>3</v>
      </c>
      <c r="G135" s="80"/>
      <c r="H135" s="82" t="s">
        <v>3</v>
      </c>
      <c r="I135" s="80"/>
      <c r="J135" s="79" t="s">
        <v>3</v>
      </c>
      <c r="K135" s="80"/>
      <c r="L135" s="82" t="s">
        <v>3</v>
      </c>
      <c r="M135" s="80"/>
      <c r="N135" s="79" t="s">
        <v>3</v>
      </c>
      <c r="O135" s="80"/>
      <c r="P135" s="82" t="s">
        <v>3</v>
      </c>
      <c r="Q135" s="80"/>
      <c r="R135" s="30"/>
      <c r="S135" s="30"/>
      <c r="T135" s="30"/>
      <c r="U135" s="30"/>
      <c r="V135" s="32"/>
      <c r="W135" s="3"/>
      <c r="X135" s="76"/>
      <c r="Y135" s="76"/>
      <c r="Z135" s="76"/>
      <c r="AA135" s="76"/>
      <c r="AB135" s="76"/>
      <c r="AC135" s="76"/>
      <c r="AD135" s="76"/>
      <c r="AE135" s="76"/>
      <c r="AF135" s="76"/>
      <c r="AG135" s="76"/>
      <c r="AH135" s="76"/>
      <c r="AI135" s="76"/>
      <c r="AJ135" s="76"/>
      <c r="AK135" s="76"/>
      <c r="AL135" s="76"/>
      <c r="AM135" s="76"/>
      <c r="AN135" s="76"/>
      <c r="AO135" s="76"/>
      <c r="AP135" s="76"/>
      <c r="AQ135" s="76"/>
    </row>
    <row r="136" spans="1:43" ht="15.6" customHeight="1" x14ac:dyDescent="0.25">
      <c r="A136" s="3"/>
      <c r="B136" s="81"/>
      <c r="C136" s="81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76"/>
      <c r="S136" s="76"/>
      <c r="T136" s="76"/>
      <c r="U136" s="76"/>
      <c r="V136" s="32"/>
      <c r="W136" s="3"/>
      <c r="X136" s="76"/>
      <c r="Y136" s="76"/>
      <c r="Z136" s="76"/>
      <c r="AA136" s="76"/>
      <c r="AB136" s="76"/>
      <c r="AC136" s="76"/>
      <c r="AD136" s="76"/>
      <c r="AE136" s="76"/>
      <c r="AF136" s="76"/>
      <c r="AG136" s="76"/>
      <c r="AH136" s="76"/>
      <c r="AI136" s="76"/>
      <c r="AJ136" s="76"/>
      <c r="AK136" s="76"/>
      <c r="AL136" s="76"/>
      <c r="AM136" s="76"/>
      <c r="AN136" s="76"/>
      <c r="AO136" s="76"/>
      <c r="AP136" s="76"/>
      <c r="AQ136" s="76"/>
    </row>
    <row r="137" spans="1:43" x14ac:dyDescent="0.25">
      <c r="A137" s="3"/>
      <c r="B137" s="83" t="s">
        <v>96</v>
      </c>
      <c r="C137" s="84"/>
      <c r="D137" s="85" t="s">
        <v>3</v>
      </c>
      <c r="E137" s="86"/>
      <c r="F137" s="83" t="s">
        <v>96</v>
      </c>
      <c r="G137" s="84"/>
      <c r="H137" s="85" t="s">
        <v>3</v>
      </c>
      <c r="I137" s="86"/>
      <c r="J137" s="83" t="s">
        <v>96</v>
      </c>
      <c r="K137" s="84"/>
      <c r="L137" s="85" t="s">
        <v>3</v>
      </c>
      <c r="M137" s="86"/>
      <c r="N137" s="83" t="s">
        <v>96</v>
      </c>
      <c r="O137" s="84"/>
      <c r="P137" s="85" t="s">
        <v>3</v>
      </c>
      <c r="Q137" s="86"/>
      <c r="R137" s="30"/>
      <c r="S137" s="30"/>
      <c r="T137" s="30"/>
      <c r="U137" s="30"/>
      <c r="V137" s="32"/>
    </row>
    <row r="138" spans="1:43" x14ac:dyDescent="0.25">
      <c r="A138" s="3"/>
      <c r="B138" s="3"/>
      <c r="C138" s="3"/>
      <c r="D138" s="4"/>
      <c r="E138" s="4"/>
      <c r="F138" s="3"/>
      <c r="G138" s="3"/>
      <c r="H138" s="4"/>
      <c r="I138" s="4"/>
      <c r="J138" s="3"/>
      <c r="K138" s="3"/>
      <c r="L138" s="4"/>
      <c r="M138" s="4"/>
      <c r="N138" s="3"/>
      <c r="O138" s="3"/>
      <c r="P138" s="4"/>
      <c r="Q138" s="4"/>
      <c r="R138" s="3"/>
      <c r="S138" s="3"/>
      <c r="T138" s="3"/>
      <c r="U138" s="3"/>
      <c r="V138" s="3"/>
    </row>
    <row r="139" spans="1:43" x14ac:dyDescent="0.25">
      <c r="A139" s="3"/>
      <c r="B139" s="3"/>
      <c r="C139" s="3"/>
      <c r="D139" s="4"/>
      <c r="E139" s="5" t="s">
        <v>30</v>
      </c>
      <c r="F139" s="87" t="s">
        <v>31</v>
      </c>
      <c r="G139" s="87"/>
      <c r="H139" s="87"/>
      <c r="I139" s="87" t="s">
        <v>32</v>
      </c>
      <c r="J139" s="87"/>
      <c r="K139" s="3"/>
      <c r="L139" s="4"/>
      <c r="M139" s="4"/>
      <c r="N139" s="3"/>
      <c r="O139" s="30" t="s">
        <v>33</v>
      </c>
      <c r="P139" s="4" t="s">
        <v>34</v>
      </c>
      <c r="Q139" s="4"/>
      <c r="R139" s="3"/>
      <c r="S139" s="3" t="s">
        <v>35</v>
      </c>
      <c r="T139" s="3"/>
      <c r="U139" s="3"/>
      <c r="V139" s="3"/>
    </row>
    <row r="140" spans="1:43" x14ac:dyDescent="0.25">
      <c r="A140" s="3"/>
      <c r="B140" s="3"/>
      <c r="C140" s="3"/>
      <c r="D140" s="4"/>
      <c r="E140" s="5" t="s">
        <v>36</v>
      </c>
      <c r="F140" s="87" t="s">
        <v>37</v>
      </c>
      <c r="G140" s="87"/>
      <c r="H140" s="87"/>
      <c r="I140" s="4" t="s">
        <v>38</v>
      </c>
      <c r="J140" s="3"/>
      <c r="K140" s="3"/>
      <c r="L140" s="4"/>
      <c r="M140" s="4"/>
      <c r="N140" s="3"/>
      <c r="O140" s="30" t="s">
        <v>39</v>
      </c>
      <c r="P140" s="4" t="s">
        <v>34</v>
      </c>
      <c r="Q140" s="4"/>
      <c r="R140" s="3"/>
      <c r="S140" s="3" t="s">
        <v>40</v>
      </c>
      <c r="T140" s="3"/>
      <c r="U140" s="3"/>
      <c r="V140" s="3"/>
    </row>
    <row r="141" spans="1:43" x14ac:dyDescent="0.25">
      <c r="A141" s="3" t="s">
        <v>0</v>
      </c>
      <c r="B141" s="3"/>
      <c r="C141" s="3"/>
      <c r="D141" s="4"/>
      <c r="E141" s="5"/>
      <c r="F141" s="3"/>
      <c r="G141" s="3"/>
      <c r="H141" s="4"/>
      <c r="I141" s="4"/>
      <c r="J141" s="3"/>
      <c r="K141" s="3"/>
      <c r="L141" s="4"/>
      <c r="M141" s="4"/>
      <c r="N141" s="3"/>
      <c r="O141" s="3"/>
      <c r="P141" s="4"/>
      <c r="Q141" s="4"/>
      <c r="R141" s="3"/>
      <c r="S141" s="3"/>
      <c r="T141" s="3"/>
      <c r="U141" s="3"/>
      <c r="V141" s="3"/>
    </row>
    <row r="142" spans="1:43" ht="18.75" customHeight="1" x14ac:dyDescent="0.3">
      <c r="A142" s="3"/>
      <c r="B142" s="3"/>
      <c r="C142" s="3"/>
      <c r="D142" s="4"/>
      <c r="E142" s="6" t="s">
        <v>1</v>
      </c>
      <c r="F142" s="3"/>
      <c r="G142" s="7"/>
      <c r="H142" s="8"/>
      <c r="I142" s="8"/>
      <c r="J142" s="7"/>
      <c r="K142" s="7"/>
      <c r="L142" s="8"/>
      <c r="M142" s="9" t="s">
        <v>2</v>
      </c>
      <c r="N142" s="66" t="s">
        <v>3</v>
      </c>
      <c r="O142" s="67"/>
      <c r="P142" s="4"/>
      <c r="Q142" s="4"/>
      <c r="R142" s="3"/>
      <c r="S142" s="3"/>
      <c r="T142" s="3"/>
      <c r="U142" s="3"/>
      <c r="V142" s="3"/>
    </row>
    <row r="143" spans="1:43" ht="18.75" customHeight="1" x14ac:dyDescent="0.3">
      <c r="A143" s="3"/>
      <c r="B143" s="3"/>
      <c r="C143" s="3"/>
      <c r="D143" s="4"/>
      <c r="E143" s="6" t="s">
        <v>4</v>
      </c>
      <c r="F143" s="3"/>
      <c r="G143" s="3"/>
      <c r="H143" s="4"/>
      <c r="I143" s="4"/>
      <c r="J143" s="13"/>
      <c r="K143" s="13"/>
      <c r="L143" s="14"/>
      <c r="M143" s="9" t="s">
        <v>5</v>
      </c>
      <c r="N143" s="69" t="s">
        <v>6</v>
      </c>
      <c r="O143" s="69"/>
      <c r="P143" s="4"/>
      <c r="Q143" s="4"/>
      <c r="R143" s="3"/>
      <c r="S143" s="3"/>
      <c r="T143" s="3"/>
      <c r="U143" s="3"/>
      <c r="V143" s="3"/>
    </row>
    <row r="144" spans="1:43" ht="18.75" customHeight="1" x14ac:dyDescent="0.3">
      <c r="A144" s="3"/>
      <c r="B144" s="3"/>
      <c r="C144" s="3"/>
      <c r="D144" s="4"/>
      <c r="E144" s="4" t="s">
        <v>7</v>
      </c>
      <c r="F144" s="3"/>
      <c r="G144" s="3"/>
      <c r="H144" s="8"/>
      <c r="I144" s="8"/>
      <c r="J144" s="7"/>
      <c r="K144" s="7"/>
      <c r="L144" s="8"/>
      <c r="M144" s="16" t="s">
        <v>5</v>
      </c>
      <c r="N144" s="17">
        <v>4</v>
      </c>
      <c r="O144" s="3"/>
      <c r="P144" s="4"/>
      <c r="Q144" s="4"/>
      <c r="R144" s="3"/>
      <c r="S144" s="3"/>
      <c r="T144" s="3"/>
      <c r="U144" s="3"/>
      <c r="V144" s="3"/>
    </row>
    <row r="145" spans="1:43" ht="18.75" customHeight="1" x14ac:dyDescent="0.3">
      <c r="A145" s="3"/>
      <c r="B145" s="3"/>
      <c r="C145" s="3"/>
      <c r="D145" s="4"/>
      <c r="E145" s="4" t="s">
        <v>8</v>
      </c>
      <c r="F145" s="3"/>
      <c r="G145" s="3"/>
      <c r="H145" s="4"/>
      <c r="I145" s="4"/>
      <c r="J145" s="3"/>
      <c r="K145" s="3"/>
      <c r="L145" s="14"/>
      <c r="M145" s="16" t="s">
        <v>5</v>
      </c>
      <c r="N145" s="17" t="s">
        <v>9</v>
      </c>
      <c r="O145" s="19"/>
      <c r="P145" s="4"/>
      <c r="Q145" s="4"/>
      <c r="R145" s="3"/>
      <c r="S145" s="3"/>
      <c r="T145" s="3"/>
      <c r="U145" s="3"/>
      <c r="V145" s="3"/>
    </row>
    <row r="146" spans="1:43" ht="18.75" customHeight="1" x14ac:dyDescent="0.3">
      <c r="A146" s="3"/>
      <c r="B146" s="3"/>
      <c r="C146" s="3"/>
      <c r="D146" s="4"/>
      <c r="E146" s="21" t="s">
        <v>10</v>
      </c>
      <c r="F146" s="3"/>
      <c r="G146" s="3"/>
      <c r="H146" s="4"/>
      <c r="I146" s="8"/>
      <c r="J146" s="7"/>
      <c r="K146" s="7"/>
      <c r="L146" s="8"/>
      <c r="M146" s="16" t="s">
        <v>5</v>
      </c>
      <c r="N146" s="22">
        <v>8</v>
      </c>
      <c r="O146" s="3"/>
      <c r="P146" s="4"/>
      <c r="Q146" s="4"/>
      <c r="R146" s="3"/>
      <c r="S146" s="3"/>
      <c r="T146" s="3"/>
      <c r="U146" s="3"/>
      <c r="V146" s="3"/>
    </row>
    <row r="147" spans="1:43" ht="15.75" customHeight="1" x14ac:dyDescent="0.25">
      <c r="A147" s="3"/>
      <c r="B147" s="3"/>
      <c r="C147" s="3"/>
      <c r="D147" s="4"/>
      <c r="E147" s="4"/>
      <c r="F147" s="3"/>
      <c r="G147" s="3"/>
      <c r="H147" s="4"/>
      <c r="I147" s="4"/>
      <c r="J147" s="3"/>
      <c r="K147" s="3"/>
      <c r="L147" s="4"/>
      <c r="M147" s="4"/>
      <c r="N147" s="3"/>
      <c r="O147" s="3"/>
      <c r="P147" s="4"/>
      <c r="Q147" s="4"/>
      <c r="R147" s="3"/>
      <c r="S147" s="3"/>
      <c r="T147" s="3"/>
      <c r="U147" s="3"/>
      <c r="V147" s="3"/>
    </row>
    <row r="148" spans="1:43" x14ac:dyDescent="0.25">
      <c r="A148" s="24"/>
      <c r="B148" s="25"/>
      <c r="C148" s="25"/>
      <c r="D148" s="26"/>
      <c r="E148" s="26"/>
      <c r="F148" s="25"/>
      <c r="G148" s="25"/>
      <c r="H148" s="26"/>
      <c r="I148" s="26"/>
      <c r="J148" s="25"/>
      <c r="K148" s="25"/>
      <c r="L148" s="26"/>
      <c r="M148" s="26"/>
      <c r="N148" s="25"/>
      <c r="O148" s="25"/>
      <c r="P148" s="26"/>
      <c r="Q148" s="26"/>
      <c r="R148" s="25"/>
      <c r="S148" s="25"/>
      <c r="T148" s="25"/>
      <c r="U148" s="25"/>
      <c r="V148" s="25"/>
    </row>
    <row r="149" spans="1:43" x14ac:dyDescent="0.25">
      <c r="A149" s="27"/>
      <c r="B149" s="28"/>
      <c r="C149" s="28"/>
      <c r="D149" s="71">
        <v>1</v>
      </c>
      <c r="E149" s="72"/>
      <c r="F149" s="28"/>
      <c r="G149" s="28"/>
      <c r="H149" s="71">
        <v>2</v>
      </c>
      <c r="I149" s="72"/>
      <c r="J149" s="28"/>
      <c r="K149" s="28"/>
      <c r="L149" s="71">
        <v>3</v>
      </c>
      <c r="M149" s="72"/>
      <c r="N149" s="28"/>
      <c r="O149" s="28"/>
      <c r="P149" s="71">
        <v>4</v>
      </c>
      <c r="Q149" s="72"/>
      <c r="R149" s="28"/>
      <c r="S149" s="28"/>
      <c r="T149" s="28"/>
      <c r="U149" s="28"/>
      <c r="V149" s="3"/>
    </row>
    <row r="150" spans="1:43" x14ac:dyDescent="0.25">
      <c r="A150" s="27"/>
      <c r="B150" s="74" t="s">
        <v>11</v>
      </c>
      <c r="C150" s="74"/>
      <c r="D150" s="71" t="s">
        <v>12</v>
      </c>
      <c r="E150" s="72"/>
      <c r="F150" s="74" t="s">
        <v>11</v>
      </c>
      <c r="G150" s="74"/>
      <c r="H150" s="71" t="s">
        <v>12</v>
      </c>
      <c r="I150" s="72"/>
      <c r="J150" s="74" t="s">
        <v>11</v>
      </c>
      <c r="K150" s="74"/>
      <c r="L150" s="71" t="s">
        <v>12</v>
      </c>
      <c r="M150" s="72"/>
      <c r="N150" s="74" t="s">
        <v>11</v>
      </c>
      <c r="O150" s="74"/>
      <c r="P150" s="71" t="s">
        <v>12</v>
      </c>
      <c r="Q150" s="72"/>
      <c r="R150" s="74"/>
      <c r="S150" s="74"/>
      <c r="T150" s="74"/>
      <c r="U150" s="74"/>
      <c r="V150" s="30"/>
    </row>
    <row r="151" spans="1:43" x14ac:dyDescent="0.25">
      <c r="A151" s="27"/>
      <c r="B151" s="76"/>
      <c r="C151" s="76"/>
      <c r="D151" s="77"/>
      <c r="E151" s="77"/>
      <c r="F151" s="76"/>
      <c r="G151" s="76"/>
      <c r="H151" s="77"/>
      <c r="I151" s="77"/>
      <c r="J151" s="76"/>
      <c r="K151" s="76"/>
      <c r="L151" s="77"/>
      <c r="M151" s="77"/>
      <c r="N151" s="76"/>
      <c r="O151" s="76"/>
      <c r="P151" s="77"/>
      <c r="Q151" s="77"/>
      <c r="R151" s="76"/>
      <c r="S151" s="76"/>
      <c r="T151" s="76"/>
      <c r="U151" s="76"/>
      <c r="V151" s="30"/>
    </row>
    <row r="152" spans="1:43" x14ac:dyDescent="0.25">
      <c r="A152" s="27"/>
      <c r="B152" s="74">
        <v>0</v>
      </c>
      <c r="C152" s="74"/>
      <c r="D152" s="78">
        <v>1</v>
      </c>
      <c r="E152" s="78"/>
      <c r="F152" s="74">
        <v>2</v>
      </c>
      <c r="G152" s="74"/>
      <c r="H152" s="78">
        <v>3</v>
      </c>
      <c r="I152" s="78"/>
      <c r="J152" s="74">
        <v>4</v>
      </c>
      <c r="K152" s="74"/>
      <c r="L152" s="78">
        <v>5</v>
      </c>
      <c r="M152" s="78"/>
      <c r="N152" s="74">
        <v>6</v>
      </c>
      <c r="O152" s="74"/>
      <c r="P152" s="78">
        <v>7</v>
      </c>
      <c r="Q152" s="78"/>
      <c r="R152" s="74">
        <v>8</v>
      </c>
      <c r="S152" s="74"/>
      <c r="T152" s="74">
        <v>9</v>
      </c>
      <c r="U152" s="74"/>
      <c r="V152" s="32"/>
    </row>
    <row r="153" spans="1:43" x14ac:dyDescent="0.25">
      <c r="A153" s="27"/>
      <c r="B153" s="28" t="s">
        <v>13</v>
      </c>
      <c r="C153" s="28" t="s">
        <v>14</v>
      </c>
      <c r="D153" s="31" t="s">
        <v>15</v>
      </c>
      <c r="E153" s="31" t="s">
        <v>16</v>
      </c>
      <c r="F153" s="28" t="s">
        <v>13</v>
      </c>
      <c r="G153" s="28" t="s">
        <v>14</v>
      </c>
      <c r="H153" s="31" t="s">
        <v>15</v>
      </c>
      <c r="I153" s="31" t="s">
        <v>16</v>
      </c>
      <c r="J153" s="28" t="s">
        <v>13</v>
      </c>
      <c r="K153" s="28" t="s">
        <v>14</v>
      </c>
      <c r="L153" s="31" t="s">
        <v>15</v>
      </c>
      <c r="M153" s="31" t="s">
        <v>16</v>
      </c>
      <c r="N153" s="28" t="s">
        <v>13</v>
      </c>
      <c r="O153" s="28" t="s">
        <v>14</v>
      </c>
      <c r="P153" s="31" t="s">
        <v>15</v>
      </c>
      <c r="Q153" s="31" t="s">
        <v>16</v>
      </c>
      <c r="R153" s="28" t="s">
        <v>13</v>
      </c>
      <c r="S153" s="28" t="s">
        <v>14</v>
      </c>
      <c r="T153" s="28" t="s">
        <v>15</v>
      </c>
      <c r="U153" s="28" t="s">
        <v>16</v>
      </c>
      <c r="V153" s="32"/>
    </row>
    <row r="154" spans="1:43" ht="15.75" customHeight="1" x14ac:dyDescent="0.25">
      <c r="A154" s="33"/>
      <c r="B154" s="34"/>
      <c r="C154" s="34"/>
      <c r="D154" s="35"/>
      <c r="E154" s="36"/>
      <c r="F154" s="34"/>
      <c r="G154" s="34"/>
      <c r="H154" s="35"/>
      <c r="I154" s="36"/>
      <c r="J154" s="34"/>
      <c r="K154" s="34"/>
      <c r="L154" s="35"/>
      <c r="M154" s="36"/>
      <c r="N154" s="34"/>
      <c r="O154" s="34"/>
      <c r="P154" s="35"/>
      <c r="Q154" s="36"/>
      <c r="R154" s="34"/>
      <c r="S154" s="34"/>
      <c r="T154" s="34"/>
      <c r="U154" s="34"/>
      <c r="V154" s="37"/>
    </row>
    <row r="155" spans="1:43" ht="15.6" customHeight="1" x14ac:dyDescent="0.25">
      <c r="A155" s="3"/>
      <c r="B155" s="79" t="s">
        <v>3</v>
      </c>
      <c r="C155" s="80"/>
      <c r="D155" s="82" t="s">
        <v>3</v>
      </c>
      <c r="E155" s="80"/>
      <c r="F155" s="79" t="s">
        <v>3</v>
      </c>
      <c r="G155" s="80"/>
      <c r="H155" s="82" t="s">
        <v>3</v>
      </c>
      <c r="I155" s="80"/>
      <c r="J155" s="79" t="s">
        <v>3</v>
      </c>
      <c r="K155" s="80"/>
      <c r="L155" s="82" t="s">
        <v>3</v>
      </c>
      <c r="M155" s="80"/>
      <c r="N155" s="121" t="s">
        <v>282</v>
      </c>
      <c r="O155" s="122"/>
      <c r="P155" s="123" t="s">
        <v>3</v>
      </c>
      <c r="Q155" s="122"/>
      <c r="R155" s="30"/>
      <c r="S155" s="30"/>
      <c r="T155" s="30"/>
      <c r="U155" s="30"/>
      <c r="V155" s="32"/>
      <c r="W155" s="3"/>
      <c r="X155" s="76"/>
      <c r="Y155" s="76"/>
      <c r="Z155" s="76"/>
      <c r="AA155" s="76"/>
      <c r="AB155" s="76"/>
      <c r="AC155" s="76"/>
      <c r="AD155" s="76"/>
      <c r="AE155" s="76"/>
      <c r="AF155" s="76"/>
      <c r="AG155" s="76"/>
      <c r="AH155" s="76"/>
      <c r="AI155" s="76"/>
      <c r="AJ155" s="76"/>
      <c r="AK155" s="76"/>
      <c r="AL155" s="76"/>
      <c r="AM155" s="76"/>
      <c r="AN155" s="76"/>
      <c r="AO155" s="76"/>
      <c r="AP155" s="76"/>
      <c r="AQ155" s="76"/>
    </row>
    <row r="156" spans="1:43" ht="15.6" customHeight="1" x14ac:dyDescent="0.25">
      <c r="A156" s="3"/>
      <c r="B156" s="81"/>
      <c r="C156" s="81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124"/>
      <c r="O156" s="124"/>
      <c r="P156" s="124"/>
      <c r="Q156" s="124"/>
      <c r="R156" s="76"/>
      <c r="S156" s="76"/>
      <c r="T156" s="76"/>
      <c r="U156" s="76"/>
      <c r="V156" s="32"/>
      <c r="W156" s="3"/>
      <c r="X156" s="76"/>
      <c r="Y156" s="76"/>
      <c r="Z156" s="76"/>
      <c r="AA156" s="76"/>
      <c r="AB156" s="76"/>
      <c r="AC156" s="76"/>
      <c r="AD156" s="76"/>
      <c r="AE156" s="76"/>
      <c r="AF156" s="76"/>
      <c r="AG156" s="76"/>
      <c r="AH156" s="76"/>
      <c r="AI156" s="76"/>
      <c r="AJ156" s="76"/>
      <c r="AK156" s="76"/>
      <c r="AL156" s="76"/>
      <c r="AM156" s="76"/>
      <c r="AN156" s="76"/>
      <c r="AO156" s="76"/>
      <c r="AP156" s="76"/>
      <c r="AQ156" s="76"/>
    </row>
    <row r="157" spans="1:43" x14ac:dyDescent="0.25">
      <c r="A157" s="3"/>
      <c r="B157" s="83" t="s">
        <v>96</v>
      </c>
      <c r="C157" s="84"/>
      <c r="D157" s="85" t="s">
        <v>3</v>
      </c>
      <c r="E157" s="86"/>
      <c r="F157" s="83" t="s">
        <v>96</v>
      </c>
      <c r="G157" s="84"/>
      <c r="H157" s="85" t="s">
        <v>3</v>
      </c>
      <c r="I157" s="86"/>
      <c r="J157" s="83" t="s">
        <v>96</v>
      </c>
      <c r="K157" s="84"/>
      <c r="L157" s="85" t="s">
        <v>3</v>
      </c>
      <c r="M157" s="86"/>
      <c r="N157" s="125"/>
      <c r="O157" s="126"/>
      <c r="P157" s="127" t="s">
        <v>3</v>
      </c>
      <c r="Q157" s="127"/>
      <c r="R157" s="30"/>
      <c r="S157" s="30"/>
      <c r="T157" s="30"/>
      <c r="U157" s="30"/>
      <c r="V157" s="32"/>
    </row>
    <row r="158" spans="1:43" x14ac:dyDescent="0.25">
      <c r="A158" s="3"/>
      <c r="B158" s="3"/>
      <c r="C158" s="3"/>
      <c r="D158" s="4"/>
      <c r="E158" s="4"/>
      <c r="F158" s="3"/>
      <c r="G158" s="3"/>
      <c r="H158" s="4"/>
      <c r="I158" s="4"/>
      <c r="J158" s="3"/>
      <c r="K158" s="3"/>
      <c r="L158" s="4"/>
      <c r="M158" s="4"/>
      <c r="N158" s="3"/>
      <c r="O158" s="3"/>
      <c r="P158" s="4"/>
      <c r="Q158" s="4"/>
      <c r="R158" s="3"/>
      <c r="S158" s="3"/>
      <c r="T158" s="3"/>
      <c r="U158" s="3"/>
      <c r="V158" s="3"/>
    </row>
    <row r="159" spans="1:43" x14ac:dyDescent="0.25">
      <c r="A159" s="3"/>
      <c r="B159" s="3"/>
      <c r="C159" s="3"/>
      <c r="D159" s="4"/>
      <c r="E159" s="5" t="s">
        <v>30</v>
      </c>
      <c r="F159" s="87" t="s">
        <v>31</v>
      </c>
      <c r="G159" s="87"/>
      <c r="H159" s="87"/>
      <c r="I159" s="87" t="s">
        <v>32</v>
      </c>
      <c r="J159" s="87"/>
      <c r="K159" s="3"/>
      <c r="L159" s="4"/>
      <c r="M159" s="4"/>
      <c r="N159" s="3"/>
      <c r="O159" s="30" t="s">
        <v>33</v>
      </c>
      <c r="P159" s="4" t="s">
        <v>34</v>
      </c>
      <c r="Q159" s="4"/>
      <c r="R159" s="3"/>
      <c r="S159" s="3" t="s">
        <v>35</v>
      </c>
      <c r="T159" s="3"/>
      <c r="U159" s="3"/>
      <c r="V159" s="3"/>
    </row>
    <row r="160" spans="1:43" x14ac:dyDescent="0.25">
      <c r="A160" s="3"/>
      <c r="B160" s="3"/>
      <c r="C160" s="3"/>
      <c r="D160" s="4"/>
      <c r="E160" s="5" t="s">
        <v>36</v>
      </c>
      <c r="F160" s="87" t="s">
        <v>37</v>
      </c>
      <c r="G160" s="87"/>
      <c r="H160" s="87"/>
      <c r="I160" s="4" t="s">
        <v>38</v>
      </c>
      <c r="J160" s="3"/>
      <c r="K160" s="3"/>
      <c r="L160" s="4"/>
      <c r="M160" s="4"/>
      <c r="N160" s="3"/>
      <c r="O160" s="30" t="s">
        <v>39</v>
      </c>
      <c r="P160" s="4" t="s">
        <v>34</v>
      </c>
      <c r="Q160" s="4"/>
      <c r="R160" s="3"/>
      <c r="S160" s="3" t="s">
        <v>40</v>
      </c>
      <c r="T160" s="3"/>
      <c r="U160" s="3"/>
      <c r="V160" s="3"/>
    </row>
    <row r="161" spans="1:22" x14ac:dyDescent="0.25">
      <c r="A161" s="3" t="s">
        <v>0</v>
      </c>
      <c r="B161" s="3"/>
      <c r="C161" s="3"/>
      <c r="D161" s="4"/>
      <c r="E161" s="5"/>
      <c r="F161" s="3"/>
      <c r="G161" s="3"/>
      <c r="H161" s="4"/>
      <c r="I161" s="4"/>
      <c r="J161" s="3"/>
      <c r="K161" s="3"/>
      <c r="L161" s="4"/>
      <c r="M161" s="4"/>
      <c r="N161" s="3"/>
      <c r="O161" s="3"/>
      <c r="P161" s="4"/>
      <c r="Q161" s="4"/>
      <c r="R161" s="3"/>
      <c r="S161" s="3"/>
      <c r="T161" s="3"/>
      <c r="U161" s="3"/>
      <c r="V161" s="3"/>
    </row>
  </sheetData>
  <sheetProtection formatCells="0" formatColumns="0" formatRows="0" insertColumns="0" insertRows="0" insertHyperlinks="0" deleteColumns="0" deleteRows="0" sort="0" autoFilter="0" pivotTables="0"/>
  <mergeCells count="622">
    <mergeCell ref="F160:H160"/>
    <mergeCell ref="B157:C157"/>
    <mergeCell ref="D157:E157"/>
    <mergeCell ref="F157:G157"/>
    <mergeCell ref="H157:I157"/>
    <mergeCell ref="J157:K157"/>
    <mergeCell ref="L157:M157"/>
    <mergeCell ref="N157:O157"/>
    <mergeCell ref="P157:Q157"/>
    <mergeCell ref="F159:H159"/>
    <mergeCell ref="I159:J159"/>
    <mergeCell ref="X155:AA155"/>
    <mergeCell ref="AB155:AE155"/>
    <mergeCell ref="AF155:AI155"/>
    <mergeCell ref="AJ155:AM155"/>
    <mergeCell ref="AN155:AQ155"/>
    <mergeCell ref="R156:U156"/>
    <mergeCell ref="X156:AA156"/>
    <mergeCell ref="AB156:AE156"/>
    <mergeCell ref="AF156:AI156"/>
    <mergeCell ref="AJ156:AM156"/>
    <mergeCell ref="AN156:AQ156"/>
    <mergeCell ref="T152:U152"/>
    <mergeCell ref="B155:C156"/>
    <mergeCell ref="D155:E156"/>
    <mergeCell ref="F155:G156"/>
    <mergeCell ref="H155:I156"/>
    <mergeCell ref="J155:K156"/>
    <mergeCell ref="L155:M156"/>
    <mergeCell ref="N155:O156"/>
    <mergeCell ref="P155:Q156"/>
    <mergeCell ref="B152:C152"/>
    <mergeCell ref="D152:E152"/>
    <mergeCell ref="F152:G152"/>
    <mergeCell ref="H152:I152"/>
    <mergeCell ref="J152:K152"/>
    <mergeCell ref="L152:M152"/>
    <mergeCell ref="N152:O152"/>
    <mergeCell ref="P152:Q152"/>
    <mergeCell ref="R152:S152"/>
    <mergeCell ref="R150:S150"/>
    <mergeCell ref="T150:U150"/>
    <mergeCell ref="B151:C151"/>
    <mergeCell ref="D151:E151"/>
    <mergeCell ref="F151:G151"/>
    <mergeCell ref="H151:I151"/>
    <mergeCell ref="J151:K151"/>
    <mergeCell ref="L151:M151"/>
    <mergeCell ref="N151:O151"/>
    <mergeCell ref="P151:Q151"/>
    <mergeCell ref="R151:S151"/>
    <mergeCell ref="T151:U151"/>
    <mergeCell ref="F140:H140"/>
    <mergeCell ref="N142:O142"/>
    <mergeCell ref="N143:O143"/>
    <mergeCell ref="D149:E149"/>
    <mergeCell ref="H149:I149"/>
    <mergeCell ref="L149:M149"/>
    <mergeCell ref="P149:Q149"/>
    <mergeCell ref="B150:C150"/>
    <mergeCell ref="D150:E150"/>
    <mergeCell ref="F150:G150"/>
    <mergeCell ref="H150:I150"/>
    <mergeCell ref="J150:K150"/>
    <mergeCell ref="L150:M150"/>
    <mergeCell ref="N150:O150"/>
    <mergeCell ref="P150:Q150"/>
    <mergeCell ref="B137:C137"/>
    <mergeCell ref="D137:E137"/>
    <mergeCell ref="F137:G137"/>
    <mergeCell ref="H137:I137"/>
    <mergeCell ref="J137:K137"/>
    <mergeCell ref="L137:M137"/>
    <mergeCell ref="N137:O137"/>
    <mergeCell ref="P137:Q137"/>
    <mergeCell ref="F139:H139"/>
    <mergeCell ref="I139:J139"/>
    <mergeCell ref="X135:AA135"/>
    <mergeCell ref="AB135:AE135"/>
    <mergeCell ref="AF135:AI135"/>
    <mergeCell ref="AJ135:AM135"/>
    <mergeCell ref="AN135:AQ135"/>
    <mergeCell ref="R136:U136"/>
    <mergeCell ref="X136:AA136"/>
    <mergeCell ref="AB136:AE136"/>
    <mergeCell ref="AF136:AI136"/>
    <mergeCell ref="AJ136:AM136"/>
    <mergeCell ref="AN136:AQ136"/>
    <mergeCell ref="T132:U132"/>
    <mergeCell ref="B135:C136"/>
    <mergeCell ref="D135:E136"/>
    <mergeCell ref="F135:G136"/>
    <mergeCell ref="H135:I136"/>
    <mergeCell ref="J135:K136"/>
    <mergeCell ref="L135:M136"/>
    <mergeCell ref="N135:O136"/>
    <mergeCell ref="P135:Q136"/>
    <mergeCell ref="B132:C132"/>
    <mergeCell ref="D132:E132"/>
    <mergeCell ref="F132:G132"/>
    <mergeCell ref="H132:I132"/>
    <mergeCell ref="J132:K132"/>
    <mergeCell ref="L132:M132"/>
    <mergeCell ref="N132:O132"/>
    <mergeCell ref="P132:Q132"/>
    <mergeCell ref="R132:S132"/>
    <mergeCell ref="R130:S130"/>
    <mergeCell ref="T130:U130"/>
    <mergeCell ref="B131:C131"/>
    <mergeCell ref="D131:E131"/>
    <mergeCell ref="F131:G131"/>
    <mergeCell ref="H131:I131"/>
    <mergeCell ref="J131:K131"/>
    <mergeCell ref="L131:M131"/>
    <mergeCell ref="N131:O131"/>
    <mergeCell ref="P131:Q131"/>
    <mergeCell ref="R131:S131"/>
    <mergeCell ref="T131:U131"/>
    <mergeCell ref="F120:H120"/>
    <mergeCell ref="N122:O122"/>
    <mergeCell ref="N123:O123"/>
    <mergeCell ref="D129:E129"/>
    <mergeCell ref="H129:I129"/>
    <mergeCell ref="L129:M129"/>
    <mergeCell ref="P129:Q129"/>
    <mergeCell ref="B130:C130"/>
    <mergeCell ref="D130:E130"/>
    <mergeCell ref="F130:G130"/>
    <mergeCell ref="H130:I130"/>
    <mergeCell ref="J130:K130"/>
    <mergeCell ref="L130:M130"/>
    <mergeCell ref="N130:O130"/>
    <mergeCell ref="P130:Q130"/>
    <mergeCell ref="B117:C117"/>
    <mergeCell ref="D117:E117"/>
    <mergeCell ref="F117:G117"/>
    <mergeCell ref="H117:I117"/>
    <mergeCell ref="J117:K117"/>
    <mergeCell ref="L117:M117"/>
    <mergeCell ref="N117:O117"/>
    <mergeCell ref="P117:Q117"/>
    <mergeCell ref="F119:H119"/>
    <mergeCell ref="I119:J119"/>
    <mergeCell ref="X115:AA115"/>
    <mergeCell ref="AB115:AE115"/>
    <mergeCell ref="AF115:AI115"/>
    <mergeCell ref="AJ115:AM115"/>
    <mergeCell ref="AN115:AQ115"/>
    <mergeCell ref="R116:U116"/>
    <mergeCell ref="X116:AA116"/>
    <mergeCell ref="AB116:AE116"/>
    <mergeCell ref="AF116:AI116"/>
    <mergeCell ref="AJ116:AM116"/>
    <mergeCell ref="AN116:AQ116"/>
    <mergeCell ref="T112:U112"/>
    <mergeCell ref="B115:C116"/>
    <mergeCell ref="D115:E116"/>
    <mergeCell ref="F115:G116"/>
    <mergeCell ref="H115:I116"/>
    <mergeCell ref="J115:K116"/>
    <mergeCell ref="L115:M116"/>
    <mergeCell ref="N115:O116"/>
    <mergeCell ref="P115:Q116"/>
    <mergeCell ref="B112:C112"/>
    <mergeCell ref="D112:E112"/>
    <mergeCell ref="F112:G112"/>
    <mergeCell ref="H112:I112"/>
    <mergeCell ref="J112:K112"/>
    <mergeCell ref="L112:M112"/>
    <mergeCell ref="N112:O112"/>
    <mergeCell ref="P112:Q112"/>
    <mergeCell ref="R112:S112"/>
    <mergeCell ref="R110:S110"/>
    <mergeCell ref="T110:U110"/>
    <mergeCell ref="B111:C111"/>
    <mergeCell ref="D111:E111"/>
    <mergeCell ref="F111:G111"/>
    <mergeCell ref="H111:I111"/>
    <mergeCell ref="J111:K111"/>
    <mergeCell ref="L111:M111"/>
    <mergeCell ref="N111:O111"/>
    <mergeCell ref="P111:Q111"/>
    <mergeCell ref="R111:S111"/>
    <mergeCell ref="T111:U111"/>
    <mergeCell ref="F100:H100"/>
    <mergeCell ref="N102:O102"/>
    <mergeCell ref="N103:O103"/>
    <mergeCell ref="D109:E109"/>
    <mergeCell ref="H109:I109"/>
    <mergeCell ref="L109:M109"/>
    <mergeCell ref="P109:Q109"/>
    <mergeCell ref="B110:C110"/>
    <mergeCell ref="D110:E110"/>
    <mergeCell ref="F110:G110"/>
    <mergeCell ref="H110:I110"/>
    <mergeCell ref="J110:K110"/>
    <mergeCell ref="L110:M110"/>
    <mergeCell ref="N110:O110"/>
    <mergeCell ref="P110:Q110"/>
    <mergeCell ref="B97:C97"/>
    <mergeCell ref="D97:E97"/>
    <mergeCell ref="F97:G97"/>
    <mergeCell ref="H97:I97"/>
    <mergeCell ref="J97:K97"/>
    <mergeCell ref="L97:M97"/>
    <mergeCell ref="N97:O97"/>
    <mergeCell ref="P97:Q97"/>
    <mergeCell ref="F99:H99"/>
    <mergeCell ref="I99:J99"/>
    <mergeCell ref="X95:AA95"/>
    <mergeCell ref="AB95:AE95"/>
    <mergeCell ref="AF95:AI95"/>
    <mergeCell ref="AJ95:AM95"/>
    <mergeCell ref="AN95:AQ95"/>
    <mergeCell ref="R96:U96"/>
    <mergeCell ref="X96:AA96"/>
    <mergeCell ref="AB96:AE96"/>
    <mergeCell ref="AF96:AI96"/>
    <mergeCell ref="AJ96:AM96"/>
    <mergeCell ref="AN96:AQ96"/>
    <mergeCell ref="T92:U92"/>
    <mergeCell ref="B95:C96"/>
    <mergeCell ref="D95:E96"/>
    <mergeCell ref="F95:G96"/>
    <mergeCell ref="H95:I96"/>
    <mergeCell ref="J95:K96"/>
    <mergeCell ref="L95:M96"/>
    <mergeCell ref="N95:O96"/>
    <mergeCell ref="P95:Q96"/>
    <mergeCell ref="B92:C92"/>
    <mergeCell ref="D92:E92"/>
    <mergeCell ref="F92:G92"/>
    <mergeCell ref="H92:I92"/>
    <mergeCell ref="J92:K92"/>
    <mergeCell ref="L92:M92"/>
    <mergeCell ref="N92:O92"/>
    <mergeCell ref="P92:Q92"/>
    <mergeCell ref="R92:S92"/>
    <mergeCell ref="R90:S90"/>
    <mergeCell ref="T90:U90"/>
    <mergeCell ref="B91:C91"/>
    <mergeCell ref="D91:E91"/>
    <mergeCell ref="F91:G91"/>
    <mergeCell ref="H91:I91"/>
    <mergeCell ref="J91:K91"/>
    <mergeCell ref="L91:M91"/>
    <mergeCell ref="N91:O91"/>
    <mergeCell ref="P91:Q91"/>
    <mergeCell ref="R91:S91"/>
    <mergeCell ref="T91:U91"/>
    <mergeCell ref="F80:H80"/>
    <mergeCell ref="N82:O82"/>
    <mergeCell ref="N83:O83"/>
    <mergeCell ref="D89:E89"/>
    <mergeCell ref="H89:I89"/>
    <mergeCell ref="L89:M89"/>
    <mergeCell ref="P89:Q89"/>
    <mergeCell ref="B90:C90"/>
    <mergeCell ref="D90:E90"/>
    <mergeCell ref="F90:G90"/>
    <mergeCell ref="H90:I90"/>
    <mergeCell ref="J90:K90"/>
    <mergeCell ref="L90:M90"/>
    <mergeCell ref="N90:O90"/>
    <mergeCell ref="P90:Q90"/>
    <mergeCell ref="B77:C77"/>
    <mergeCell ref="D77:E77"/>
    <mergeCell ref="F77:G77"/>
    <mergeCell ref="H77:I77"/>
    <mergeCell ref="J77:K77"/>
    <mergeCell ref="L77:M77"/>
    <mergeCell ref="N77:O77"/>
    <mergeCell ref="P77:Q77"/>
    <mergeCell ref="F79:H79"/>
    <mergeCell ref="I79:J79"/>
    <mergeCell ref="X75:AA75"/>
    <mergeCell ref="AB75:AE75"/>
    <mergeCell ref="AF75:AI75"/>
    <mergeCell ref="AJ75:AM75"/>
    <mergeCell ref="AN75:AQ75"/>
    <mergeCell ref="R76:U76"/>
    <mergeCell ref="X76:AA76"/>
    <mergeCell ref="AB76:AE76"/>
    <mergeCell ref="AF76:AI76"/>
    <mergeCell ref="AJ76:AM76"/>
    <mergeCell ref="AN76:AQ76"/>
    <mergeCell ref="T72:U72"/>
    <mergeCell ref="B75:C76"/>
    <mergeCell ref="D75:E76"/>
    <mergeCell ref="F75:G76"/>
    <mergeCell ref="H75:I76"/>
    <mergeCell ref="J75:K76"/>
    <mergeCell ref="L75:M76"/>
    <mergeCell ref="N75:O76"/>
    <mergeCell ref="P75:Q76"/>
    <mergeCell ref="B72:C72"/>
    <mergeCell ref="D72:E72"/>
    <mergeCell ref="F72:G72"/>
    <mergeCell ref="H72:I72"/>
    <mergeCell ref="J72:K72"/>
    <mergeCell ref="L72:M72"/>
    <mergeCell ref="N72:O72"/>
    <mergeCell ref="P72:Q72"/>
    <mergeCell ref="R72:S72"/>
    <mergeCell ref="R70:S70"/>
    <mergeCell ref="T70:U70"/>
    <mergeCell ref="B71:C71"/>
    <mergeCell ref="D71:E71"/>
    <mergeCell ref="F71:G71"/>
    <mergeCell ref="H71:I71"/>
    <mergeCell ref="J71:K71"/>
    <mergeCell ref="L71:M71"/>
    <mergeCell ref="N71:O71"/>
    <mergeCell ref="P71:Q71"/>
    <mergeCell ref="R71:S71"/>
    <mergeCell ref="T71:U71"/>
    <mergeCell ref="F60:H60"/>
    <mergeCell ref="N62:O62"/>
    <mergeCell ref="N63:O63"/>
    <mergeCell ref="D69:E69"/>
    <mergeCell ref="H69:I69"/>
    <mergeCell ref="L69:M69"/>
    <mergeCell ref="P69:Q69"/>
    <mergeCell ref="B70:C70"/>
    <mergeCell ref="D70:E70"/>
    <mergeCell ref="F70:G70"/>
    <mergeCell ref="H70:I70"/>
    <mergeCell ref="J70:K70"/>
    <mergeCell ref="L70:M70"/>
    <mergeCell ref="N70:O70"/>
    <mergeCell ref="P70:Q70"/>
    <mergeCell ref="B57:C57"/>
    <mergeCell ref="D57:E57"/>
    <mergeCell ref="F57:G57"/>
    <mergeCell ref="H57:I57"/>
    <mergeCell ref="J57:K57"/>
    <mergeCell ref="L57:M57"/>
    <mergeCell ref="N57:O57"/>
    <mergeCell ref="P57:Q57"/>
    <mergeCell ref="F59:H59"/>
    <mergeCell ref="I59:J59"/>
    <mergeCell ref="X55:AA55"/>
    <mergeCell ref="AB55:AE55"/>
    <mergeCell ref="AF55:AI55"/>
    <mergeCell ref="AJ55:AM55"/>
    <mergeCell ref="AN55:AQ55"/>
    <mergeCell ref="R56:U56"/>
    <mergeCell ref="X56:AA56"/>
    <mergeCell ref="AB56:AE56"/>
    <mergeCell ref="AF56:AI56"/>
    <mergeCell ref="AJ56:AM56"/>
    <mergeCell ref="AN56:AQ56"/>
    <mergeCell ref="T52:U52"/>
    <mergeCell ref="B55:C56"/>
    <mergeCell ref="D55:E56"/>
    <mergeCell ref="F55:G56"/>
    <mergeCell ref="H55:I56"/>
    <mergeCell ref="J55:K56"/>
    <mergeCell ref="L55:M56"/>
    <mergeCell ref="N55:O56"/>
    <mergeCell ref="P55:Q56"/>
    <mergeCell ref="B52:C52"/>
    <mergeCell ref="D52:E52"/>
    <mergeCell ref="F52:G52"/>
    <mergeCell ref="H52:I52"/>
    <mergeCell ref="J52:K52"/>
    <mergeCell ref="L52:M52"/>
    <mergeCell ref="N52:O52"/>
    <mergeCell ref="P52:Q52"/>
    <mergeCell ref="R52:S52"/>
    <mergeCell ref="R50:S50"/>
    <mergeCell ref="T50:U50"/>
    <mergeCell ref="B51:C51"/>
    <mergeCell ref="D51:E51"/>
    <mergeCell ref="F51:G51"/>
    <mergeCell ref="H51:I51"/>
    <mergeCell ref="J51:K51"/>
    <mergeCell ref="L51:M51"/>
    <mergeCell ref="N51:O51"/>
    <mergeCell ref="P51:Q51"/>
    <mergeCell ref="R51:S51"/>
    <mergeCell ref="T51:U51"/>
    <mergeCell ref="N42:O42"/>
    <mergeCell ref="N43:O43"/>
    <mergeCell ref="D49:E49"/>
    <mergeCell ref="H49:I49"/>
    <mergeCell ref="L49:M49"/>
    <mergeCell ref="P49:Q49"/>
    <mergeCell ref="B50:C50"/>
    <mergeCell ref="D50:E50"/>
    <mergeCell ref="F50:G50"/>
    <mergeCell ref="H50:I50"/>
    <mergeCell ref="J50:K50"/>
    <mergeCell ref="L50:M50"/>
    <mergeCell ref="N50:O50"/>
    <mergeCell ref="P50:Q50"/>
    <mergeCell ref="X39:AQ39"/>
    <mergeCell ref="F40:H40"/>
    <mergeCell ref="X40:AA40"/>
    <mergeCell ref="AB40:AE40"/>
    <mergeCell ref="AF40:AI40"/>
    <mergeCell ref="AJ40:AM40"/>
    <mergeCell ref="AN40:AQ40"/>
    <mergeCell ref="X41:Y41"/>
    <mergeCell ref="Z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B37:C37"/>
    <mergeCell ref="D37:E37"/>
    <mergeCell ref="F37:G37"/>
    <mergeCell ref="H37:I37"/>
    <mergeCell ref="J37:K37"/>
    <mergeCell ref="L37:M37"/>
    <mergeCell ref="N37:O37"/>
    <mergeCell ref="P37:Q37"/>
    <mergeCell ref="F39:H39"/>
    <mergeCell ref="I39:J39"/>
    <mergeCell ref="AN32:AO32"/>
    <mergeCell ref="AP32:AQ32"/>
    <mergeCell ref="B35:C36"/>
    <mergeCell ref="D35:E36"/>
    <mergeCell ref="F35:G36"/>
    <mergeCell ref="H35:I36"/>
    <mergeCell ref="J35:K36"/>
    <mergeCell ref="L35:M36"/>
    <mergeCell ref="N35:O36"/>
    <mergeCell ref="P35:Q36"/>
    <mergeCell ref="X35:AA35"/>
    <mergeCell ref="AB35:AE35"/>
    <mergeCell ref="AF35:AI35"/>
    <mergeCell ref="AJ35:AM35"/>
    <mergeCell ref="AN35:AQ35"/>
    <mergeCell ref="R36:U36"/>
    <mergeCell ref="X36:AA36"/>
    <mergeCell ref="AB36:AE36"/>
    <mergeCell ref="AF36:AI36"/>
    <mergeCell ref="AJ36:AM36"/>
    <mergeCell ref="AN36:AQ36"/>
    <mergeCell ref="T32:U32"/>
    <mergeCell ref="X32:Y32"/>
    <mergeCell ref="Z32:AA32"/>
    <mergeCell ref="AB32:AC32"/>
    <mergeCell ref="AD32:AE32"/>
    <mergeCell ref="AF32:AG32"/>
    <mergeCell ref="AH32:AI32"/>
    <mergeCell ref="AJ32:AK32"/>
    <mergeCell ref="AL32:AM32"/>
    <mergeCell ref="B32:C32"/>
    <mergeCell ref="D32:E32"/>
    <mergeCell ref="F32:G32"/>
    <mergeCell ref="H32:I32"/>
    <mergeCell ref="J32:K32"/>
    <mergeCell ref="L32:M32"/>
    <mergeCell ref="N32:O32"/>
    <mergeCell ref="P32:Q32"/>
    <mergeCell ref="R32:S32"/>
    <mergeCell ref="AN30:AO30"/>
    <mergeCell ref="AP30:AQ30"/>
    <mergeCell ref="B31:C31"/>
    <mergeCell ref="D31:E31"/>
    <mergeCell ref="F31:G31"/>
    <mergeCell ref="H31:I31"/>
    <mergeCell ref="J31:K31"/>
    <mergeCell ref="L31:M31"/>
    <mergeCell ref="N31:O31"/>
    <mergeCell ref="P31:Q31"/>
    <mergeCell ref="R31:S31"/>
    <mergeCell ref="T31:U31"/>
    <mergeCell ref="X31:AA31"/>
    <mergeCell ref="AB31:AE31"/>
    <mergeCell ref="AF31:AI31"/>
    <mergeCell ref="AJ31:AM31"/>
    <mergeCell ref="AN31:AQ31"/>
    <mergeCell ref="T30:U30"/>
    <mergeCell ref="X30:Y30"/>
    <mergeCell ref="Z30:AA30"/>
    <mergeCell ref="AB30:AC30"/>
    <mergeCell ref="AD30:AE30"/>
    <mergeCell ref="AF30:AG30"/>
    <mergeCell ref="AH30:AI30"/>
    <mergeCell ref="AJ30:AK30"/>
    <mergeCell ref="AL30:AM30"/>
    <mergeCell ref="B30:C30"/>
    <mergeCell ref="D30:E30"/>
    <mergeCell ref="F30:G30"/>
    <mergeCell ref="H30:I30"/>
    <mergeCell ref="J30:K30"/>
    <mergeCell ref="L30:M30"/>
    <mergeCell ref="N30:O30"/>
    <mergeCell ref="P30:Q30"/>
    <mergeCell ref="R30:S30"/>
    <mergeCell ref="N22:O22"/>
    <mergeCell ref="AK22:AL22"/>
    <mergeCell ref="N23:O23"/>
    <mergeCell ref="AK23:AL23"/>
    <mergeCell ref="D29:E29"/>
    <mergeCell ref="H29:I29"/>
    <mergeCell ref="L29:M29"/>
    <mergeCell ref="P29:Q29"/>
    <mergeCell ref="X29:AA29"/>
    <mergeCell ref="AB29:AE29"/>
    <mergeCell ref="AF29:AI29"/>
    <mergeCell ref="AJ29:AM29"/>
    <mergeCell ref="X19:AQ19"/>
    <mergeCell ref="F20:H20"/>
    <mergeCell ref="X20:AA20"/>
    <mergeCell ref="AB20:AE20"/>
    <mergeCell ref="AF20:AI20"/>
    <mergeCell ref="AJ20:AM20"/>
    <mergeCell ref="AN20:AQ20"/>
    <mergeCell ref="X21:Y21"/>
    <mergeCell ref="Z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B17:C17"/>
    <mergeCell ref="D17:E17"/>
    <mergeCell ref="F17:G17"/>
    <mergeCell ref="H17:I17"/>
    <mergeCell ref="J17:K17"/>
    <mergeCell ref="L17:M17"/>
    <mergeCell ref="N17:O17"/>
    <mergeCell ref="P17:Q17"/>
    <mergeCell ref="F19:H19"/>
    <mergeCell ref="I19:J19"/>
    <mergeCell ref="AN12:AO12"/>
    <mergeCell ref="AP12:AQ12"/>
    <mergeCell ref="B15:C16"/>
    <mergeCell ref="D15:E16"/>
    <mergeCell ref="F15:G16"/>
    <mergeCell ref="H15:I16"/>
    <mergeCell ref="J15:K16"/>
    <mergeCell ref="L15:M16"/>
    <mergeCell ref="N15:O16"/>
    <mergeCell ref="P15:Q16"/>
    <mergeCell ref="X15:AA15"/>
    <mergeCell ref="AB15:AE15"/>
    <mergeCell ref="AF15:AI15"/>
    <mergeCell ref="AJ15:AM15"/>
    <mergeCell ref="AN15:AQ15"/>
    <mergeCell ref="R16:U16"/>
    <mergeCell ref="X16:AA16"/>
    <mergeCell ref="AB16:AE16"/>
    <mergeCell ref="AF16:AI16"/>
    <mergeCell ref="AJ16:AM16"/>
    <mergeCell ref="AN16:AQ16"/>
    <mergeCell ref="T12:U12"/>
    <mergeCell ref="X12:Y12"/>
    <mergeCell ref="Z12:AA12"/>
    <mergeCell ref="AB12:AC12"/>
    <mergeCell ref="AD12:AE12"/>
    <mergeCell ref="AF12:AG12"/>
    <mergeCell ref="AH12:AI12"/>
    <mergeCell ref="AJ12:AK12"/>
    <mergeCell ref="AL12:AM12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AN10:AO10"/>
    <mergeCell ref="AP10:AQ10"/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X11:AA11"/>
    <mergeCell ref="AB11:AE11"/>
    <mergeCell ref="AF11:AI11"/>
    <mergeCell ref="AJ11:AM11"/>
    <mergeCell ref="AN11:AQ11"/>
    <mergeCell ref="T10:U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N2:O2"/>
    <mergeCell ref="AK2:AL2"/>
    <mergeCell ref="N3:O3"/>
    <mergeCell ref="AK3:AL3"/>
    <mergeCell ref="D9:E9"/>
    <mergeCell ref="H9:I9"/>
    <mergeCell ref="L9:M9"/>
    <mergeCell ref="P9:Q9"/>
    <mergeCell ref="X9:AA9"/>
    <mergeCell ref="AB9:AE9"/>
    <mergeCell ref="AF9:AI9"/>
    <mergeCell ref="AJ9:AM9"/>
  </mergeCells>
  <printOptions horizontalCentered="1"/>
  <pageMargins left="0.98425196850393704" right="0.39370078740157483" top="0.39370078740157483" bottom="2.5590551181102366" header="0.31496062992125984" footer="0.31496062992125984"/>
  <pageSetup paperSize="9" orientation="portrait" useFirstPageNumber="1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673"/>
  <sheetViews>
    <sheetView view="pageLayout" zoomScaleNormal="100" workbookViewId="0"/>
  </sheetViews>
  <sheetFormatPr defaultColWidth="9.140625" defaultRowHeight="15" x14ac:dyDescent="0.25"/>
  <cols>
    <col min="1" max="1" width="2.140625" customWidth="1"/>
    <col min="2" max="2" width="10" customWidth="1"/>
    <col min="3" max="3" width="20" customWidth="1"/>
    <col min="4" max="4" width="12.85546875" style="1" customWidth="1"/>
    <col min="5" max="5" width="35.5703125" style="1" customWidth="1"/>
    <col min="6" max="6" width="15.140625" customWidth="1"/>
    <col min="7" max="7" width="20" customWidth="1"/>
    <col min="8" max="8" width="15.140625" style="1" customWidth="1"/>
    <col min="9" max="9" width="12.85546875" style="1" customWidth="1"/>
    <col min="10" max="10" width="10.42578125" customWidth="1"/>
    <col min="11" max="11" width="20" customWidth="1"/>
    <col min="12" max="13" width="12.85546875" style="1" customWidth="1"/>
    <col min="14" max="14" width="10" customWidth="1"/>
    <col min="15" max="15" width="20" customWidth="1"/>
    <col min="16" max="17" width="14" style="1" customWidth="1"/>
    <col min="18" max="18" width="14" customWidth="1"/>
    <col min="19" max="21" width="10" customWidth="1"/>
    <col min="22" max="22" width="2.140625" customWidth="1"/>
    <col min="23" max="23" width="4" customWidth="1"/>
    <col min="24" max="27" width="16.42578125" customWidth="1"/>
    <col min="28" max="28" width="35.5703125" customWidth="1"/>
    <col min="29" max="31" width="16.42578125" customWidth="1"/>
    <col min="32" max="37" width="10" customWidth="1"/>
    <col min="38" max="38" width="20" customWidth="1"/>
    <col min="39" max="43" width="10" customWidth="1"/>
    <col min="44" max="44" width="3.7109375" customWidth="1"/>
  </cols>
  <sheetData>
    <row r="1" spans="1:44" x14ac:dyDescent="0.25">
      <c r="A1" s="41"/>
      <c r="B1" s="41"/>
      <c r="C1" s="41"/>
      <c r="D1" s="42"/>
      <c r="E1" s="43"/>
      <c r="F1" s="41"/>
      <c r="G1" s="41"/>
      <c r="H1" s="42"/>
      <c r="I1" s="42"/>
      <c r="J1" s="41"/>
      <c r="K1" s="41"/>
      <c r="L1" s="42"/>
      <c r="M1" s="42"/>
      <c r="N1" s="41"/>
      <c r="O1" s="41"/>
      <c r="P1" s="42"/>
      <c r="Q1" s="42"/>
      <c r="R1" s="41"/>
      <c r="S1" s="41"/>
      <c r="T1" s="41"/>
      <c r="U1" s="41"/>
      <c r="V1" s="41"/>
      <c r="W1" s="41"/>
      <c r="X1" s="41"/>
      <c r="Y1" s="41"/>
      <c r="Z1" s="42"/>
      <c r="AA1" s="43"/>
      <c r="AB1" s="41"/>
      <c r="AC1" s="41"/>
      <c r="AD1" s="42"/>
      <c r="AE1" s="42"/>
      <c r="AF1" s="41"/>
      <c r="AG1" s="41"/>
      <c r="AH1" s="42"/>
      <c r="AI1" s="42"/>
      <c r="AJ1" s="41"/>
      <c r="AK1" s="41"/>
      <c r="AL1" s="42"/>
      <c r="AM1" s="42"/>
      <c r="AN1" s="41"/>
      <c r="AO1" s="41"/>
      <c r="AP1" s="41"/>
      <c r="AQ1" s="41"/>
      <c r="AR1" s="41"/>
    </row>
    <row r="2" spans="1:44" ht="15.6" customHeight="1" x14ac:dyDescent="0.3">
      <c r="A2" s="3"/>
      <c r="B2" s="3"/>
      <c r="C2" s="3"/>
      <c r="D2" s="4"/>
      <c r="E2" s="6" t="s">
        <v>1</v>
      </c>
      <c r="F2" s="3"/>
      <c r="G2" s="7"/>
      <c r="H2" s="8"/>
      <c r="I2" s="8"/>
      <c r="J2" s="7"/>
      <c r="K2" s="7"/>
      <c r="L2" s="8"/>
      <c r="M2" s="9" t="s">
        <v>2</v>
      </c>
      <c r="N2" s="66" t="s">
        <v>97</v>
      </c>
      <c r="O2" s="67"/>
      <c r="P2" s="4"/>
      <c r="Q2" s="4"/>
      <c r="R2" s="3"/>
      <c r="S2" s="3"/>
      <c r="T2" s="3"/>
      <c r="U2" s="3"/>
      <c r="V2" s="3"/>
      <c r="W2" s="3"/>
      <c r="X2" s="3"/>
      <c r="Y2" s="3"/>
      <c r="Z2" s="3"/>
      <c r="AA2" s="3"/>
      <c r="AB2" s="10" t="s">
        <v>1</v>
      </c>
      <c r="AC2" s="3"/>
      <c r="AD2" s="7"/>
      <c r="AE2" s="7"/>
      <c r="AF2" s="7"/>
      <c r="AG2" s="7"/>
      <c r="AH2" s="7"/>
      <c r="AI2" s="7"/>
      <c r="AJ2" s="11" t="s">
        <v>2</v>
      </c>
      <c r="AK2" s="68" t="s">
        <v>97</v>
      </c>
      <c r="AL2" s="68"/>
      <c r="AM2" s="3"/>
      <c r="AN2" s="3"/>
      <c r="AO2" s="3"/>
      <c r="AP2" s="3"/>
      <c r="AQ2" s="3"/>
      <c r="AR2" s="3"/>
    </row>
    <row r="3" spans="1:44" ht="15.6" customHeight="1" x14ac:dyDescent="0.3">
      <c r="A3" s="3"/>
      <c r="B3" s="3"/>
      <c r="C3" s="3"/>
      <c r="D3" s="4"/>
      <c r="E3" s="6" t="s">
        <v>4</v>
      </c>
      <c r="F3" s="3"/>
      <c r="G3" s="3"/>
      <c r="H3" s="4"/>
      <c r="I3" s="4"/>
      <c r="J3" s="13"/>
      <c r="K3" s="13"/>
      <c r="L3" s="14"/>
      <c r="M3" s="9" t="s">
        <v>5</v>
      </c>
      <c r="N3" s="69" t="str">
        <f>N2&amp;".2"</f>
        <v>1.1.2</v>
      </c>
      <c r="O3" s="69"/>
      <c r="P3" s="4"/>
      <c r="Q3" s="4"/>
      <c r="R3" s="3"/>
      <c r="S3" s="3"/>
      <c r="T3" s="3"/>
      <c r="U3" s="3"/>
      <c r="V3" s="3"/>
      <c r="W3" s="3"/>
      <c r="X3" s="3"/>
      <c r="Y3" s="3"/>
      <c r="Z3" s="3"/>
      <c r="AA3" s="3"/>
      <c r="AB3" s="10" t="s">
        <v>4</v>
      </c>
      <c r="AC3" s="3"/>
      <c r="AD3" s="3"/>
      <c r="AE3" s="3"/>
      <c r="AF3" s="3"/>
      <c r="AG3" s="13"/>
      <c r="AH3" s="13"/>
      <c r="AI3" s="13"/>
      <c r="AJ3" s="11" t="s">
        <v>5</v>
      </c>
      <c r="AK3" s="70" t="str">
        <f>AK2&amp;".2"</f>
        <v>1.1.2</v>
      </c>
      <c r="AL3" s="70"/>
      <c r="AM3" s="3"/>
      <c r="AN3" s="3"/>
      <c r="AO3" s="3"/>
      <c r="AP3" s="3"/>
      <c r="AQ3" s="3"/>
      <c r="AR3" s="3"/>
    </row>
    <row r="4" spans="1:44" ht="15.6" customHeight="1" x14ac:dyDescent="0.3">
      <c r="A4" s="3"/>
      <c r="B4" s="3"/>
      <c r="C4" s="3"/>
      <c r="D4" s="4"/>
      <c r="E4" s="4" t="s">
        <v>7</v>
      </c>
      <c r="F4" s="3"/>
      <c r="G4" s="3"/>
      <c r="H4" s="8"/>
      <c r="I4" s="8"/>
      <c r="J4" s="7"/>
      <c r="K4" s="7"/>
      <c r="L4" s="8"/>
      <c r="M4" s="16" t="s">
        <v>5</v>
      </c>
      <c r="N4" s="17">
        <v>1</v>
      </c>
      <c r="O4" s="3"/>
      <c r="P4" s="4"/>
      <c r="Q4" s="4"/>
      <c r="R4" s="3"/>
      <c r="S4" s="3"/>
      <c r="T4" s="3"/>
      <c r="U4" s="3"/>
      <c r="V4" s="3"/>
      <c r="W4" s="3"/>
      <c r="X4" s="3"/>
      <c r="Y4" s="3"/>
      <c r="Z4" s="3"/>
      <c r="AA4" s="3"/>
      <c r="AB4" s="3" t="s">
        <v>98</v>
      </c>
      <c r="AC4" s="3"/>
      <c r="AD4" s="3"/>
      <c r="AE4" s="7"/>
      <c r="AF4" s="7"/>
      <c r="AG4" s="7"/>
      <c r="AH4" s="7"/>
      <c r="AI4" s="7"/>
      <c r="AJ4" s="18" t="s">
        <v>5</v>
      </c>
      <c r="AK4" s="17">
        <v>1</v>
      </c>
      <c r="AL4" s="3"/>
      <c r="AM4" s="3"/>
      <c r="AN4" s="3"/>
      <c r="AO4" s="3"/>
      <c r="AP4" s="3"/>
      <c r="AQ4" s="3"/>
      <c r="AR4" s="3"/>
    </row>
    <row r="5" spans="1:44" ht="15.6" customHeight="1" x14ac:dyDescent="0.3">
      <c r="A5" s="3"/>
      <c r="B5" s="3"/>
      <c r="C5" s="3"/>
      <c r="D5" s="4"/>
      <c r="E5" s="4" t="s">
        <v>8</v>
      </c>
      <c r="F5" s="3"/>
      <c r="G5" s="3"/>
      <c r="H5" s="4"/>
      <c r="I5" s="4"/>
      <c r="J5" s="3"/>
      <c r="K5" s="3"/>
      <c r="L5" s="14"/>
      <c r="M5" s="16" t="s">
        <v>99</v>
      </c>
      <c r="N5" s="17" t="str">
        <f>"-"&amp;N2&amp;".3"</f>
        <v>-1.1.3</v>
      </c>
      <c r="O5" s="19"/>
      <c r="P5" s="4"/>
      <c r="Q5" s="4"/>
      <c r="R5" s="3"/>
      <c r="S5" s="3"/>
      <c r="T5" s="3"/>
      <c r="U5" s="3"/>
      <c r="V5" s="3"/>
      <c r="W5" s="3"/>
      <c r="X5" s="3"/>
      <c r="Y5" s="3"/>
      <c r="Z5" s="3"/>
      <c r="AA5" s="3"/>
      <c r="AB5" s="3" t="s">
        <v>8</v>
      </c>
      <c r="AC5" s="3"/>
      <c r="AD5" s="3"/>
      <c r="AE5" s="3"/>
      <c r="AF5" s="3"/>
      <c r="AG5" s="3"/>
      <c r="AH5" s="3"/>
      <c r="AI5" s="13"/>
      <c r="AJ5" s="18" t="s">
        <v>99</v>
      </c>
      <c r="AK5" s="17" t="str">
        <f>"-"&amp;AK2&amp;".4"</f>
        <v>-1.1.4</v>
      </c>
      <c r="AL5" s="20"/>
      <c r="AM5" s="3"/>
      <c r="AN5" s="3"/>
      <c r="AO5" s="3"/>
      <c r="AP5" s="3"/>
      <c r="AQ5" s="3"/>
      <c r="AR5" s="3"/>
    </row>
    <row r="6" spans="1:44" ht="15.6" customHeight="1" x14ac:dyDescent="0.3">
      <c r="A6" s="3"/>
      <c r="B6" s="3"/>
      <c r="C6" s="3"/>
      <c r="D6" s="4"/>
      <c r="E6" s="21" t="s">
        <v>10</v>
      </c>
      <c r="F6" s="3"/>
      <c r="G6" s="3"/>
      <c r="H6" s="4"/>
      <c r="I6" s="8"/>
      <c r="J6" s="7"/>
      <c r="K6" s="7"/>
      <c r="L6" s="8"/>
      <c r="M6" s="16" t="s">
        <v>5</v>
      </c>
      <c r="N6" s="22">
        <v>1</v>
      </c>
      <c r="O6" s="3"/>
      <c r="P6" s="4"/>
      <c r="Q6" s="4"/>
      <c r="R6" s="3"/>
      <c r="S6" s="3"/>
      <c r="T6" s="3"/>
      <c r="U6" s="3"/>
      <c r="V6" s="3"/>
      <c r="W6" s="3"/>
      <c r="X6" s="3"/>
      <c r="Y6" s="3"/>
      <c r="Z6" s="3"/>
      <c r="AA6" s="3"/>
      <c r="AB6" s="44" t="s">
        <v>10</v>
      </c>
      <c r="AC6" s="3"/>
      <c r="AD6" s="3"/>
      <c r="AE6" s="3"/>
      <c r="AF6" s="7"/>
      <c r="AG6" s="7"/>
      <c r="AH6" s="7"/>
      <c r="AI6" s="7"/>
      <c r="AJ6" s="18" t="s">
        <v>5</v>
      </c>
      <c r="AK6" s="17">
        <v>18</v>
      </c>
      <c r="AL6" s="3"/>
      <c r="AM6" s="3"/>
      <c r="AN6" s="3"/>
      <c r="AO6" s="3"/>
      <c r="AP6" s="3"/>
      <c r="AQ6" s="3"/>
      <c r="AR6" s="3"/>
    </row>
    <row r="7" spans="1:44" ht="15.6" customHeight="1" x14ac:dyDescent="0.25">
      <c r="A7" s="3"/>
      <c r="B7" s="3"/>
      <c r="C7" s="3"/>
      <c r="D7" s="4"/>
      <c r="E7" s="4"/>
      <c r="F7" s="3"/>
      <c r="G7" s="3"/>
      <c r="H7" s="4"/>
      <c r="I7" s="4"/>
      <c r="J7" s="3"/>
      <c r="K7" s="3"/>
      <c r="L7" s="4"/>
      <c r="M7" s="4"/>
      <c r="N7" s="3"/>
      <c r="O7" s="3"/>
      <c r="P7" s="4"/>
      <c r="Q7" s="4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23"/>
      <c r="AL7" s="3"/>
      <c r="AM7" s="3"/>
      <c r="AN7" s="3"/>
      <c r="AO7" s="3"/>
      <c r="AP7" s="3"/>
      <c r="AQ7" s="3"/>
      <c r="AR7" s="3"/>
    </row>
    <row r="8" spans="1:44" ht="15.6" customHeight="1" x14ac:dyDescent="0.25">
      <c r="A8" s="24"/>
      <c r="B8" s="25"/>
      <c r="C8" s="25"/>
      <c r="D8" s="26"/>
      <c r="E8" s="26"/>
      <c r="F8" s="25"/>
      <c r="G8" s="25"/>
      <c r="H8" s="26"/>
      <c r="I8" s="26"/>
      <c r="J8" s="25"/>
      <c r="K8" s="25"/>
      <c r="L8" s="26"/>
      <c r="M8" s="26"/>
      <c r="N8" s="25"/>
      <c r="O8" s="25"/>
      <c r="P8" s="26"/>
      <c r="Q8" s="26"/>
      <c r="R8" s="25"/>
      <c r="S8" s="25"/>
      <c r="T8" s="25"/>
      <c r="U8" s="25"/>
      <c r="V8" s="45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23"/>
      <c r="AL8" s="3"/>
      <c r="AM8" s="3"/>
      <c r="AN8" s="3"/>
      <c r="AO8" s="3"/>
      <c r="AP8" s="3"/>
      <c r="AQ8" s="3"/>
      <c r="AR8" s="3"/>
    </row>
    <row r="9" spans="1:44" ht="15.6" customHeight="1" x14ac:dyDescent="0.25">
      <c r="A9" s="27"/>
      <c r="B9" s="28"/>
      <c r="C9" s="28"/>
      <c r="D9" s="71">
        <v>1</v>
      </c>
      <c r="E9" s="72"/>
      <c r="F9" s="28"/>
      <c r="G9" s="28"/>
      <c r="H9" s="71">
        <v>2</v>
      </c>
      <c r="I9" s="72"/>
      <c r="J9" s="28"/>
      <c r="K9" s="28"/>
      <c r="L9" s="71">
        <v>3</v>
      </c>
      <c r="M9" s="72"/>
      <c r="N9" s="28"/>
      <c r="O9" s="28"/>
      <c r="P9" s="71">
        <v>4</v>
      </c>
      <c r="Q9" s="72"/>
      <c r="R9" s="28"/>
      <c r="S9" s="28"/>
      <c r="T9" s="28"/>
      <c r="U9" s="28"/>
      <c r="V9" s="46"/>
      <c r="W9" s="3"/>
      <c r="X9" s="88">
        <v>1</v>
      </c>
      <c r="Y9" s="89"/>
      <c r="Z9" s="89"/>
      <c r="AA9" s="90"/>
      <c r="AB9" s="88">
        <v>2</v>
      </c>
      <c r="AC9" s="89"/>
      <c r="AD9" s="89"/>
      <c r="AE9" s="90"/>
      <c r="AF9" s="88">
        <v>3</v>
      </c>
      <c r="AG9" s="89"/>
      <c r="AH9" s="89"/>
      <c r="AI9" s="90"/>
      <c r="AJ9" s="88">
        <v>4</v>
      </c>
      <c r="AK9" s="89"/>
      <c r="AL9" s="89"/>
      <c r="AM9" s="90"/>
      <c r="AN9" s="47"/>
      <c r="AO9" s="47"/>
      <c r="AP9" s="28"/>
      <c r="AQ9" s="28"/>
    </row>
    <row r="10" spans="1:44" ht="15.6" customHeight="1" x14ac:dyDescent="0.25">
      <c r="A10" s="27"/>
      <c r="B10" s="74" t="s">
        <v>11</v>
      </c>
      <c r="C10" s="74"/>
      <c r="D10" s="71" t="s">
        <v>12</v>
      </c>
      <c r="E10" s="72"/>
      <c r="F10" s="74" t="s">
        <v>11</v>
      </c>
      <c r="G10" s="74"/>
      <c r="H10" s="71" t="s">
        <v>12</v>
      </c>
      <c r="I10" s="72"/>
      <c r="J10" s="74" t="s">
        <v>11</v>
      </c>
      <c r="K10" s="74"/>
      <c r="L10" s="71" t="s">
        <v>12</v>
      </c>
      <c r="M10" s="72"/>
      <c r="N10" s="74" t="s">
        <v>11</v>
      </c>
      <c r="O10" s="74"/>
      <c r="P10" s="71" t="s">
        <v>12</v>
      </c>
      <c r="Q10" s="72"/>
      <c r="R10" s="74"/>
      <c r="S10" s="74"/>
      <c r="T10" s="74"/>
      <c r="U10" s="74"/>
      <c r="V10" s="48"/>
      <c r="W10" s="3"/>
      <c r="X10" s="91" t="s">
        <v>100</v>
      </c>
      <c r="Y10" s="91"/>
      <c r="Z10" s="88" t="s">
        <v>101</v>
      </c>
      <c r="AA10" s="90"/>
      <c r="AB10" s="92" t="s">
        <v>102</v>
      </c>
      <c r="AC10" s="92"/>
      <c r="AD10" s="88" t="s">
        <v>101</v>
      </c>
      <c r="AE10" s="90"/>
      <c r="AF10" s="91">
        <v>485</v>
      </c>
      <c r="AG10" s="91"/>
      <c r="AH10" s="88" t="s">
        <v>101</v>
      </c>
      <c r="AI10" s="90"/>
      <c r="AJ10" s="91">
        <v>485</v>
      </c>
      <c r="AK10" s="91"/>
      <c r="AL10" s="88" t="s">
        <v>101</v>
      </c>
      <c r="AM10" s="90"/>
      <c r="AN10" s="91"/>
      <c r="AO10" s="91"/>
      <c r="AP10" s="74"/>
      <c r="AQ10" s="74"/>
    </row>
    <row r="11" spans="1:44" ht="15.6" customHeight="1" x14ac:dyDescent="0.25">
      <c r="A11" s="27"/>
      <c r="B11" s="76"/>
      <c r="C11" s="76"/>
      <c r="D11" s="77"/>
      <c r="E11" s="77"/>
      <c r="F11" s="76"/>
      <c r="G11" s="76"/>
      <c r="H11" s="77"/>
      <c r="I11" s="77"/>
      <c r="J11" s="76"/>
      <c r="K11" s="76"/>
      <c r="L11" s="77"/>
      <c r="M11" s="77"/>
      <c r="N11" s="76"/>
      <c r="O11" s="76"/>
      <c r="P11" s="77"/>
      <c r="Q11" s="77"/>
      <c r="R11" s="76"/>
      <c r="S11" s="76"/>
      <c r="T11" s="76"/>
      <c r="U11" s="76"/>
      <c r="V11" s="48"/>
      <c r="W11" s="3"/>
      <c r="X11" s="88" t="s">
        <v>103</v>
      </c>
      <c r="Y11" s="89"/>
      <c r="Z11" s="89"/>
      <c r="AA11" s="90"/>
      <c r="AB11" s="88" t="s">
        <v>104</v>
      </c>
      <c r="AC11" s="89"/>
      <c r="AD11" s="89"/>
      <c r="AE11" s="90"/>
      <c r="AF11" s="88" t="s">
        <v>105</v>
      </c>
      <c r="AG11" s="89"/>
      <c r="AH11" s="89"/>
      <c r="AI11" s="90"/>
      <c r="AJ11" s="88"/>
      <c r="AK11" s="89"/>
      <c r="AL11" s="89"/>
      <c r="AM11" s="90"/>
      <c r="AN11" s="88"/>
      <c r="AO11" s="89"/>
      <c r="AP11" s="89"/>
      <c r="AQ11" s="90"/>
    </row>
    <row r="12" spans="1:44" ht="15.6" customHeight="1" x14ac:dyDescent="0.25">
      <c r="A12" s="27"/>
      <c r="B12" s="74">
        <v>0</v>
      </c>
      <c r="C12" s="74"/>
      <c r="D12" s="78">
        <v>1</v>
      </c>
      <c r="E12" s="78"/>
      <c r="F12" s="74">
        <v>2</v>
      </c>
      <c r="G12" s="74"/>
      <c r="H12" s="78">
        <v>3</v>
      </c>
      <c r="I12" s="78"/>
      <c r="J12" s="74">
        <v>4</v>
      </c>
      <c r="K12" s="74"/>
      <c r="L12" s="78">
        <v>5</v>
      </c>
      <c r="M12" s="78"/>
      <c r="N12" s="74">
        <v>6</v>
      </c>
      <c r="O12" s="74"/>
      <c r="P12" s="78">
        <v>7</v>
      </c>
      <c r="Q12" s="78"/>
      <c r="R12" s="74">
        <v>8</v>
      </c>
      <c r="S12" s="74"/>
      <c r="T12" s="74">
        <v>9</v>
      </c>
      <c r="U12" s="74"/>
      <c r="V12" s="49"/>
      <c r="W12" s="3"/>
      <c r="X12" s="91">
        <v>0</v>
      </c>
      <c r="Y12" s="91"/>
      <c r="Z12" s="91">
        <v>1</v>
      </c>
      <c r="AA12" s="91"/>
      <c r="AB12" s="91">
        <v>2</v>
      </c>
      <c r="AC12" s="91"/>
      <c r="AD12" s="91">
        <v>3</v>
      </c>
      <c r="AE12" s="91"/>
      <c r="AF12" s="91">
        <v>4</v>
      </c>
      <c r="AG12" s="91"/>
      <c r="AH12" s="91">
        <v>5</v>
      </c>
      <c r="AI12" s="91"/>
      <c r="AJ12" s="91">
        <v>6</v>
      </c>
      <c r="AK12" s="91"/>
      <c r="AL12" s="91">
        <v>7</v>
      </c>
      <c r="AM12" s="91"/>
      <c r="AN12" s="91">
        <v>8</v>
      </c>
      <c r="AO12" s="91"/>
      <c r="AP12" s="74">
        <v>9</v>
      </c>
      <c r="AQ12" s="74"/>
    </row>
    <row r="13" spans="1:44" ht="15.6" customHeight="1" x14ac:dyDescent="0.25">
      <c r="A13" s="27"/>
      <c r="B13" s="28" t="s">
        <v>13</v>
      </c>
      <c r="C13" s="28" t="s">
        <v>14</v>
      </c>
      <c r="D13" s="31" t="s">
        <v>15</v>
      </c>
      <c r="E13" s="31" t="s">
        <v>16</v>
      </c>
      <c r="F13" s="28" t="s">
        <v>13</v>
      </c>
      <c r="G13" s="28" t="s">
        <v>14</v>
      </c>
      <c r="H13" s="31" t="s">
        <v>15</v>
      </c>
      <c r="I13" s="31" t="s">
        <v>16</v>
      </c>
      <c r="J13" s="28" t="s">
        <v>13</v>
      </c>
      <c r="K13" s="28" t="s">
        <v>14</v>
      </c>
      <c r="L13" s="31" t="s">
        <v>15</v>
      </c>
      <c r="M13" s="31" t="s">
        <v>16</v>
      </c>
      <c r="N13" s="28" t="s">
        <v>13</v>
      </c>
      <c r="O13" s="28" t="s">
        <v>14</v>
      </c>
      <c r="P13" s="31" t="s">
        <v>15</v>
      </c>
      <c r="Q13" s="31" t="s">
        <v>16</v>
      </c>
      <c r="R13" s="28" t="s">
        <v>13</v>
      </c>
      <c r="S13" s="28" t="s">
        <v>14</v>
      </c>
      <c r="T13" s="28" t="s">
        <v>15</v>
      </c>
      <c r="U13" s="28" t="s">
        <v>16</v>
      </c>
      <c r="V13" s="49"/>
      <c r="W13" s="3"/>
      <c r="X13" s="47">
        <v>1</v>
      </c>
      <c r="Y13" s="47">
        <v>2</v>
      </c>
      <c r="Z13" s="47">
        <v>5</v>
      </c>
      <c r="AA13" s="47"/>
      <c r="AB13" s="47">
        <v>1</v>
      </c>
      <c r="AC13" s="47">
        <v>2</v>
      </c>
      <c r="AD13" s="47">
        <v>5</v>
      </c>
      <c r="AE13" s="47"/>
      <c r="AF13" s="47">
        <v>1</v>
      </c>
      <c r="AG13" s="47">
        <v>2</v>
      </c>
      <c r="AH13" s="47">
        <v>5</v>
      </c>
      <c r="AI13" s="47"/>
      <c r="AJ13" s="47">
        <v>1</v>
      </c>
      <c r="AK13" s="47">
        <v>2</v>
      </c>
      <c r="AL13" s="47">
        <v>5</v>
      </c>
      <c r="AM13" s="47"/>
      <c r="AN13" s="47"/>
      <c r="AO13" s="47"/>
      <c r="AP13" s="28"/>
      <c r="AQ13" s="28"/>
    </row>
    <row r="14" spans="1:44" ht="15.6" customHeight="1" x14ac:dyDescent="0.25">
      <c r="A14" s="33"/>
      <c r="B14" s="34"/>
      <c r="C14" s="34"/>
      <c r="D14" s="35"/>
      <c r="E14" s="36"/>
      <c r="F14" s="34"/>
      <c r="G14" s="34"/>
      <c r="H14" s="35"/>
      <c r="I14" s="36"/>
      <c r="J14" s="34"/>
      <c r="K14" s="34"/>
      <c r="L14" s="35"/>
      <c r="M14" s="36"/>
      <c r="N14" s="34"/>
      <c r="O14" s="34"/>
      <c r="P14" s="35"/>
      <c r="Q14" s="36"/>
      <c r="R14" s="34"/>
      <c r="S14" s="34"/>
      <c r="T14" s="34"/>
      <c r="U14" s="34"/>
      <c r="V14" s="50"/>
      <c r="W14" s="3"/>
      <c r="X14" s="51"/>
      <c r="Y14" s="51"/>
      <c r="Z14" s="51"/>
      <c r="AA14" s="51"/>
      <c r="AB14" s="34"/>
      <c r="AC14" s="34"/>
      <c r="AD14" s="34"/>
      <c r="AE14" s="52"/>
      <c r="AF14" s="34"/>
      <c r="AG14" s="34"/>
      <c r="AH14" s="34"/>
      <c r="AI14" s="52"/>
      <c r="AJ14" s="34"/>
      <c r="AK14" s="53"/>
      <c r="AL14" s="34"/>
      <c r="AM14" s="52"/>
      <c r="AN14" s="34"/>
      <c r="AO14" s="34"/>
      <c r="AP14" s="34"/>
      <c r="AQ14" s="34"/>
    </row>
    <row r="15" spans="1:44" ht="15.6" customHeight="1" x14ac:dyDescent="0.25">
      <c r="A15" s="3"/>
      <c r="B15" s="30"/>
      <c r="C15" s="30"/>
      <c r="D15" s="54"/>
      <c r="E15" s="5"/>
      <c r="F15" s="30"/>
      <c r="G15" s="30"/>
      <c r="H15" s="54"/>
      <c r="I15" s="5"/>
      <c r="J15" s="30"/>
      <c r="K15" s="30"/>
      <c r="L15" s="54"/>
      <c r="M15" s="5"/>
      <c r="N15" s="30"/>
      <c r="O15" s="30"/>
      <c r="P15" s="54"/>
      <c r="Q15" s="5"/>
      <c r="R15" s="30"/>
      <c r="S15" s="30"/>
      <c r="T15" s="30"/>
      <c r="U15" s="30"/>
      <c r="V15" s="32"/>
      <c r="W15" s="55"/>
      <c r="X15" s="93" t="s">
        <v>106</v>
      </c>
      <c r="Y15" s="94"/>
      <c r="Z15" s="94"/>
      <c r="AA15" s="94"/>
      <c r="AB15" s="93" t="s">
        <v>106</v>
      </c>
      <c r="AC15" s="94"/>
      <c r="AD15" s="94"/>
      <c r="AE15" s="94"/>
      <c r="AF15" s="93"/>
      <c r="AG15" s="94"/>
      <c r="AH15" s="94"/>
      <c r="AI15" s="94"/>
      <c r="AJ15" s="93"/>
      <c r="AK15" s="94"/>
      <c r="AL15" s="94"/>
      <c r="AM15" s="94"/>
      <c r="AN15" s="93"/>
      <c r="AO15" s="94"/>
      <c r="AP15" s="94"/>
      <c r="AQ15" s="94"/>
    </row>
    <row r="16" spans="1:44" ht="15.6" customHeight="1" x14ac:dyDescent="0.25">
      <c r="A16" s="3"/>
      <c r="B16" s="95"/>
      <c r="C16" s="96"/>
      <c r="D16" s="97"/>
      <c r="E16" s="98"/>
      <c r="F16" s="95"/>
      <c r="G16" s="96"/>
      <c r="H16" s="97"/>
      <c r="I16" s="98"/>
      <c r="J16" s="95"/>
      <c r="K16" s="96"/>
      <c r="L16" s="97"/>
      <c r="M16" s="98"/>
      <c r="N16" s="95"/>
      <c r="O16" s="96"/>
      <c r="P16" s="97"/>
      <c r="Q16" s="98"/>
      <c r="R16" s="76"/>
      <c r="S16" s="76"/>
      <c r="T16" s="76"/>
      <c r="U16" s="76"/>
      <c r="V16" s="32"/>
      <c r="W16" s="55"/>
      <c r="X16" s="99" t="s">
        <v>107</v>
      </c>
      <c r="Y16" s="100"/>
      <c r="Z16" s="100"/>
      <c r="AA16" s="100"/>
      <c r="AB16" s="99" t="s">
        <v>107</v>
      </c>
      <c r="AC16" s="100"/>
      <c r="AD16" s="100"/>
      <c r="AE16" s="100"/>
      <c r="AF16" s="99"/>
      <c r="AG16" s="100"/>
      <c r="AH16" s="100"/>
      <c r="AI16" s="100"/>
      <c r="AJ16" s="99"/>
      <c r="AK16" s="100"/>
      <c r="AL16" s="100"/>
      <c r="AM16" s="100"/>
      <c r="AN16" s="99"/>
      <c r="AO16" s="100"/>
      <c r="AP16" s="100"/>
      <c r="AQ16" s="100"/>
    </row>
    <row r="17" spans="1:44" ht="15.6" customHeight="1" x14ac:dyDescent="0.25">
      <c r="A17" s="3"/>
      <c r="B17" s="40"/>
      <c r="C17" s="40"/>
      <c r="D17" s="85"/>
      <c r="E17" s="86"/>
      <c r="F17" s="40" t="str">
        <f>IF(H16&lt;1,"","пом.")</f>
        <v/>
      </c>
      <c r="G17" s="40"/>
      <c r="H17" s="85"/>
      <c r="I17" s="86"/>
      <c r="J17" s="40" t="str">
        <f>IF(L16&lt;1,"","пом.")</f>
        <v/>
      </c>
      <c r="K17" s="40"/>
      <c r="L17" s="85"/>
      <c r="M17" s="86"/>
      <c r="N17" s="40" t="str">
        <f>IF(P16&lt;1,"","пом.")</f>
        <v/>
      </c>
      <c r="O17" s="40"/>
      <c r="P17" s="85"/>
      <c r="Q17" s="86"/>
      <c r="R17" s="30"/>
      <c r="S17" s="30"/>
      <c r="T17" s="30"/>
      <c r="U17" s="30"/>
      <c r="V17" s="32"/>
      <c r="W17" s="55"/>
      <c r="X17" s="41"/>
      <c r="Y17" s="41"/>
      <c r="Z17" s="41"/>
      <c r="AA17" s="41"/>
      <c r="AB17" s="56"/>
      <c r="AC17" s="41"/>
      <c r="AD17" s="41"/>
      <c r="AE17" s="41"/>
      <c r="AF17" s="41"/>
      <c r="AG17" s="41"/>
      <c r="AH17" s="41"/>
      <c r="AI17" s="41"/>
      <c r="AJ17" s="41"/>
      <c r="AK17" s="57"/>
      <c r="AL17" s="41"/>
      <c r="AM17" s="41"/>
      <c r="AN17" s="41"/>
      <c r="AO17" s="41"/>
      <c r="AP17" s="41"/>
      <c r="AQ17" s="41"/>
    </row>
    <row r="18" spans="1:44" ht="15.6" customHeight="1" x14ac:dyDescent="0.25">
      <c r="A18" s="3"/>
      <c r="B18" s="3"/>
      <c r="C18" s="3"/>
      <c r="D18" s="4"/>
      <c r="E18" s="4"/>
      <c r="F18" s="3"/>
      <c r="G18" s="3"/>
      <c r="H18" s="4"/>
      <c r="I18" s="4"/>
      <c r="J18" s="3"/>
      <c r="K18" s="3"/>
      <c r="L18" s="4"/>
      <c r="M18" s="4"/>
      <c r="N18" s="3"/>
      <c r="O18" s="3"/>
      <c r="P18" s="4"/>
      <c r="Q18" s="4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</row>
    <row r="19" spans="1:44" ht="15.6" customHeight="1" x14ac:dyDescent="0.25">
      <c r="A19" s="3"/>
      <c r="B19" s="3"/>
      <c r="C19" s="3"/>
      <c r="D19" s="4"/>
      <c r="E19" s="5" t="s">
        <v>30</v>
      </c>
      <c r="F19" s="87" t="s">
        <v>31</v>
      </c>
      <c r="G19" s="87"/>
      <c r="H19" s="87"/>
      <c r="I19" s="87" t="s">
        <v>32</v>
      </c>
      <c r="J19" s="87"/>
      <c r="K19" s="3"/>
      <c r="L19" s="4"/>
      <c r="M19" s="4"/>
      <c r="N19" s="3"/>
      <c r="O19" s="30" t="s">
        <v>33</v>
      </c>
      <c r="P19" s="4" t="s">
        <v>34</v>
      </c>
      <c r="Q19" s="4"/>
      <c r="R19" s="3"/>
      <c r="S19" s="3" t="s">
        <v>35</v>
      </c>
      <c r="T19" s="3"/>
      <c r="U19" s="3"/>
      <c r="V19" s="3"/>
      <c r="W19" s="3"/>
      <c r="X19" s="101" t="s">
        <v>108</v>
      </c>
      <c r="Y19" s="102"/>
      <c r="Z19" s="102"/>
      <c r="AA19" s="102"/>
      <c r="AB19" s="102"/>
      <c r="AC19" s="102"/>
      <c r="AD19" s="102"/>
      <c r="AE19" s="102"/>
      <c r="AF19" s="102"/>
      <c r="AG19" s="102"/>
      <c r="AH19" s="102"/>
      <c r="AI19" s="102"/>
      <c r="AJ19" s="102"/>
      <c r="AK19" s="102"/>
      <c r="AL19" s="102"/>
      <c r="AM19" s="102"/>
      <c r="AN19" s="102"/>
      <c r="AO19" s="102"/>
      <c r="AP19" s="102"/>
      <c r="AQ19" s="103"/>
      <c r="AR19" s="3"/>
    </row>
    <row r="20" spans="1:44" ht="15.6" customHeight="1" x14ac:dyDescent="0.25">
      <c r="A20" s="3"/>
      <c r="B20" s="3"/>
      <c r="C20" s="3"/>
      <c r="D20" s="4"/>
      <c r="E20" s="5" t="s">
        <v>36</v>
      </c>
      <c r="F20" s="87" t="s">
        <v>37</v>
      </c>
      <c r="G20" s="87"/>
      <c r="H20" s="87"/>
      <c r="I20" s="4" t="s">
        <v>38</v>
      </c>
      <c r="J20" s="3"/>
      <c r="K20" s="3"/>
      <c r="L20" s="4"/>
      <c r="M20" s="4"/>
      <c r="N20" s="3"/>
      <c r="O20" s="30" t="s">
        <v>39</v>
      </c>
      <c r="P20" s="4" t="s">
        <v>34</v>
      </c>
      <c r="Q20" s="4"/>
      <c r="R20" s="3"/>
      <c r="S20" s="3" t="s">
        <v>109</v>
      </c>
      <c r="T20" s="3"/>
      <c r="U20" s="3"/>
      <c r="V20" s="3"/>
      <c r="W20" s="3"/>
      <c r="X20" s="104" t="s">
        <v>103</v>
      </c>
      <c r="Y20" s="105"/>
      <c r="Z20" s="105"/>
      <c r="AA20" s="106"/>
      <c r="AB20" s="104" t="s">
        <v>104</v>
      </c>
      <c r="AC20" s="105"/>
      <c r="AD20" s="105"/>
      <c r="AE20" s="106"/>
      <c r="AF20" s="104" t="s">
        <v>105</v>
      </c>
      <c r="AG20" s="105"/>
      <c r="AH20" s="105"/>
      <c r="AI20" s="106"/>
      <c r="AJ20" s="104" t="s">
        <v>110</v>
      </c>
      <c r="AK20" s="105"/>
      <c r="AL20" s="105"/>
      <c r="AM20" s="106"/>
      <c r="AN20" s="104"/>
      <c r="AO20" s="105"/>
      <c r="AP20" s="105"/>
      <c r="AQ20" s="106"/>
      <c r="AR20" s="3"/>
    </row>
    <row r="21" spans="1:44" ht="15.6" customHeight="1" x14ac:dyDescent="0.25">
      <c r="A21" s="41"/>
      <c r="B21" s="41"/>
      <c r="C21" s="41"/>
      <c r="D21" s="42"/>
      <c r="E21" s="43"/>
      <c r="F21" s="41"/>
      <c r="G21" s="41"/>
      <c r="H21" s="42"/>
      <c r="I21" s="42"/>
      <c r="J21" s="41"/>
      <c r="K21" s="41"/>
      <c r="L21" s="42"/>
      <c r="M21" s="42"/>
      <c r="N21" s="41"/>
      <c r="O21" s="41"/>
      <c r="P21" s="42"/>
      <c r="Q21" s="42"/>
      <c r="R21" s="41"/>
      <c r="S21" s="41"/>
      <c r="T21" s="41"/>
      <c r="U21" s="41"/>
      <c r="V21" s="41"/>
      <c r="W21" s="3"/>
      <c r="X21" s="107" t="s">
        <v>111</v>
      </c>
      <c r="Y21" s="108"/>
      <c r="Z21" s="108" t="s">
        <v>112</v>
      </c>
      <c r="AA21" s="109"/>
      <c r="AB21" s="107" t="s">
        <v>111</v>
      </c>
      <c r="AC21" s="108"/>
      <c r="AD21" s="108" t="s">
        <v>112</v>
      </c>
      <c r="AE21" s="109"/>
      <c r="AF21" s="107" t="s">
        <v>111</v>
      </c>
      <c r="AG21" s="108"/>
      <c r="AH21" s="108" t="s">
        <v>112</v>
      </c>
      <c r="AI21" s="109"/>
      <c r="AJ21" s="107" t="s">
        <v>111</v>
      </c>
      <c r="AK21" s="108"/>
      <c r="AL21" s="108" t="s">
        <v>112</v>
      </c>
      <c r="AM21" s="109"/>
      <c r="AN21" s="107"/>
      <c r="AO21" s="108"/>
      <c r="AP21" s="108"/>
      <c r="AQ21" s="109"/>
      <c r="AR21" s="3"/>
    </row>
    <row r="22" spans="1:44" ht="15.6" customHeight="1" x14ac:dyDescent="0.3">
      <c r="A22" s="3"/>
      <c r="B22" s="3"/>
      <c r="C22" s="3"/>
      <c r="D22" s="4"/>
      <c r="E22" s="6" t="s">
        <v>1</v>
      </c>
      <c r="F22" s="3"/>
      <c r="G22" s="7"/>
      <c r="H22" s="8"/>
      <c r="I22" s="8"/>
      <c r="J22" s="7"/>
      <c r="K22" s="7"/>
      <c r="L22" s="8"/>
      <c r="M22" s="9" t="s">
        <v>2</v>
      </c>
      <c r="N22" s="68" t="str">
        <f>N2</f>
        <v>1.1</v>
      </c>
      <c r="O22" s="68"/>
      <c r="P22" s="4"/>
      <c r="Q22" s="4"/>
      <c r="R22" s="3"/>
      <c r="S22" s="3"/>
      <c r="T22" s="3"/>
      <c r="U22" s="3"/>
      <c r="V22" s="3"/>
      <c r="W22" s="3"/>
      <c r="X22" s="110" t="s">
        <v>100</v>
      </c>
      <c r="Y22" s="91"/>
      <c r="Z22" s="108">
        <v>1</v>
      </c>
      <c r="AA22" s="109"/>
      <c r="AB22" s="111" t="s">
        <v>102</v>
      </c>
      <c r="AC22" s="92"/>
      <c r="AD22" s="108">
        <v>1</v>
      </c>
      <c r="AE22" s="109"/>
      <c r="AF22" s="107"/>
      <c r="AG22" s="108"/>
      <c r="AH22" s="108"/>
      <c r="AI22" s="109"/>
      <c r="AJ22" s="107"/>
      <c r="AK22" s="108"/>
      <c r="AL22" s="108"/>
      <c r="AM22" s="109"/>
      <c r="AN22" s="107"/>
      <c r="AO22" s="108"/>
      <c r="AP22" s="108"/>
      <c r="AQ22" s="109"/>
      <c r="AR22" s="3"/>
    </row>
    <row r="23" spans="1:44" ht="15.6" customHeight="1" x14ac:dyDescent="0.3">
      <c r="A23" s="3"/>
      <c r="B23" s="3"/>
      <c r="C23" s="3"/>
      <c r="D23" s="4"/>
      <c r="E23" s="6" t="s">
        <v>4</v>
      </c>
      <c r="F23" s="3"/>
      <c r="G23" s="3"/>
      <c r="H23" s="4"/>
      <c r="I23" s="4"/>
      <c r="J23" s="13"/>
      <c r="K23" s="13"/>
      <c r="L23" s="14"/>
      <c r="M23" s="9" t="s">
        <v>5</v>
      </c>
      <c r="N23" s="70" t="str">
        <f>N3</f>
        <v>1.1.2</v>
      </c>
      <c r="O23" s="70"/>
      <c r="P23" s="4"/>
      <c r="Q23" s="4"/>
      <c r="R23" s="3"/>
      <c r="S23" s="3"/>
      <c r="T23" s="3"/>
      <c r="U23" s="3"/>
      <c r="V23" s="3"/>
      <c r="W23" s="3"/>
      <c r="X23" s="112"/>
      <c r="Y23" s="113"/>
      <c r="Z23" s="113"/>
      <c r="AA23" s="114"/>
      <c r="AB23" s="115" t="s">
        <v>102</v>
      </c>
      <c r="AC23" s="116"/>
      <c r="AD23" s="113">
        <v>2</v>
      </c>
      <c r="AE23" s="114"/>
      <c r="AF23" s="112"/>
      <c r="AG23" s="113"/>
      <c r="AH23" s="113"/>
      <c r="AI23" s="114"/>
      <c r="AJ23" s="112"/>
      <c r="AK23" s="113"/>
      <c r="AL23" s="113"/>
      <c r="AM23" s="114"/>
      <c r="AN23" s="112"/>
      <c r="AO23" s="113"/>
      <c r="AP23" s="113"/>
      <c r="AQ23" s="114"/>
      <c r="AR23" s="3"/>
    </row>
    <row r="24" spans="1:44" ht="15.6" customHeight="1" x14ac:dyDescent="0.3">
      <c r="A24" s="3"/>
      <c r="B24" s="3"/>
      <c r="C24" s="3"/>
      <c r="D24" s="4"/>
      <c r="E24" s="4" t="s">
        <v>7</v>
      </c>
      <c r="F24" s="3"/>
      <c r="G24" s="3"/>
      <c r="H24" s="8"/>
      <c r="I24" s="8"/>
      <c r="J24" s="7"/>
      <c r="K24" s="7"/>
      <c r="L24" s="8"/>
      <c r="M24" s="16" t="s">
        <v>5</v>
      </c>
      <c r="N24" s="17">
        <f>N4</f>
        <v>1</v>
      </c>
      <c r="O24" s="3"/>
      <c r="P24" s="4"/>
      <c r="Q24" s="4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</row>
    <row r="25" spans="1:44" ht="15.6" customHeight="1" x14ac:dyDescent="0.3">
      <c r="A25" s="3"/>
      <c r="B25" s="3"/>
      <c r="C25" s="3"/>
      <c r="D25" s="4"/>
      <c r="E25" s="4" t="s">
        <v>8</v>
      </c>
      <c r="F25" s="3"/>
      <c r="G25" s="3"/>
      <c r="H25" s="4"/>
      <c r="I25" s="4"/>
      <c r="J25" s="3"/>
      <c r="K25" s="3"/>
      <c r="L25" s="14"/>
      <c r="M25" s="16" t="s">
        <v>99</v>
      </c>
      <c r="N25" s="17" t="str">
        <f>IF(N5="-"&amp;N2&amp;".3",IF(N6=15,"-"&amp;N2&amp;".4","-"&amp;N2&amp;".3"),N5)</f>
        <v>-1.1.3</v>
      </c>
      <c r="O25" s="19"/>
      <c r="P25" s="4"/>
      <c r="Q25" s="4"/>
      <c r="R25" s="3"/>
      <c r="S25" s="3"/>
      <c r="T25" s="3"/>
      <c r="U25" s="3"/>
      <c r="V25" s="3"/>
      <c r="W25" s="41"/>
      <c r="X25" s="41"/>
      <c r="Y25" s="41"/>
      <c r="Z25" s="42"/>
      <c r="AA25" s="43"/>
      <c r="AB25" s="41"/>
      <c r="AC25" s="41"/>
      <c r="AD25" s="42"/>
      <c r="AE25" s="42"/>
      <c r="AF25" s="41"/>
      <c r="AG25" s="41"/>
      <c r="AH25" s="42"/>
      <c r="AI25" s="42"/>
      <c r="AJ25" s="41"/>
      <c r="AK25" s="41"/>
      <c r="AL25" s="42"/>
      <c r="AM25" s="42"/>
      <c r="AN25" s="41"/>
      <c r="AO25" s="41"/>
      <c r="AP25" s="41"/>
      <c r="AQ25" s="41"/>
      <c r="AR25" s="41"/>
    </row>
    <row r="26" spans="1:44" ht="15.6" customHeight="1" x14ac:dyDescent="0.3">
      <c r="A26" s="3"/>
      <c r="B26" s="3"/>
      <c r="C26" s="3"/>
      <c r="D26" s="4"/>
      <c r="E26" s="21" t="s">
        <v>10</v>
      </c>
      <c r="F26" s="3"/>
      <c r="G26" s="3"/>
      <c r="H26" s="4"/>
      <c r="I26" s="8"/>
      <c r="J26" s="7"/>
      <c r="K26" s="7"/>
      <c r="L26" s="8"/>
      <c r="M26" s="16" t="s">
        <v>5</v>
      </c>
      <c r="N26" s="17">
        <f>IF(N25="-"&amp;N2&amp;".3",N6+1,1)</f>
        <v>2</v>
      </c>
      <c r="O26" s="3"/>
      <c r="P26" s="4"/>
      <c r="Q26" s="4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</row>
    <row r="27" spans="1:44" ht="7.15" customHeight="1" x14ac:dyDescent="0.25">
      <c r="A27" s="3"/>
      <c r="B27" s="3"/>
      <c r="C27" s="3"/>
      <c r="D27" s="4"/>
      <c r="E27" s="4"/>
      <c r="F27" s="3"/>
      <c r="G27" s="3"/>
      <c r="H27" s="4"/>
      <c r="I27" s="4"/>
      <c r="J27" s="3"/>
      <c r="K27" s="3"/>
      <c r="L27" s="4"/>
      <c r="M27" s="4"/>
      <c r="N27" s="3"/>
      <c r="O27" s="3"/>
      <c r="P27" s="4"/>
      <c r="Q27" s="4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</row>
    <row r="28" spans="1:44" ht="15.6" customHeight="1" x14ac:dyDescent="0.25">
      <c r="A28" s="24"/>
      <c r="B28" s="25"/>
      <c r="C28" s="25"/>
      <c r="D28" s="26"/>
      <c r="E28" s="26"/>
      <c r="F28" s="25"/>
      <c r="G28" s="25"/>
      <c r="H28" s="26"/>
      <c r="I28" s="26"/>
      <c r="J28" s="25"/>
      <c r="K28" s="25"/>
      <c r="L28" s="26"/>
      <c r="M28" s="26"/>
      <c r="N28" s="25"/>
      <c r="O28" s="25"/>
      <c r="P28" s="26"/>
      <c r="Q28" s="26"/>
      <c r="R28" s="25"/>
      <c r="S28" s="25"/>
      <c r="T28" s="25"/>
      <c r="U28" s="25"/>
      <c r="V28" s="45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</row>
    <row r="29" spans="1:44" ht="15.6" customHeight="1" x14ac:dyDescent="0.25">
      <c r="A29" s="27"/>
      <c r="B29" s="28"/>
      <c r="C29" s="28"/>
      <c r="D29" s="71">
        <v>1</v>
      </c>
      <c r="E29" s="72"/>
      <c r="F29" s="28"/>
      <c r="G29" s="28"/>
      <c r="H29" s="71">
        <v>2</v>
      </c>
      <c r="I29" s="72"/>
      <c r="J29" s="28"/>
      <c r="K29" s="28"/>
      <c r="L29" s="71">
        <v>3</v>
      </c>
      <c r="M29" s="72"/>
      <c r="N29" s="28"/>
      <c r="O29" s="28"/>
      <c r="P29" s="71">
        <v>4</v>
      </c>
      <c r="Q29" s="72"/>
      <c r="R29" s="28"/>
      <c r="S29" s="28"/>
      <c r="T29" s="28"/>
      <c r="U29" s="28"/>
      <c r="V29" s="46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</row>
    <row r="30" spans="1:44" ht="15.6" customHeight="1" x14ac:dyDescent="0.25">
      <c r="A30" s="27"/>
      <c r="B30" s="74" t="s">
        <v>11</v>
      </c>
      <c r="C30" s="74"/>
      <c r="D30" s="71" t="s">
        <v>12</v>
      </c>
      <c r="E30" s="72"/>
      <c r="F30" s="74" t="s">
        <v>11</v>
      </c>
      <c r="G30" s="74"/>
      <c r="H30" s="71" t="s">
        <v>12</v>
      </c>
      <c r="I30" s="72"/>
      <c r="J30" s="74" t="s">
        <v>11</v>
      </c>
      <c r="K30" s="74"/>
      <c r="L30" s="71" t="s">
        <v>12</v>
      </c>
      <c r="M30" s="72"/>
      <c r="N30" s="74" t="s">
        <v>11</v>
      </c>
      <c r="O30" s="74"/>
      <c r="P30" s="71" t="s">
        <v>12</v>
      </c>
      <c r="Q30" s="72"/>
      <c r="R30" s="74"/>
      <c r="S30" s="74"/>
      <c r="T30" s="74"/>
      <c r="U30" s="74"/>
      <c r="V30" s="48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</row>
    <row r="31" spans="1:44" ht="15.6" customHeight="1" x14ac:dyDescent="0.25">
      <c r="A31" s="27"/>
      <c r="B31" s="76"/>
      <c r="C31" s="76"/>
      <c r="D31" s="77"/>
      <c r="E31" s="77"/>
      <c r="F31" s="76"/>
      <c r="G31" s="76"/>
      <c r="H31" s="77"/>
      <c r="I31" s="77"/>
      <c r="J31" s="76"/>
      <c r="K31" s="76"/>
      <c r="L31" s="77"/>
      <c r="M31" s="77"/>
      <c r="N31" s="76"/>
      <c r="O31" s="76"/>
      <c r="P31" s="77"/>
      <c r="Q31" s="77"/>
      <c r="R31" s="76"/>
      <c r="S31" s="76"/>
      <c r="T31" s="76"/>
      <c r="U31" s="76"/>
      <c r="V31" s="48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</row>
    <row r="32" spans="1:44" ht="15.6" customHeight="1" x14ac:dyDescent="0.25">
      <c r="A32" s="27"/>
      <c r="B32" s="74">
        <v>0</v>
      </c>
      <c r="C32" s="74"/>
      <c r="D32" s="78">
        <v>1</v>
      </c>
      <c r="E32" s="78"/>
      <c r="F32" s="74">
        <v>2</v>
      </c>
      <c r="G32" s="74"/>
      <c r="H32" s="78">
        <v>3</v>
      </c>
      <c r="I32" s="78"/>
      <c r="J32" s="74">
        <v>4</v>
      </c>
      <c r="K32" s="74"/>
      <c r="L32" s="78">
        <v>5</v>
      </c>
      <c r="M32" s="78"/>
      <c r="N32" s="74">
        <v>6</v>
      </c>
      <c r="O32" s="74"/>
      <c r="P32" s="78">
        <v>7</v>
      </c>
      <c r="Q32" s="78"/>
      <c r="R32" s="74">
        <v>8</v>
      </c>
      <c r="S32" s="74"/>
      <c r="T32" s="74">
        <v>9</v>
      </c>
      <c r="U32" s="74"/>
      <c r="V32" s="49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</row>
    <row r="33" spans="1:44" ht="15.6" customHeight="1" x14ac:dyDescent="0.25">
      <c r="A33" s="27"/>
      <c r="B33" s="28" t="s">
        <v>13</v>
      </c>
      <c r="C33" s="28" t="s">
        <v>14</v>
      </c>
      <c r="D33" s="31" t="s">
        <v>15</v>
      </c>
      <c r="E33" s="31" t="s">
        <v>16</v>
      </c>
      <c r="F33" s="28" t="s">
        <v>13</v>
      </c>
      <c r="G33" s="28" t="s">
        <v>14</v>
      </c>
      <c r="H33" s="31" t="s">
        <v>15</v>
      </c>
      <c r="I33" s="31" t="s">
        <v>16</v>
      </c>
      <c r="J33" s="28" t="s">
        <v>13</v>
      </c>
      <c r="K33" s="28" t="s">
        <v>14</v>
      </c>
      <c r="L33" s="31" t="s">
        <v>15</v>
      </c>
      <c r="M33" s="31" t="s">
        <v>16</v>
      </c>
      <c r="N33" s="28" t="s">
        <v>13</v>
      </c>
      <c r="O33" s="28" t="s">
        <v>14</v>
      </c>
      <c r="P33" s="31" t="s">
        <v>15</v>
      </c>
      <c r="Q33" s="31" t="s">
        <v>16</v>
      </c>
      <c r="R33" s="28" t="s">
        <v>13</v>
      </c>
      <c r="S33" s="28" t="s">
        <v>14</v>
      </c>
      <c r="T33" s="28" t="s">
        <v>15</v>
      </c>
      <c r="U33" s="28" t="s">
        <v>16</v>
      </c>
      <c r="V33" s="49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</row>
    <row r="34" spans="1:44" ht="15.6" customHeight="1" x14ac:dyDescent="0.25">
      <c r="A34" s="33"/>
      <c r="B34" s="34"/>
      <c r="C34" s="34"/>
      <c r="D34" s="35"/>
      <c r="E34" s="36"/>
      <c r="F34" s="34"/>
      <c r="G34" s="34"/>
      <c r="H34" s="35"/>
      <c r="I34" s="36"/>
      <c r="J34" s="34"/>
      <c r="K34" s="34"/>
      <c r="L34" s="35"/>
      <c r="M34" s="36"/>
      <c r="N34" s="34"/>
      <c r="O34" s="34"/>
      <c r="P34" s="35"/>
      <c r="Q34" s="36"/>
      <c r="R34" s="34"/>
      <c r="S34" s="34"/>
      <c r="T34" s="34"/>
      <c r="U34" s="34"/>
      <c r="V34" s="50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</row>
    <row r="35" spans="1:44" ht="7.15" customHeight="1" x14ac:dyDescent="0.25">
      <c r="A35" s="3"/>
      <c r="B35" s="30"/>
      <c r="C35" s="30"/>
      <c r="D35" s="54"/>
      <c r="E35" s="5"/>
      <c r="F35" s="30"/>
      <c r="G35" s="30"/>
      <c r="H35" s="54"/>
      <c r="I35" s="5"/>
      <c r="J35" s="30"/>
      <c r="K35" s="30"/>
      <c r="L35" s="54"/>
      <c r="M35" s="5"/>
      <c r="N35" s="30"/>
      <c r="O35" s="30"/>
      <c r="P35" s="54"/>
      <c r="Q35" s="5"/>
      <c r="R35" s="30"/>
      <c r="S35" s="30"/>
      <c r="T35" s="30"/>
      <c r="U35" s="30"/>
      <c r="V35" s="32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</row>
    <row r="36" spans="1:44" ht="15.6" customHeight="1" x14ac:dyDescent="0.25">
      <c r="A36" s="3"/>
      <c r="B36" s="95"/>
      <c r="C36" s="96"/>
      <c r="D36" s="97"/>
      <c r="E36" s="98"/>
      <c r="F36" s="95"/>
      <c r="G36" s="96"/>
      <c r="H36" s="97"/>
      <c r="I36" s="98"/>
      <c r="J36" s="95"/>
      <c r="K36" s="96"/>
      <c r="L36" s="97"/>
      <c r="M36" s="98"/>
      <c r="N36" s="95"/>
      <c r="O36" s="96"/>
      <c r="P36" s="97"/>
      <c r="Q36" s="98"/>
      <c r="R36" s="76"/>
      <c r="S36" s="76"/>
      <c r="T36" s="76"/>
      <c r="U36" s="76"/>
      <c r="V36" s="32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</row>
    <row r="37" spans="1:44" ht="15.6" customHeight="1" x14ac:dyDescent="0.25">
      <c r="A37" s="3"/>
      <c r="B37" s="40" t="str">
        <f>IF(D36&lt;1,"","пом.")</f>
        <v/>
      </c>
      <c r="C37" s="40"/>
      <c r="D37" s="85"/>
      <c r="E37" s="86"/>
      <c r="F37" s="40" t="str">
        <f>IF(H36&lt;1,"","пом.")</f>
        <v/>
      </c>
      <c r="G37" s="40"/>
      <c r="H37" s="85"/>
      <c r="I37" s="86"/>
      <c r="J37" s="40" t="str">
        <f>IF(L36&lt;1,"","пом.")</f>
        <v/>
      </c>
      <c r="K37" s="40"/>
      <c r="L37" s="85"/>
      <c r="M37" s="86"/>
      <c r="N37" s="40" t="str">
        <f>IF(P36&lt;1,"","пом.")</f>
        <v/>
      </c>
      <c r="O37" s="40"/>
      <c r="P37" s="85"/>
      <c r="Q37" s="86"/>
      <c r="R37" s="30"/>
      <c r="S37" s="30"/>
      <c r="T37" s="30"/>
      <c r="U37" s="30"/>
      <c r="V37" s="32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</row>
    <row r="38" spans="1:44" ht="4.9000000000000004" customHeight="1" x14ac:dyDescent="0.25">
      <c r="A38" s="3"/>
      <c r="B38" s="3"/>
      <c r="C38" s="3"/>
      <c r="D38" s="4"/>
      <c r="E38" s="4"/>
      <c r="F38" s="3"/>
      <c r="G38" s="3"/>
      <c r="H38" s="4"/>
      <c r="I38" s="4"/>
      <c r="J38" s="3"/>
      <c r="K38" s="3"/>
      <c r="L38" s="4"/>
      <c r="M38" s="4"/>
      <c r="N38" s="3"/>
      <c r="O38" s="3"/>
      <c r="P38" s="4"/>
      <c r="Q38" s="4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</row>
    <row r="39" spans="1:44" ht="15.6" customHeight="1" x14ac:dyDescent="0.25">
      <c r="A39" s="3"/>
      <c r="B39" s="3"/>
      <c r="C39" s="3"/>
      <c r="D39" s="4"/>
      <c r="E39" s="5" t="s">
        <v>30</v>
      </c>
      <c r="F39" s="87" t="s">
        <v>31</v>
      </c>
      <c r="G39" s="87"/>
      <c r="H39" s="87"/>
      <c r="I39" s="117" t="s">
        <v>32</v>
      </c>
      <c r="J39" s="117"/>
      <c r="K39" s="58"/>
      <c r="L39" s="4"/>
      <c r="M39" s="4"/>
      <c r="N39" s="3"/>
      <c r="O39" s="30" t="s">
        <v>33</v>
      </c>
      <c r="P39" s="87" t="s">
        <v>34</v>
      </c>
      <c r="Q39" s="87"/>
      <c r="R39" s="87"/>
      <c r="S39" s="3" t="s">
        <v>35</v>
      </c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</row>
    <row r="40" spans="1:44" ht="15.6" customHeight="1" x14ac:dyDescent="0.25">
      <c r="A40" s="3"/>
      <c r="B40" s="3"/>
      <c r="C40" s="3"/>
      <c r="D40" s="4"/>
      <c r="E40" s="5" t="s">
        <v>36</v>
      </c>
      <c r="F40" s="87" t="s">
        <v>37</v>
      </c>
      <c r="G40" s="87"/>
      <c r="H40" s="87"/>
      <c r="I40" s="117" t="s">
        <v>38</v>
      </c>
      <c r="J40" s="117"/>
      <c r="K40" s="117"/>
      <c r="L40" s="4"/>
      <c r="M40" s="4"/>
      <c r="N40" s="3"/>
      <c r="O40" s="30" t="s">
        <v>39</v>
      </c>
      <c r="P40" s="87" t="s">
        <v>34</v>
      </c>
      <c r="Q40" s="87"/>
      <c r="R40" s="87"/>
      <c r="S40" s="3" t="s">
        <v>109</v>
      </c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</row>
    <row r="41" spans="1:44" ht="6.6" customHeight="1" x14ac:dyDescent="0.25">
      <c r="A41" s="3"/>
      <c r="B41" s="3"/>
      <c r="C41" s="3"/>
      <c r="D41" s="4"/>
      <c r="E41" s="4"/>
      <c r="F41" s="3"/>
      <c r="G41" s="3"/>
      <c r="H41" s="4"/>
      <c r="I41" s="4"/>
      <c r="J41" s="3"/>
      <c r="K41" s="3"/>
      <c r="L41" s="4"/>
      <c r="M41" s="4"/>
      <c r="N41" s="3"/>
      <c r="O41" s="3"/>
      <c r="P41" s="4"/>
      <c r="Q41" s="4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</row>
    <row r="42" spans="1:44" ht="15.6" customHeight="1" x14ac:dyDescent="0.25">
      <c r="A42" s="41"/>
      <c r="B42" s="41"/>
      <c r="C42" s="41"/>
      <c r="D42" s="42"/>
      <c r="E42" s="43"/>
      <c r="F42" s="41"/>
      <c r="G42" s="41"/>
      <c r="H42" s="42"/>
      <c r="I42" s="42"/>
      <c r="J42" s="41"/>
      <c r="K42" s="41"/>
      <c r="L42" s="42"/>
      <c r="M42" s="42"/>
      <c r="N42" s="41"/>
      <c r="O42" s="41"/>
      <c r="P42" s="42"/>
      <c r="Q42" s="42"/>
      <c r="R42" s="41"/>
      <c r="S42" s="41"/>
      <c r="T42" s="41"/>
      <c r="U42" s="41"/>
      <c r="V42" s="41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</row>
    <row r="43" spans="1:44" ht="15.6" customHeight="1" x14ac:dyDescent="0.25">
      <c r="A43" s="41"/>
      <c r="B43" s="41"/>
      <c r="C43" s="41"/>
      <c r="D43" s="42"/>
      <c r="E43" s="43"/>
      <c r="F43" s="41"/>
      <c r="G43" s="41"/>
      <c r="H43" s="42"/>
      <c r="I43" s="42"/>
      <c r="J43" s="41"/>
      <c r="K43" s="41"/>
      <c r="L43" s="42"/>
      <c r="M43" s="42"/>
      <c r="N43" s="41"/>
      <c r="O43" s="41"/>
      <c r="P43" s="42"/>
      <c r="Q43" s="42"/>
      <c r="R43" s="41"/>
      <c r="S43" s="41"/>
      <c r="T43" s="41"/>
      <c r="U43" s="41"/>
      <c r="V43" s="41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</row>
    <row r="44" spans="1:44" ht="15.6" customHeight="1" x14ac:dyDescent="0.3">
      <c r="A44" s="3"/>
      <c r="B44" s="3"/>
      <c r="C44" s="3"/>
      <c r="D44" s="4"/>
      <c r="E44" s="6" t="s">
        <v>1</v>
      </c>
      <c r="F44" s="3"/>
      <c r="G44" s="7"/>
      <c r="H44" s="8"/>
      <c r="I44" s="8"/>
      <c r="J44" s="7"/>
      <c r="K44" s="7"/>
      <c r="L44" s="8"/>
      <c r="M44" s="9" t="s">
        <v>2</v>
      </c>
      <c r="N44" s="12" t="str">
        <f>N22</f>
        <v>1.1</v>
      </c>
      <c r="O44" s="12"/>
      <c r="P44" s="4"/>
      <c r="Q44" s="4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</row>
    <row r="45" spans="1:44" ht="15.6" customHeight="1" x14ac:dyDescent="0.3">
      <c r="A45" s="3"/>
      <c r="B45" s="3"/>
      <c r="C45" s="3"/>
      <c r="D45" s="4"/>
      <c r="E45" s="6" t="s">
        <v>4</v>
      </c>
      <c r="F45" s="3"/>
      <c r="G45" s="3"/>
      <c r="H45" s="4"/>
      <c r="I45" s="4"/>
      <c r="J45" s="13"/>
      <c r="K45" s="13"/>
      <c r="L45" s="14"/>
      <c r="M45" s="9" t="s">
        <v>5</v>
      </c>
      <c r="N45" s="15" t="str">
        <f>N44&amp;".2"</f>
        <v>1.1.2</v>
      </c>
      <c r="O45" s="15"/>
      <c r="P45" s="4"/>
      <c r="Q45" s="4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</row>
    <row r="46" spans="1:44" ht="15.6" customHeight="1" x14ac:dyDescent="0.3">
      <c r="A46" s="3"/>
      <c r="B46" s="3"/>
      <c r="C46" s="3"/>
      <c r="D46" s="4"/>
      <c r="E46" s="4" t="s">
        <v>7</v>
      </c>
      <c r="F46" s="3"/>
      <c r="G46" s="3"/>
      <c r="H46" s="8"/>
      <c r="I46" s="8"/>
      <c r="J46" s="7"/>
      <c r="K46" s="7"/>
      <c r="L46" s="8"/>
      <c r="M46" s="16" t="s">
        <v>5</v>
      </c>
      <c r="N46" s="17">
        <f>N24+1</f>
        <v>2</v>
      </c>
      <c r="O46" s="3"/>
      <c r="P46" s="4"/>
      <c r="Q46" s="4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</row>
    <row r="47" spans="1:44" ht="15.6" customHeight="1" x14ac:dyDescent="0.3">
      <c r="A47" s="3"/>
      <c r="B47" s="3"/>
      <c r="C47" s="3"/>
      <c r="D47" s="4"/>
      <c r="E47" s="4" t="s">
        <v>8</v>
      </c>
      <c r="F47" s="3"/>
      <c r="G47" s="3"/>
      <c r="H47" s="4"/>
      <c r="I47" s="4"/>
      <c r="J47" s="3"/>
      <c r="K47" s="3"/>
      <c r="L47" s="14"/>
      <c r="M47" s="16" t="s">
        <v>99</v>
      </c>
      <c r="N47" s="17" t="str">
        <f>IF(N25="-"&amp;N2&amp;".3",IF(N26=15,"-"&amp;N2&amp;".4","-"&amp;N2&amp;".3"),N25)</f>
        <v>-1.1.3</v>
      </c>
      <c r="O47" s="3"/>
      <c r="P47" s="4"/>
      <c r="Q47" s="4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</row>
    <row r="48" spans="1:44" ht="15.6" customHeight="1" x14ac:dyDescent="0.3">
      <c r="A48" s="3"/>
      <c r="B48" s="3"/>
      <c r="C48" s="3"/>
      <c r="D48" s="4"/>
      <c r="E48" s="21" t="s">
        <v>10</v>
      </c>
      <c r="F48" s="3"/>
      <c r="G48" s="3"/>
      <c r="H48" s="4"/>
      <c r="I48" s="8"/>
      <c r="J48" s="7"/>
      <c r="K48" s="7"/>
      <c r="L48" s="8"/>
      <c r="M48" s="16" t="s">
        <v>5</v>
      </c>
      <c r="N48" s="17">
        <f>IF(N47="-"&amp;N2&amp;".3",N26+1,IF(N25="-"&amp;N2&amp;".3",1,N26+1))</f>
        <v>3</v>
      </c>
      <c r="O48" s="3"/>
      <c r="P48" s="4"/>
      <c r="Q48" s="4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</row>
    <row r="49" spans="1:44" ht="15.6" customHeight="1" x14ac:dyDescent="0.25">
      <c r="A49" s="3"/>
      <c r="B49" s="3"/>
      <c r="C49" s="3"/>
      <c r="D49" s="4"/>
      <c r="E49" s="4"/>
      <c r="F49" s="3"/>
      <c r="G49" s="3"/>
      <c r="H49" s="4"/>
      <c r="I49" s="4"/>
      <c r="J49" s="3"/>
      <c r="K49" s="3"/>
      <c r="L49" s="4"/>
      <c r="M49" s="4"/>
      <c r="N49" s="3"/>
      <c r="O49" s="3"/>
      <c r="P49" s="4"/>
      <c r="Q49" s="4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</row>
    <row r="50" spans="1:44" ht="15.6" customHeight="1" x14ac:dyDescent="0.25">
      <c r="A50" s="24"/>
      <c r="B50" s="25"/>
      <c r="C50" s="25"/>
      <c r="D50" s="26"/>
      <c r="E50" s="26"/>
      <c r="F50" s="25"/>
      <c r="G50" s="25"/>
      <c r="H50" s="26"/>
      <c r="I50" s="26"/>
      <c r="J50" s="25"/>
      <c r="K50" s="25"/>
      <c r="L50" s="26"/>
      <c r="M50" s="26"/>
      <c r="N50" s="25"/>
      <c r="O50" s="25"/>
      <c r="P50" s="26"/>
      <c r="Q50" s="26"/>
      <c r="R50" s="25"/>
      <c r="S50" s="25"/>
      <c r="T50" s="25"/>
      <c r="U50" s="25"/>
      <c r="V50" s="45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</row>
    <row r="51" spans="1:44" ht="15.6" customHeight="1" x14ac:dyDescent="0.25">
      <c r="A51" s="27"/>
      <c r="B51" s="28"/>
      <c r="C51" s="28"/>
      <c r="D51" s="71">
        <v>1</v>
      </c>
      <c r="E51" s="72"/>
      <c r="F51" s="28"/>
      <c r="G51" s="28"/>
      <c r="H51" s="71">
        <v>2</v>
      </c>
      <c r="I51" s="72"/>
      <c r="J51" s="28"/>
      <c r="K51" s="28"/>
      <c r="L51" s="71">
        <v>3</v>
      </c>
      <c r="M51" s="72"/>
      <c r="N51" s="28"/>
      <c r="O51" s="28"/>
      <c r="P51" s="71">
        <v>4</v>
      </c>
      <c r="Q51" s="72"/>
      <c r="R51" s="28"/>
      <c r="S51" s="28"/>
      <c r="T51" s="28"/>
      <c r="U51" s="28"/>
      <c r="V51" s="46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</row>
    <row r="52" spans="1:44" ht="15.6" customHeight="1" x14ac:dyDescent="0.25">
      <c r="A52" s="27"/>
      <c r="B52" s="74" t="s">
        <v>11</v>
      </c>
      <c r="C52" s="74"/>
      <c r="D52" s="71" t="s">
        <v>12</v>
      </c>
      <c r="E52" s="72"/>
      <c r="F52" s="74" t="s">
        <v>11</v>
      </c>
      <c r="G52" s="74"/>
      <c r="H52" s="71" t="s">
        <v>12</v>
      </c>
      <c r="I52" s="72"/>
      <c r="J52" s="74" t="s">
        <v>11</v>
      </c>
      <c r="K52" s="74"/>
      <c r="L52" s="71" t="s">
        <v>12</v>
      </c>
      <c r="M52" s="72"/>
      <c r="N52" s="74" t="s">
        <v>11</v>
      </c>
      <c r="O52" s="74"/>
      <c r="P52" s="71" t="s">
        <v>12</v>
      </c>
      <c r="Q52" s="72"/>
      <c r="R52" s="74"/>
      <c r="S52" s="74"/>
      <c r="T52" s="74"/>
      <c r="U52" s="74"/>
      <c r="V52" s="48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</row>
    <row r="53" spans="1:44" ht="15.6" customHeight="1" x14ac:dyDescent="0.25">
      <c r="A53" s="27"/>
      <c r="B53" s="76"/>
      <c r="C53" s="76"/>
      <c r="D53" s="77"/>
      <c r="E53" s="77"/>
      <c r="F53" s="76"/>
      <c r="G53" s="76"/>
      <c r="H53" s="77"/>
      <c r="I53" s="77"/>
      <c r="J53" s="76"/>
      <c r="K53" s="76"/>
      <c r="L53" s="77"/>
      <c r="M53" s="77"/>
      <c r="N53" s="76"/>
      <c r="O53" s="76"/>
      <c r="P53" s="77"/>
      <c r="Q53" s="77"/>
      <c r="R53" s="76"/>
      <c r="S53" s="76"/>
      <c r="T53" s="76"/>
      <c r="U53" s="76"/>
      <c r="V53" s="48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</row>
    <row r="54" spans="1:44" ht="15.6" customHeight="1" x14ac:dyDescent="0.25">
      <c r="A54" s="27"/>
      <c r="B54" s="74">
        <v>0</v>
      </c>
      <c r="C54" s="74"/>
      <c r="D54" s="78">
        <v>1</v>
      </c>
      <c r="E54" s="78"/>
      <c r="F54" s="74">
        <v>2</v>
      </c>
      <c r="G54" s="74"/>
      <c r="H54" s="78">
        <v>3</v>
      </c>
      <c r="I54" s="78"/>
      <c r="J54" s="74">
        <v>4</v>
      </c>
      <c r="K54" s="74"/>
      <c r="L54" s="78">
        <v>5</v>
      </c>
      <c r="M54" s="78"/>
      <c r="N54" s="74">
        <v>6</v>
      </c>
      <c r="O54" s="74"/>
      <c r="P54" s="78">
        <v>7</v>
      </c>
      <c r="Q54" s="78"/>
      <c r="R54" s="74">
        <v>8</v>
      </c>
      <c r="S54" s="74"/>
      <c r="T54" s="74">
        <v>9</v>
      </c>
      <c r="U54" s="74"/>
      <c r="V54" s="49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</row>
    <row r="55" spans="1:44" ht="15.6" customHeight="1" x14ac:dyDescent="0.25">
      <c r="A55" s="27"/>
      <c r="B55" s="28" t="s">
        <v>13</v>
      </c>
      <c r="C55" s="28" t="s">
        <v>14</v>
      </c>
      <c r="D55" s="31" t="s">
        <v>15</v>
      </c>
      <c r="E55" s="31" t="s">
        <v>16</v>
      </c>
      <c r="F55" s="28" t="s">
        <v>13</v>
      </c>
      <c r="G55" s="28" t="s">
        <v>14</v>
      </c>
      <c r="H55" s="31" t="s">
        <v>15</v>
      </c>
      <c r="I55" s="31" t="s">
        <v>16</v>
      </c>
      <c r="J55" s="28" t="s">
        <v>13</v>
      </c>
      <c r="K55" s="28" t="s">
        <v>14</v>
      </c>
      <c r="L55" s="31" t="s">
        <v>15</v>
      </c>
      <c r="M55" s="31" t="s">
        <v>16</v>
      </c>
      <c r="N55" s="28" t="s">
        <v>13</v>
      </c>
      <c r="O55" s="28" t="s">
        <v>14</v>
      </c>
      <c r="P55" s="31" t="s">
        <v>15</v>
      </c>
      <c r="Q55" s="31" t="s">
        <v>16</v>
      </c>
      <c r="R55" s="28" t="s">
        <v>13</v>
      </c>
      <c r="S55" s="28" t="s">
        <v>14</v>
      </c>
      <c r="T55" s="28" t="s">
        <v>15</v>
      </c>
      <c r="U55" s="28" t="s">
        <v>16</v>
      </c>
      <c r="V55" s="49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</row>
    <row r="56" spans="1:44" ht="15.6" customHeight="1" x14ac:dyDescent="0.25">
      <c r="A56" s="33"/>
      <c r="B56" s="34"/>
      <c r="C56" s="34"/>
      <c r="D56" s="35"/>
      <c r="E56" s="36"/>
      <c r="F56" s="34"/>
      <c r="G56" s="34"/>
      <c r="H56" s="35"/>
      <c r="I56" s="36"/>
      <c r="J56" s="34"/>
      <c r="K56" s="34"/>
      <c r="L56" s="35"/>
      <c r="M56" s="36"/>
      <c r="N56" s="34"/>
      <c r="O56" s="34"/>
      <c r="P56" s="35"/>
      <c r="Q56" s="36"/>
      <c r="R56" s="34"/>
      <c r="S56" s="34"/>
      <c r="T56" s="34"/>
      <c r="U56" s="34"/>
      <c r="V56" s="50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</row>
    <row r="57" spans="1:44" ht="15.6" customHeight="1" x14ac:dyDescent="0.25">
      <c r="A57" s="3"/>
      <c r="B57" s="30"/>
      <c r="C57" s="30"/>
      <c r="D57" s="54"/>
      <c r="E57" s="5"/>
      <c r="F57" s="30"/>
      <c r="G57" s="30"/>
      <c r="H57" s="54"/>
      <c r="I57" s="5"/>
      <c r="J57" s="30"/>
      <c r="K57" s="30"/>
      <c r="L57" s="54"/>
      <c r="M57" s="5"/>
      <c r="N57" s="30"/>
      <c r="O57" s="30"/>
      <c r="P57" s="54"/>
      <c r="Q57" s="5"/>
      <c r="R57" s="30"/>
      <c r="S57" s="30"/>
      <c r="T57" s="30"/>
      <c r="U57" s="30"/>
      <c r="V57" s="32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</row>
    <row r="58" spans="1:44" ht="15.6" customHeight="1" x14ac:dyDescent="0.25">
      <c r="A58" s="3"/>
      <c r="B58" s="95"/>
      <c r="C58" s="96"/>
      <c r="D58" s="97"/>
      <c r="E58" s="98"/>
      <c r="F58" s="95"/>
      <c r="G58" s="96"/>
      <c r="H58" s="97"/>
      <c r="I58" s="98"/>
      <c r="J58" s="95"/>
      <c r="K58" s="96"/>
      <c r="L58" s="97"/>
      <c r="M58" s="98"/>
      <c r="N58" s="95"/>
      <c r="O58" s="96"/>
      <c r="P58" s="97"/>
      <c r="Q58" s="98"/>
      <c r="R58" s="30"/>
      <c r="S58" s="30"/>
      <c r="T58" s="30"/>
      <c r="U58" s="30"/>
      <c r="V58" s="32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</row>
    <row r="59" spans="1:44" ht="15.6" customHeight="1" x14ac:dyDescent="0.25">
      <c r="A59" s="3"/>
      <c r="B59" s="40" t="str">
        <f>IF(D58&lt;1,"","пом.")</f>
        <v/>
      </c>
      <c r="C59" s="40"/>
      <c r="D59" s="85"/>
      <c r="E59" s="86"/>
      <c r="F59" s="40" t="str">
        <f>IF(H58&lt;1,"","пом.")</f>
        <v/>
      </c>
      <c r="G59" s="40"/>
      <c r="H59" s="85"/>
      <c r="I59" s="86"/>
      <c r="J59" s="40" t="str">
        <f>IF(L58&lt;1,"","пом.")</f>
        <v/>
      </c>
      <c r="K59" s="40"/>
      <c r="L59" s="85"/>
      <c r="M59" s="86"/>
      <c r="N59" s="40" t="str">
        <f>IF(P58&lt;1,"","пом.")</f>
        <v/>
      </c>
      <c r="O59" s="40"/>
      <c r="P59" s="85"/>
      <c r="Q59" s="86"/>
      <c r="R59" s="30"/>
      <c r="S59" s="30"/>
      <c r="T59" s="30"/>
      <c r="U59" s="30"/>
      <c r="V59" s="32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</row>
    <row r="60" spans="1:44" ht="15.6" customHeight="1" x14ac:dyDescent="0.25">
      <c r="A60" s="3"/>
      <c r="B60" s="3"/>
      <c r="C60" s="3"/>
      <c r="D60" s="4"/>
      <c r="E60" s="4"/>
      <c r="F60" s="3"/>
      <c r="G60" s="3"/>
      <c r="H60" s="4"/>
      <c r="I60" s="4"/>
      <c r="J60" s="3"/>
      <c r="K60" s="3"/>
      <c r="L60" s="4"/>
      <c r="M60" s="4"/>
      <c r="N60" s="3"/>
      <c r="O60" s="3"/>
      <c r="P60" s="4"/>
      <c r="Q60" s="4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</row>
    <row r="61" spans="1:44" ht="15.6" customHeight="1" x14ac:dyDescent="0.25">
      <c r="A61" s="3"/>
      <c r="B61" s="3"/>
      <c r="C61" s="3"/>
      <c r="D61" s="4"/>
      <c r="E61" s="5" t="s">
        <v>30</v>
      </c>
      <c r="F61" s="87" t="s">
        <v>31</v>
      </c>
      <c r="G61" s="87"/>
      <c r="H61" s="87"/>
      <c r="I61" s="117" t="s">
        <v>32</v>
      </c>
      <c r="J61" s="117"/>
      <c r="K61" s="58"/>
      <c r="L61" s="4"/>
      <c r="M61" s="4"/>
      <c r="N61" s="3"/>
      <c r="O61" s="30" t="s">
        <v>33</v>
      </c>
      <c r="P61" s="87" t="s">
        <v>34</v>
      </c>
      <c r="Q61" s="87"/>
      <c r="R61" s="87"/>
      <c r="S61" s="3" t="s">
        <v>35</v>
      </c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</row>
    <row r="62" spans="1:44" ht="15.6" customHeight="1" x14ac:dyDescent="0.25">
      <c r="A62" s="3"/>
      <c r="B62" s="3"/>
      <c r="C62" s="3"/>
      <c r="D62" s="4"/>
      <c r="E62" s="5" t="s">
        <v>36</v>
      </c>
      <c r="F62" s="87" t="s">
        <v>37</v>
      </c>
      <c r="G62" s="87"/>
      <c r="H62" s="87"/>
      <c r="I62" s="117" t="s">
        <v>38</v>
      </c>
      <c r="J62" s="117"/>
      <c r="K62" s="117"/>
      <c r="L62" s="4"/>
      <c r="M62" s="4"/>
      <c r="N62" s="3"/>
      <c r="O62" s="30" t="s">
        <v>39</v>
      </c>
      <c r="P62" s="87" t="s">
        <v>34</v>
      </c>
      <c r="Q62" s="87"/>
      <c r="R62" s="87"/>
      <c r="S62" s="3" t="s">
        <v>109</v>
      </c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</row>
    <row r="63" spans="1:44" ht="15.6" customHeight="1" x14ac:dyDescent="0.25">
      <c r="A63" s="41"/>
      <c r="B63" s="41"/>
      <c r="C63" s="41"/>
      <c r="D63" s="42"/>
      <c r="E63" s="43"/>
      <c r="F63" s="41"/>
      <c r="G63" s="41"/>
      <c r="H63" s="42"/>
      <c r="I63" s="42"/>
      <c r="J63" s="41"/>
      <c r="K63" s="41"/>
      <c r="L63" s="42"/>
      <c r="M63" s="42"/>
      <c r="N63" s="41"/>
      <c r="O63" s="41"/>
      <c r="P63" s="42"/>
      <c r="Q63" s="42"/>
      <c r="R63" s="41"/>
      <c r="S63" s="41"/>
      <c r="T63" s="41"/>
      <c r="U63" s="41"/>
      <c r="V63" s="41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</row>
    <row r="64" spans="1:44" ht="15.6" customHeight="1" x14ac:dyDescent="0.3">
      <c r="A64" s="3"/>
      <c r="B64" s="3"/>
      <c r="C64" s="3"/>
      <c r="D64" s="4"/>
      <c r="E64" s="6" t="s">
        <v>1</v>
      </c>
      <c r="F64" s="3"/>
      <c r="G64" s="7"/>
      <c r="H64" s="8"/>
      <c r="I64" s="8"/>
      <c r="J64" s="7"/>
      <c r="K64" s="7"/>
      <c r="L64" s="8"/>
      <c r="M64" s="9" t="s">
        <v>2</v>
      </c>
      <c r="N64" s="12" t="str">
        <f>N44</f>
        <v>1.1</v>
      </c>
      <c r="O64" s="12"/>
      <c r="P64" s="4"/>
      <c r="Q64" s="4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</row>
    <row r="65" spans="1:44" ht="15.6" customHeight="1" x14ac:dyDescent="0.3">
      <c r="A65" s="3"/>
      <c r="B65" s="3"/>
      <c r="C65" s="3"/>
      <c r="D65" s="4"/>
      <c r="E65" s="6" t="s">
        <v>4</v>
      </c>
      <c r="F65" s="3"/>
      <c r="G65" s="3"/>
      <c r="H65" s="4"/>
      <c r="I65" s="4"/>
      <c r="J65" s="13"/>
      <c r="K65" s="13"/>
      <c r="L65" s="14"/>
      <c r="M65" s="9" t="s">
        <v>5</v>
      </c>
      <c r="N65" s="15" t="str">
        <f>N45</f>
        <v>1.1.2</v>
      </c>
      <c r="O65" s="15"/>
      <c r="P65" s="4"/>
      <c r="Q65" s="4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</row>
    <row r="66" spans="1:44" ht="15.6" customHeight="1" x14ac:dyDescent="0.3">
      <c r="A66" s="3"/>
      <c r="B66" s="3"/>
      <c r="C66" s="3"/>
      <c r="D66" s="4"/>
      <c r="E66" s="4" t="s">
        <v>7</v>
      </c>
      <c r="F66" s="3"/>
      <c r="G66" s="3"/>
      <c r="H66" s="8"/>
      <c r="I66" s="8"/>
      <c r="J66" s="7"/>
      <c r="K66" s="7"/>
      <c r="L66" s="8"/>
      <c r="M66" s="16" t="s">
        <v>5</v>
      </c>
      <c r="N66" s="17">
        <f>N46</f>
        <v>2</v>
      </c>
      <c r="O66" s="3"/>
      <c r="P66" s="4"/>
      <c r="Q66" s="4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</row>
    <row r="67" spans="1:44" ht="15.6" customHeight="1" x14ac:dyDescent="0.3">
      <c r="A67" s="3"/>
      <c r="B67" s="3"/>
      <c r="C67" s="3"/>
      <c r="D67" s="4"/>
      <c r="E67" s="4" t="s">
        <v>8</v>
      </c>
      <c r="F67" s="3"/>
      <c r="G67" s="3"/>
      <c r="H67" s="4"/>
      <c r="I67" s="4"/>
      <c r="J67" s="3"/>
      <c r="K67" s="3"/>
      <c r="L67" s="14"/>
      <c r="M67" s="16" t="s">
        <v>99</v>
      </c>
      <c r="N67" s="17" t="str">
        <f>IF(N47="-"&amp;N44&amp;".3",IF(N48=15,"-"&amp;N44&amp;".4","-"&amp;N44&amp;".3"),N47)</f>
        <v>-1.1.3</v>
      </c>
      <c r="O67" s="19"/>
      <c r="P67" s="4"/>
      <c r="Q67" s="4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</row>
    <row r="68" spans="1:44" ht="15.6" customHeight="1" x14ac:dyDescent="0.3">
      <c r="A68" s="3"/>
      <c r="B68" s="3"/>
      <c r="C68" s="3"/>
      <c r="D68" s="4"/>
      <c r="E68" s="21" t="s">
        <v>10</v>
      </c>
      <c r="F68" s="3"/>
      <c r="G68" s="3"/>
      <c r="H68" s="4"/>
      <c r="I68" s="8"/>
      <c r="J68" s="7"/>
      <c r="K68" s="7"/>
      <c r="L68" s="8"/>
      <c r="M68" s="16" t="s">
        <v>5</v>
      </c>
      <c r="N68" s="17">
        <f>IF(N67="-"&amp;N2&amp;".3",N48+1,IF(N47="-"&amp;N2&amp;".3",1,N48+1))</f>
        <v>4</v>
      </c>
      <c r="O68" s="3"/>
      <c r="P68" s="4"/>
      <c r="Q68" s="4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</row>
    <row r="69" spans="1:44" ht="6.6" customHeight="1" x14ac:dyDescent="0.25">
      <c r="A69" s="3"/>
      <c r="B69" s="3"/>
      <c r="C69" s="3"/>
      <c r="D69" s="4"/>
      <c r="E69" s="4"/>
      <c r="F69" s="3"/>
      <c r="G69" s="3"/>
      <c r="H69" s="4"/>
      <c r="I69" s="4"/>
      <c r="J69" s="3"/>
      <c r="K69" s="3"/>
      <c r="L69" s="4"/>
      <c r="M69" s="4"/>
      <c r="N69" s="3"/>
      <c r="O69" s="3"/>
      <c r="P69" s="4"/>
      <c r="Q69" s="4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</row>
    <row r="70" spans="1:44" ht="15.6" customHeight="1" x14ac:dyDescent="0.25">
      <c r="A70" s="24"/>
      <c r="B70" s="25"/>
      <c r="C70" s="25"/>
      <c r="D70" s="26"/>
      <c r="E70" s="26"/>
      <c r="F70" s="25"/>
      <c r="G70" s="25"/>
      <c r="H70" s="26"/>
      <c r="I70" s="26"/>
      <c r="J70" s="25"/>
      <c r="K70" s="25"/>
      <c r="L70" s="26"/>
      <c r="M70" s="26"/>
      <c r="N70" s="25"/>
      <c r="O70" s="25"/>
      <c r="P70" s="26"/>
      <c r="Q70" s="26"/>
      <c r="R70" s="25"/>
      <c r="S70" s="25"/>
      <c r="T70" s="25"/>
      <c r="U70" s="25"/>
      <c r="V70" s="45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</row>
    <row r="71" spans="1:44" ht="15.6" customHeight="1" x14ac:dyDescent="0.25">
      <c r="A71" s="27"/>
      <c r="B71" s="28"/>
      <c r="C71" s="28"/>
      <c r="D71" s="71">
        <v>1</v>
      </c>
      <c r="E71" s="72"/>
      <c r="F71" s="28"/>
      <c r="G71" s="28"/>
      <c r="H71" s="71">
        <v>2</v>
      </c>
      <c r="I71" s="72"/>
      <c r="J71" s="28"/>
      <c r="K71" s="28"/>
      <c r="L71" s="71">
        <v>3</v>
      </c>
      <c r="M71" s="72"/>
      <c r="N71" s="28"/>
      <c r="O71" s="28"/>
      <c r="P71" s="71">
        <v>4</v>
      </c>
      <c r="Q71" s="72"/>
      <c r="R71" s="28"/>
      <c r="S71" s="28"/>
      <c r="T71" s="28"/>
      <c r="U71" s="28"/>
      <c r="V71" s="46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</row>
    <row r="72" spans="1:44" ht="15.6" customHeight="1" x14ac:dyDescent="0.25">
      <c r="A72" s="27"/>
      <c r="B72" s="74" t="s">
        <v>11</v>
      </c>
      <c r="C72" s="74"/>
      <c r="D72" s="71" t="s">
        <v>12</v>
      </c>
      <c r="E72" s="72"/>
      <c r="F72" s="74" t="s">
        <v>11</v>
      </c>
      <c r="G72" s="74"/>
      <c r="H72" s="71" t="s">
        <v>12</v>
      </c>
      <c r="I72" s="72"/>
      <c r="J72" s="74" t="s">
        <v>11</v>
      </c>
      <c r="K72" s="74"/>
      <c r="L72" s="71" t="s">
        <v>12</v>
      </c>
      <c r="M72" s="72"/>
      <c r="N72" s="74" t="s">
        <v>11</v>
      </c>
      <c r="O72" s="74"/>
      <c r="P72" s="71" t="s">
        <v>12</v>
      </c>
      <c r="Q72" s="72"/>
      <c r="R72" s="74"/>
      <c r="S72" s="74"/>
      <c r="T72" s="74"/>
      <c r="U72" s="74"/>
      <c r="V72" s="48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</row>
    <row r="73" spans="1:44" ht="15.6" customHeight="1" x14ac:dyDescent="0.25">
      <c r="A73" s="27"/>
      <c r="B73" s="76"/>
      <c r="C73" s="76"/>
      <c r="D73" s="77"/>
      <c r="E73" s="77"/>
      <c r="F73" s="76"/>
      <c r="G73" s="76"/>
      <c r="H73" s="77"/>
      <c r="I73" s="77"/>
      <c r="J73" s="76"/>
      <c r="K73" s="76"/>
      <c r="L73" s="77"/>
      <c r="M73" s="77"/>
      <c r="N73" s="76"/>
      <c r="O73" s="76"/>
      <c r="P73" s="77"/>
      <c r="Q73" s="77"/>
      <c r="R73" s="76"/>
      <c r="S73" s="76"/>
      <c r="T73" s="76"/>
      <c r="U73" s="76"/>
      <c r="V73" s="48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</row>
    <row r="74" spans="1:44" ht="15.6" customHeight="1" x14ac:dyDescent="0.25">
      <c r="A74" s="27"/>
      <c r="B74" s="74">
        <v>0</v>
      </c>
      <c r="C74" s="74"/>
      <c r="D74" s="78">
        <v>1</v>
      </c>
      <c r="E74" s="78"/>
      <c r="F74" s="74">
        <v>2</v>
      </c>
      <c r="G74" s="74"/>
      <c r="H74" s="78">
        <v>3</v>
      </c>
      <c r="I74" s="78"/>
      <c r="J74" s="74">
        <v>4</v>
      </c>
      <c r="K74" s="74"/>
      <c r="L74" s="78">
        <v>5</v>
      </c>
      <c r="M74" s="78"/>
      <c r="N74" s="74">
        <v>6</v>
      </c>
      <c r="O74" s="74"/>
      <c r="P74" s="78">
        <v>7</v>
      </c>
      <c r="Q74" s="78"/>
      <c r="R74" s="74">
        <v>8</v>
      </c>
      <c r="S74" s="74"/>
      <c r="T74" s="74">
        <v>9</v>
      </c>
      <c r="U74" s="74"/>
      <c r="V74" s="49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</row>
    <row r="75" spans="1:44" ht="15.6" customHeight="1" x14ac:dyDescent="0.25">
      <c r="A75" s="27"/>
      <c r="B75" s="28" t="s">
        <v>13</v>
      </c>
      <c r="C75" s="28" t="s">
        <v>14</v>
      </c>
      <c r="D75" s="31" t="s">
        <v>15</v>
      </c>
      <c r="E75" s="31" t="s">
        <v>16</v>
      </c>
      <c r="F75" s="28" t="s">
        <v>13</v>
      </c>
      <c r="G75" s="28" t="s">
        <v>14</v>
      </c>
      <c r="H75" s="31" t="s">
        <v>15</v>
      </c>
      <c r="I75" s="31" t="s">
        <v>16</v>
      </c>
      <c r="J75" s="28" t="s">
        <v>13</v>
      </c>
      <c r="K75" s="28" t="s">
        <v>14</v>
      </c>
      <c r="L75" s="31" t="s">
        <v>15</v>
      </c>
      <c r="M75" s="31" t="s">
        <v>16</v>
      </c>
      <c r="N75" s="28" t="s">
        <v>13</v>
      </c>
      <c r="O75" s="28" t="s">
        <v>14</v>
      </c>
      <c r="P75" s="31" t="s">
        <v>15</v>
      </c>
      <c r="Q75" s="31" t="s">
        <v>16</v>
      </c>
      <c r="R75" s="28" t="s">
        <v>13</v>
      </c>
      <c r="S75" s="28" t="s">
        <v>14</v>
      </c>
      <c r="T75" s="28" t="s">
        <v>15</v>
      </c>
      <c r="U75" s="28" t="s">
        <v>16</v>
      </c>
      <c r="V75" s="49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</row>
    <row r="76" spans="1:44" ht="15.6" customHeight="1" x14ac:dyDescent="0.25">
      <c r="A76" s="33"/>
      <c r="B76" s="34"/>
      <c r="C76" s="34"/>
      <c r="D76" s="35"/>
      <c r="E76" s="36"/>
      <c r="F76" s="34"/>
      <c r="G76" s="34"/>
      <c r="H76" s="35"/>
      <c r="I76" s="36"/>
      <c r="J76" s="34"/>
      <c r="K76" s="34"/>
      <c r="L76" s="35"/>
      <c r="M76" s="36"/>
      <c r="N76" s="34"/>
      <c r="O76" s="34"/>
      <c r="P76" s="35"/>
      <c r="Q76" s="36"/>
      <c r="R76" s="34"/>
      <c r="S76" s="34"/>
      <c r="T76" s="34"/>
      <c r="U76" s="34"/>
      <c r="V76" s="50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</row>
    <row r="77" spans="1:44" ht="6.6" customHeight="1" x14ac:dyDescent="0.25">
      <c r="A77" s="3"/>
      <c r="B77" s="30"/>
      <c r="C77" s="30"/>
      <c r="D77" s="54"/>
      <c r="E77" s="5"/>
      <c r="F77" s="30"/>
      <c r="G77" s="30"/>
      <c r="H77" s="54"/>
      <c r="I77" s="5"/>
      <c r="J77" s="30"/>
      <c r="K77" s="30"/>
      <c r="L77" s="54"/>
      <c r="M77" s="5"/>
      <c r="N77" s="30"/>
      <c r="O77" s="30"/>
      <c r="P77" s="54"/>
      <c r="Q77" s="5"/>
      <c r="R77" s="30"/>
      <c r="S77" s="30"/>
      <c r="T77" s="30"/>
      <c r="U77" s="30"/>
      <c r="V77" s="32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</row>
    <row r="78" spans="1:44" ht="15.6" customHeight="1" x14ac:dyDescent="0.25">
      <c r="A78" s="3"/>
      <c r="B78" s="95"/>
      <c r="C78" s="96"/>
      <c r="D78" s="97"/>
      <c r="E78" s="98"/>
      <c r="F78" s="95"/>
      <c r="G78" s="96"/>
      <c r="H78" s="97"/>
      <c r="I78" s="98"/>
      <c r="J78" s="95"/>
      <c r="K78" s="96"/>
      <c r="L78" s="97"/>
      <c r="M78" s="98"/>
      <c r="N78" s="95"/>
      <c r="O78" s="96"/>
      <c r="P78" s="97"/>
      <c r="Q78" s="98"/>
      <c r="R78" s="30"/>
      <c r="S78" s="30"/>
      <c r="T78" s="30"/>
      <c r="U78" s="30"/>
      <c r="V78" s="32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</row>
    <row r="79" spans="1:44" ht="15.6" customHeight="1" x14ac:dyDescent="0.25">
      <c r="A79" s="3"/>
      <c r="B79" s="40" t="str">
        <f>IF(D78&lt;1,"","пом.")</f>
        <v/>
      </c>
      <c r="C79" s="40"/>
      <c r="D79" s="85"/>
      <c r="E79" s="86"/>
      <c r="F79" s="40" t="str">
        <f>IF(H78&lt;1,"","пом.")</f>
        <v/>
      </c>
      <c r="G79" s="40"/>
      <c r="H79" s="85"/>
      <c r="I79" s="86"/>
      <c r="J79" s="40" t="str">
        <f>IF(L78&lt;1,"","пом.")</f>
        <v/>
      </c>
      <c r="K79" s="40"/>
      <c r="L79" s="85"/>
      <c r="M79" s="86"/>
      <c r="N79" s="40" t="str">
        <f>IF(P78&lt;1,"","пом.")</f>
        <v/>
      </c>
      <c r="O79" s="40"/>
      <c r="P79" s="85"/>
      <c r="Q79" s="86"/>
      <c r="R79" s="30"/>
      <c r="S79" s="30"/>
      <c r="T79" s="30"/>
      <c r="U79" s="30"/>
      <c r="V79" s="32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</row>
    <row r="80" spans="1:44" ht="7.15" customHeight="1" x14ac:dyDescent="0.25">
      <c r="A80" s="3"/>
      <c r="B80" s="3"/>
      <c r="C80" s="3"/>
      <c r="D80" s="4"/>
      <c r="E80" s="4"/>
      <c r="F80" s="3"/>
      <c r="G80" s="3"/>
      <c r="H80" s="4"/>
      <c r="I80" s="4"/>
      <c r="J80" s="3"/>
      <c r="K80" s="3"/>
      <c r="L80" s="4"/>
      <c r="M80" s="4"/>
      <c r="N80" s="3"/>
      <c r="O80" s="3"/>
      <c r="P80" s="4"/>
      <c r="Q80" s="4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</row>
    <row r="81" spans="1:44" ht="15.6" customHeight="1" x14ac:dyDescent="0.25">
      <c r="A81" s="3"/>
      <c r="B81" s="3"/>
      <c r="C81" s="3"/>
      <c r="D81" s="4"/>
      <c r="E81" s="5" t="s">
        <v>30</v>
      </c>
      <c r="F81" s="87" t="s">
        <v>31</v>
      </c>
      <c r="G81" s="87"/>
      <c r="H81" s="87"/>
      <c r="I81" s="117" t="s">
        <v>32</v>
      </c>
      <c r="J81" s="117"/>
      <c r="K81" s="58"/>
      <c r="L81" s="4"/>
      <c r="M81" s="4"/>
      <c r="N81" s="3"/>
      <c r="O81" s="30" t="s">
        <v>33</v>
      </c>
      <c r="P81" s="87" t="s">
        <v>34</v>
      </c>
      <c r="Q81" s="87"/>
      <c r="R81" s="87"/>
      <c r="S81" s="117" t="s">
        <v>35</v>
      </c>
      <c r="T81" s="117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</row>
    <row r="82" spans="1:44" ht="15.6" customHeight="1" x14ac:dyDescent="0.25">
      <c r="A82" s="3"/>
      <c r="B82" s="3"/>
      <c r="C82" s="3"/>
      <c r="D82" s="4"/>
      <c r="E82" s="5" t="s">
        <v>36</v>
      </c>
      <c r="F82" s="87" t="s">
        <v>37</v>
      </c>
      <c r="G82" s="87"/>
      <c r="H82" s="87"/>
      <c r="I82" s="117" t="s">
        <v>38</v>
      </c>
      <c r="J82" s="117"/>
      <c r="K82" s="117"/>
      <c r="L82" s="4"/>
      <c r="M82" s="4"/>
      <c r="N82" s="3"/>
      <c r="O82" s="30" t="s">
        <v>39</v>
      </c>
      <c r="P82" s="87" t="s">
        <v>34</v>
      </c>
      <c r="Q82" s="87"/>
      <c r="R82" s="87"/>
      <c r="S82" s="118" t="s">
        <v>109</v>
      </c>
      <c r="T82" s="118"/>
      <c r="U82" s="118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</row>
    <row r="83" spans="1:44" ht="15.6" customHeight="1" x14ac:dyDescent="0.25">
      <c r="A83" s="41"/>
      <c r="B83" s="41"/>
      <c r="C83" s="41"/>
      <c r="D83" s="42"/>
      <c r="E83" s="43"/>
      <c r="F83" s="41"/>
      <c r="G83" s="41"/>
      <c r="H83" s="42"/>
      <c r="I83" s="42"/>
      <c r="J83" s="41"/>
      <c r="K83" s="41"/>
      <c r="L83" s="42"/>
      <c r="M83" s="42"/>
      <c r="N83" s="41"/>
      <c r="O83" s="41"/>
      <c r="P83" s="42"/>
      <c r="Q83" s="42"/>
      <c r="R83" s="41"/>
      <c r="S83" s="41"/>
      <c r="T83" s="41"/>
      <c r="U83" s="41"/>
      <c r="V83" s="41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</row>
    <row r="84" spans="1:44" ht="15.6" customHeight="1" x14ac:dyDescent="0.25">
      <c r="A84" s="41"/>
      <c r="B84" s="41"/>
      <c r="C84" s="41"/>
      <c r="D84" s="42"/>
      <c r="E84" s="43"/>
      <c r="F84" s="41"/>
      <c r="G84" s="41"/>
      <c r="H84" s="42"/>
      <c r="I84" s="42"/>
      <c r="J84" s="41"/>
      <c r="K84" s="41"/>
      <c r="L84" s="42"/>
      <c r="M84" s="42"/>
      <c r="N84" s="41"/>
      <c r="O84" s="41"/>
      <c r="P84" s="42"/>
      <c r="Q84" s="42"/>
      <c r="R84" s="41"/>
      <c r="S84" s="41"/>
      <c r="T84" s="41"/>
      <c r="U84" s="41"/>
      <c r="V84" s="41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</row>
    <row r="85" spans="1:44" ht="15.6" hidden="1" customHeight="1" x14ac:dyDescent="0.25">
      <c r="A85" s="3"/>
      <c r="B85" s="3"/>
      <c r="C85" s="3"/>
      <c r="D85" s="4"/>
      <c r="E85" s="4"/>
      <c r="F85" s="3"/>
      <c r="G85" s="3"/>
      <c r="H85" s="4"/>
      <c r="I85" s="4"/>
      <c r="J85" s="3"/>
      <c r="K85" s="3"/>
      <c r="L85" s="4"/>
      <c r="M85" s="4"/>
      <c r="N85" s="3"/>
      <c r="O85" s="3"/>
      <c r="P85" s="4"/>
      <c r="Q85" s="4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</row>
    <row r="86" spans="1:44" ht="15.6" customHeight="1" x14ac:dyDescent="0.3">
      <c r="A86" s="3"/>
      <c r="B86" s="3"/>
      <c r="C86" s="3"/>
      <c r="D86" s="4"/>
      <c r="E86" s="6" t="s">
        <v>1</v>
      </c>
      <c r="F86" s="3"/>
      <c r="G86" s="7"/>
      <c r="H86" s="8"/>
      <c r="I86" s="8"/>
      <c r="J86" s="7"/>
      <c r="K86" s="7"/>
      <c r="L86" s="8"/>
      <c r="M86" s="9" t="s">
        <v>2</v>
      </c>
      <c r="N86" s="12" t="str">
        <f>N64</f>
        <v>1.1</v>
      </c>
      <c r="O86" s="12"/>
      <c r="P86" s="4"/>
      <c r="Q86" s="4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</row>
    <row r="87" spans="1:44" ht="15.6" customHeight="1" x14ac:dyDescent="0.3">
      <c r="A87" s="3"/>
      <c r="B87" s="3"/>
      <c r="C87" s="3"/>
      <c r="D87" s="4"/>
      <c r="E87" s="6" t="s">
        <v>4</v>
      </c>
      <c r="F87" s="3"/>
      <c r="G87" s="3"/>
      <c r="H87" s="4"/>
      <c r="I87" s="4"/>
      <c r="J87" s="13"/>
      <c r="K87" s="13"/>
      <c r="L87" s="14"/>
      <c r="M87" s="9" t="s">
        <v>5</v>
      </c>
      <c r="N87" s="15" t="str">
        <f>N86&amp;".2"</f>
        <v>1.1.2</v>
      </c>
      <c r="O87" s="15"/>
      <c r="P87" s="4"/>
      <c r="Q87" s="4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</row>
    <row r="88" spans="1:44" ht="15.6" customHeight="1" x14ac:dyDescent="0.3">
      <c r="A88" s="3"/>
      <c r="B88" s="3"/>
      <c r="C88" s="3"/>
      <c r="D88" s="4"/>
      <c r="E88" s="4" t="s">
        <v>7</v>
      </c>
      <c r="F88" s="3"/>
      <c r="G88" s="3"/>
      <c r="H88" s="8"/>
      <c r="I88" s="8"/>
      <c r="J88" s="7"/>
      <c r="K88" s="7"/>
      <c r="L88" s="8"/>
      <c r="M88" s="16" t="s">
        <v>5</v>
      </c>
      <c r="N88" s="17">
        <f>N66+1</f>
        <v>3</v>
      </c>
      <c r="O88" s="3"/>
      <c r="P88" s="4"/>
      <c r="Q88" s="4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</row>
    <row r="89" spans="1:44" ht="15.6" customHeight="1" x14ac:dyDescent="0.3">
      <c r="A89" s="3"/>
      <c r="B89" s="3"/>
      <c r="C89" s="3"/>
      <c r="D89" s="4"/>
      <c r="E89" s="4" t="s">
        <v>8</v>
      </c>
      <c r="F89" s="3"/>
      <c r="G89" s="3"/>
      <c r="H89" s="4"/>
      <c r="I89" s="4"/>
      <c r="J89" s="3"/>
      <c r="K89" s="3"/>
      <c r="L89" s="14"/>
      <c r="M89" s="16" t="s">
        <v>99</v>
      </c>
      <c r="N89" s="17" t="str">
        <f>IF(N67="-"&amp;N44&amp;".3",IF(N68=15,"-"&amp;N44&amp;".4","-"&amp;N44&amp;".3"),N67)</f>
        <v>-1.1.3</v>
      </c>
      <c r="O89" s="3"/>
      <c r="P89" s="4"/>
      <c r="Q89" s="4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</row>
    <row r="90" spans="1:44" ht="15.6" customHeight="1" x14ac:dyDescent="0.3">
      <c r="A90" s="3"/>
      <c r="B90" s="3"/>
      <c r="C90" s="3"/>
      <c r="D90" s="4"/>
      <c r="E90" s="21" t="s">
        <v>10</v>
      </c>
      <c r="F90" s="3"/>
      <c r="G90" s="3"/>
      <c r="H90" s="4"/>
      <c r="I90" s="8"/>
      <c r="J90" s="7"/>
      <c r="K90" s="7"/>
      <c r="L90" s="8"/>
      <c r="M90" s="16" t="s">
        <v>5</v>
      </c>
      <c r="N90" s="17">
        <f>IF(N89="-"&amp;N44&amp;".3",N68+1,IF(N67="-"&amp;N44&amp;".3",1,N68+1))</f>
        <v>5</v>
      </c>
      <c r="O90" s="3"/>
      <c r="P90" s="4"/>
      <c r="Q90" s="4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</row>
    <row r="91" spans="1:44" ht="15.6" customHeight="1" x14ac:dyDescent="0.25">
      <c r="A91" s="3"/>
      <c r="B91" s="3"/>
      <c r="C91" s="3"/>
      <c r="D91" s="4"/>
      <c r="E91" s="4"/>
      <c r="F91" s="3"/>
      <c r="G91" s="3"/>
      <c r="H91" s="4"/>
      <c r="I91" s="4"/>
      <c r="J91" s="3"/>
      <c r="K91" s="3"/>
      <c r="L91" s="4"/>
      <c r="M91" s="4"/>
      <c r="N91" s="3"/>
      <c r="O91" s="3"/>
      <c r="P91" s="4"/>
      <c r="Q91" s="4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</row>
    <row r="92" spans="1:44" ht="15.6" customHeight="1" x14ac:dyDescent="0.25">
      <c r="A92" s="24"/>
      <c r="B92" s="25"/>
      <c r="C92" s="25"/>
      <c r="D92" s="26"/>
      <c r="E92" s="26"/>
      <c r="F92" s="25"/>
      <c r="G92" s="25"/>
      <c r="H92" s="26"/>
      <c r="I92" s="26"/>
      <c r="J92" s="25"/>
      <c r="K92" s="25"/>
      <c r="L92" s="26"/>
      <c r="M92" s="26"/>
      <c r="N92" s="25"/>
      <c r="O92" s="25"/>
      <c r="P92" s="26"/>
      <c r="Q92" s="26"/>
      <c r="R92" s="25"/>
      <c r="S92" s="25"/>
      <c r="T92" s="25"/>
      <c r="U92" s="25"/>
      <c r="V92" s="45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</row>
    <row r="93" spans="1:44" ht="15.6" customHeight="1" x14ac:dyDescent="0.25">
      <c r="A93" s="27"/>
      <c r="B93" s="28"/>
      <c r="C93" s="28"/>
      <c r="D93" s="71">
        <v>1</v>
      </c>
      <c r="E93" s="72"/>
      <c r="F93" s="28"/>
      <c r="G93" s="28"/>
      <c r="H93" s="71">
        <v>2</v>
      </c>
      <c r="I93" s="72"/>
      <c r="J93" s="28"/>
      <c r="K93" s="28"/>
      <c r="L93" s="71">
        <v>3</v>
      </c>
      <c r="M93" s="72"/>
      <c r="N93" s="28"/>
      <c r="O93" s="28"/>
      <c r="P93" s="71">
        <v>4</v>
      </c>
      <c r="Q93" s="72"/>
      <c r="R93" s="28"/>
      <c r="S93" s="28"/>
      <c r="T93" s="28"/>
      <c r="U93" s="28"/>
      <c r="V93" s="46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</row>
    <row r="94" spans="1:44" ht="15.6" customHeight="1" x14ac:dyDescent="0.25">
      <c r="A94" s="27"/>
      <c r="B94" s="74" t="s">
        <v>11</v>
      </c>
      <c r="C94" s="74"/>
      <c r="D94" s="71" t="s">
        <v>12</v>
      </c>
      <c r="E94" s="72"/>
      <c r="F94" s="74" t="s">
        <v>11</v>
      </c>
      <c r="G94" s="74"/>
      <c r="H94" s="71" t="s">
        <v>12</v>
      </c>
      <c r="I94" s="72"/>
      <c r="J94" s="74" t="s">
        <v>11</v>
      </c>
      <c r="K94" s="74"/>
      <c r="L94" s="71" t="s">
        <v>12</v>
      </c>
      <c r="M94" s="72"/>
      <c r="N94" s="74" t="s">
        <v>11</v>
      </c>
      <c r="O94" s="74"/>
      <c r="P94" s="71" t="s">
        <v>12</v>
      </c>
      <c r="Q94" s="72"/>
      <c r="R94" s="74"/>
      <c r="S94" s="74"/>
      <c r="T94" s="74"/>
      <c r="U94" s="74"/>
      <c r="V94" s="48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</row>
    <row r="95" spans="1:44" ht="15.6" customHeight="1" x14ac:dyDescent="0.25">
      <c r="A95" s="27"/>
      <c r="B95" s="76"/>
      <c r="C95" s="76"/>
      <c r="D95" s="77"/>
      <c r="E95" s="77"/>
      <c r="F95" s="76"/>
      <c r="G95" s="76"/>
      <c r="H95" s="77"/>
      <c r="I95" s="77"/>
      <c r="J95" s="76"/>
      <c r="K95" s="76"/>
      <c r="L95" s="77"/>
      <c r="M95" s="77"/>
      <c r="N95" s="76"/>
      <c r="O95" s="76"/>
      <c r="P95" s="77"/>
      <c r="Q95" s="77"/>
      <c r="R95" s="76"/>
      <c r="S95" s="76"/>
      <c r="T95" s="76"/>
      <c r="U95" s="76"/>
      <c r="V95" s="48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</row>
    <row r="96" spans="1:44" ht="15.6" customHeight="1" x14ac:dyDescent="0.25">
      <c r="A96" s="27"/>
      <c r="B96" s="74">
        <v>0</v>
      </c>
      <c r="C96" s="74"/>
      <c r="D96" s="78">
        <v>1</v>
      </c>
      <c r="E96" s="78"/>
      <c r="F96" s="74">
        <v>2</v>
      </c>
      <c r="G96" s="74"/>
      <c r="H96" s="78">
        <v>3</v>
      </c>
      <c r="I96" s="78"/>
      <c r="J96" s="74">
        <v>4</v>
      </c>
      <c r="K96" s="74"/>
      <c r="L96" s="78">
        <v>5</v>
      </c>
      <c r="M96" s="78"/>
      <c r="N96" s="74">
        <v>6</v>
      </c>
      <c r="O96" s="74"/>
      <c r="P96" s="78">
        <v>7</v>
      </c>
      <c r="Q96" s="78"/>
      <c r="R96" s="74">
        <v>8</v>
      </c>
      <c r="S96" s="74"/>
      <c r="T96" s="74">
        <v>9</v>
      </c>
      <c r="U96" s="74"/>
      <c r="V96" s="49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</row>
    <row r="97" spans="1:44" ht="15.6" customHeight="1" x14ac:dyDescent="0.25">
      <c r="A97" s="27"/>
      <c r="B97" s="28" t="s">
        <v>13</v>
      </c>
      <c r="C97" s="28" t="s">
        <v>14</v>
      </c>
      <c r="D97" s="31" t="s">
        <v>15</v>
      </c>
      <c r="E97" s="31" t="s">
        <v>16</v>
      </c>
      <c r="F97" s="28" t="s">
        <v>13</v>
      </c>
      <c r="G97" s="28" t="s">
        <v>14</v>
      </c>
      <c r="H97" s="31" t="s">
        <v>15</v>
      </c>
      <c r="I97" s="31" t="s">
        <v>16</v>
      </c>
      <c r="J97" s="28" t="s">
        <v>13</v>
      </c>
      <c r="K97" s="28" t="s">
        <v>14</v>
      </c>
      <c r="L97" s="31" t="s">
        <v>15</v>
      </c>
      <c r="M97" s="31" t="s">
        <v>16</v>
      </c>
      <c r="N97" s="28" t="s">
        <v>13</v>
      </c>
      <c r="O97" s="28" t="s">
        <v>14</v>
      </c>
      <c r="P97" s="31" t="s">
        <v>15</v>
      </c>
      <c r="Q97" s="31" t="s">
        <v>16</v>
      </c>
      <c r="R97" s="28" t="s">
        <v>13</v>
      </c>
      <c r="S97" s="28" t="s">
        <v>14</v>
      </c>
      <c r="T97" s="28" t="s">
        <v>15</v>
      </c>
      <c r="U97" s="28" t="s">
        <v>16</v>
      </c>
      <c r="V97" s="49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</row>
    <row r="98" spans="1:44" ht="15.6" customHeight="1" x14ac:dyDescent="0.25">
      <c r="A98" s="33"/>
      <c r="B98" s="34"/>
      <c r="C98" s="34"/>
      <c r="D98" s="35"/>
      <c r="E98" s="36"/>
      <c r="F98" s="34"/>
      <c r="G98" s="34"/>
      <c r="H98" s="35"/>
      <c r="I98" s="36"/>
      <c r="J98" s="34"/>
      <c r="K98" s="34"/>
      <c r="L98" s="35"/>
      <c r="M98" s="36"/>
      <c r="N98" s="34"/>
      <c r="O98" s="34"/>
      <c r="P98" s="35"/>
      <c r="Q98" s="36"/>
      <c r="R98" s="34"/>
      <c r="S98" s="34"/>
      <c r="T98" s="34"/>
      <c r="U98" s="34"/>
      <c r="V98" s="50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</row>
    <row r="99" spans="1:44" ht="15.6" customHeight="1" x14ac:dyDescent="0.25">
      <c r="A99" s="3"/>
      <c r="B99" s="30"/>
      <c r="C99" s="30"/>
      <c r="D99" s="54"/>
      <c r="E99" s="5"/>
      <c r="F99" s="30"/>
      <c r="G99" s="30"/>
      <c r="H99" s="54"/>
      <c r="I99" s="5"/>
      <c r="J99" s="30"/>
      <c r="K99" s="30"/>
      <c r="L99" s="54"/>
      <c r="M99" s="5"/>
      <c r="N99" s="30"/>
      <c r="O99" s="30"/>
      <c r="P99" s="54"/>
      <c r="Q99" s="5"/>
      <c r="R99" s="30"/>
      <c r="S99" s="30"/>
      <c r="T99" s="30"/>
      <c r="U99" s="30"/>
      <c r="V99" s="32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</row>
    <row r="100" spans="1:44" ht="15.6" customHeight="1" x14ac:dyDescent="0.25">
      <c r="A100" s="3"/>
      <c r="B100" s="95"/>
      <c r="C100" s="96"/>
      <c r="D100" s="97"/>
      <c r="E100" s="98"/>
      <c r="F100" s="95"/>
      <c r="G100" s="96"/>
      <c r="H100" s="97"/>
      <c r="I100" s="98"/>
      <c r="J100" s="95"/>
      <c r="K100" s="96"/>
      <c r="L100" s="97"/>
      <c r="M100" s="98"/>
      <c r="N100" s="95"/>
      <c r="O100" s="96"/>
      <c r="P100" s="97"/>
      <c r="Q100" s="98"/>
      <c r="R100" s="30"/>
      <c r="S100" s="30"/>
      <c r="T100" s="30"/>
      <c r="U100" s="30"/>
      <c r="V100" s="32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</row>
    <row r="101" spans="1:44" ht="15.6" customHeight="1" x14ac:dyDescent="0.25">
      <c r="A101" s="3"/>
      <c r="B101" s="40" t="str">
        <f>IF(D100&lt;1,"","пом.")</f>
        <v/>
      </c>
      <c r="C101" s="40"/>
      <c r="D101" s="85"/>
      <c r="E101" s="86"/>
      <c r="F101" s="40" t="str">
        <f>IF(H100&lt;1,"","пом.")</f>
        <v/>
      </c>
      <c r="G101" s="40"/>
      <c r="H101" s="85"/>
      <c r="I101" s="86"/>
      <c r="J101" s="40" t="str">
        <f>IF(L100&lt;1,"","пом.")</f>
        <v/>
      </c>
      <c r="K101" s="40"/>
      <c r="L101" s="85"/>
      <c r="M101" s="86"/>
      <c r="N101" s="40" t="str">
        <f>IF(P100&lt;1,"","пом.")</f>
        <v/>
      </c>
      <c r="O101" s="40"/>
      <c r="P101" s="85"/>
      <c r="Q101" s="86"/>
      <c r="R101" s="30"/>
      <c r="S101" s="30"/>
      <c r="T101" s="30"/>
      <c r="U101" s="30"/>
      <c r="V101" s="32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</row>
    <row r="102" spans="1:44" ht="15.6" customHeight="1" x14ac:dyDescent="0.25">
      <c r="A102" s="3"/>
      <c r="B102" s="3"/>
      <c r="C102" s="3"/>
      <c r="D102" s="4"/>
      <c r="E102" s="4"/>
      <c r="F102" s="3"/>
      <c r="G102" s="3"/>
      <c r="H102" s="4"/>
      <c r="I102" s="4"/>
      <c r="J102" s="3"/>
      <c r="K102" s="3"/>
      <c r="L102" s="4"/>
      <c r="M102" s="4"/>
      <c r="N102" s="3"/>
      <c r="O102" s="3"/>
      <c r="P102" s="4"/>
      <c r="Q102" s="4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</row>
    <row r="103" spans="1:44" ht="15.6" customHeight="1" x14ac:dyDescent="0.25">
      <c r="A103" s="3"/>
      <c r="B103" s="3"/>
      <c r="C103" s="3"/>
      <c r="D103" s="4"/>
      <c r="E103" s="5" t="s">
        <v>30</v>
      </c>
      <c r="F103" s="87" t="s">
        <v>31</v>
      </c>
      <c r="G103" s="87"/>
      <c r="H103" s="87"/>
      <c r="I103" s="117" t="s">
        <v>32</v>
      </c>
      <c r="J103" s="117"/>
      <c r="K103" s="58"/>
      <c r="L103" s="4"/>
      <c r="M103" s="4"/>
      <c r="N103" s="3"/>
      <c r="O103" s="30" t="s">
        <v>33</v>
      </c>
      <c r="P103" s="87" t="s">
        <v>34</v>
      </c>
      <c r="Q103" s="87"/>
      <c r="R103" s="87"/>
      <c r="S103" s="117" t="s">
        <v>35</v>
      </c>
      <c r="T103" s="117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</row>
    <row r="104" spans="1:44" ht="15.6" customHeight="1" x14ac:dyDescent="0.25">
      <c r="A104" s="3"/>
      <c r="B104" s="3"/>
      <c r="C104" s="3"/>
      <c r="D104" s="4"/>
      <c r="E104" s="5" t="s">
        <v>36</v>
      </c>
      <c r="F104" s="87" t="s">
        <v>37</v>
      </c>
      <c r="G104" s="87"/>
      <c r="H104" s="87"/>
      <c r="I104" s="117" t="s">
        <v>38</v>
      </c>
      <c r="J104" s="117"/>
      <c r="K104" s="117"/>
      <c r="L104" s="4"/>
      <c r="M104" s="4"/>
      <c r="N104" s="3"/>
      <c r="O104" s="30" t="s">
        <v>39</v>
      </c>
      <c r="P104" s="87" t="s">
        <v>34</v>
      </c>
      <c r="Q104" s="87"/>
      <c r="R104" s="87"/>
      <c r="S104" s="118" t="s">
        <v>109</v>
      </c>
      <c r="T104" s="118"/>
      <c r="U104" s="118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</row>
    <row r="105" spans="1:44" ht="15.6" customHeight="1" x14ac:dyDescent="0.25">
      <c r="A105" s="41"/>
      <c r="B105" s="41"/>
      <c r="C105" s="41"/>
      <c r="D105" s="42"/>
      <c r="E105" s="43"/>
      <c r="F105" s="41"/>
      <c r="G105" s="41"/>
      <c r="H105" s="42"/>
      <c r="I105" s="42"/>
      <c r="J105" s="41"/>
      <c r="K105" s="41"/>
      <c r="L105" s="42"/>
      <c r="M105" s="42"/>
      <c r="N105" s="41"/>
      <c r="O105" s="41"/>
      <c r="P105" s="42"/>
      <c r="Q105" s="42"/>
      <c r="R105" s="41"/>
      <c r="S105" s="41"/>
      <c r="T105" s="41"/>
      <c r="U105" s="41"/>
      <c r="V105" s="41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</row>
    <row r="106" spans="1:44" ht="15.6" customHeight="1" x14ac:dyDescent="0.3">
      <c r="A106" s="3"/>
      <c r="B106" s="3"/>
      <c r="C106" s="3"/>
      <c r="D106" s="4"/>
      <c r="E106" s="6" t="s">
        <v>1</v>
      </c>
      <c r="F106" s="3"/>
      <c r="G106" s="7"/>
      <c r="H106" s="8"/>
      <c r="I106" s="8"/>
      <c r="J106" s="7"/>
      <c r="K106" s="7"/>
      <c r="L106" s="8"/>
      <c r="M106" s="9" t="s">
        <v>2</v>
      </c>
      <c r="N106" s="12" t="str">
        <f>N86</f>
        <v>1.1</v>
      </c>
      <c r="O106" s="12"/>
      <c r="P106" s="4"/>
      <c r="Q106" s="4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</row>
    <row r="107" spans="1:44" ht="15.6" customHeight="1" x14ac:dyDescent="0.3">
      <c r="A107" s="3"/>
      <c r="B107" s="3"/>
      <c r="C107" s="3"/>
      <c r="D107" s="4"/>
      <c r="E107" s="6" t="s">
        <v>4</v>
      </c>
      <c r="F107" s="3"/>
      <c r="G107" s="3"/>
      <c r="H107" s="4"/>
      <c r="I107" s="4"/>
      <c r="J107" s="13"/>
      <c r="K107" s="13"/>
      <c r="L107" s="14"/>
      <c r="M107" s="9" t="s">
        <v>5</v>
      </c>
      <c r="N107" s="15" t="str">
        <f>N87</f>
        <v>1.1.2</v>
      </c>
      <c r="O107" s="15"/>
      <c r="P107" s="4"/>
      <c r="Q107" s="4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</row>
    <row r="108" spans="1:44" ht="15.6" customHeight="1" x14ac:dyDescent="0.3">
      <c r="A108" s="3"/>
      <c r="B108" s="3"/>
      <c r="C108" s="3"/>
      <c r="D108" s="4"/>
      <c r="E108" s="4" t="s">
        <v>7</v>
      </c>
      <c r="F108" s="3"/>
      <c r="G108" s="3"/>
      <c r="H108" s="8"/>
      <c r="I108" s="8"/>
      <c r="J108" s="7"/>
      <c r="K108" s="7"/>
      <c r="L108" s="8"/>
      <c r="M108" s="16" t="s">
        <v>5</v>
      </c>
      <c r="N108" s="17">
        <f>N88</f>
        <v>3</v>
      </c>
      <c r="O108" s="3"/>
      <c r="P108" s="4"/>
      <c r="Q108" s="4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</row>
    <row r="109" spans="1:44" ht="15.6" customHeight="1" x14ac:dyDescent="0.3">
      <c r="A109" s="3"/>
      <c r="B109" s="3"/>
      <c r="C109" s="3"/>
      <c r="D109" s="4"/>
      <c r="E109" s="4" t="s">
        <v>8</v>
      </c>
      <c r="F109" s="3"/>
      <c r="G109" s="3"/>
      <c r="H109" s="4"/>
      <c r="I109" s="4"/>
      <c r="J109" s="3"/>
      <c r="K109" s="3"/>
      <c r="L109" s="14"/>
      <c r="M109" s="16" t="s">
        <v>99</v>
      </c>
      <c r="N109" s="17" t="str">
        <f>IF(N89="-"&amp;N86&amp;".3",IF(N90=15,"-"&amp;N86&amp;".4","-"&amp;N86&amp;".3"),N89)</f>
        <v>-1.1.3</v>
      </c>
      <c r="O109" s="19"/>
      <c r="P109" s="4"/>
      <c r="Q109" s="4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</row>
    <row r="110" spans="1:44" ht="15.6" customHeight="1" x14ac:dyDescent="0.3">
      <c r="A110" s="3"/>
      <c r="B110" s="3"/>
      <c r="C110" s="3"/>
      <c r="D110" s="4"/>
      <c r="E110" s="21" t="s">
        <v>10</v>
      </c>
      <c r="F110" s="3"/>
      <c r="G110" s="3"/>
      <c r="H110" s="4"/>
      <c r="I110" s="8"/>
      <c r="J110" s="7"/>
      <c r="K110" s="7"/>
      <c r="L110" s="8"/>
      <c r="M110" s="16" t="s">
        <v>5</v>
      </c>
      <c r="N110" s="17">
        <f>IF(N109="-"&amp;N44&amp;".3",N90+1,IF(N89="-"&amp;N44&amp;".3",1,N90+1))</f>
        <v>6</v>
      </c>
      <c r="O110" s="3"/>
      <c r="P110" s="4"/>
      <c r="Q110" s="4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</row>
    <row r="111" spans="1:44" ht="9" customHeight="1" x14ac:dyDescent="0.25">
      <c r="A111" s="3"/>
      <c r="B111" s="3"/>
      <c r="C111" s="3"/>
      <c r="D111" s="4"/>
      <c r="E111" s="4"/>
      <c r="F111" s="3"/>
      <c r="G111" s="3"/>
      <c r="H111" s="4"/>
      <c r="I111" s="4"/>
      <c r="J111" s="3"/>
      <c r="K111" s="3"/>
      <c r="L111" s="4"/>
      <c r="M111" s="4"/>
      <c r="N111" s="3"/>
      <c r="O111" s="3"/>
      <c r="P111" s="4"/>
      <c r="Q111" s="4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</row>
    <row r="112" spans="1:44" ht="15.6" customHeight="1" x14ac:dyDescent="0.25">
      <c r="A112" s="24"/>
      <c r="B112" s="25"/>
      <c r="C112" s="25"/>
      <c r="D112" s="26"/>
      <c r="E112" s="26"/>
      <c r="F112" s="25"/>
      <c r="G112" s="25"/>
      <c r="H112" s="26"/>
      <c r="I112" s="26"/>
      <c r="J112" s="25"/>
      <c r="K112" s="25"/>
      <c r="L112" s="26"/>
      <c r="M112" s="26"/>
      <c r="N112" s="25"/>
      <c r="O112" s="25"/>
      <c r="P112" s="26"/>
      <c r="Q112" s="26"/>
      <c r="R112" s="25"/>
      <c r="S112" s="25"/>
      <c r="T112" s="25"/>
      <c r="U112" s="25"/>
      <c r="V112" s="45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</row>
    <row r="113" spans="1:44" ht="15.6" customHeight="1" x14ac:dyDescent="0.25">
      <c r="A113" s="27"/>
      <c r="B113" s="28"/>
      <c r="C113" s="28"/>
      <c r="D113" s="71">
        <v>1</v>
      </c>
      <c r="E113" s="72"/>
      <c r="F113" s="28"/>
      <c r="G113" s="28"/>
      <c r="H113" s="71">
        <v>2</v>
      </c>
      <c r="I113" s="72"/>
      <c r="J113" s="28"/>
      <c r="K113" s="28"/>
      <c r="L113" s="71">
        <v>3</v>
      </c>
      <c r="M113" s="72"/>
      <c r="N113" s="28"/>
      <c r="O113" s="28"/>
      <c r="P113" s="71">
        <v>4</v>
      </c>
      <c r="Q113" s="72"/>
      <c r="R113" s="28"/>
      <c r="S113" s="28"/>
      <c r="T113" s="28"/>
      <c r="U113" s="28"/>
      <c r="V113" s="46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</row>
    <row r="114" spans="1:44" ht="15.6" customHeight="1" x14ac:dyDescent="0.25">
      <c r="A114" s="27"/>
      <c r="B114" s="74" t="s">
        <v>11</v>
      </c>
      <c r="C114" s="74"/>
      <c r="D114" s="71" t="s">
        <v>12</v>
      </c>
      <c r="E114" s="72"/>
      <c r="F114" s="74" t="s">
        <v>11</v>
      </c>
      <c r="G114" s="74"/>
      <c r="H114" s="71" t="s">
        <v>12</v>
      </c>
      <c r="I114" s="72"/>
      <c r="J114" s="74" t="s">
        <v>11</v>
      </c>
      <c r="K114" s="74"/>
      <c r="L114" s="71" t="s">
        <v>12</v>
      </c>
      <c r="M114" s="72"/>
      <c r="N114" s="74" t="s">
        <v>11</v>
      </c>
      <c r="O114" s="74"/>
      <c r="P114" s="71" t="s">
        <v>12</v>
      </c>
      <c r="Q114" s="72"/>
      <c r="R114" s="74"/>
      <c r="S114" s="74"/>
      <c r="T114" s="74"/>
      <c r="U114" s="74"/>
      <c r="V114" s="48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</row>
    <row r="115" spans="1:44" ht="15.6" customHeight="1" x14ac:dyDescent="0.25">
      <c r="A115" s="27"/>
      <c r="B115" s="76"/>
      <c r="C115" s="76"/>
      <c r="D115" s="77"/>
      <c r="E115" s="77"/>
      <c r="F115" s="76"/>
      <c r="G115" s="76"/>
      <c r="H115" s="77"/>
      <c r="I115" s="77"/>
      <c r="J115" s="76"/>
      <c r="K115" s="76"/>
      <c r="L115" s="77"/>
      <c r="M115" s="77"/>
      <c r="N115" s="76"/>
      <c r="O115" s="76"/>
      <c r="P115" s="77"/>
      <c r="Q115" s="77"/>
      <c r="R115" s="76"/>
      <c r="S115" s="76"/>
      <c r="T115" s="76"/>
      <c r="U115" s="76"/>
      <c r="V115" s="48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</row>
    <row r="116" spans="1:44" ht="15.6" customHeight="1" x14ac:dyDescent="0.25">
      <c r="A116" s="27"/>
      <c r="B116" s="74">
        <v>0</v>
      </c>
      <c r="C116" s="74"/>
      <c r="D116" s="78">
        <v>1</v>
      </c>
      <c r="E116" s="78"/>
      <c r="F116" s="74">
        <v>2</v>
      </c>
      <c r="G116" s="74"/>
      <c r="H116" s="78">
        <v>3</v>
      </c>
      <c r="I116" s="78"/>
      <c r="J116" s="74">
        <v>4</v>
      </c>
      <c r="K116" s="74"/>
      <c r="L116" s="78">
        <v>5</v>
      </c>
      <c r="M116" s="78"/>
      <c r="N116" s="74">
        <v>6</v>
      </c>
      <c r="O116" s="74"/>
      <c r="P116" s="78">
        <v>7</v>
      </c>
      <c r="Q116" s="78"/>
      <c r="R116" s="74">
        <v>8</v>
      </c>
      <c r="S116" s="74"/>
      <c r="T116" s="74">
        <v>9</v>
      </c>
      <c r="U116" s="74"/>
      <c r="V116" s="49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</row>
    <row r="117" spans="1:44" ht="15.6" customHeight="1" x14ac:dyDescent="0.25">
      <c r="A117" s="27"/>
      <c r="B117" s="28" t="s">
        <v>13</v>
      </c>
      <c r="C117" s="28" t="s">
        <v>14</v>
      </c>
      <c r="D117" s="31" t="s">
        <v>15</v>
      </c>
      <c r="E117" s="31" t="s">
        <v>16</v>
      </c>
      <c r="F117" s="28" t="s">
        <v>13</v>
      </c>
      <c r="G117" s="28" t="s">
        <v>14</v>
      </c>
      <c r="H117" s="31" t="s">
        <v>15</v>
      </c>
      <c r="I117" s="31" t="s">
        <v>16</v>
      </c>
      <c r="J117" s="28" t="s">
        <v>13</v>
      </c>
      <c r="K117" s="28" t="s">
        <v>14</v>
      </c>
      <c r="L117" s="31" t="s">
        <v>15</v>
      </c>
      <c r="M117" s="31" t="s">
        <v>16</v>
      </c>
      <c r="N117" s="28" t="s">
        <v>13</v>
      </c>
      <c r="O117" s="28" t="s">
        <v>14</v>
      </c>
      <c r="P117" s="31" t="s">
        <v>15</v>
      </c>
      <c r="Q117" s="31" t="s">
        <v>16</v>
      </c>
      <c r="R117" s="28" t="s">
        <v>13</v>
      </c>
      <c r="S117" s="28" t="s">
        <v>14</v>
      </c>
      <c r="T117" s="28" t="s">
        <v>15</v>
      </c>
      <c r="U117" s="28" t="s">
        <v>16</v>
      </c>
      <c r="V117" s="49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</row>
    <row r="118" spans="1:44" ht="15.6" customHeight="1" x14ac:dyDescent="0.25">
      <c r="A118" s="33"/>
      <c r="B118" s="34"/>
      <c r="C118" s="34"/>
      <c r="D118" s="35"/>
      <c r="E118" s="36"/>
      <c r="F118" s="34"/>
      <c r="G118" s="34"/>
      <c r="H118" s="35"/>
      <c r="I118" s="36"/>
      <c r="J118" s="34"/>
      <c r="K118" s="34"/>
      <c r="L118" s="35"/>
      <c r="M118" s="36"/>
      <c r="N118" s="34"/>
      <c r="O118" s="34"/>
      <c r="P118" s="35"/>
      <c r="Q118" s="36"/>
      <c r="R118" s="34"/>
      <c r="S118" s="34"/>
      <c r="T118" s="34"/>
      <c r="U118" s="34"/>
      <c r="V118" s="50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</row>
    <row r="119" spans="1:44" ht="9" customHeight="1" x14ac:dyDescent="0.25">
      <c r="A119" s="3"/>
      <c r="B119" s="30"/>
      <c r="C119" s="30"/>
      <c r="D119" s="54"/>
      <c r="E119" s="5"/>
      <c r="F119" s="30"/>
      <c r="G119" s="30"/>
      <c r="H119" s="54"/>
      <c r="I119" s="5"/>
      <c r="J119" s="30"/>
      <c r="K119" s="30"/>
      <c r="L119" s="54"/>
      <c r="M119" s="5"/>
      <c r="N119" s="30"/>
      <c r="O119" s="30"/>
      <c r="P119" s="54"/>
      <c r="Q119" s="5"/>
      <c r="R119" s="30"/>
      <c r="S119" s="30"/>
      <c r="T119" s="30"/>
      <c r="U119" s="30"/>
      <c r="V119" s="32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</row>
    <row r="120" spans="1:44" ht="15.6" customHeight="1" x14ac:dyDescent="0.25">
      <c r="A120" s="3"/>
      <c r="B120" s="95"/>
      <c r="C120" s="96"/>
      <c r="D120" s="97"/>
      <c r="E120" s="98"/>
      <c r="F120" s="95"/>
      <c r="G120" s="96"/>
      <c r="H120" s="97"/>
      <c r="I120" s="98"/>
      <c r="J120" s="95"/>
      <c r="K120" s="96"/>
      <c r="L120" s="97"/>
      <c r="M120" s="98"/>
      <c r="N120" s="95"/>
      <c r="O120" s="96"/>
      <c r="P120" s="97"/>
      <c r="Q120" s="98"/>
      <c r="R120" s="30"/>
      <c r="S120" s="30"/>
      <c r="T120" s="30"/>
      <c r="U120" s="30"/>
      <c r="V120" s="32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</row>
    <row r="121" spans="1:44" ht="15.6" customHeight="1" x14ac:dyDescent="0.25">
      <c r="A121" s="3"/>
      <c r="B121" s="40" t="str">
        <f>IF(D120&lt;1,"","пом.")</f>
        <v/>
      </c>
      <c r="C121" s="40"/>
      <c r="D121" s="85"/>
      <c r="E121" s="86"/>
      <c r="F121" s="40" t="str">
        <f>IF(H120&lt;1,"","пом.")</f>
        <v/>
      </c>
      <c r="G121" s="40"/>
      <c r="H121" s="85"/>
      <c r="I121" s="86"/>
      <c r="J121" s="40" t="str">
        <f>IF(L120&lt;1,"","пом.")</f>
        <v/>
      </c>
      <c r="K121" s="40"/>
      <c r="L121" s="85"/>
      <c r="M121" s="86"/>
      <c r="N121" s="40" t="str">
        <f>IF(P120&lt;1,"","пом.")</f>
        <v/>
      </c>
      <c r="O121" s="40"/>
      <c r="P121" s="85"/>
      <c r="Q121" s="86"/>
      <c r="R121" s="30"/>
      <c r="S121" s="30"/>
      <c r="T121" s="30"/>
      <c r="U121" s="30"/>
      <c r="V121" s="32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</row>
    <row r="122" spans="1:44" ht="7.15" customHeight="1" x14ac:dyDescent="0.25">
      <c r="A122" s="3"/>
      <c r="B122" s="3"/>
      <c r="C122" s="3"/>
      <c r="D122" s="4"/>
      <c r="E122" s="4"/>
      <c r="F122" s="3"/>
      <c r="G122" s="3"/>
      <c r="H122" s="4"/>
      <c r="I122" s="4"/>
      <c r="J122" s="3"/>
      <c r="K122" s="3"/>
      <c r="L122" s="4"/>
      <c r="M122" s="4"/>
      <c r="N122" s="3"/>
      <c r="O122" s="3"/>
      <c r="P122" s="4"/>
      <c r="Q122" s="4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</row>
    <row r="123" spans="1:44" ht="15.6" customHeight="1" x14ac:dyDescent="0.25">
      <c r="A123" s="3"/>
      <c r="B123" s="3"/>
      <c r="C123" s="3"/>
      <c r="D123" s="4"/>
      <c r="E123" s="5" t="s">
        <v>30</v>
      </c>
      <c r="F123" s="87" t="s">
        <v>31</v>
      </c>
      <c r="G123" s="87"/>
      <c r="H123" s="87"/>
      <c r="I123" s="117" t="s">
        <v>32</v>
      </c>
      <c r="J123" s="117"/>
      <c r="K123" s="58"/>
      <c r="L123" s="4"/>
      <c r="M123" s="4"/>
      <c r="N123" s="3"/>
      <c r="O123" s="30" t="s">
        <v>33</v>
      </c>
      <c r="P123" s="87" t="s">
        <v>34</v>
      </c>
      <c r="Q123" s="87"/>
      <c r="R123" s="87"/>
      <c r="S123" s="117" t="s">
        <v>35</v>
      </c>
      <c r="T123" s="117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</row>
    <row r="124" spans="1:44" ht="15.6" customHeight="1" x14ac:dyDescent="0.25">
      <c r="A124" s="3"/>
      <c r="B124" s="3"/>
      <c r="C124" s="3"/>
      <c r="D124" s="4"/>
      <c r="E124" s="5" t="s">
        <v>36</v>
      </c>
      <c r="F124" s="87" t="s">
        <v>37</v>
      </c>
      <c r="G124" s="87"/>
      <c r="H124" s="87"/>
      <c r="I124" s="117" t="s">
        <v>38</v>
      </c>
      <c r="J124" s="117"/>
      <c r="K124" s="117"/>
      <c r="L124" s="4"/>
      <c r="M124" s="4"/>
      <c r="N124" s="3"/>
      <c r="O124" s="30" t="s">
        <v>39</v>
      </c>
      <c r="P124" s="87" t="s">
        <v>34</v>
      </c>
      <c r="Q124" s="87"/>
      <c r="R124" s="87"/>
      <c r="S124" s="118" t="s">
        <v>109</v>
      </c>
      <c r="T124" s="118"/>
      <c r="U124" s="118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</row>
    <row r="125" spans="1:44" ht="15.6" customHeight="1" x14ac:dyDescent="0.25">
      <c r="A125" s="41"/>
      <c r="B125" s="41"/>
      <c r="C125" s="41"/>
      <c r="D125" s="42"/>
      <c r="E125" s="43"/>
      <c r="F125" s="41"/>
      <c r="G125" s="41"/>
      <c r="H125" s="42"/>
      <c r="I125" s="42"/>
      <c r="J125" s="41"/>
      <c r="K125" s="41"/>
      <c r="L125" s="42"/>
      <c r="M125" s="42"/>
      <c r="N125" s="41"/>
      <c r="O125" s="41"/>
      <c r="P125" s="42"/>
      <c r="Q125" s="42"/>
      <c r="R125" s="41"/>
      <c r="S125" s="41"/>
      <c r="T125" s="41"/>
      <c r="U125" s="41"/>
      <c r="V125" s="41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</row>
    <row r="126" spans="1:44" ht="15.6" customHeight="1" x14ac:dyDescent="0.25">
      <c r="A126" s="41"/>
      <c r="B126" s="41"/>
      <c r="C126" s="41"/>
      <c r="D126" s="42"/>
      <c r="E126" s="43"/>
      <c r="F126" s="41"/>
      <c r="G126" s="41"/>
      <c r="H126" s="42"/>
      <c r="I126" s="42"/>
      <c r="J126" s="41"/>
      <c r="K126" s="41"/>
      <c r="L126" s="42"/>
      <c r="M126" s="42"/>
      <c r="N126" s="41"/>
      <c r="O126" s="41"/>
      <c r="P126" s="42"/>
      <c r="Q126" s="42"/>
      <c r="R126" s="41"/>
      <c r="S126" s="41"/>
      <c r="T126" s="41"/>
      <c r="U126" s="41"/>
      <c r="V126" s="41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</row>
    <row r="127" spans="1:44" ht="15.6" hidden="1" customHeight="1" x14ac:dyDescent="0.25">
      <c r="A127" s="3"/>
      <c r="B127" s="3"/>
      <c r="C127" s="3"/>
      <c r="D127" s="4"/>
      <c r="E127" s="4"/>
      <c r="F127" s="3"/>
      <c r="G127" s="3"/>
      <c r="H127" s="4"/>
      <c r="I127" s="4"/>
      <c r="J127" s="3"/>
      <c r="K127" s="3"/>
      <c r="L127" s="4"/>
      <c r="M127" s="4"/>
      <c r="N127" s="3"/>
      <c r="O127" s="3"/>
      <c r="P127" s="4"/>
      <c r="Q127" s="4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</row>
    <row r="128" spans="1:44" ht="15.6" customHeight="1" x14ac:dyDescent="0.3">
      <c r="A128" s="3"/>
      <c r="B128" s="3"/>
      <c r="C128" s="3"/>
      <c r="D128" s="4"/>
      <c r="E128" s="6" t="s">
        <v>1</v>
      </c>
      <c r="F128" s="3"/>
      <c r="G128" s="7"/>
      <c r="H128" s="8"/>
      <c r="I128" s="8"/>
      <c r="J128" s="7"/>
      <c r="K128" s="7"/>
      <c r="L128" s="8"/>
      <c r="M128" s="9" t="s">
        <v>2</v>
      </c>
      <c r="N128" s="12" t="str">
        <f>N106</f>
        <v>1.1</v>
      </c>
      <c r="O128" s="12"/>
      <c r="P128" s="4"/>
      <c r="Q128" s="4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</row>
    <row r="129" spans="1:44" ht="15.6" customHeight="1" x14ac:dyDescent="0.3">
      <c r="A129" s="3"/>
      <c r="B129" s="3"/>
      <c r="C129" s="3"/>
      <c r="D129" s="4"/>
      <c r="E129" s="6" t="s">
        <v>4</v>
      </c>
      <c r="F129" s="3"/>
      <c r="G129" s="3"/>
      <c r="H129" s="4"/>
      <c r="I129" s="4"/>
      <c r="J129" s="13"/>
      <c r="K129" s="13"/>
      <c r="L129" s="14"/>
      <c r="M129" s="9" t="s">
        <v>5</v>
      </c>
      <c r="N129" s="15" t="str">
        <f>N128&amp;".2"</f>
        <v>1.1.2</v>
      </c>
      <c r="O129" s="15"/>
      <c r="P129" s="4"/>
      <c r="Q129" s="4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</row>
    <row r="130" spans="1:44" ht="15.6" customHeight="1" x14ac:dyDescent="0.3">
      <c r="A130" s="3"/>
      <c r="B130" s="3"/>
      <c r="C130" s="3"/>
      <c r="D130" s="4"/>
      <c r="E130" s="4" t="s">
        <v>7</v>
      </c>
      <c r="F130" s="3"/>
      <c r="G130" s="3"/>
      <c r="H130" s="8"/>
      <c r="I130" s="8"/>
      <c r="J130" s="7"/>
      <c r="K130" s="7"/>
      <c r="L130" s="8"/>
      <c r="M130" s="16" t="s">
        <v>5</v>
      </c>
      <c r="N130" s="17">
        <f>N108+1</f>
        <v>4</v>
      </c>
      <c r="O130" s="3"/>
      <c r="P130" s="4"/>
      <c r="Q130" s="4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</row>
    <row r="131" spans="1:44" ht="15.6" customHeight="1" x14ac:dyDescent="0.3">
      <c r="A131" s="3"/>
      <c r="B131" s="3"/>
      <c r="C131" s="3"/>
      <c r="D131" s="4"/>
      <c r="E131" s="4" t="s">
        <v>8</v>
      </c>
      <c r="F131" s="3"/>
      <c r="G131" s="3"/>
      <c r="H131" s="4"/>
      <c r="I131" s="4"/>
      <c r="J131" s="3"/>
      <c r="K131" s="3"/>
      <c r="L131" s="14"/>
      <c r="M131" s="16" t="s">
        <v>99</v>
      </c>
      <c r="N131" s="17" t="str">
        <f>IF(N109="-"&amp;N86&amp;".3",IF(N110=15,"-"&amp;N86&amp;".4","-"&amp;N86&amp;".3"),N109)</f>
        <v>-1.1.3</v>
      </c>
      <c r="O131" s="3"/>
      <c r="P131" s="4"/>
      <c r="Q131" s="4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</row>
    <row r="132" spans="1:44" ht="15.6" customHeight="1" x14ac:dyDescent="0.3">
      <c r="A132" s="3"/>
      <c r="B132" s="3"/>
      <c r="C132" s="3"/>
      <c r="D132" s="4"/>
      <c r="E132" s="21" t="s">
        <v>10</v>
      </c>
      <c r="F132" s="3"/>
      <c r="G132" s="3"/>
      <c r="H132" s="4"/>
      <c r="I132" s="8"/>
      <c r="J132" s="7"/>
      <c r="K132" s="7"/>
      <c r="L132" s="8"/>
      <c r="M132" s="16" t="s">
        <v>5</v>
      </c>
      <c r="N132" s="17">
        <f>IF(N131="-"&amp;N86&amp;".3",N110+1,IF(N109="-"&amp;N86&amp;".3",1,N110+1))</f>
        <v>7</v>
      </c>
      <c r="O132" s="3"/>
      <c r="P132" s="4"/>
      <c r="Q132" s="4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</row>
    <row r="133" spans="1:44" ht="15.6" customHeight="1" x14ac:dyDescent="0.25">
      <c r="A133" s="3"/>
      <c r="B133" s="3"/>
      <c r="C133" s="3"/>
      <c r="D133" s="4"/>
      <c r="E133" s="4"/>
      <c r="F133" s="3"/>
      <c r="G133" s="3"/>
      <c r="H133" s="4"/>
      <c r="I133" s="4"/>
      <c r="J133" s="3"/>
      <c r="K133" s="3"/>
      <c r="L133" s="4"/>
      <c r="M133" s="4"/>
      <c r="N133" s="3"/>
      <c r="O133" s="3"/>
      <c r="P133" s="4"/>
      <c r="Q133" s="4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</row>
    <row r="134" spans="1:44" ht="15.6" customHeight="1" x14ac:dyDescent="0.25">
      <c r="A134" s="24"/>
      <c r="B134" s="25"/>
      <c r="C134" s="25"/>
      <c r="D134" s="26"/>
      <c r="E134" s="26"/>
      <c r="F134" s="25"/>
      <c r="G134" s="25"/>
      <c r="H134" s="26"/>
      <c r="I134" s="26"/>
      <c r="J134" s="25"/>
      <c r="K134" s="25"/>
      <c r="L134" s="26"/>
      <c r="M134" s="26"/>
      <c r="N134" s="25"/>
      <c r="O134" s="25"/>
      <c r="P134" s="26"/>
      <c r="Q134" s="26"/>
      <c r="R134" s="25"/>
      <c r="S134" s="25"/>
      <c r="T134" s="25"/>
      <c r="U134" s="25"/>
      <c r="V134" s="45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</row>
    <row r="135" spans="1:44" ht="15.6" customHeight="1" x14ac:dyDescent="0.25">
      <c r="A135" s="27"/>
      <c r="B135" s="28"/>
      <c r="C135" s="28"/>
      <c r="D135" s="71">
        <v>1</v>
      </c>
      <c r="E135" s="72"/>
      <c r="F135" s="28"/>
      <c r="G135" s="28"/>
      <c r="H135" s="71">
        <v>2</v>
      </c>
      <c r="I135" s="72"/>
      <c r="J135" s="28"/>
      <c r="K135" s="28"/>
      <c r="L135" s="71">
        <v>3</v>
      </c>
      <c r="M135" s="72"/>
      <c r="N135" s="28"/>
      <c r="O135" s="28"/>
      <c r="P135" s="71">
        <v>4</v>
      </c>
      <c r="Q135" s="72"/>
      <c r="R135" s="28"/>
      <c r="S135" s="28"/>
      <c r="T135" s="28"/>
      <c r="U135" s="28"/>
      <c r="V135" s="46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</row>
    <row r="136" spans="1:44" ht="15.6" customHeight="1" x14ac:dyDescent="0.25">
      <c r="A136" s="27"/>
      <c r="B136" s="74" t="s">
        <v>11</v>
      </c>
      <c r="C136" s="74"/>
      <c r="D136" s="71" t="s">
        <v>12</v>
      </c>
      <c r="E136" s="72"/>
      <c r="F136" s="74" t="s">
        <v>11</v>
      </c>
      <c r="G136" s="74"/>
      <c r="H136" s="71" t="s">
        <v>12</v>
      </c>
      <c r="I136" s="72"/>
      <c r="J136" s="74" t="s">
        <v>11</v>
      </c>
      <c r="K136" s="74"/>
      <c r="L136" s="71" t="s">
        <v>12</v>
      </c>
      <c r="M136" s="72"/>
      <c r="N136" s="74" t="s">
        <v>11</v>
      </c>
      <c r="O136" s="74"/>
      <c r="P136" s="71" t="s">
        <v>12</v>
      </c>
      <c r="Q136" s="72"/>
      <c r="R136" s="74"/>
      <c r="S136" s="74"/>
      <c r="T136" s="74"/>
      <c r="U136" s="74"/>
      <c r="V136" s="48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</row>
    <row r="137" spans="1:44" ht="15.6" customHeight="1" x14ac:dyDescent="0.25">
      <c r="A137" s="27"/>
      <c r="B137" s="76"/>
      <c r="C137" s="76"/>
      <c r="D137" s="77"/>
      <c r="E137" s="77"/>
      <c r="F137" s="76"/>
      <c r="G137" s="76"/>
      <c r="H137" s="77"/>
      <c r="I137" s="77"/>
      <c r="J137" s="76"/>
      <c r="K137" s="76"/>
      <c r="L137" s="77"/>
      <c r="M137" s="77"/>
      <c r="N137" s="76"/>
      <c r="O137" s="76"/>
      <c r="P137" s="77"/>
      <c r="Q137" s="77"/>
      <c r="R137" s="76"/>
      <c r="S137" s="76"/>
      <c r="T137" s="76"/>
      <c r="U137" s="76"/>
      <c r="V137" s="48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</row>
    <row r="138" spans="1:44" ht="15.6" customHeight="1" x14ac:dyDescent="0.25">
      <c r="A138" s="27"/>
      <c r="B138" s="74">
        <v>0</v>
      </c>
      <c r="C138" s="74"/>
      <c r="D138" s="78">
        <v>1</v>
      </c>
      <c r="E138" s="78"/>
      <c r="F138" s="74">
        <v>2</v>
      </c>
      <c r="G138" s="74"/>
      <c r="H138" s="78">
        <v>3</v>
      </c>
      <c r="I138" s="78"/>
      <c r="J138" s="74">
        <v>4</v>
      </c>
      <c r="K138" s="74"/>
      <c r="L138" s="78">
        <v>5</v>
      </c>
      <c r="M138" s="78"/>
      <c r="N138" s="74">
        <v>6</v>
      </c>
      <c r="O138" s="74"/>
      <c r="P138" s="78">
        <v>7</v>
      </c>
      <c r="Q138" s="78"/>
      <c r="R138" s="74">
        <v>8</v>
      </c>
      <c r="S138" s="74"/>
      <c r="T138" s="74">
        <v>9</v>
      </c>
      <c r="U138" s="74"/>
      <c r="V138" s="49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</row>
    <row r="139" spans="1:44" ht="15.6" customHeight="1" x14ac:dyDescent="0.25">
      <c r="A139" s="27"/>
      <c r="B139" s="28" t="s">
        <v>13</v>
      </c>
      <c r="C139" s="28" t="s">
        <v>14</v>
      </c>
      <c r="D139" s="31" t="s">
        <v>15</v>
      </c>
      <c r="E139" s="31" t="s">
        <v>16</v>
      </c>
      <c r="F139" s="28" t="s">
        <v>13</v>
      </c>
      <c r="G139" s="28" t="s">
        <v>14</v>
      </c>
      <c r="H139" s="31" t="s">
        <v>15</v>
      </c>
      <c r="I139" s="31" t="s">
        <v>16</v>
      </c>
      <c r="J139" s="28" t="s">
        <v>13</v>
      </c>
      <c r="K139" s="28" t="s">
        <v>14</v>
      </c>
      <c r="L139" s="31" t="s">
        <v>15</v>
      </c>
      <c r="M139" s="31" t="s">
        <v>16</v>
      </c>
      <c r="N139" s="28" t="s">
        <v>13</v>
      </c>
      <c r="O139" s="28" t="s">
        <v>14</v>
      </c>
      <c r="P139" s="31" t="s">
        <v>15</v>
      </c>
      <c r="Q139" s="31" t="s">
        <v>16</v>
      </c>
      <c r="R139" s="28" t="s">
        <v>13</v>
      </c>
      <c r="S139" s="28" t="s">
        <v>14</v>
      </c>
      <c r="T139" s="28" t="s">
        <v>15</v>
      </c>
      <c r="U139" s="28" t="s">
        <v>16</v>
      </c>
      <c r="V139" s="49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</row>
    <row r="140" spans="1:44" ht="15.6" customHeight="1" x14ac:dyDescent="0.25">
      <c r="A140" s="33"/>
      <c r="B140" s="34"/>
      <c r="C140" s="34"/>
      <c r="D140" s="35"/>
      <c r="E140" s="36"/>
      <c r="F140" s="34"/>
      <c r="G140" s="34"/>
      <c r="H140" s="35"/>
      <c r="I140" s="36"/>
      <c r="J140" s="34"/>
      <c r="K140" s="34"/>
      <c r="L140" s="35"/>
      <c r="M140" s="36"/>
      <c r="N140" s="34"/>
      <c r="O140" s="34"/>
      <c r="P140" s="35"/>
      <c r="Q140" s="36"/>
      <c r="R140" s="34"/>
      <c r="S140" s="34"/>
      <c r="T140" s="34"/>
      <c r="U140" s="34"/>
      <c r="V140" s="50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</row>
    <row r="141" spans="1:44" ht="15.6" customHeight="1" x14ac:dyDescent="0.25">
      <c r="A141" s="3"/>
      <c r="B141" s="30"/>
      <c r="C141" s="30"/>
      <c r="D141" s="54"/>
      <c r="E141" s="5"/>
      <c r="F141" s="30"/>
      <c r="G141" s="30"/>
      <c r="H141" s="54"/>
      <c r="I141" s="5"/>
      <c r="J141" s="30"/>
      <c r="K141" s="30"/>
      <c r="L141" s="54"/>
      <c r="M141" s="5"/>
      <c r="N141" s="30"/>
      <c r="O141" s="30"/>
      <c r="P141" s="54"/>
      <c r="Q141" s="5"/>
      <c r="R141" s="30"/>
      <c r="S141" s="30"/>
      <c r="T141" s="30"/>
      <c r="U141" s="30"/>
      <c r="V141" s="32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</row>
    <row r="142" spans="1:44" ht="15.6" customHeight="1" x14ac:dyDescent="0.25">
      <c r="A142" s="3"/>
      <c r="B142" s="95"/>
      <c r="C142" s="96"/>
      <c r="D142" s="97"/>
      <c r="E142" s="98"/>
      <c r="F142" s="95"/>
      <c r="G142" s="96"/>
      <c r="H142" s="97"/>
      <c r="I142" s="98"/>
      <c r="J142" s="95"/>
      <c r="K142" s="96"/>
      <c r="L142" s="97"/>
      <c r="M142" s="98"/>
      <c r="N142" s="95"/>
      <c r="O142" s="96"/>
      <c r="P142" s="97"/>
      <c r="Q142" s="98"/>
      <c r="R142" s="30"/>
      <c r="S142" s="30"/>
      <c r="T142" s="30"/>
      <c r="U142" s="30"/>
      <c r="V142" s="32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</row>
    <row r="143" spans="1:44" ht="15.6" customHeight="1" x14ac:dyDescent="0.25">
      <c r="A143" s="3"/>
      <c r="B143" s="40" t="str">
        <f>IF(D142&lt;1,"","пом.")</f>
        <v/>
      </c>
      <c r="C143" s="40"/>
      <c r="D143" s="85"/>
      <c r="E143" s="86"/>
      <c r="F143" s="40" t="str">
        <f>IF(H142&lt;1,"","пом.")</f>
        <v/>
      </c>
      <c r="G143" s="40"/>
      <c r="H143" s="85"/>
      <c r="I143" s="86"/>
      <c r="J143" s="40" t="str">
        <f>IF(L142&lt;1,"","пом.")</f>
        <v/>
      </c>
      <c r="K143" s="40"/>
      <c r="L143" s="85"/>
      <c r="M143" s="86"/>
      <c r="N143" s="40" t="str">
        <f>IF(P142&lt;1,"","пом.")</f>
        <v/>
      </c>
      <c r="O143" s="40"/>
      <c r="P143" s="85"/>
      <c r="Q143" s="86"/>
      <c r="R143" s="30"/>
      <c r="S143" s="30"/>
      <c r="T143" s="30"/>
      <c r="U143" s="30"/>
      <c r="V143" s="32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</row>
    <row r="144" spans="1:44" ht="15.6" customHeight="1" x14ac:dyDescent="0.25">
      <c r="A144" s="3"/>
      <c r="B144" s="3"/>
      <c r="C144" s="3"/>
      <c r="D144" s="4"/>
      <c r="E144" s="4"/>
      <c r="F144" s="3"/>
      <c r="G144" s="3"/>
      <c r="H144" s="4"/>
      <c r="I144" s="4"/>
      <c r="J144" s="3"/>
      <c r="K144" s="3"/>
      <c r="L144" s="4"/>
      <c r="M144" s="4"/>
      <c r="N144" s="3"/>
      <c r="O144" s="3"/>
      <c r="P144" s="4"/>
      <c r="Q144" s="4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</row>
    <row r="145" spans="1:44" ht="15.6" customHeight="1" x14ac:dyDescent="0.25">
      <c r="A145" s="3"/>
      <c r="B145" s="3"/>
      <c r="C145" s="3"/>
      <c r="D145" s="4"/>
      <c r="E145" s="5" t="s">
        <v>30</v>
      </c>
      <c r="F145" s="87" t="s">
        <v>31</v>
      </c>
      <c r="G145" s="87"/>
      <c r="H145" s="87"/>
      <c r="I145" s="117" t="s">
        <v>32</v>
      </c>
      <c r="J145" s="117"/>
      <c r="K145" s="58"/>
      <c r="L145" s="4"/>
      <c r="M145" s="4"/>
      <c r="N145" s="3"/>
      <c r="O145" s="30" t="s">
        <v>33</v>
      </c>
      <c r="P145" s="87" t="s">
        <v>34</v>
      </c>
      <c r="Q145" s="87"/>
      <c r="R145" s="87"/>
      <c r="S145" s="117" t="s">
        <v>35</v>
      </c>
      <c r="T145" s="117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</row>
    <row r="146" spans="1:44" ht="15.6" customHeight="1" x14ac:dyDescent="0.25">
      <c r="A146" s="3"/>
      <c r="B146" s="3"/>
      <c r="C146" s="3"/>
      <c r="D146" s="4"/>
      <c r="E146" s="5" t="s">
        <v>36</v>
      </c>
      <c r="F146" s="87" t="s">
        <v>37</v>
      </c>
      <c r="G146" s="87"/>
      <c r="H146" s="87"/>
      <c r="I146" s="117" t="s">
        <v>38</v>
      </c>
      <c r="J146" s="117"/>
      <c r="K146" s="117"/>
      <c r="L146" s="4"/>
      <c r="M146" s="4"/>
      <c r="N146" s="3"/>
      <c r="O146" s="30" t="s">
        <v>39</v>
      </c>
      <c r="P146" s="87" t="s">
        <v>34</v>
      </c>
      <c r="Q146" s="87"/>
      <c r="R146" s="87"/>
      <c r="S146" s="118" t="s">
        <v>109</v>
      </c>
      <c r="T146" s="118"/>
      <c r="U146" s="118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</row>
    <row r="147" spans="1:44" ht="15.6" customHeight="1" x14ac:dyDescent="0.25">
      <c r="A147" s="41"/>
      <c r="B147" s="41"/>
      <c r="C147" s="41"/>
      <c r="D147" s="42"/>
      <c r="E147" s="43"/>
      <c r="F147" s="41"/>
      <c r="G147" s="41"/>
      <c r="H147" s="42"/>
      <c r="I147" s="42"/>
      <c r="J147" s="41"/>
      <c r="K147" s="41"/>
      <c r="L147" s="42"/>
      <c r="M147" s="42"/>
      <c r="N147" s="41"/>
      <c r="O147" s="41"/>
      <c r="P147" s="42"/>
      <c r="Q147" s="42"/>
      <c r="R147" s="41"/>
      <c r="S147" s="41"/>
      <c r="T147" s="41"/>
      <c r="U147" s="41"/>
      <c r="V147" s="41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</row>
    <row r="148" spans="1:44" ht="15.6" customHeight="1" x14ac:dyDescent="0.3">
      <c r="A148" s="3"/>
      <c r="B148" s="3"/>
      <c r="C148" s="3"/>
      <c r="D148" s="4"/>
      <c r="E148" s="6" t="s">
        <v>1</v>
      </c>
      <c r="F148" s="3"/>
      <c r="G148" s="7"/>
      <c r="H148" s="8"/>
      <c r="I148" s="8"/>
      <c r="J148" s="7"/>
      <c r="K148" s="7"/>
      <c r="L148" s="8"/>
      <c r="M148" s="9" t="s">
        <v>2</v>
      </c>
      <c r="N148" s="12" t="str">
        <f>N128</f>
        <v>1.1</v>
      </c>
      <c r="O148" s="12"/>
      <c r="P148" s="4"/>
      <c r="Q148" s="4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</row>
    <row r="149" spans="1:44" ht="15.6" customHeight="1" x14ac:dyDescent="0.3">
      <c r="A149" s="3"/>
      <c r="B149" s="3"/>
      <c r="C149" s="3"/>
      <c r="D149" s="4"/>
      <c r="E149" s="6" t="s">
        <v>4</v>
      </c>
      <c r="F149" s="3"/>
      <c r="G149" s="3"/>
      <c r="H149" s="4"/>
      <c r="I149" s="4"/>
      <c r="J149" s="13"/>
      <c r="K149" s="13"/>
      <c r="L149" s="14"/>
      <c r="M149" s="9" t="s">
        <v>5</v>
      </c>
      <c r="N149" s="15" t="str">
        <f>N129</f>
        <v>1.1.2</v>
      </c>
      <c r="O149" s="15"/>
      <c r="P149" s="4"/>
      <c r="Q149" s="4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</row>
    <row r="150" spans="1:44" ht="15.6" customHeight="1" x14ac:dyDescent="0.3">
      <c r="A150" s="3"/>
      <c r="B150" s="3"/>
      <c r="C150" s="3"/>
      <c r="D150" s="4"/>
      <c r="E150" s="4" t="s">
        <v>7</v>
      </c>
      <c r="F150" s="3"/>
      <c r="G150" s="3"/>
      <c r="H150" s="8"/>
      <c r="I150" s="8"/>
      <c r="J150" s="7"/>
      <c r="K150" s="7"/>
      <c r="L150" s="8"/>
      <c r="M150" s="16" t="s">
        <v>5</v>
      </c>
      <c r="N150" s="17">
        <f>N130</f>
        <v>4</v>
      </c>
      <c r="O150" s="3"/>
      <c r="P150" s="4"/>
      <c r="Q150" s="4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</row>
    <row r="151" spans="1:44" ht="15.6" customHeight="1" x14ac:dyDescent="0.3">
      <c r="A151" s="3"/>
      <c r="B151" s="3"/>
      <c r="C151" s="3"/>
      <c r="D151" s="4"/>
      <c r="E151" s="4" t="s">
        <v>8</v>
      </c>
      <c r="F151" s="3"/>
      <c r="G151" s="3"/>
      <c r="H151" s="4"/>
      <c r="I151" s="4"/>
      <c r="J151" s="3"/>
      <c r="K151" s="3"/>
      <c r="L151" s="14"/>
      <c r="M151" s="16" t="s">
        <v>99</v>
      </c>
      <c r="N151" s="17" t="str">
        <f>IF(N131="-"&amp;N128&amp;".3",IF(N132=15,"-"&amp;N128&amp;".4","-"&amp;N128&amp;".3"),N131)</f>
        <v>-1.1.3</v>
      </c>
      <c r="O151" s="19"/>
      <c r="P151" s="4"/>
      <c r="Q151" s="4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</row>
    <row r="152" spans="1:44" ht="15.6" customHeight="1" x14ac:dyDescent="0.3">
      <c r="A152" s="3"/>
      <c r="B152" s="3"/>
      <c r="C152" s="3"/>
      <c r="D152" s="4"/>
      <c r="E152" s="21" t="s">
        <v>10</v>
      </c>
      <c r="F152" s="3"/>
      <c r="G152" s="3"/>
      <c r="H152" s="4"/>
      <c r="I152" s="8"/>
      <c r="J152" s="7"/>
      <c r="K152" s="7"/>
      <c r="L152" s="8"/>
      <c r="M152" s="16" t="s">
        <v>5</v>
      </c>
      <c r="N152" s="17">
        <f>IF(N151="-"&amp;N86&amp;".3",N132+1,IF(N131="-"&amp;N86&amp;".3",1,N132+1))</f>
        <v>8</v>
      </c>
      <c r="O152" s="3"/>
      <c r="P152" s="4"/>
      <c r="Q152" s="4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</row>
    <row r="153" spans="1:44" ht="7.9" customHeight="1" x14ac:dyDescent="0.25">
      <c r="A153" s="3"/>
      <c r="B153" s="3"/>
      <c r="C153" s="3"/>
      <c r="D153" s="4"/>
      <c r="E153" s="4"/>
      <c r="F153" s="3"/>
      <c r="G153" s="3"/>
      <c r="H153" s="4"/>
      <c r="I153" s="4"/>
      <c r="J153" s="3"/>
      <c r="K153" s="3"/>
      <c r="L153" s="4"/>
      <c r="M153" s="4"/>
      <c r="N153" s="3"/>
      <c r="O153" s="3"/>
      <c r="P153" s="4"/>
      <c r="Q153" s="4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</row>
    <row r="154" spans="1:44" ht="15.6" customHeight="1" x14ac:dyDescent="0.25">
      <c r="A154" s="24"/>
      <c r="B154" s="25"/>
      <c r="C154" s="25"/>
      <c r="D154" s="26"/>
      <c r="E154" s="26"/>
      <c r="F154" s="25"/>
      <c r="G154" s="25"/>
      <c r="H154" s="26"/>
      <c r="I154" s="26"/>
      <c r="J154" s="25"/>
      <c r="K154" s="25"/>
      <c r="L154" s="26"/>
      <c r="M154" s="26"/>
      <c r="N154" s="25"/>
      <c r="O154" s="25"/>
      <c r="P154" s="26"/>
      <c r="Q154" s="26"/>
      <c r="R154" s="25"/>
      <c r="S154" s="25"/>
      <c r="T154" s="25"/>
      <c r="U154" s="25"/>
      <c r="V154" s="45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</row>
    <row r="155" spans="1:44" ht="15.6" customHeight="1" x14ac:dyDescent="0.25">
      <c r="A155" s="27"/>
      <c r="B155" s="28"/>
      <c r="C155" s="28"/>
      <c r="D155" s="71">
        <v>1</v>
      </c>
      <c r="E155" s="72"/>
      <c r="F155" s="28"/>
      <c r="G155" s="28"/>
      <c r="H155" s="71">
        <v>2</v>
      </c>
      <c r="I155" s="72"/>
      <c r="J155" s="28"/>
      <c r="K155" s="28"/>
      <c r="L155" s="71">
        <v>3</v>
      </c>
      <c r="M155" s="72"/>
      <c r="N155" s="28"/>
      <c r="O155" s="28"/>
      <c r="P155" s="71">
        <v>4</v>
      </c>
      <c r="Q155" s="72"/>
      <c r="R155" s="28"/>
      <c r="S155" s="28"/>
      <c r="T155" s="28"/>
      <c r="U155" s="28"/>
      <c r="V155" s="46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</row>
    <row r="156" spans="1:44" ht="15.6" customHeight="1" x14ac:dyDescent="0.25">
      <c r="A156" s="27"/>
      <c r="B156" s="74" t="s">
        <v>11</v>
      </c>
      <c r="C156" s="74"/>
      <c r="D156" s="71" t="s">
        <v>12</v>
      </c>
      <c r="E156" s="72"/>
      <c r="F156" s="74" t="s">
        <v>11</v>
      </c>
      <c r="G156" s="74"/>
      <c r="H156" s="71" t="s">
        <v>12</v>
      </c>
      <c r="I156" s="72"/>
      <c r="J156" s="74" t="s">
        <v>11</v>
      </c>
      <c r="K156" s="74"/>
      <c r="L156" s="71" t="s">
        <v>12</v>
      </c>
      <c r="M156" s="72"/>
      <c r="N156" s="74" t="s">
        <v>11</v>
      </c>
      <c r="O156" s="74"/>
      <c r="P156" s="71" t="s">
        <v>12</v>
      </c>
      <c r="Q156" s="72"/>
      <c r="R156" s="74"/>
      <c r="S156" s="74"/>
      <c r="T156" s="74"/>
      <c r="U156" s="74"/>
      <c r="V156" s="48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</row>
    <row r="157" spans="1:44" ht="15.6" customHeight="1" x14ac:dyDescent="0.25">
      <c r="A157" s="27"/>
      <c r="B157" s="76"/>
      <c r="C157" s="76"/>
      <c r="D157" s="77"/>
      <c r="E157" s="77"/>
      <c r="F157" s="76"/>
      <c r="G157" s="76"/>
      <c r="H157" s="77"/>
      <c r="I157" s="77"/>
      <c r="J157" s="76"/>
      <c r="K157" s="76"/>
      <c r="L157" s="77"/>
      <c r="M157" s="77"/>
      <c r="N157" s="76"/>
      <c r="O157" s="76"/>
      <c r="P157" s="77"/>
      <c r="Q157" s="77"/>
      <c r="R157" s="76"/>
      <c r="S157" s="76"/>
      <c r="T157" s="76"/>
      <c r="U157" s="76"/>
      <c r="V157" s="48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</row>
    <row r="158" spans="1:44" ht="15.6" customHeight="1" x14ac:dyDescent="0.25">
      <c r="A158" s="27"/>
      <c r="B158" s="74">
        <v>0</v>
      </c>
      <c r="C158" s="74"/>
      <c r="D158" s="78">
        <v>1</v>
      </c>
      <c r="E158" s="78"/>
      <c r="F158" s="74">
        <v>2</v>
      </c>
      <c r="G158" s="74"/>
      <c r="H158" s="78">
        <v>3</v>
      </c>
      <c r="I158" s="78"/>
      <c r="J158" s="74">
        <v>4</v>
      </c>
      <c r="K158" s="74"/>
      <c r="L158" s="78">
        <v>5</v>
      </c>
      <c r="M158" s="78"/>
      <c r="N158" s="74">
        <v>6</v>
      </c>
      <c r="O158" s="74"/>
      <c r="P158" s="78">
        <v>7</v>
      </c>
      <c r="Q158" s="78"/>
      <c r="R158" s="74">
        <v>8</v>
      </c>
      <c r="S158" s="74"/>
      <c r="T158" s="74">
        <v>9</v>
      </c>
      <c r="U158" s="74"/>
      <c r="V158" s="49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</row>
    <row r="159" spans="1:44" ht="15.6" customHeight="1" x14ac:dyDescent="0.25">
      <c r="A159" s="27"/>
      <c r="B159" s="28" t="s">
        <v>13</v>
      </c>
      <c r="C159" s="28" t="s">
        <v>14</v>
      </c>
      <c r="D159" s="31" t="s">
        <v>15</v>
      </c>
      <c r="E159" s="31" t="s">
        <v>16</v>
      </c>
      <c r="F159" s="28" t="s">
        <v>13</v>
      </c>
      <c r="G159" s="28" t="s">
        <v>14</v>
      </c>
      <c r="H159" s="31" t="s">
        <v>15</v>
      </c>
      <c r="I159" s="31" t="s">
        <v>16</v>
      </c>
      <c r="J159" s="28" t="s">
        <v>13</v>
      </c>
      <c r="K159" s="28" t="s">
        <v>14</v>
      </c>
      <c r="L159" s="31" t="s">
        <v>15</v>
      </c>
      <c r="M159" s="31" t="s">
        <v>16</v>
      </c>
      <c r="N159" s="28" t="s">
        <v>13</v>
      </c>
      <c r="O159" s="28" t="s">
        <v>14</v>
      </c>
      <c r="P159" s="31" t="s">
        <v>15</v>
      </c>
      <c r="Q159" s="31" t="s">
        <v>16</v>
      </c>
      <c r="R159" s="28" t="s">
        <v>13</v>
      </c>
      <c r="S159" s="28" t="s">
        <v>14</v>
      </c>
      <c r="T159" s="28" t="s">
        <v>15</v>
      </c>
      <c r="U159" s="28" t="s">
        <v>16</v>
      </c>
      <c r="V159" s="49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</row>
    <row r="160" spans="1:44" ht="15.6" customHeight="1" x14ac:dyDescent="0.25">
      <c r="A160" s="33"/>
      <c r="B160" s="34"/>
      <c r="C160" s="34"/>
      <c r="D160" s="35"/>
      <c r="E160" s="36"/>
      <c r="F160" s="34"/>
      <c r="G160" s="34"/>
      <c r="H160" s="35"/>
      <c r="I160" s="36"/>
      <c r="J160" s="34"/>
      <c r="K160" s="34"/>
      <c r="L160" s="35"/>
      <c r="M160" s="36"/>
      <c r="N160" s="34"/>
      <c r="O160" s="34"/>
      <c r="P160" s="35"/>
      <c r="Q160" s="36"/>
      <c r="R160" s="34"/>
      <c r="S160" s="34"/>
      <c r="T160" s="34"/>
      <c r="U160" s="34"/>
      <c r="V160" s="50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</row>
    <row r="161" spans="1:44" ht="6" customHeight="1" x14ac:dyDescent="0.25">
      <c r="A161" s="3"/>
      <c r="B161" s="30"/>
      <c r="C161" s="30"/>
      <c r="D161" s="54"/>
      <c r="E161" s="5"/>
      <c r="F161" s="30"/>
      <c r="G161" s="30"/>
      <c r="H161" s="54"/>
      <c r="I161" s="5"/>
      <c r="J161" s="30"/>
      <c r="K161" s="30"/>
      <c r="L161" s="54"/>
      <c r="M161" s="5"/>
      <c r="N161" s="30"/>
      <c r="O161" s="30"/>
      <c r="P161" s="54"/>
      <c r="Q161" s="5"/>
      <c r="R161" s="30"/>
      <c r="S161" s="30"/>
      <c r="T161" s="30"/>
      <c r="U161" s="30"/>
      <c r="V161" s="32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</row>
    <row r="162" spans="1:44" ht="15.6" customHeight="1" x14ac:dyDescent="0.25">
      <c r="A162" s="3"/>
      <c r="B162" s="95"/>
      <c r="C162" s="96"/>
      <c r="D162" s="97"/>
      <c r="E162" s="98"/>
      <c r="F162" s="95"/>
      <c r="G162" s="96"/>
      <c r="H162" s="97"/>
      <c r="I162" s="98"/>
      <c r="J162" s="95"/>
      <c r="K162" s="96"/>
      <c r="L162" s="97"/>
      <c r="M162" s="98"/>
      <c r="N162" s="95"/>
      <c r="O162" s="96"/>
      <c r="P162" s="97"/>
      <c r="Q162" s="98"/>
      <c r="R162" s="30"/>
      <c r="S162" s="30"/>
      <c r="T162" s="30"/>
      <c r="U162" s="30"/>
      <c r="V162" s="32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</row>
    <row r="163" spans="1:44" ht="15.6" customHeight="1" x14ac:dyDescent="0.25">
      <c r="A163" s="3"/>
      <c r="B163" s="40" t="str">
        <f>IF(D162&lt;1,"","пом.")</f>
        <v/>
      </c>
      <c r="C163" s="40"/>
      <c r="D163" s="85"/>
      <c r="E163" s="86"/>
      <c r="F163" s="40" t="str">
        <f>IF(H162&lt;1,"","пом.")</f>
        <v/>
      </c>
      <c r="G163" s="40"/>
      <c r="H163" s="85"/>
      <c r="I163" s="86"/>
      <c r="J163" s="40" t="str">
        <f>IF(L162&lt;1,"","пом.")</f>
        <v/>
      </c>
      <c r="K163" s="40"/>
      <c r="L163" s="85"/>
      <c r="M163" s="86"/>
      <c r="N163" s="40" t="str">
        <f>IF(P162&lt;1,"","пом.")</f>
        <v/>
      </c>
      <c r="O163" s="40"/>
      <c r="P163" s="85"/>
      <c r="Q163" s="86"/>
      <c r="R163" s="30"/>
      <c r="S163" s="30"/>
      <c r="T163" s="30"/>
      <c r="U163" s="30"/>
      <c r="V163" s="32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</row>
    <row r="164" spans="1:44" ht="9" customHeight="1" x14ac:dyDescent="0.25">
      <c r="A164" s="3"/>
      <c r="B164" s="3"/>
      <c r="C164" s="3"/>
      <c r="D164" s="4"/>
      <c r="E164" s="4"/>
      <c r="F164" s="3"/>
      <c r="G164" s="3"/>
      <c r="H164" s="4"/>
      <c r="I164" s="4"/>
      <c r="J164" s="3"/>
      <c r="K164" s="3"/>
      <c r="L164" s="4"/>
      <c r="M164" s="4"/>
      <c r="N164" s="3"/>
      <c r="O164" s="3"/>
      <c r="P164" s="4"/>
      <c r="Q164" s="4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</row>
    <row r="165" spans="1:44" ht="15.6" customHeight="1" x14ac:dyDescent="0.25">
      <c r="A165" s="3"/>
      <c r="B165" s="3"/>
      <c r="C165" s="3"/>
      <c r="D165" s="4"/>
      <c r="E165" s="5" t="s">
        <v>30</v>
      </c>
      <c r="F165" s="87" t="s">
        <v>31</v>
      </c>
      <c r="G165" s="87"/>
      <c r="H165" s="87"/>
      <c r="I165" s="117" t="s">
        <v>32</v>
      </c>
      <c r="J165" s="117"/>
      <c r="K165" s="58"/>
      <c r="L165" s="4"/>
      <c r="M165" s="4"/>
      <c r="N165" s="3"/>
      <c r="O165" s="30" t="s">
        <v>33</v>
      </c>
      <c r="P165" s="87" t="s">
        <v>34</v>
      </c>
      <c r="Q165" s="87"/>
      <c r="R165" s="87"/>
      <c r="S165" s="117" t="s">
        <v>35</v>
      </c>
      <c r="T165" s="117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</row>
    <row r="166" spans="1:44" ht="15.6" customHeight="1" x14ac:dyDescent="0.25">
      <c r="A166" s="3"/>
      <c r="B166" s="3"/>
      <c r="C166" s="3"/>
      <c r="D166" s="4"/>
      <c r="E166" s="5" t="s">
        <v>36</v>
      </c>
      <c r="F166" s="87" t="s">
        <v>37</v>
      </c>
      <c r="G166" s="87"/>
      <c r="H166" s="87"/>
      <c r="I166" s="117" t="s">
        <v>38</v>
      </c>
      <c r="J166" s="117"/>
      <c r="K166" s="117"/>
      <c r="L166" s="4"/>
      <c r="M166" s="4"/>
      <c r="N166" s="3"/>
      <c r="O166" s="30" t="s">
        <v>39</v>
      </c>
      <c r="P166" s="87" t="s">
        <v>34</v>
      </c>
      <c r="Q166" s="87"/>
      <c r="R166" s="87"/>
      <c r="S166" s="118" t="s">
        <v>109</v>
      </c>
      <c r="T166" s="118"/>
      <c r="U166" s="118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</row>
    <row r="167" spans="1:44" ht="15.6" customHeight="1" x14ac:dyDescent="0.25">
      <c r="A167" s="41"/>
      <c r="B167" s="41"/>
      <c r="C167" s="41"/>
      <c r="D167" s="42"/>
      <c r="E167" s="43"/>
      <c r="F167" s="41"/>
      <c r="G167" s="41"/>
      <c r="H167" s="42"/>
      <c r="I167" s="42"/>
      <c r="J167" s="41"/>
      <c r="K167" s="41"/>
      <c r="L167" s="42"/>
      <c r="M167" s="42"/>
      <c r="N167" s="41"/>
      <c r="O167" s="41"/>
      <c r="P167" s="42"/>
      <c r="Q167" s="42"/>
      <c r="R167" s="41"/>
      <c r="S167" s="41"/>
      <c r="T167" s="41"/>
      <c r="U167" s="41"/>
      <c r="V167" s="41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</row>
    <row r="168" spans="1:44" ht="15.6" customHeight="1" x14ac:dyDescent="0.25">
      <c r="A168" s="41"/>
      <c r="B168" s="41"/>
      <c r="C168" s="41"/>
      <c r="D168" s="42"/>
      <c r="E168" s="43"/>
      <c r="F168" s="41"/>
      <c r="G168" s="41"/>
      <c r="H168" s="42"/>
      <c r="I168" s="42"/>
      <c r="J168" s="41"/>
      <c r="K168" s="41"/>
      <c r="L168" s="42"/>
      <c r="M168" s="42"/>
      <c r="N168" s="41"/>
      <c r="O168" s="41"/>
      <c r="P168" s="42"/>
      <c r="Q168" s="42"/>
      <c r="R168" s="41"/>
      <c r="S168" s="41"/>
      <c r="T168" s="41"/>
      <c r="U168" s="41"/>
      <c r="V168" s="41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</row>
    <row r="169" spans="1:44" ht="15.6" hidden="1" customHeight="1" x14ac:dyDescent="0.25">
      <c r="A169" s="3"/>
      <c r="B169" s="3"/>
      <c r="C169" s="3"/>
      <c r="D169" s="4"/>
      <c r="E169" s="4"/>
      <c r="F169" s="3"/>
      <c r="G169" s="3"/>
      <c r="H169" s="4"/>
      <c r="I169" s="4"/>
      <c r="J169" s="3"/>
      <c r="K169" s="3"/>
      <c r="L169" s="4"/>
      <c r="M169" s="4"/>
      <c r="N169" s="3"/>
      <c r="O169" s="3"/>
      <c r="P169" s="4"/>
      <c r="Q169" s="4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</row>
    <row r="170" spans="1:44" ht="15.6" customHeight="1" x14ac:dyDescent="0.3">
      <c r="A170" s="3"/>
      <c r="B170" s="3"/>
      <c r="C170" s="3"/>
      <c r="D170" s="4"/>
      <c r="E170" s="6" t="s">
        <v>1</v>
      </c>
      <c r="F170" s="3"/>
      <c r="G170" s="7"/>
      <c r="H170" s="8"/>
      <c r="I170" s="8"/>
      <c r="J170" s="7"/>
      <c r="K170" s="7"/>
      <c r="L170" s="8"/>
      <c r="M170" s="9" t="s">
        <v>2</v>
      </c>
      <c r="N170" s="12" t="str">
        <f>N148</f>
        <v>1.1</v>
      </c>
      <c r="O170" s="12"/>
      <c r="P170" s="4"/>
      <c r="Q170" s="4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</row>
    <row r="171" spans="1:44" ht="15.6" customHeight="1" x14ac:dyDescent="0.3">
      <c r="A171" s="3"/>
      <c r="B171" s="3"/>
      <c r="C171" s="3"/>
      <c r="D171" s="4"/>
      <c r="E171" s="6" t="s">
        <v>4</v>
      </c>
      <c r="F171" s="3"/>
      <c r="G171" s="3"/>
      <c r="H171" s="4"/>
      <c r="I171" s="4"/>
      <c r="J171" s="13"/>
      <c r="K171" s="13"/>
      <c r="L171" s="14"/>
      <c r="M171" s="9" t="s">
        <v>5</v>
      </c>
      <c r="N171" s="15" t="str">
        <f>N170&amp;".2"</f>
        <v>1.1.2</v>
      </c>
      <c r="O171" s="15"/>
      <c r="P171" s="4"/>
      <c r="Q171" s="4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</row>
    <row r="172" spans="1:44" ht="15.6" customHeight="1" x14ac:dyDescent="0.3">
      <c r="A172" s="3"/>
      <c r="B172" s="3"/>
      <c r="C172" s="3"/>
      <c r="D172" s="4"/>
      <c r="E172" s="4" t="s">
        <v>7</v>
      </c>
      <c r="F172" s="3"/>
      <c r="G172" s="3"/>
      <c r="H172" s="8"/>
      <c r="I172" s="8"/>
      <c r="J172" s="7"/>
      <c r="K172" s="7"/>
      <c r="L172" s="8"/>
      <c r="M172" s="16" t="s">
        <v>5</v>
      </c>
      <c r="N172" s="17">
        <f>N150+1</f>
        <v>5</v>
      </c>
      <c r="O172" s="3"/>
      <c r="P172" s="4"/>
      <c r="Q172" s="4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</row>
    <row r="173" spans="1:44" ht="15.6" customHeight="1" x14ac:dyDescent="0.3">
      <c r="A173" s="3"/>
      <c r="B173" s="3"/>
      <c r="C173" s="3"/>
      <c r="D173" s="4"/>
      <c r="E173" s="4" t="s">
        <v>8</v>
      </c>
      <c r="F173" s="3"/>
      <c r="G173" s="3"/>
      <c r="H173" s="4"/>
      <c r="I173" s="4"/>
      <c r="J173" s="3"/>
      <c r="K173" s="3"/>
      <c r="L173" s="14"/>
      <c r="M173" s="16" t="s">
        <v>99</v>
      </c>
      <c r="N173" s="17" t="str">
        <f>IF(N151="-"&amp;N128&amp;".3",IF(N152=15,"-"&amp;N128&amp;".4","-"&amp;N128&amp;".3"),N151)</f>
        <v>-1.1.3</v>
      </c>
      <c r="O173" s="3"/>
      <c r="P173" s="4"/>
      <c r="Q173" s="4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</row>
    <row r="174" spans="1:44" ht="15.6" customHeight="1" x14ac:dyDescent="0.3">
      <c r="A174" s="3"/>
      <c r="B174" s="3"/>
      <c r="C174" s="3"/>
      <c r="D174" s="4"/>
      <c r="E174" s="21" t="s">
        <v>10</v>
      </c>
      <c r="F174" s="3"/>
      <c r="G174" s="3"/>
      <c r="H174" s="4"/>
      <c r="I174" s="8"/>
      <c r="J174" s="7"/>
      <c r="K174" s="7"/>
      <c r="L174" s="8"/>
      <c r="M174" s="16" t="s">
        <v>5</v>
      </c>
      <c r="N174" s="17">
        <f>IF(N173="-"&amp;N128&amp;".3",N152+1,IF(N151="-"&amp;N128&amp;".3",1,N152+1))</f>
        <v>9</v>
      </c>
      <c r="O174" s="3"/>
      <c r="P174" s="4"/>
      <c r="Q174" s="4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</row>
    <row r="175" spans="1:44" ht="15.6" customHeight="1" x14ac:dyDescent="0.25">
      <c r="A175" s="3"/>
      <c r="B175" s="3"/>
      <c r="C175" s="3"/>
      <c r="D175" s="4"/>
      <c r="E175" s="4"/>
      <c r="F175" s="3"/>
      <c r="G175" s="3"/>
      <c r="H175" s="4"/>
      <c r="I175" s="4"/>
      <c r="J175" s="3"/>
      <c r="K175" s="3"/>
      <c r="L175" s="4"/>
      <c r="M175" s="4"/>
      <c r="N175" s="3"/>
      <c r="O175" s="3"/>
      <c r="P175" s="4"/>
      <c r="Q175" s="4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</row>
    <row r="176" spans="1:44" ht="15.6" customHeight="1" x14ac:dyDescent="0.25">
      <c r="A176" s="24"/>
      <c r="B176" s="25"/>
      <c r="C176" s="25"/>
      <c r="D176" s="26"/>
      <c r="E176" s="26"/>
      <c r="F176" s="25"/>
      <c r="G176" s="25"/>
      <c r="H176" s="26"/>
      <c r="I176" s="26"/>
      <c r="J176" s="25"/>
      <c r="K176" s="25"/>
      <c r="L176" s="26"/>
      <c r="M176" s="26"/>
      <c r="N176" s="25"/>
      <c r="O176" s="25"/>
      <c r="P176" s="26"/>
      <c r="Q176" s="26"/>
      <c r="R176" s="25"/>
      <c r="S176" s="25"/>
      <c r="T176" s="25"/>
      <c r="U176" s="25"/>
      <c r="V176" s="45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</row>
    <row r="177" spans="1:44" ht="15.6" customHeight="1" x14ac:dyDescent="0.25">
      <c r="A177" s="27"/>
      <c r="B177" s="28"/>
      <c r="C177" s="28"/>
      <c r="D177" s="71">
        <v>1</v>
      </c>
      <c r="E177" s="72"/>
      <c r="F177" s="28"/>
      <c r="G177" s="28"/>
      <c r="H177" s="71">
        <v>2</v>
      </c>
      <c r="I177" s="72"/>
      <c r="J177" s="28"/>
      <c r="K177" s="28"/>
      <c r="L177" s="71">
        <v>3</v>
      </c>
      <c r="M177" s="72"/>
      <c r="N177" s="28"/>
      <c r="O177" s="28"/>
      <c r="P177" s="71">
        <v>4</v>
      </c>
      <c r="Q177" s="72"/>
      <c r="R177" s="28"/>
      <c r="S177" s="28"/>
      <c r="T177" s="28"/>
      <c r="U177" s="28"/>
      <c r="V177" s="46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</row>
    <row r="178" spans="1:44" ht="15.6" customHeight="1" x14ac:dyDescent="0.25">
      <c r="A178" s="27"/>
      <c r="B178" s="74" t="s">
        <v>11</v>
      </c>
      <c r="C178" s="74"/>
      <c r="D178" s="71" t="s">
        <v>12</v>
      </c>
      <c r="E178" s="72"/>
      <c r="F178" s="74" t="s">
        <v>11</v>
      </c>
      <c r="G178" s="74"/>
      <c r="H178" s="71" t="s">
        <v>12</v>
      </c>
      <c r="I178" s="72"/>
      <c r="J178" s="74" t="s">
        <v>11</v>
      </c>
      <c r="K178" s="74"/>
      <c r="L178" s="71" t="s">
        <v>12</v>
      </c>
      <c r="M178" s="72"/>
      <c r="N178" s="74" t="s">
        <v>11</v>
      </c>
      <c r="O178" s="74"/>
      <c r="P178" s="71" t="s">
        <v>12</v>
      </c>
      <c r="Q178" s="72"/>
      <c r="R178" s="74"/>
      <c r="S178" s="74"/>
      <c r="T178" s="74"/>
      <c r="U178" s="74"/>
      <c r="V178" s="48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</row>
    <row r="179" spans="1:44" ht="15.6" customHeight="1" x14ac:dyDescent="0.25">
      <c r="A179" s="27"/>
      <c r="B179" s="76"/>
      <c r="C179" s="76"/>
      <c r="D179" s="77"/>
      <c r="E179" s="77"/>
      <c r="F179" s="76"/>
      <c r="G179" s="76"/>
      <c r="H179" s="77"/>
      <c r="I179" s="77"/>
      <c r="J179" s="76"/>
      <c r="K179" s="76"/>
      <c r="L179" s="77"/>
      <c r="M179" s="77"/>
      <c r="N179" s="76"/>
      <c r="O179" s="76"/>
      <c r="P179" s="77"/>
      <c r="Q179" s="77"/>
      <c r="R179" s="76"/>
      <c r="S179" s="76"/>
      <c r="T179" s="76"/>
      <c r="U179" s="76"/>
      <c r="V179" s="48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</row>
    <row r="180" spans="1:44" ht="15.6" customHeight="1" x14ac:dyDescent="0.25">
      <c r="A180" s="27"/>
      <c r="B180" s="74">
        <v>0</v>
      </c>
      <c r="C180" s="74"/>
      <c r="D180" s="78">
        <v>1</v>
      </c>
      <c r="E180" s="78"/>
      <c r="F180" s="74">
        <v>2</v>
      </c>
      <c r="G180" s="74"/>
      <c r="H180" s="78">
        <v>3</v>
      </c>
      <c r="I180" s="78"/>
      <c r="J180" s="74">
        <v>4</v>
      </c>
      <c r="K180" s="74"/>
      <c r="L180" s="78">
        <v>5</v>
      </c>
      <c r="M180" s="78"/>
      <c r="N180" s="74">
        <v>6</v>
      </c>
      <c r="O180" s="74"/>
      <c r="P180" s="78">
        <v>7</v>
      </c>
      <c r="Q180" s="78"/>
      <c r="R180" s="74">
        <v>8</v>
      </c>
      <c r="S180" s="74"/>
      <c r="T180" s="74">
        <v>9</v>
      </c>
      <c r="U180" s="74"/>
      <c r="V180" s="49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</row>
    <row r="181" spans="1:44" ht="15.6" customHeight="1" x14ac:dyDescent="0.25">
      <c r="A181" s="27"/>
      <c r="B181" s="28" t="s">
        <v>13</v>
      </c>
      <c r="C181" s="28" t="s">
        <v>14</v>
      </c>
      <c r="D181" s="31" t="s">
        <v>15</v>
      </c>
      <c r="E181" s="31" t="s">
        <v>16</v>
      </c>
      <c r="F181" s="28" t="s">
        <v>13</v>
      </c>
      <c r="G181" s="28" t="s">
        <v>14</v>
      </c>
      <c r="H181" s="31" t="s">
        <v>15</v>
      </c>
      <c r="I181" s="31" t="s">
        <v>16</v>
      </c>
      <c r="J181" s="28" t="s">
        <v>13</v>
      </c>
      <c r="K181" s="28" t="s">
        <v>14</v>
      </c>
      <c r="L181" s="31" t="s">
        <v>15</v>
      </c>
      <c r="M181" s="31" t="s">
        <v>16</v>
      </c>
      <c r="N181" s="28" t="s">
        <v>13</v>
      </c>
      <c r="O181" s="28" t="s">
        <v>14</v>
      </c>
      <c r="P181" s="31" t="s">
        <v>15</v>
      </c>
      <c r="Q181" s="31" t="s">
        <v>16</v>
      </c>
      <c r="R181" s="28" t="s">
        <v>13</v>
      </c>
      <c r="S181" s="28" t="s">
        <v>14</v>
      </c>
      <c r="T181" s="28" t="s">
        <v>15</v>
      </c>
      <c r="U181" s="28" t="s">
        <v>16</v>
      </c>
      <c r="V181" s="49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</row>
    <row r="182" spans="1:44" ht="15.6" customHeight="1" x14ac:dyDescent="0.25">
      <c r="A182" s="33"/>
      <c r="B182" s="34"/>
      <c r="C182" s="34"/>
      <c r="D182" s="35"/>
      <c r="E182" s="36"/>
      <c r="F182" s="34"/>
      <c r="G182" s="34"/>
      <c r="H182" s="35"/>
      <c r="I182" s="36"/>
      <c r="J182" s="34"/>
      <c r="K182" s="34"/>
      <c r="L182" s="35"/>
      <c r="M182" s="36"/>
      <c r="N182" s="34"/>
      <c r="O182" s="34"/>
      <c r="P182" s="35"/>
      <c r="Q182" s="36"/>
      <c r="R182" s="34"/>
      <c r="S182" s="34"/>
      <c r="T182" s="34"/>
      <c r="U182" s="34"/>
      <c r="V182" s="50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</row>
    <row r="183" spans="1:44" ht="15.6" customHeight="1" x14ac:dyDescent="0.25">
      <c r="A183" s="3"/>
      <c r="B183" s="30"/>
      <c r="C183" s="30"/>
      <c r="D183" s="54"/>
      <c r="E183" s="5"/>
      <c r="F183" s="30"/>
      <c r="G183" s="30"/>
      <c r="H183" s="54"/>
      <c r="I183" s="5"/>
      <c r="J183" s="30"/>
      <c r="K183" s="30"/>
      <c r="L183" s="54"/>
      <c r="M183" s="5"/>
      <c r="N183" s="30"/>
      <c r="O183" s="30"/>
      <c r="P183" s="54"/>
      <c r="Q183" s="5"/>
      <c r="R183" s="30"/>
      <c r="S183" s="30"/>
      <c r="T183" s="30"/>
      <c r="U183" s="30"/>
      <c r="V183" s="32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</row>
    <row r="184" spans="1:44" ht="15.6" customHeight="1" x14ac:dyDescent="0.25">
      <c r="A184" s="3"/>
      <c r="B184" s="95"/>
      <c r="C184" s="96"/>
      <c r="D184" s="97"/>
      <c r="E184" s="98"/>
      <c r="F184" s="95"/>
      <c r="G184" s="96"/>
      <c r="H184" s="97"/>
      <c r="I184" s="98"/>
      <c r="J184" s="95"/>
      <c r="K184" s="96"/>
      <c r="L184" s="97"/>
      <c r="M184" s="98"/>
      <c r="N184" s="95"/>
      <c r="O184" s="96"/>
      <c r="P184" s="97"/>
      <c r="Q184" s="98"/>
      <c r="R184" s="30"/>
      <c r="S184" s="30"/>
      <c r="T184" s="30"/>
      <c r="U184" s="30"/>
      <c r="V184" s="32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</row>
    <row r="185" spans="1:44" ht="15.6" customHeight="1" x14ac:dyDescent="0.25">
      <c r="A185" s="3"/>
      <c r="B185" s="40" t="str">
        <f>IF(D184&lt;1,"","пом.")</f>
        <v/>
      </c>
      <c r="C185" s="40"/>
      <c r="D185" s="85"/>
      <c r="E185" s="86"/>
      <c r="F185" s="40" t="str">
        <f>IF(H184&lt;1,"","пом.")</f>
        <v/>
      </c>
      <c r="G185" s="40"/>
      <c r="H185" s="85"/>
      <c r="I185" s="86"/>
      <c r="J185" s="40" t="str">
        <f>IF(L184&lt;1,"","пом.")</f>
        <v/>
      </c>
      <c r="K185" s="40"/>
      <c r="L185" s="85"/>
      <c r="M185" s="86"/>
      <c r="N185" s="40" t="str">
        <f>IF(P184&lt;1,"","пом.")</f>
        <v/>
      </c>
      <c r="O185" s="40"/>
      <c r="P185" s="85"/>
      <c r="Q185" s="86"/>
      <c r="R185" s="30"/>
      <c r="S185" s="30"/>
      <c r="T185" s="30"/>
      <c r="U185" s="30"/>
      <c r="V185" s="32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</row>
    <row r="186" spans="1:44" ht="15.6" customHeight="1" x14ac:dyDescent="0.25">
      <c r="A186" s="3"/>
      <c r="B186" s="3"/>
      <c r="C186" s="3"/>
      <c r="D186" s="4"/>
      <c r="E186" s="4"/>
      <c r="F186" s="3"/>
      <c r="G186" s="3"/>
      <c r="H186" s="4"/>
      <c r="I186" s="4"/>
      <c r="J186" s="3"/>
      <c r="K186" s="3"/>
      <c r="L186" s="4"/>
      <c r="M186" s="4"/>
      <c r="N186" s="3"/>
      <c r="O186" s="3"/>
      <c r="P186" s="4"/>
      <c r="Q186" s="4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</row>
    <row r="187" spans="1:44" ht="15.6" customHeight="1" x14ac:dyDescent="0.25">
      <c r="A187" s="3"/>
      <c r="B187" s="3"/>
      <c r="C187" s="3"/>
      <c r="D187" s="4"/>
      <c r="E187" s="5" t="s">
        <v>30</v>
      </c>
      <c r="F187" s="87" t="s">
        <v>31</v>
      </c>
      <c r="G187" s="87"/>
      <c r="H187" s="87"/>
      <c r="I187" s="117" t="s">
        <v>32</v>
      </c>
      <c r="J187" s="117"/>
      <c r="K187" s="58"/>
      <c r="L187" s="4"/>
      <c r="M187" s="4"/>
      <c r="N187" s="3"/>
      <c r="O187" s="30" t="s">
        <v>33</v>
      </c>
      <c r="P187" s="87" t="s">
        <v>34</v>
      </c>
      <c r="Q187" s="87"/>
      <c r="R187" s="87"/>
      <c r="S187" s="117" t="s">
        <v>35</v>
      </c>
      <c r="T187" s="117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</row>
    <row r="188" spans="1:44" ht="15.6" customHeight="1" x14ac:dyDescent="0.25">
      <c r="A188" s="3"/>
      <c r="B188" s="3"/>
      <c r="C188" s="3"/>
      <c r="D188" s="4"/>
      <c r="E188" s="5" t="s">
        <v>36</v>
      </c>
      <c r="F188" s="87" t="s">
        <v>37</v>
      </c>
      <c r="G188" s="87"/>
      <c r="H188" s="87"/>
      <c r="I188" s="117" t="s">
        <v>38</v>
      </c>
      <c r="J188" s="117"/>
      <c r="K188" s="117"/>
      <c r="L188" s="4"/>
      <c r="M188" s="4"/>
      <c r="N188" s="3"/>
      <c r="O188" s="30" t="s">
        <v>39</v>
      </c>
      <c r="P188" s="87" t="s">
        <v>34</v>
      </c>
      <c r="Q188" s="87"/>
      <c r="R188" s="87"/>
      <c r="S188" s="118" t="s">
        <v>109</v>
      </c>
      <c r="T188" s="118"/>
      <c r="U188" s="118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</row>
    <row r="189" spans="1:44" ht="15.6" customHeight="1" x14ac:dyDescent="0.25">
      <c r="A189" s="41"/>
      <c r="B189" s="41"/>
      <c r="C189" s="41"/>
      <c r="D189" s="42"/>
      <c r="E189" s="43"/>
      <c r="F189" s="41"/>
      <c r="G189" s="41"/>
      <c r="H189" s="42"/>
      <c r="I189" s="42"/>
      <c r="J189" s="41"/>
      <c r="K189" s="41"/>
      <c r="L189" s="42"/>
      <c r="M189" s="42"/>
      <c r="N189" s="41"/>
      <c r="O189" s="41"/>
      <c r="P189" s="42"/>
      <c r="Q189" s="42"/>
      <c r="R189" s="41"/>
      <c r="S189" s="41"/>
      <c r="T189" s="41"/>
      <c r="U189" s="41"/>
      <c r="V189" s="41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</row>
    <row r="190" spans="1:44" ht="15.6" customHeight="1" x14ac:dyDescent="0.3">
      <c r="A190" s="3"/>
      <c r="B190" s="3"/>
      <c r="C190" s="3"/>
      <c r="D190" s="4"/>
      <c r="E190" s="6" t="s">
        <v>1</v>
      </c>
      <c r="F190" s="3"/>
      <c r="G190" s="7"/>
      <c r="H190" s="8"/>
      <c r="I190" s="8"/>
      <c r="J190" s="7"/>
      <c r="K190" s="7"/>
      <c r="L190" s="8"/>
      <c r="M190" s="9" t="s">
        <v>2</v>
      </c>
      <c r="N190" s="12" t="str">
        <f>N170</f>
        <v>1.1</v>
      </c>
      <c r="O190" s="12"/>
      <c r="P190" s="4"/>
      <c r="Q190" s="4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</row>
    <row r="191" spans="1:44" ht="15.6" customHeight="1" x14ac:dyDescent="0.3">
      <c r="A191" s="3"/>
      <c r="B191" s="3"/>
      <c r="C191" s="3"/>
      <c r="D191" s="4"/>
      <c r="E191" s="6" t="s">
        <v>4</v>
      </c>
      <c r="F191" s="3"/>
      <c r="G191" s="3"/>
      <c r="H191" s="4"/>
      <c r="I191" s="4"/>
      <c r="J191" s="13"/>
      <c r="K191" s="13"/>
      <c r="L191" s="14"/>
      <c r="M191" s="9" t="s">
        <v>5</v>
      </c>
      <c r="N191" s="15" t="str">
        <f>N171</f>
        <v>1.1.2</v>
      </c>
      <c r="O191" s="15"/>
      <c r="P191" s="4"/>
      <c r="Q191" s="4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</row>
    <row r="192" spans="1:44" ht="15.6" customHeight="1" x14ac:dyDescent="0.3">
      <c r="A192" s="3"/>
      <c r="B192" s="3"/>
      <c r="C192" s="3"/>
      <c r="D192" s="4"/>
      <c r="E192" s="4" t="s">
        <v>7</v>
      </c>
      <c r="F192" s="3"/>
      <c r="G192" s="3"/>
      <c r="H192" s="8"/>
      <c r="I192" s="8"/>
      <c r="J192" s="7"/>
      <c r="K192" s="7"/>
      <c r="L192" s="8"/>
      <c r="M192" s="16" t="s">
        <v>5</v>
      </c>
      <c r="N192" s="17">
        <f>N172</f>
        <v>5</v>
      </c>
      <c r="O192" s="3"/>
      <c r="P192" s="4"/>
      <c r="Q192" s="4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</row>
    <row r="193" spans="1:44" ht="15.6" customHeight="1" x14ac:dyDescent="0.3">
      <c r="A193" s="3"/>
      <c r="B193" s="3"/>
      <c r="C193" s="3"/>
      <c r="D193" s="4"/>
      <c r="E193" s="4" t="s">
        <v>8</v>
      </c>
      <c r="F193" s="3"/>
      <c r="G193" s="3"/>
      <c r="H193" s="4"/>
      <c r="I193" s="4"/>
      <c r="J193" s="3"/>
      <c r="K193" s="3"/>
      <c r="L193" s="14"/>
      <c r="M193" s="16" t="s">
        <v>99</v>
      </c>
      <c r="N193" s="17" t="str">
        <f>IF(N173="-"&amp;N170&amp;".3",IF(N174=15,"-"&amp;N170&amp;".4","-"&amp;N170&amp;".3"),N173)</f>
        <v>-1.1.3</v>
      </c>
      <c r="O193" s="19"/>
      <c r="P193" s="4"/>
      <c r="Q193" s="4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</row>
    <row r="194" spans="1:44" ht="15.6" customHeight="1" x14ac:dyDescent="0.3">
      <c r="A194" s="3"/>
      <c r="B194" s="3"/>
      <c r="C194" s="3"/>
      <c r="D194" s="4"/>
      <c r="E194" s="21" t="s">
        <v>10</v>
      </c>
      <c r="F194" s="3"/>
      <c r="G194" s="3"/>
      <c r="H194" s="4"/>
      <c r="I194" s="8"/>
      <c r="J194" s="7"/>
      <c r="K194" s="7"/>
      <c r="L194" s="8"/>
      <c r="M194" s="16" t="s">
        <v>5</v>
      </c>
      <c r="N194" s="17">
        <f>IF(N193="-"&amp;N128&amp;".3",N174+1,IF(N173="-"&amp;N128&amp;".3",1,N174+1))</f>
        <v>10</v>
      </c>
      <c r="O194" s="3"/>
      <c r="P194" s="4"/>
      <c r="Q194" s="4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</row>
    <row r="195" spans="1:44" ht="9.6" customHeight="1" x14ac:dyDescent="0.25">
      <c r="A195" s="3"/>
      <c r="B195" s="3"/>
      <c r="C195" s="3"/>
      <c r="D195" s="4"/>
      <c r="E195" s="4"/>
      <c r="F195" s="3"/>
      <c r="G195" s="3"/>
      <c r="H195" s="4"/>
      <c r="I195" s="4"/>
      <c r="J195" s="3"/>
      <c r="K195" s="3"/>
      <c r="L195" s="4"/>
      <c r="M195" s="4"/>
      <c r="N195" s="3"/>
      <c r="O195" s="3"/>
      <c r="P195" s="4"/>
      <c r="Q195" s="4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</row>
    <row r="196" spans="1:44" ht="15.6" customHeight="1" x14ac:dyDescent="0.25">
      <c r="A196" s="24"/>
      <c r="B196" s="25"/>
      <c r="C196" s="25"/>
      <c r="D196" s="26"/>
      <c r="E196" s="26"/>
      <c r="F196" s="25"/>
      <c r="G196" s="25"/>
      <c r="H196" s="26"/>
      <c r="I196" s="26"/>
      <c r="J196" s="25"/>
      <c r="K196" s="25"/>
      <c r="L196" s="26"/>
      <c r="M196" s="26"/>
      <c r="N196" s="25"/>
      <c r="O196" s="25"/>
      <c r="P196" s="26"/>
      <c r="Q196" s="26"/>
      <c r="R196" s="25"/>
      <c r="S196" s="25"/>
      <c r="T196" s="25"/>
      <c r="U196" s="25"/>
      <c r="V196" s="45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</row>
    <row r="197" spans="1:44" ht="15.6" customHeight="1" x14ac:dyDescent="0.25">
      <c r="A197" s="27"/>
      <c r="B197" s="28"/>
      <c r="C197" s="28"/>
      <c r="D197" s="71">
        <v>1</v>
      </c>
      <c r="E197" s="72"/>
      <c r="F197" s="28"/>
      <c r="G197" s="28"/>
      <c r="H197" s="71">
        <v>2</v>
      </c>
      <c r="I197" s="72"/>
      <c r="J197" s="28"/>
      <c r="K197" s="28"/>
      <c r="L197" s="71">
        <v>3</v>
      </c>
      <c r="M197" s="72"/>
      <c r="N197" s="28"/>
      <c r="O197" s="28"/>
      <c r="P197" s="71">
        <v>4</v>
      </c>
      <c r="Q197" s="72"/>
      <c r="R197" s="28"/>
      <c r="S197" s="28"/>
      <c r="T197" s="28"/>
      <c r="U197" s="28"/>
      <c r="V197" s="46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</row>
    <row r="198" spans="1:44" ht="15.6" customHeight="1" x14ac:dyDescent="0.25">
      <c r="A198" s="27"/>
      <c r="B198" s="74" t="s">
        <v>11</v>
      </c>
      <c r="C198" s="74"/>
      <c r="D198" s="71" t="s">
        <v>12</v>
      </c>
      <c r="E198" s="72"/>
      <c r="F198" s="74" t="s">
        <v>11</v>
      </c>
      <c r="G198" s="74"/>
      <c r="H198" s="71" t="s">
        <v>12</v>
      </c>
      <c r="I198" s="72"/>
      <c r="J198" s="74" t="s">
        <v>11</v>
      </c>
      <c r="K198" s="74"/>
      <c r="L198" s="71" t="s">
        <v>12</v>
      </c>
      <c r="M198" s="72"/>
      <c r="N198" s="74" t="s">
        <v>11</v>
      </c>
      <c r="O198" s="74"/>
      <c r="P198" s="71" t="s">
        <v>12</v>
      </c>
      <c r="Q198" s="72"/>
      <c r="R198" s="74"/>
      <c r="S198" s="74"/>
      <c r="T198" s="74"/>
      <c r="U198" s="74"/>
      <c r="V198" s="48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</row>
    <row r="199" spans="1:44" ht="15.6" customHeight="1" x14ac:dyDescent="0.25">
      <c r="A199" s="27"/>
      <c r="B199" s="76"/>
      <c r="C199" s="76"/>
      <c r="D199" s="77"/>
      <c r="E199" s="77"/>
      <c r="F199" s="76"/>
      <c r="G199" s="76"/>
      <c r="H199" s="77"/>
      <c r="I199" s="77"/>
      <c r="J199" s="76"/>
      <c r="K199" s="76"/>
      <c r="L199" s="77"/>
      <c r="M199" s="77"/>
      <c r="N199" s="76"/>
      <c r="O199" s="76"/>
      <c r="P199" s="77"/>
      <c r="Q199" s="77"/>
      <c r="R199" s="76"/>
      <c r="S199" s="76"/>
      <c r="T199" s="76"/>
      <c r="U199" s="76"/>
      <c r="V199" s="48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</row>
    <row r="200" spans="1:44" ht="15.6" customHeight="1" x14ac:dyDescent="0.25">
      <c r="A200" s="27"/>
      <c r="B200" s="74">
        <v>0</v>
      </c>
      <c r="C200" s="74"/>
      <c r="D200" s="78">
        <v>1</v>
      </c>
      <c r="E200" s="78"/>
      <c r="F200" s="74">
        <v>2</v>
      </c>
      <c r="G200" s="74"/>
      <c r="H200" s="78">
        <v>3</v>
      </c>
      <c r="I200" s="78"/>
      <c r="J200" s="74">
        <v>4</v>
      </c>
      <c r="K200" s="74"/>
      <c r="L200" s="78">
        <v>5</v>
      </c>
      <c r="M200" s="78"/>
      <c r="N200" s="74">
        <v>6</v>
      </c>
      <c r="O200" s="74"/>
      <c r="P200" s="78">
        <v>7</v>
      </c>
      <c r="Q200" s="78"/>
      <c r="R200" s="74">
        <v>8</v>
      </c>
      <c r="S200" s="74"/>
      <c r="T200" s="74">
        <v>9</v>
      </c>
      <c r="U200" s="74"/>
      <c r="V200" s="49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</row>
    <row r="201" spans="1:44" ht="15.6" customHeight="1" x14ac:dyDescent="0.25">
      <c r="A201" s="27"/>
      <c r="B201" s="28" t="s">
        <v>13</v>
      </c>
      <c r="C201" s="28" t="s">
        <v>14</v>
      </c>
      <c r="D201" s="31" t="s">
        <v>15</v>
      </c>
      <c r="E201" s="31" t="s">
        <v>16</v>
      </c>
      <c r="F201" s="28" t="s">
        <v>13</v>
      </c>
      <c r="G201" s="28" t="s">
        <v>14</v>
      </c>
      <c r="H201" s="31" t="s">
        <v>15</v>
      </c>
      <c r="I201" s="31" t="s">
        <v>16</v>
      </c>
      <c r="J201" s="28" t="s">
        <v>13</v>
      </c>
      <c r="K201" s="28" t="s">
        <v>14</v>
      </c>
      <c r="L201" s="31" t="s">
        <v>15</v>
      </c>
      <c r="M201" s="31" t="s">
        <v>16</v>
      </c>
      <c r="N201" s="28" t="s">
        <v>13</v>
      </c>
      <c r="O201" s="28" t="s">
        <v>14</v>
      </c>
      <c r="P201" s="31" t="s">
        <v>15</v>
      </c>
      <c r="Q201" s="31" t="s">
        <v>16</v>
      </c>
      <c r="R201" s="28" t="s">
        <v>13</v>
      </c>
      <c r="S201" s="28" t="s">
        <v>14</v>
      </c>
      <c r="T201" s="28" t="s">
        <v>15</v>
      </c>
      <c r="U201" s="28" t="s">
        <v>16</v>
      </c>
      <c r="V201" s="49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</row>
    <row r="202" spans="1:44" ht="15.6" customHeight="1" x14ac:dyDescent="0.25">
      <c r="A202" s="33"/>
      <c r="B202" s="34"/>
      <c r="C202" s="34"/>
      <c r="D202" s="35"/>
      <c r="E202" s="36"/>
      <c r="F202" s="34"/>
      <c r="G202" s="34"/>
      <c r="H202" s="35"/>
      <c r="I202" s="36"/>
      <c r="J202" s="34"/>
      <c r="K202" s="34"/>
      <c r="L202" s="35"/>
      <c r="M202" s="36"/>
      <c r="N202" s="34"/>
      <c r="O202" s="34"/>
      <c r="P202" s="35"/>
      <c r="Q202" s="36"/>
      <c r="R202" s="34"/>
      <c r="S202" s="34"/>
      <c r="T202" s="34"/>
      <c r="U202" s="34"/>
      <c r="V202" s="50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</row>
    <row r="203" spans="1:44" ht="6" customHeight="1" x14ac:dyDescent="0.25">
      <c r="A203" s="3"/>
      <c r="B203" s="30"/>
      <c r="C203" s="30"/>
      <c r="D203" s="54"/>
      <c r="E203" s="5"/>
      <c r="F203" s="30"/>
      <c r="G203" s="30"/>
      <c r="H203" s="54"/>
      <c r="I203" s="5"/>
      <c r="J203" s="30"/>
      <c r="K203" s="30"/>
      <c r="L203" s="54"/>
      <c r="M203" s="5"/>
      <c r="N203" s="30"/>
      <c r="O203" s="30"/>
      <c r="P203" s="54"/>
      <c r="Q203" s="5"/>
      <c r="R203" s="30"/>
      <c r="S203" s="30"/>
      <c r="T203" s="30"/>
      <c r="U203" s="30"/>
      <c r="V203" s="32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</row>
    <row r="204" spans="1:44" ht="15.6" customHeight="1" x14ac:dyDescent="0.25">
      <c r="A204" s="3"/>
      <c r="B204" s="95"/>
      <c r="C204" s="96"/>
      <c r="D204" s="97"/>
      <c r="E204" s="98"/>
      <c r="F204" s="95"/>
      <c r="G204" s="96"/>
      <c r="H204" s="97"/>
      <c r="I204" s="98"/>
      <c r="J204" s="95"/>
      <c r="K204" s="96"/>
      <c r="L204" s="97"/>
      <c r="M204" s="98"/>
      <c r="N204" s="95"/>
      <c r="O204" s="96"/>
      <c r="P204" s="97"/>
      <c r="Q204" s="98"/>
      <c r="R204" s="30"/>
      <c r="S204" s="30"/>
      <c r="T204" s="30"/>
      <c r="U204" s="30"/>
      <c r="V204" s="32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</row>
    <row r="205" spans="1:44" ht="15.6" customHeight="1" x14ac:dyDescent="0.25">
      <c r="A205" s="3"/>
      <c r="B205" s="40" t="str">
        <f>IF(D204&lt;1,"","пом.")</f>
        <v/>
      </c>
      <c r="C205" s="40"/>
      <c r="D205" s="85"/>
      <c r="E205" s="86"/>
      <c r="F205" s="40" t="str">
        <f>IF(H204&lt;1,"","пом.")</f>
        <v/>
      </c>
      <c r="G205" s="40"/>
      <c r="H205" s="85"/>
      <c r="I205" s="86"/>
      <c r="J205" s="40" t="str">
        <f>IF(L204&lt;1,"","пом.")</f>
        <v/>
      </c>
      <c r="K205" s="40"/>
      <c r="L205" s="85"/>
      <c r="M205" s="86"/>
      <c r="N205" s="40" t="str">
        <f>IF(P204&lt;1,"","пом.")</f>
        <v/>
      </c>
      <c r="O205" s="40"/>
      <c r="P205" s="85"/>
      <c r="Q205" s="86"/>
      <c r="R205" s="30"/>
      <c r="S205" s="30"/>
      <c r="T205" s="30"/>
      <c r="U205" s="30"/>
      <c r="V205" s="32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</row>
    <row r="206" spans="1:44" ht="6.6" customHeight="1" x14ac:dyDescent="0.25">
      <c r="A206" s="3"/>
      <c r="B206" s="3"/>
      <c r="C206" s="3"/>
      <c r="D206" s="4"/>
      <c r="E206" s="4"/>
      <c r="F206" s="3"/>
      <c r="G206" s="3"/>
      <c r="H206" s="4"/>
      <c r="I206" s="4"/>
      <c r="J206" s="3"/>
      <c r="K206" s="3"/>
      <c r="L206" s="4"/>
      <c r="M206" s="4"/>
      <c r="N206" s="3"/>
      <c r="O206" s="3"/>
      <c r="P206" s="4"/>
      <c r="Q206" s="4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</row>
    <row r="207" spans="1:44" ht="15.6" customHeight="1" x14ac:dyDescent="0.25">
      <c r="A207" s="3"/>
      <c r="B207" s="3"/>
      <c r="C207" s="3"/>
      <c r="D207" s="4"/>
      <c r="E207" s="5" t="s">
        <v>30</v>
      </c>
      <c r="F207" s="87" t="s">
        <v>31</v>
      </c>
      <c r="G207" s="87"/>
      <c r="H207" s="87"/>
      <c r="I207" s="117" t="s">
        <v>32</v>
      </c>
      <c r="J207" s="117"/>
      <c r="K207" s="58"/>
      <c r="L207" s="4"/>
      <c r="M207" s="4"/>
      <c r="N207" s="3"/>
      <c r="O207" s="30" t="s">
        <v>33</v>
      </c>
      <c r="P207" s="87" t="s">
        <v>34</v>
      </c>
      <c r="Q207" s="87"/>
      <c r="R207" s="87"/>
      <c r="S207" s="117" t="s">
        <v>35</v>
      </c>
      <c r="T207" s="117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</row>
    <row r="208" spans="1:44" ht="15.6" customHeight="1" x14ac:dyDescent="0.25">
      <c r="A208" s="3"/>
      <c r="B208" s="3"/>
      <c r="C208" s="3"/>
      <c r="D208" s="4"/>
      <c r="E208" s="5" t="s">
        <v>36</v>
      </c>
      <c r="F208" s="87" t="s">
        <v>37</v>
      </c>
      <c r="G208" s="87"/>
      <c r="H208" s="87"/>
      <c r="I208" s="117" t="s">
        <v>38</v>
      </c>
      <c r="J208" s="117"/>
      <c r="K208" s="117"/>
      <c r="L208" s="4"/>
      <c r="M208" s="4"/>
      <c r="N208" s="3"/>
      <c r="O208" s="30" t="s">
        <v>39</v>
      </c>
      <c r="P208" s="87" t="s">
        <v>34</v>
      </c>
      <c r="Q208" s="87"/>
      <c r="R208" s="87"/>
      <c r="S208" s="118" t="s">
        <v>109</v>
      </c>
      <c r="T208" s="118"/>
      <c r="U208" s="118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</row>
    <row r="209" spans="1:44" ht="15.6" customHeight="1" x14ac:dyDescent="0.25">
      <c r="A209" s="41"/>
      <c r="B209" s="41"/>
      <c r="C209" s="41"/>
      <c r="D209" s="42"/>
      <c r="E209" s="43"/>
      <c r="F209" s="41"/>
      <c r="G209" s="41"/>
      <c r="H209" s="42"/>
      <c r="I209" s="42"/>
      <c r="J209" s="41"/>
      <c r="K209" s="41"/>
      <c r="L209" s="42"/>
      <c r="M209" s="42"/>
      <c r="N209" s="41"/>
      <c r="O209" s="41"/>
      <c r="P209" s="42"/>
      <c r="Q209" s="42"/>
      <c r="R209" s="41"/>
      <c r="S209" s="41"/>
      <c r="T209" s="41"/>
      <c r="U209" s="41"/>
      <c r="V209" s="41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</row>
    <row r="210" spans="1:44" ht="15.6" customHeight="1" x14ac:dyDescent="0.25">
      <c r="A210" s="41"/>
      <c r="B210" s="41"/>
      <c r="C210" s="41"/>
      <c r="D210" s="42"/>
      <c r="E210" s="43"/>
      <c r="F210" s="41"/>
      <c r="G210" s="41"/>
      <c r="H210" s="42"/>
      <c r="I210" s="42"/>
      <c r="J210" s="41"/>
      <c r="K210" s="41"/>
      <c r="L210" s="42"/>
      <c r="M210" s="42"/>
      <c r="N210" s="41"/>
      <c r="O210" s="41"/>
      <c r="P210" s="42"/>
      <c r="Q210" s="42"/>
      <c r="R210" s="41"/>
      <c r="S210" s="41"/>
      <c r="T210" s="41"/>
      <c r="U210" s="41"/>
      <c r="V210" s="41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</row>
    <row r="211" spans="1:44" ht="15.6" hidden="1" customHeight="1" x14ac:dyDescent="0.25">
      <c r="A211" s="3"/>
      <c r="B211" s="3"/>
      <c r="C211" s="3"/>
      <c r="D211" s="4"/>
      <c r="E211" s="4"/>
      <c r="F211" s="3"/>
      <c r="G211" s="3"/>
      <c r="H211" s="4"/>
      <c r="I211" s="4"/>
      <c r="J211" s="3"/>
      <c r="K211" s="3"/>
      <c r="L211" s="4"/>
      <c r="M211" s="4"/>
      <c r="N211" s="3"/>
      <c r="O211" s="3"/>
      <c r="P211" s="4"/>
      <c r="Q211" s="4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</row>
    <row r="212" spans="1:44" ht="15.6" customHeight="1" x14ac:dyDescent="0.3">
      <c r="A212" s="3"/>
      <c r="B212" s="3"/>
      <c r="C212" s="3"/>
      <c r="D212" s="4"/>
      <c r="E212" s="6" t="s">
        <v>1</v>
      </c>
      <c r="F212" s="3"/>
      <c r="G212" s="7"/>
      <c r="H212" s="8"/>
      <c r="I212" s="8"/>
      <c r="J212" s="7"/>
      <c r="K212" s="7"/>
      <c r="L212" s="8"/>
      <c r="M212" s="9" t="s">
        <v>2</v>
      </c>
      <c r="N212" s="12" t="str">
        <f>N190</f>
        <v>1.1</v>
      </c>
      <c r="O212" s="12"/>
      <c r="P212" s="4"/>
      <c r="Q212" s="4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</row>
    <row r="213" spans="1:44" ht="15.6" customHeight="1" x14ac:dyDescent="0.3">
      <c r="A213" s="3"/>
      <c r="B213" s="3"/>
      <c r="C213" s="3"/>
      <c r="D213" s="4"/>
      <c r="E213" s="6" t="s">
        <v>4</v>
      </c>
      <c r="F213" s="3"/>
      <c r="G213" s="3"/>
      <c r="H213" s="4"/>
      <c r="I213" s="4"/>
      <c r="J213" s="13"/>
      <c r="K213" s="13"/>
      <c r="L213" s="14"/>
      <c r="M213" s="9" t="s">
        <v>5</v>
      </c>
      <c r="N213" s="15" t="str">
        <f>N212&amp;".2"</f>
        <v>1.1.2</v>
      </c>
      <c r="O213" s="15"/>
      <c r="P213" s="4"/>
      <c r="Q213" s="4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</row>
    <row r="214" spans="1:44" ht="15.6" customHeight="1" x14ac:dyDescent="0.3">
      <c r="A214" s="3"/>
      <c r="B214" s="3"/>
      <c r="C214" s="3"/>
      <c r="D214" s="4"/>
      <c r="E214" s="4" t="s">
        <v>7</v>
      </c>
      <c r="F214" s="3"/>
      <c r="G214" s="3"/>
      <c r="H214" s="8"/>
      <c r="I214" s="8"/>
      <c r="J214" s="7"/>
      <c r="K214" s="7"/>
      <c r="L214" s="8"/>
      <c r="M214" s="16" t="s">
        <v>5</v>
      </c>
      <c r="N214" s="17">
        <f>N192+1</f>
        <v>6</v>
      </c>
      <c r="O214" s="3"/>
      <c r="P214" s="4"/>
      <c r="Q214" s="4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</row>
    <row r="215" spans="1:44" ht="15.6" customHeight="1" x14ac:dyDescent="0.3">
      <c r="A215" s="3"/>
      <c r="B215" s="3"/>
      <c r="C215" s="3"/>
      <c r="D215" s="4"/>
      <c r="E215" s="4" t="s">
        <v>8</v>
      </c>
      <c r="F215" s="3"/>
      <c r="G215" s="3"/>
      <c r="H215" s="4"/>
      <c r="I215" s="4"/>
      <c r="J215" s="3"/>
      <c r="K215" s="3"/>
      <c r="L215" s="14"/>
      <c r="M215" s="16" t="s">
        <v>99</v>
      </c>
      <c r="N215" s="17" t="str">
        <f>IF(N193="-"&amp;N170&amp;".3",IF(N194=15,"-"&amp;N170&amp;".4","-"&amp;N170&amp;".3"),N193)</f>
        <v>-1.1.3</v>
      </c>
      <c r="O215" s="3"/>
      <c r="P215" s="4"/>
      <c r="Q215" s="4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</row>
    <row r="216" spans="1:44" ht="15.6" customHeight="1" x14ac:dyDescent="0.3">
      <c r="A216" s="3"/>
      <c r="B216" s="3"/>
      <c r="C216" s="3"/>
      <c r="D216" s="4"/>
      <c r="E216" s="21" t="s">
        <v>10</v>
      </c>
      <c r="F216" s="3"/>
      <c r="G216" s="3"/>
      <c r="H216" s="4"/>
      <c r="I216" s="8"/>
      <c r="J216" s="7"/>
      <c r="K216" s="7"/>
      <c r="L216" s="8"/>
      <c r="M216" s="16" t="s">
        <v>5</v>
      </c>
      <c r="N216" s="17">
        <f>IF(N215="-"&amp;N170&amp;".3",N194+1,IF(N193="-"&amp;N170&amp;".3",1,N194+1))</f>
        <v>11</v>
      </c>
      <c r="O216" s="3"/>
      <c r="P216" s="4"/>
      <c r="Q216" s="4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</row>
    <row r="217" spans="1:44" ht="15.6" customHeight="1" x14ac:dyDescent="0.25">
      <c r="A217" s="3"/>
      <c r="B217" s="3"/>
      <c r="C217" s="3"/>
      <c r="D217" s="4"/>
      <c r="E217" s="4"/>
      <c r="F217" s="3"/>
      <c r="G217" s="3"/>
      <c r="H217" s="4"/>
      <c r="I217" s="4"/>
      <c r="J217" s="3"/>
      <c r="K217" s="3"/>
      <c r="L217" s="4"/>
      <c r="M217" s="4"/>
      <c r="N217" s="3"/>
      <c r="O217" s="3"/>
      <c r="P217" s="4"/>
      <c r="Q217" s="4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</row>
    <row r="218" spans="1:44" ht="15.6" customHeight="1" x14ac:dyDescent="0.25">
      <c r="A218" s="24"/>
      <c r="B218" s="25"/>
      <c r="C218" s="25"/>
      <c r="D218" s="26"/>
      <c r="E218" s="26"/>
      <c r="F218" s="25"/>
      <c r="G218" s="25"/>
      <c r="H218" s="26"/>
      <c r="I218" s="26"/>
      <c r="J218" s="25"/>
      <c r="K218" s="25"/>
      <c r="L218" s="26"/>
      <c r="M218" s="26"/>
      <c r="N218" s="25"/>
      <c r="O218" s="25"/>
      <c r="P218" s="26"/>
      <c r="Q218" s="26"/>
      <c r="R218" s="25"/>
      <c r="S218" s="25"/>
      <c r="T218" s="25"/>
      <c r="U218" s="25"/>
      <c r="V218" s="45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</row>
    <row r="219" spans="1:44" ht="15.6" customHeight="1" x14ac:dyDescent="0.25">
      <c r="A219" s="27"/>
      <c r="B219" s="28"/>
      <c r="C219" s="28"/>
      <c r="D219" s="71">
        <v>1</v>
      </c>
      <c r="E219" s="72"/>
      <c r="F219" s="28"/>
      <c r="G219" s="28"/>
      <c r="H219" s="71">
        <v>2</v>
      </c>
      <c r="I219" s="72"/>
      <c r="J219" s="28"/>
      <c r="K219" s="28"/>
      <c r="L219" s="71">
        <v>3</v>
      </c>
      <c r="M219" s="72"/>
      <c r="N219" s="28"/>
      <c r="O219" s="28"/>
      <c r="P219" s="71">
        <v>4</v>
      </c>
      <c r="Q219" s="72"/>
      <c r="R219" s="28"/>
      <c r="S219" s="28"/>
      <c r="T219" s="28"/>
      <c r="U219" s="28"/>
      <c r="V219" s="46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</row>
    <row r="220" spans="1:44" ht="15.6" customHeight="1" x14ac:dyDescent="0.25">
      <c r="A220" s="27"/>
      <c r="B220" s="74" t="s">
        <v>11</v>
      </c>
      <c r="C220" s="74"/>
      <c r="D220" s="71" t="s">
        <v>12</v>
      </c>
      <c r="E220" s="72"/>
      <c r="F220" s="74" t="s">
        <v>11</v>
      </c>
      <c r="G220" s="74"/>
      <c r="H220" s="71" t="s">
        <v>12</v>
      </c>
      <c r="I220" s="72"/>
      <c r="J220" s="74" t="s">
        <v>11</v>
      </c>
      <c r="K220" s="74"/>
      <c r="L220" s="71" t="s">
        <v>12</v>
      </c>
      <c r="M220" s="72"/>
      <c r="N220" s="74" t="s">
        <v>11</v>
      </c>
      <c r="O220" s="74"/>
      <c r="P220" s="71" t="s">
        <v>12</v>
      </c>
      <c r="Q220" s="72"/>
      <c r="R220" s="74"/>
      <c r="S220" s="74"/>
      <c r="T220" s="74"/>
      <c r="U220" s="74"/>
      <c r="V220" s="48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</row>
    <row r="221" spans="1:44" ht="15.6" customHeight="1" x14ac:dyDescent="0.25">
      <c r="A221" s="27"/>
      <c r="B221" s="76"/>
      <c r="C221" s="76"/>
      <c r="D221" s="77"/>
      <c r="E221" s="77"/>
      <c r="F221" s="76"/>
      <c r="G221" s="76"/>
      <c r="H221" s="77"/>
      <c r="I221" s="77"/>
      <c r="J221" s="76"/>
      <c r="K221" s="76"/>
      <c r="L221" s="77"/>
      <c r="M221" s="77"/>
      <c r="N221" s="76"/>
      <c r="O221" s="76"/>
      <c r="P221" s="77"/>
      <c r="Q221" s="77"/>
      <c r="R221" s="76"/>
      <c r="S221" s="76"/>
      <c r="T221" s="76"/>
      <c r="U221" s="76"/>
      <c r="V221" s="48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</row>
    <row r="222" spans="1:44" ht="15.6" customHeight="1" x14ac:dyDescent="0.25">
      <c r="A222" s="27"/>
      <c r="B222" s="74">
        <v>0</v>
      </c>
      <c r="C222" s="74"/>
      <c r="D222" s="78">
        <v>1</v>
      </c>
      <c r="E222" s="78"/>
      <c r="F222" s="74">
        <v>2</v>
      </c>
      <c r="G222" s="74"/>
      <c r="H222" s="78">
        <v>3</v>
      </c>
      <c r="I222" s="78"/>
      <c r="J222" s="74">
        <v>4</v>
      </c>
      <c r="K222" s="74"/>
      <c r="L222" s="78">
        <v>5</v>
      </c>
      <c r="M222" s="78"/>
      <c r="N222" s="74">
        <v>6</v>
      </c>
      <c r="O222" s="74"/>
      <c r="P222" s="78">
        <v>7</v>
      </c>
      <c r="Q222" s="78"/>
      <c r="R222" s="74">
        <v>8</v>
      </c>
      <c r="S222" s="74"/>
      <c r="T222" s="74">
        <v>9</v>
      </c>
      <c r="U222" s="74"/>
      <c r="V222" s="49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</row>
    <row r="223" spans="1:44" ht="15.6" customHeight="1" x14ac:dyDescent="0.25">
      <c r="A223" s="27"/>
      <c r="B223" s="28" t="s">
        <v>13</v>
      </c>
      <c r="C223" s="28" t="s">
        <v>14</v>
      </c>
      <c r="D223" s="31" t="s">
        <v>15</v>
      </c>
      <c r="E223" s="31" t="s">
        <v>16</v>
      </c>
      <c r="F223" s="28" t="s">
        <v>13</v>
      </c>
      <c r="G223" s="28" t="s">
        <v>14</v>
      </c>
      <c r="H223" s="31" t="s">
        <v>15</v>
      </c>
      <c r="I223" s="31" t="s">
        <v>16</v>
      </c>
      <c r="J223" s="28" t="s">
        <v>13</v>
      </c>
      <c r="K223" s="28" t="s">
        <v>14</v>
      </c>
      <c r="L223" s="31" t="s">
        <v>15</v>
      </c>
      <c r="M223" s="31" t="s">
        <v>16</v>
      </c>
      <c r="N223" s="28" t="s">
        <v>13</v>
      </c>
      <c r="O223" s="28" t="s">
        <v>14</v>
      </c>
      <c r="P223" s="31" t="s">
        <v>15</v>
      </c>
      <c r="Q223" s="31" t="s">
        <v>16</v>
      </c>
      <c r="R223" s="28" t="s">
        <v>13</v>
      </c>
      <c r="S223" s="28" t="s">
        <v>14</v>
      </c>
      <c r="T223" s="28" t="s">
        <v>15</v>
      </c>
      <c r="U223" s="28" t="s">
        <v>16</v>
      </c>
      <c r="V223" s="49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</row>
    <row r="224" spans="1:44" ht="15.6" customHeight="1" x14ac:dyDescent="0.25">
      <c r="A224" s="33"/>
      <c r="B224" s="34"/>
      <c r="C224" s="34"/>
      <c r="D224" s="35"/>
      <c r="E224" s="36"/>
      <c r="F224" s="34"/>
      <c r="G224" s="34"/>
      <c r="H224" s="35"/>
      <c r="I224" s="36"/>
      <c r="J224" s="34"/>
      <c r="K224" s="34"/>
      <c r="L224" s="35"/>
      <c r="M224" s="36"/>
      <c r="N224" s="34"/>
      <c r="O224" s="34"/>
      <c r="P224" s="35"/>
      <c r="Q224" s="36"/>
      <c r="R224" s="34"/>
      <c r="S224" s="34"/>
      <c r="T224" s="34"/>
      <c r="U224" s="34"/>
      <c r="V224" s="50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</row>
    <row r="225" spans="1:44" ht="15.6" customHeight="1" x14ac:dyDescent="0.25">
      <c r="A225" s="3"/>
      <c r="B225" s="30"/>
      <c r="C225" s="30"/>
      <c r="D225" s="54"/>
      <c r="E225" s="5"/>
      <c r="F225" s="30"/>
      <c r="G225" s="30"/>
      <c r="H225" s="54"/>
      <c r="I225" s="5"/>
      <c r="J225" s="30"/>
      <c r="K225" s="30"/>
      <c r="L225" s="54"/>
      <c r="M225" s="5"/>
      <c r="N225" s="30"/>
      <c r="O225" s="30"/>
      <c r="P225" s="54"/>
      <c r="Q225" s="5"/>
      <c r="R225" s="30"/>
      <c r="S225" s="30"/>
      <c r="T225" s="30"/>
      <c r="U225" s="30"/>
      <c r="V225" s="32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</row>
    <row r="226" spans="1:44" ht="15.6" customHeight="1" x14ac:dyDescent="0.25">
      <c r="A226" s="3"/>
      <c r="B226" s="95"/>
      <c r="C226" s="96"/>
      <c r="D226" s="97"/>
      <c r="E226" s="98"/>
      <c r="F226" s="95"/>
      <c r="G226" s="96"/>
      <c r="H226" s="97"/>
      <c r="I226" s="98"/>
      <c r="J226" s="95"/>
      <c r="K226" s="96"/>
      <c r="L226" s="97"/>
      <c r="M226" s="98"/>
      <c r="N226" s="95"/>
      <c r="O226" s="96"/>
      <c r="P226" s="97"/>
      <c r="Q226" s="98"/>
      <c r="R226" s="30"/>
      <c r="S226" s="30"/>
      <c r="T226" s="30"/>
      <c r="U226" s="30"/>
      <c r="V226" s="32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</row>
    <row r="227" spans="1:44" ht="15.6" customHeight="1" x14ac:dyDescent="0.25">
      <c r="A227" s="3"/>
      <c r="B227" s="40" t="str">
        <f>IF(D226&lt;1,"","пом.")</f>
        <v/>
      </c>
      <c r="C227" s="40"/>
      <c r="D227" s="85"/>
      <c r="E227" s="86"/>
      <c r="F227" s="40" t="str">
        <f>IF(H226&lt;1,"","пом.")</f>
        <v/>
      </c>
      <c r="G227" s="40"/>
      <c r="H227" s="85"/>
      <c r="I227" s="86"/>
      <c r="J227" s="40" t="str">
        <f>IF(L226&lt;1,"","пом.")</f>
        <v/>
      </c>
      <c r="K227" s="40"/>
      <c r="L227" s="85"/>
      <c r="M227" s="86"/>
      <c r="N227" s="40" t="str">
        <f>IF(P226&lt;1,"","пом.")</f>
        <v/>
      </c>
      <c r="O227" s="40"/>
      <c r="P227" s="85"/>
      <c r="Q227" s="86"/>
      <c r="R227" s="30"/>
      <c r="S227" s="30"/>
      <c r="T227" s="30"/>
      <c r="U227" s="30"/>
      <c r="V227" s="32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</row>
    <row r="228" spans="1:44" ht="15.6" customHeight="1" x14ac:dyDescent="0.25">
      <c r="A228" s="3"/>
      <c r="B228" s="3"/>
      <c r="C228" s="3"/>
      <c r="D228" s="4"/>
      <c r="E228" s="4"/>
      <c r="F228" s="3"/>
      <c r="G228" s="3"/>
      <c r="H228" s="4"/>
      <c r="I228" s="4"/>
      <c r="J228" s="3"/>
      <c r="K228" s="3"/>
      <c r="L228" s="4"/>
      <c r="M228" s="4"/>
      <c r="N228" s="3"/>
      <c r="O228" s="3"/>
      <c r="P228" s="4"/>
      <c r="Q228" s="4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</row>
    <row r="229" spans="1:44" ht="15.6" customHeight="1" x14ac:dyDescent="0.25">
      <c r="A229" s="3"/>
      <c r="B229" s="3"/>
      <c r="C229" s="3"/>
      <c r="D229" s="4"/>
      <c r="E229" s="5" t="s">
        <v>30</v>
      </c>
      <c r="F229" s="87" t="s">
        <v>31</v>
      </c>
      <c r="G229" s="87"/>
      <c r="H229" s="87"/>
      <c r="I229" s="117" t="s">
        <v>32</v>
      </c>
      <c r="J229" s="117"/>
      <c r="K229" s="58"/>
      <c r="L229" s="4"/>
      <c r="M229" s="4"/>
      <c r="N229" s="3"/>
      <c r="O229" s="30" t="s">
        <v>33</v>
      </c>
      <c r="P229" s="87" t="s">
        <v>34</v>
      </c>
      <c r="Q229" s="87"/>
      <c r="R229" s="87"/>
      <c r="S229" s="117" t="s">
        <v>35</v>
      </c>
      <c r="T229" s="117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</row>
    <row r="230" spans="1:44" ht="15.6" customHeight="1" x14ac:dyDescent="0.25">
      <c r="A230" s="3"/>
      <c r="B230" s="3"/>
      <c r="C230" s="3"/>
      <c r="D230" s="4"/>
      <c r="E230" s="5" t="s">
        <v>36</v>
      </c>
      <c r="F230" s="87" t="s">
        <v>37</v>
      </c>
      <c r="G230" s="87"/>
      <c r="H230" s="87"/>
      <c r="I230" s="117" t="s">
        <v>38</v>
      </c>
      <c r="J230" s="117"/>
      <c r="K230" s="117"/>
      <c r="L230" s="4"/>
      <c r="M230" s="4"/>
      <c r="N230" s="3"/>
      <c r="O230" s="30" t="s">
        <v>39</v>
      </c>
      <c r="P230" s="87" t="s">
        <v>34</v>
      </c>
      <c r="Q230" s="87"/>
      <c r="R230" s="87"/>
      <c r="S230" s="118" t="s">
        <v>109</v>
      </c>
      <c r="T230" s="118"/>
      <c r="U230" s="118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</row>
    <row r="231" spans="1:44" ht="15.6" customHeight="1" x14ac:dyDescent="0.25">
      <c r="A231" s="41"/>
      <c r="B231" s="41"/>
      <c r="C231" s="41"/>
      <c r="D231" s="42"/>
      <c r="E231" s="43"/>
      <c r="F231" s="41"/>
      <c r="G231" s="41"/>
      <c r="H231" s="42"/>
      <c r="I231" s="42"/>
      <c r="J231" s="41"/>
      <c r="K231" s="41"/>
      <c r="L231" s="42"/>
      <c r="M231" s="42"/>
      <c r="N231" s="41"/>
      <c r="O231" s="41"/>
      <c r="P231" s="42"/>
      <c r="Q231" s="42"/>
      <c r="R231" s="41"/>
      <c r="S231" s="41"/>
      <c r="T231" s="41"/>
      <c r="U231" s="41"/>
      <c r="V231" s="41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</row>
    <row r="232" spans="1:44" ht="15.6" customHeight="1" x14ac:dyDescent="0.3">
      <c r="A232" s="3"/>
      <c r="B232" s="3"/>
      <c r="C232" s="3"/>
      <c r="D232" s="4"/>
      <c r="E232" s="6" t="s">
        <v>1</v>
      </c>
      <c r="F232" s="3"/>
      <c r="G232" s="7"/>
      <c r="H232" s="8"/>
      <c r="I232" s="8"/>
      <c r="J232" s="7"/>
      <c r="K232" s="7"/>
      <c r="L232" s="8"/>
      <c r="M232" s="9" t="s">
        <v>2</v>
      </c>
      <c r="N232" s="12" t="str">
        <f>N212</f>
        <v>1.1</v>
      </c>
      <c r="O232" s="12"/>
      <c r="P232" s="4"/>
      <c r="Q232" s="4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</row>
    <row r="233" spans="1:44" ht="15.6" customHeight="1" x14ac:dyDescent="0.3">
      <c r="A233" s="3"/>
      <c r="B233" s="3"/>
      <c r="C233" s="3"/>
      <c r="D233" s="4"/>
      <c r="E233" s="6" t="s">
        <v>4</v>
      </c>
      <c r="F233" s="3"/>
      <c r="G233" s="3"/>
      <c r="H233" s="4"/>
      <c r="I233" s="4"/>
      <c r="J233" s="13"/>
      <c r="K233" s="13"/>
      <c r="L233" s="14"/>
      <c r="M233" s="9" t="s">
        <v>5</v>
      </c>
      <c r="N233" s="15" t="str">
        <f>N213</f>
        <v>1.1.2</v>
      </c>
      <c r="O233" s="15"/>
      <c r="P233" s="4"/>
      <c r="Q233" s="4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</row>
    <row r="234" spans="1:44" ht="15.6" customHeight="1" x14ac:dyDescent="0.3">
      <c r="A234" s="3"/>
      <c r="B234" s="3"/>
      <c r="C234" s="3"/>
      <c r="D234" s="4"/>
      <c r="E234" s="4" t="s">
        <v>7</v>
      </c>
      <c r="F234" s="3"/>
      <c r="G234" s="3"/>
      <c r="H234" s="8"/>
      <c r="I234" s="8"/>
      <c r="J234" s="7"/>
      <c r="K234" s="7"/>
      <c r="L234" s="8"/>
      <c r="M234" s="16" t="s">
        <v>5</v>
      </c>
      <c r="N234" s="17">
        <f>N214</f>
        <v>6</v>
      </c>
      <c r="O234" s="3"/>
      <c r="P234" s="4"/>
      <c r="Q234" s="4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</row>
    <row r="235" spans="1:44" ht="15.6" customHeight="1" x14ac:dyDescent="0.3">
      <c r="A235" s="3"/>
      <c r="B235" s="3"/>
      <c r="C235" s="3"/>
      <c r="D235" s="4"/>
      <c r="E235" s="4" t="s">
        <v>8</v>
      </c>
      <c r="F235" s="3"/>
      <c r="G235" s="3"/>
      <c r="H235" s="4"/>
      <c r="I235" s="4"/>
      <c r="J235" s="3"/>
      <c r="K235" s="3"/>
      <c r="L235" s="14"/>
      <c r="M235" s="16" t="s">
        <v>99</v>
      </c>
      <c r="N235" s="17" t="str">
        <f>IF(N215="-"&amp;N212&amp;".3",IF(N216=15,"-"&amp;N212&amp;".4","-"&amp;N212&amp;".3"),N215)</f>
        <v>-1.1.3</v>
      </c>
      <c r="O235" s="19"/>
      <c r="P235" s="4"/>
      <c r="Q235" s="4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</row>
    <row r="236" spans="1:44" ht="15.6" customHeight="1" x14ac:dyDescent="0.3">
      <c r="A236" s="3"/>
      <c r="B236" s="3"/>
      <c r="C236" s="3"/>
      <c r="D236" s="4"/>
      <c r="E236" s="21" t="s">
        <v>10</v>
      </c>
      <c r="F236" s="3"/>
      <c r="G236" s="3"/>
      <c r="H236" s="4"/>
      <c r="I236" s="8"/>
      <c r="J236" s="7"/>
      <c r="K236" s="7"/>
      <c r="L236" s="8"/>
      <c r="M236" s="16" t="s">
        <v>5</v>
      </c>
      <c r="N236" s="17">
        <f>IF(N235="-"&amp;N170&amp;".3",N216+1,IF(N215="-"&amp;N170&amp;".3",1,N216+1))</f>
        <v>12</v>
      </c>
      <c r="O236" s="3"/>
      <c r="P236" s="4"/>
      <c r="Q236" s="4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</row>
    <row r="237" spans="1:44" ht="7.9" customHeight="1" x14ac:dyDescent="0.25">
      <c r="A237" s="3"/>
      <c r="B237" s="3"/>
      <c r="C237" s="3"/>
      <c r="D237" s="4"/>
      <c r="E237" s="4"/>
      <c r="F237" s="3"/>
      <c r="G237" s="3"/>
      <c r="H237" s="4"/>
      <c r="I237" s="4"/>
      <c r="J237" s="3"/>
      <c r="K237" s="3"/>
      <c r="L237" s="4"/>
      <c r="M237" s="4"/>
      <c r="N237" s="3"/>
      <c r="O237" s="3"/>
      <c r="P237" s="4"/>
      <c r="Q237" s="4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</row>
    <row r="238" spans="1:44" ht="15.6" customHeight="1" x14ac:dyDescent="0.25">
      <c r="A238" s="24"/>
      <c r="B238" s="25"/>
      <c r="C238" s="25"/>
      <c r="D238" s="26"/>
      <c r="E238" s="26"/>
      <c r="F238" s="25"/>
      <c r="G238" s="25"/>
      <c r="H238" s="26"/>
      <c r="I238" s="26"/>
      <c r="J238" s="25"/>
      <c r="K238" s="25"/>
      <c r="L238" s="26"/>
      <c r="M238" s="26"/>
      <c r="N238" s="25"/>
      <c r="O238" s="25"/>
      <c r="P238" s="26"/>
      <c r="Q238" s="26"/>
      <c r="R238" s="25"/>
      <c r="S238" s="25"/>
      <c r="T238" s="25"/>
      <c r="U238" s="25"/>
      <c r="V238" s="45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</row>
    <row r="239" spans="1:44" ht="15.6" customHeight="1" x14ac:dyDescent="0.25">
      <c r="A239" s="27"/>
      <c r="B239" s="28"/>
      <c r="C239" s="28"/>
      <c r="D239" s="71">
        <v>1</v>
      </c>
      <c r="E239" s="72"/>
      <c r="F239" s="28"/>
      <c r="G239" s="28"/>
      <c r="H239" s="71">
        <v>2</v>
      </c>
      <c r="I239" s="72"/>
      <c r="J239" s="28"/>
      <c r="K239" s="28"/>
      <c r="L239" s="71">
        <v>3</v>
      </c>
      <c r="M239" s="72"/>
      <c r="N239" s="28"/>
      <c r="O239" s="28"/>
      <c r="P239" s="71">
        <v>4</v>
      </c>
      <c r="Q239" s="72"/>
      <c r="R239" s="28"/>
      <c r="S239" s="28"/>
      <c r="T239" s="28"/>
      <c r="U239" s="28"/>
      <c r="V239" s="46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</row>
    <row r="240" spans="1:44" ht="15.6" customHeight="1" x14ac:dyDescent="0.25">
      <c r="A240" s="27"/>
      <c r="B240" s="74" t="s">
        <v>11</v>
      </c>
      <c r="C240" s="74"/>
      <c r="D240" s="71" t="s">
        <v>12</v>
      </c>
      <c r="E240" s="72"/>
      <c r="F240" s="74" t="s">
        <v>11</v>
      </c>
      <c r="G240" s="74"/>
      <c r="H240" s="71" t="s">
        <v>12</v>
      </c>
      <c r="I240" s="72"/>
      <c r="J240" s="74" t="s">
        <v>11</v>
      </c>
      <c r="K240" s="74"/>
      <c r="L240" s="71" t="s">
        <v>12</v>
      </c>
      <c r="M240" s="72"/>
      <c r="N240" s="74" t="s">
        <v>11</v>
      </c>
      <c r="O240" s="74"/>
      <c r="P240" s="71" t="s">
        <v>12</v>
      </c>
      <c r="Q240" s="72"/>
      <c r="R240" s="74"/>
      <c r="S240" s="74"/>
      <c r="T240" s="74"/>
      <c r="U240" s="74"/>
      <c r="V240" s="48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</row>
    <row r="241" spans="1:44" ht="15.6" customHeight="1" x14ac:dyDescent="0.25">
      <c r="A241" s="27"/>
      <c r="B241" s="76"/>
      <c r="C241" s="76"/>
      <c r="D241" s="77"/>
      <c r="E241" s="77"/>
      <c r="F241" s="76"/>
      <c r="G241" s="76"/>
      <c r="H241" s="77"/>
      <c r="I241" s="77"/>
      <c r="J241" s="76"/>
      <c r="K241" s="76"/>
      <c r="L241" s="77"/>
      <c r="M241" s="77"/>
      <c r="N241" s="76"/>
      <c r="O241" s="76"/>
      <c r="P241" s="77"/>
      <c r="Q241" s="77"/>
      <c r="R241" s="76"/>
      <c r="S241" s="76"/>
      <c r="T241" s="76"/>
      <c r="U241" s="76"/>
      <c r="V241" s="48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</row>
    <row r="242" spans="1:44" ht="15.6" customHeight="1" x14ac:dyDescent="0.25">
      <c r="A242" s="27"/>
      <c r="B242" s="74">
        <v>0</v>
      </c>
      <c r="C242" s="74"/>
      <c r="D242" s="78">
        <v>1</v>
      </c>
      <c r="E242" s="78"/>
      <c r="F242" s="74">
        <v>2</v>
      </c>
      <c r="G242" s="74"/>
      <c r="H242" s="78">
        <v>3</v>
      </c>
      <c r="I242" s="78"/>
      <c r="J242" s="74">
        <v>4</v>
      </c>
      <c r="K242" s="74"/>
      <c r="L242" s="78">
        <v>5</v>
      </c>
      <c r="M242" s="78"/>
      <c r="N242" s="74">
        <v>6</v>
      </c>
      <c r="O242" s="74"/>
      <c r="P242" s="78">
        <v>7</v>
      </c>
      <c r="Q242" s="78"/>
      <c r="R242" s="74">
        <v>8</v>
      </c>
      <c r="S242" s="74"/>
      <c r="T242" s="74">
        <v>9</v>
      </c>
      <c r="U242" s="74"/>
      <c r="V242" s="49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</row>
    <row r="243" spans="1:44" ht="15.6" customHeight="1" x14ac:dyDescent="0.25">
      <c r="A243" s="27"/>
      <c r="B243" s="28" t="s">
        <v>13</v>
      </c>
      <c r="C243" s="28" t="s">
        <v>14</v>
      </c>
      <c r="D243" s="31" t="s">
        <v>15</v>
      </c>
      <c r="E243" s="31" t="s">
        <v>16</v>
      </c>
      <c r="F243" s="28" t="s">
        <v>13</v>
      </c>
      <c r="G243" s="28" t="s">
        <v>14</v>
      </c>
      <c r="H243" s="31" t="s">
        <v>15</v>
      </c>
      <c r="I243" s="31" t="s">
        <v>16</v>
      </c>
      <c r="J243" s="28" t="s">
        <v>13</v>
      </c>
      <c r="K243" s="28" t="s">
        <v>14</v>
      </c>
      <c r="L243" s="31" t="s">
        <v>15</v>
      </c>
      <c r="M243" s="31" t="s">
        <v>16</v>
      </c>
      <c r="N243" s="28" t="s">
        <v>13</v>
      </c>
      <c r="O243" s="28" t="s">
        <v>14</v>
      </c>
      <c r="P243" s="31" t="s">
        <v>15</v>
      </c>
      <c r="Q243" s="31" t="s">
        <v>16</v>
      </c>
      <c r="R243" s="28" t="s">
        <v>13</v>
      </c>
      <c r="S243" s="28" t="s">
        <v>14</v>
      </c>
      <c r="T243" s="28" t="s">
        <v>15</v>
      </c>
      <c r="U243" s="28" t="s">
        <v>16</v>
      </c>
      <c r="V243" s="49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</row>
    <row r="244" spans="1:44" ht="15.6" customHeight="1" x14ac:dyDescent="0.25">
      <c r="A244" s="33"/>
      <c r="B244" s="34"/>
      <c r="C244" s="34"/>
      <c r="D244" s="35"/>
      <c r="E244" s="36"/>
      <c r="F244" s="34"/>
      <c r="G244" s="34"/>
      <c r="H244" s="35"/>
      <c r="I244" s="36"/>
      <c r="J244" s="34"/>
      <c r="K244" s="34"/>
      <c r="L244" s="35"/>
      <c r="M244" s="36"/>
      <c r="N244" s="34"/>
      <c r="O244" s="34"/>
      <c r="P244" s="35"/>
      <c r="Q244" s="36"/>
      <c r="R244" s="34"/>
      <c r="S244" s="34"/>
      <c r="T244" s="34"/>
      <c r="U244" s="34"/>
      <c r="V244" s="50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</row>
    <row r="245" spans="1:44" ht="9" customHeight="1" x14ac:dyDescent="0.25">
      <c r="A245" s="3"/>
      <c r="B245" s="30"/>
      <c r="C245" s="30"/>
      <c r="D245" s="54"/>
      <c r="E245" s="5"/>
      <c r="F245" s="30"/>
      <c r="G245" s="30"/>
      <c r="H245" s="54"/>
      <c r="I245" s="5"/>
      <c r="J245" s="30"/>
      <c r="K245" s="30"/>
      <c r="L245" s="54"/>
      <c r="M245" s="5"/>
      <c r="N245" s="30"/>
      <c r="O245" s="30"/>
      <c r="P245" s="54"/>
      <c r="Q245" s="5"/>
      <c r="R245" s="30"/>
      <c r="S245" s="30"/>
      <c r="T245" s="30"/>
      <c r="U245" s="30"/>
      <c r="V245" s="32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</row>
    <row r="246" spans="1:44" ht="15.6" customHeight="1" x14ac:dyDescent="0.25">
      <c r="A246" s="3"/>
      <c r="B246" s="95"/>
      <c r="C246" s="96"/>
      <c r="D246" s="97"/>
      <c r="E246" s="98"/>
      <c r="F246" s="95"/>
      <c r="G246" s="96"/>
      <c r="H246" s="97"/>
      <c r="I246" s="98"/>
      <c r="J246" s="95"/>
      <c r="K246" s="96"/>
      <c r="L246" s="97"/>
      <c r="M246" s="98"/>
      <c r="N246" s="95"/>
      <c r="O246" s="96"/>
      <c r="P246" s="97"/>
      <c r="Q246" s="98"/>
      <c r="R246" s="30"/>
      <c r="S246" s="30"/>
      <c r="T246" s="30"/>
      <c r="U246" s="30"/>
      <c r="V246" s="32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</row>
    <row r="247" spans="1:44" ht="15.6" customHeight="1" x14ac:dyDescent="0.25">
      <c r="A247" s="3"/>
      <c r="B247" s="40" t="str">
        <f>IF(D246&lt;1,"","пом.")</f>
        <v/>
      </c>
      <c r="C247" s="40"/>
      <c r="D247" s="85"/>
      <c r="E247" s="86"/>
      <c r="F247" s="40" t="str">
        <f>IF(H246&lt;1,"","пом.")</f>
        <v/>
      </c>
      <c r="G247" s="40"/>
      <c r="H247" s="85"/>
      <c r="I247" s="86"/>
      <c r="J247" s="40" t="str">
        <f>IF(L246&lt;1,"","пом.")</f>
        <v/>
      </c>
      <c r="K247" s="40"/>
      <c r="L247" s="85"/>
      <c r="M247" s="86"/>
      <c r="N247" s="40" t="str">
        <f>IF(P246&lt;1,"","пом.")</f>
        <v/>
      </c>
      <c r="O247" s="40"/>
      <c r="P247" s="85"/>
      <c r="Q247" s="86"/>
      <c r="R247" s="30"/>
      <c r="S247" s="30"/>
      <c r="T247" s="30"/>
      <c r="U247" s="30"/>
      <c r="V247" s="32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</row>
    <row r="248" spans="1:44" ht="6.6" customHeight="1" x14ac:dyDescent="0.25">
      <c r="A248" s="3"/>
      <c r="B248" s="3"/>
      <c r="C248" s="3"/>
      <c r="D248" s="4"/>
      <c r="E248" s="4"/>
      <c r="F248" s="3"/>
      <c r="G248" s="3"/>
      <c r="H248" s="4"/>
      <c r="I248" s="4"/>
      <c r="J248" s="3"/>
      <c r="K248" s="3"/>
      <c r="L248" s="4"/>
      <c r="M248" s="4"/>
      <c r="N248" s="3"/>
      <c r="O248" s="3"/>
      <c r="P248" s="4"/>
      <c r="Q248" s="4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</row>
    <row r="249" spans="1:44" ht="15.6" customHeight="1" x14ac:dyDescent="0.25">
      <c r="A249" s="3"/>
      <c r="B249" s="3"/>
      <c r="C249" s="3"/>
      <c r="D249" s="4"/>
      <c r="E249" s="5" t="s">
        <v>30</v>
      </c>
      <c r="F249" s="87" t="s">
        <v>31</v>
      </c>
      <c r="G249" s="87"/>
      <c r="H249" s="87"/>
      <c r="I249" s="117" t="s">
        <v>32</v>
      </c>
      <c r="J249" s="117"/>
      <c r="K249" s="58"/>
      <c r="L249" s="4"/>
      <c r="M249" s="4"/>
      <c r="N249" s="3"/>
      <c r="O249" s="30" t="s">
        <v>33</v>
      </c>
      <c r="P249" s="87" t="s">
        <v>34</v>
      </c>
      <c r="Q249" s="87"/>
      <c r="R249" s="87"/>
      <c r="S249" s="117" t="s">
        <v>35</v>
      </c>
      <c r="T249" s="117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</row>
    <row r="250" spans="1:44" ht="15.6" customHeight="1" x14ac:dyDescent="0.25">
      <c r="A250" s="3"/>
      <c r="B250" s="3"/>
      <c r="C250" s="3"/>
      <c r="D250" s="4"/>
      <c r="E250" s="5" t="s">
        <v>36</v>
      </c>
      <c r="F250" s="87" t="s">
        <v>37</v>
      </c>
      <c r="G250" s="87"/>
      <c r="H250" s="87"/>
      <c r="I250" s="117" t="s">
        <v>38</v>
      </c>
      <c r="J250" s="117"/>
      <c r="K250" s="117"/>
      <c r="L250" s="4"/>
      <c r="M250" s="4"/>
      <c r="N250" s="3"/>
      <c r="O250" s="30" t="s">
        <v>39</v>
      </c>
      <c r="P250" s="87" t="s">
        <v>34</v>
      </c>
      <c r="Q250" s="87"/>
      <c r="R250" s="87"/>
      <c r="S250" s="118" t="s">
        <v>109</v>
      </c>
      <c r="T250" s="118"/>
      <c r="U250" s="118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</row>
    <row r="251" spans="1:44" ht="15.6" customHeight="1" x14ac:dyDescent="0.25">
      <c r="A251" s="41"/>
      <c r="B251" s="41"/>
      <c r="C251" s="41"/>
      <c r="D251" s="42"/>
      <c r="E251" s="43"/>
      <c r="F251" s="41"/>
      <c r="G251" s="41"/>
      <c r="H251" s="42"/>
      <c r="I251" s="42"/>
      <c r="J251" s="41"/>
      <c r="K251" s="41"/>
      <c r="L251" s="42"/>
      <c r="M251" s="42"/>
      <c r="N251" s="41"/>
      <c r="O251" s="41"/>
      <c r="P251" s="42"/>
      <c r="Q251" s="42"/>
      <c r="R251" s="41"/>
      <c r="S251" s="41"/>
      <c r="T251" s="41"/>
      <c r="U251" s="41"/>
      <c r="V251" s="41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</row>
    <row r="252" spans="1:44" ht="15.6" customHeight="1" x14ac:dyDescent="0.25">
      <c r="A252" s="41"/>
      <c r="B252" s="41"/>
      <c r="C252" s="41"/>
      <c r="D252" s="42"/>
      <c r="E252" s="43"/>
      <c r="F252" s="41"/>
      <c r="G252" s="41"/>
      <c r="H252" s="42"/>
      <c r="I252" s="42"/>
      <c r="J252" s="41"/>
      <c r="K252" s="41"/>
      <c r="L252" s="42"/>
      <c r="M252" s="42"/>
      <c r="N252" s="41"/>
      <c r="O252" s="41"/>
      <c r="P252" s="42"/>
      <c r="Q252" s="42"/>
      <c r="R252" s="41"/>
      <c r="S252" s="41"/>
      <c r="T252" s="41"/>
      <c r="U252" s="41"/>
      <c r="V252" s="41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</row>
    <row r="253" spans="1:44" ht="15.6" hidden="1" customHeight="1" x14ac:dyDescent="0.25">
      <c r="A253" s="3"/>
      <c r="B253" s="3"/>
      <c r="C253" s="3"/>
      <c r="D253" s="4"/>
      <c r="E253" s="4"/>
      <c r="F253" s="3"/>
      <c r="G253" s="3"/>
      <c r="H253" s="4"/>
      <c r="I253" s="4"/>
      <c r="J253" s="3"/>
      <c r="K253" s="3"/>
      <c r="L253" s="4"/>
      <c r="M253" s="4"/>
      <c r="N253" s="3"/>
      <c r="O253" s="3"/>
      <c r="P253" s="4"/>
      <c r="Q253" s="4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</row>
    <row r="254" spans="1:44" ht="15.6" customHeight="1" x14ac:dyDescent="0.3">
      <c r="A254" s="3"/>
      <c r="B254" s="3"/>
      <c r="C254" s="3"/>
      <c r="D254" s="4"/>
      <c r="E254" s="6" t="s">
        <v>1</v>
      </c>
      <c r="F254" s="3"/>
      <c r="G254" s="7"/>
      <c r="H254" s="8"/>
      <c r="I254" s="8"/>
      <c r="J254" s="7"/>
      <c r="K254" s="7"/>
      <c r="L254" s="8"/>
      <c r="M254" s="9" t="s">
        <v>2</v>
      </c>
      <c r="N254" s="12" t="str">
        <f>N232</f>
        <v>1.1</v>
      </c>
      <c r="O254" s="12"/>
      <c r="P254" s="4"/>
      <c r="Q254" s="4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</row>
    <row r="255" spans="1:44" ht="15.6" customHeight="1" x14ac:dyDescent="0.3">
      <c r="A255" s="3"/>
      <c r="B255" s="3"/>
      <c r="C255" s="3"/>
      <c r="D255" s="4"/>
      <c r="E255" s="6" t="s">
        <v>4</v>
      </c>
      <c r="F255" s="3"/>
      <c r="G255" s="3"/>
      <c r="H255" s="4"/>
      <c r="I255" s="4"/>
      <c r="J255" s="13"/>
      <c r="K255" s="13"/>
      <c r="L255" s="14"/>
      <c r="M255" s="9" t="s">
        <v>5</v>
      </c>
      <c r="N255" s="15" t="str">
        <f>N254&amp;".2"</f>
        <v>1.1.2</v>
      </c>
      <c r="O255" s="15"/>
      <c r="P255" s="4"/>
      <c r="Q255" s="4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</row>
    <row r="256" spans="1:44" ht="15.6" customHeight="1" x14ac:dyDescent="0.3">
      <c r="A256" s="3"/>
      <c r="B256" s="3"/>
      <c r="C256" s="3"/>
      <c r="D256" s="4"/>
      <c r="E256" s="4" t="s">
        <v>7</v>
      </c>
      <c r="F256" s="3"/>
      <c r="G256" s="3"/>
      <c r="H256" s="8"/>
      <c r="I256" s="8"/>
      <c r="J256" s="7"/>
      <c r="K256" s="7"/>
      <c r="L256" s="8"/>
      <c r="M256" s="16" t="s">
        <v>5</v>
      </c>
      <c r="N256" s="17">
        <f>N234+1</f>
        <v>7</v>
      </c>
      <c r="O256" s="3"/>
      <c r="P256" s="4"/>
      <c r="Q256" s="4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</row>
    <row r="257" spans="1:44" ht="15.6" customHeight="1" x14ac:dyDescent="0.3">
      <c r="A257" s="3"/>
      <c r="B257" s="3"/>
      <c r="C257" s="3"/>
      <c r="D257" s="4"/>
      <c r="E257" s="4" t="s">
        <v>8</v>
      </c>
      <c r="F257" s="3"/>
      <c r="G257" s="3"/>
      <c r="H257" s="4"/>
      <c r="I257" s="4"/>
      <c r="J257" s="3"/>
      <c r="K257" s="3"/>
      <c r="L257" s="14"/>
      <c r="M257" s="16" t="s">
        <v>99</v>
      </c>
      <c r="N257" s="17" t="str">
        <f>IF(N235="-"&amp;N212&amp;".3",IF(N236=15,"-"&amp;N212&amp;".4","-"&amp;N212&amp;".3"),N235)</f>
        <v>-1.1.3</v>
      </c>
      <c r="O257" s="3"/>
      <c r="P257" s="4"/>
      <c r="Q257" s="4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</row>
    <row r="258" spans="1:44" ht="15.6" customHeight="1" x14ac:dyDescent="0.3">
      <c r="A258" s="3"/>
      <c r="B258" s="3"/>
      <c r="C258" s="3"/>
      <c r="D258" s="4"/>
      <c r="E258" s="21" t="s">
        <v>10</v>
      </c>
      <c r="F258" s="3"/>
      <c r="G258" s="3"/>
      <c r="H258" s="4"/>
      <c r="I258" s="8"/>
      <c r="J258" s="7"/>
      <c r="K258" s="7"/>
      <c r="L258" s="8"/>
      <c r="M258" s="16" t="s">
        <v>5</v>
      </c>
      <c r="N258" s="17">
        <f>IF(N257="-"&amp;N212&amp;".3",N236+1,IF(N235="-"&amp;N212&amp;".3",1,N236+1))</f>
        <v>13</v>
      </c>
      <c r="O258" s="3"/>
      <c r="P258" s="4"/>
      <c r="Q258" s="4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</row>
    <row r="259" spans="1:44" ht="15.6" customHeight="1" x14ac:dyDescent="0.25">
      <c r="A259" s="3"/>
      <c r="B259" s="3"/>
      <c r="C259" s="3"/>
      <c r="D259" s="4"/>
      <c r="E259" s="4"/>
      <c r="F259" s="3"/>
      <c r="G259" s="3"/>
      <c r="H259" s="4"/>
      <c r="I259" s="4"/>
      <c r="J259" s="3"/>
      <c r="K259" s="3"/>
      <c r="L259" s="4"/>
      <c r="M259" s="4"/>
      <c r="N259" s="3"/>
      <c r="O259" s="3"/>
      <c r="P259" s="4"/>
      <c r="Q259" s="4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</row>
    <row r="260" spans="1:44" ht="15.6" customHeight="1" x14ac:dyDescent="0.25">
      <c r="A260" s="24"/>
      <c r="B260" s="25"/>
      <c r="C260" s="25"/>
      <c r="D260" s="26"/>
      <c r="E260" s="26"/>
      <c r="F260" s="25"/>
      <c r="G260" s="25"/>
      <c r="H260" s="26"/>
      <c r="I260" s="26"/>
      <c r="J260" s="25"/>
      <c r="K260" s="25"/>
      <c r="L260" s="26"/>
      <c r="M260" s="26"/>
      <c r="N260" s="25"/>
      <c r="O260" s="25"/>
      <c r="P260" s="26"/>
      <c r="Q260" s="26"/>
      <c r="R260" s="25"/>
      <c r="S260" s="25"/>
      <c r="T260" s="25"/>
      <c r="U260" s="25"/>
      <c r="V260" s="45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</row>
    <row r="261" spans="1:44" ht="15.6" customHeight="1" x14ac:dyDescent="0.25">
      <c r="A261" s="27"/>
      <c r="B261" s="28"/>
      <c r="C261" s="28"/>
      <c r="D261" s="71">
        <v>1</v>
      </c>
      <c r="E261" s="72"/>
      <c r="F261" s="28"/>
      <c r="G261" s="28"/>
      <c r="H261" s="71">
        <v>2</v>
      </c>
      <c r="I261" s="72"/>
      <c r="J261" s="28"/>
      <c r="K261" s="28"/>
      <c r="L261" s="71">
        <v>3</v>
      </c>
      <c r="M261" s="72"/>
      <c r="N261" s="28"/>
      <c r="O261" s="28"/>
      <c r="P261" s="71">
        <v>4</v>
      </c>
      <c r="Q261" s="72"/>
      <c r="R261" s="28"/>
      <c r="S261" s="28"/>
      <c r="T261" s="28"/>
      <c r="U261" s="28"/>
      <c r="V261" s="46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</row>
    <row r="262" spans="1:44" ht="15.6" customHeight="1" x14ac:dyDescent="0.25">
      <c r="A262" s="27"/>
      <c r="B262" s="74" t="s">
        <v>11</v>
      </c>
      <c r="C262" s="74"/>
      <c r="D262" s="71" t="s">
        <v>12</v>
      </c>
      <c r="E262" s="72"/>
      <c r="F262" s="74" t="s">
        <v>11</v>
      </c>
      <c r="G262" s="74"/>
      <c r="H262" s="71" t="s">
        <v>12</v>
      </c>
      <c r="I262" s="72"/>
      <c r="J262" s="74" t="s">
        <v>11</v>
      </c>
      <c r="K262" s="74"/>
      <c r="L262" s="71" t="s">
        <v>12</v>
      </c>
      <c r="M262" s="72"/>
      <c r="N262" s="74" t="s">
        <v>11</v>
      </c>
      <c r="O262" s="74"/>
      <c r="P262" s="71" t="s">
        <v>12</v>
      </c>
      <c r="Q262" s="72"/>
      <c r="R262" s="74"/>
      <c r="S262" s="74"/>
      <c r="T262" s="74"/>
      <c r="U262" s="74"/>
      <c r="V262" s="48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</row>
    <row r="263" spans="1:44" ht="15.6" customHeight="1" x14ac:dyDescent="0.25">
      <c r="A263" s="27"/>
      <c r="B263" s="76"/>
      <c r="C263" s="76"/>
      <c r="D263" s="77"/>
      <c r="E263" s="77"/>
      <c r="F263" s="76"/>
      <c r="G263" s="76"/>
      <c r="H263" s="77"/>
      <c r="I263" s="77"/>
      <c r="J263" s="76"/>
      <c r="K263" s="76"/>
      <c r="L263" s="77"/>
      <c r="M263" s="77"/>
      <c r="N263" s="76"/>
      <c r="O263" s="76"/>
      <c r="P263" s="77"/>
      <c r="Q263" s="77"/>
      <c r="R263" s="76"/>
      <c r="S263" s="76"/>
      <c r="T263" s="76"/>
      <c r="U263" s="76"/>
      <c r="V263" s="48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</row>
    <row r="264" spans="1:44" ht="15.6" customHeight="1" x14ac:dyDescent="0.25">
      <c r="A264" s="27"/>
      <c r="B264" s="74">
        <v>0</v>
      </c>
      <c r="C264" s="74"/>
      <c r="D264" s="78">
        <v>1</v>
      </c>
      <c r="E264" s="78"/>
      <c r="F264" s="74">
        <v>2</v>
      </c>
      <c r="G264" s="74"/>
      <c r="H264" s="78">
        <v>3</v>
      </c>
      <c r="I264" s="78"/>
      <c r="J264" s="74">
        <v>4</v>
      </c>
      <c r="K264" s="74"/>
      <c r="L264" s="78">
        <v>5</v>
      </c>
      <c r="M264" s="78"/>
      <c r="N264" s="74">
        <v>6</v>
      </c>
      <c r="O264" s="74"/>
      <c r="P264" s="78">
        <v>7</v>
      </c>
      <c r="Q264" s="78"/>
      <c r="R264" s="74">
        <v>8</v>
      </c>
      <c r="S264" s="74"/>
      <c r="T264" s="74">
        <v>9</v>
      </c>
      <c r="U264" s="74"/>
      <c r="V264" s="49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</row>
    <row r="265" spans="1:44" ht="15.6" customHeight="1" x14ac:dyDescent="0.25">
      <c r="A265" s="27"/>
      <c r="B265" s="28" t="s">
        <v>13</v>
      </c>
      <c r="C265" s="28" t="s">
        <v>14</v>
      </c>
      <c r="D265" s="31" t="s">
        <v>15</v>
      </c>
      <c r="E265" s="31" t="s">
        <v>16</v>
      </c>
      <c r="F265" s="28" t="s">
        <v>13</v>
      </c>
      <c r="G265" s="28" t="s">
        <v>14</v>
      </c>
      <c r="H265" s="31" t="s">
        <v>15</v>
      </c>
      <c r="I265" s="31" t="s">
        <v>16</v>
      </c>
      <c r="J265" s="28" t="s">
        <v>13</v>
      </c>
      <c r="K265" s="28" t="s">
        <v>14</v>
      </c>
      <c r="L265" s="31" t="s">
        <v>15</v>
      </c>
      <c r="M265" s="31" t="s">
        <v>16</v>
      </c>
      <c r="N265" s="28" t="s">
        <v>13</v>
      </c>
      <c r="O265" s="28" t="s">
        <v>14</v>
      </c>
      <c r="P265" s="31" t="s">
        <v>15</v>
      </c>
      <c r="Q265" s="31" t="s">
        <v>16</v>
      </c>
      <c r="R265" s="28" t="s">
        <v>13</v>
      </c>
      <c r="S265" s="28" t="s">
        <v>14</v>
      </c>
      <c r="T265" s="28" t="s">
        <v>15</v>
      </c>
      <c r="U265" s="28" t="s">
        <v>16</v>
      </c>
      <c r="V265" s="49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</row>
    <row r="266" spans="1:44" ht="15.6" customHeight="1" x14ac:dyDescent="0.25">
      <c r="A266" s="33"/>
      <c r="B266" s="34"/>
      <c r="C266" s="34"/>
      <c r="D266" s="35"/>
      <c r="E266" s="36"/>
      <c r="F266" s="34"/>
      <c r="G266" s="34"/>
      <c r="H266" s="35"/>
      <c r="I266" s="36"/>
      <c r="J266" s="34"/>
      <c r="K266" s="34"/>
      <c r="L266" s="35"/>
      <c r="M266" s="36"/>
      <c r="N266" s="34"/>
      <c r="O266" s="34"/>
      <c r="P266" s="35"/>
      <c r="Q266" s="36"/>
      <c r="R266" s="34"/>
      <c r="S266" s="34"/>
      <c r="T266" s="34"/>
      <c r="U266" s="34"/>
      <c r="V266" s="50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</row>
    <row r="267" spans="1:44" ht="15.6" customHeight="1" x14ac:dyDescent="0.25">
      <c r="A267" s="3"/>
      <c r="B267" s="30"/>
      <c r="C267" s="30"/>
      <c r="D267" s="54"/>
      <c r="E267" s="5"/>
      <c r="F267" s="30"/>
      <c r="G267" s="30"/>
      <c r="H267" s="54"/>
      <c r="I267" s="5"/>
      <c r="J267" s="30"/>
      <c r="K267" s="30"/>
      <c r="L267" s="54"/>
      <c r="M267" s="5"/>
      <c r="N267" s="30"/>
      <c r="O267" s="30"/>
      <c r="P267" s="54"/>
      <c r="Q267" s="5"/>
      <c r="R267" s="30"/>
      <c r="S267" s="30"/>
      <c r="T267" s="30"/>
      <c r="U267" s="30"/>
      <c r="V267" s="32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</row>
    <row r="268" spans="1:44" ht="15.6" customHeight="1" x14ac:dyDescent="0.25">
      <c r="A268" s="3"/>
      <c r="B268" s="95"/>
      <c r="C268" s="96"/>
      <c r="D268" s="97"/>
      <c r="E268" s="98"/>
      <c r="F268" s="95"/>
      <c r="G268" s="96"/>
      <c r="H268" s="97"/>
      <c r="I268" s="98"/>
      <c r="J268" s="95"/>
      <c r="K268" s="96"/>
      <c r="L268" s="97"/>
      <c r="M268" s="98"/>
      <c r="N268" s="95"/>
      <c r="O268" s="96"/>
      <c r="P268" s="97"/>
      <c r="Q268" s="98"/>
      <c r="R268" s="30"/>
      <c r="S268" s="30"/>
      <c r="T268" s="30"/>
      <c r="U268" s="30"/>
      <c r="V268" s="32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</row>
    <row r="269" spans="1:44" ht="15.6" customHeight="1" x14ac:dyDescent="0.25">
      <c r="A269" s="3"/>
      <c r="B269" s="40" t="str">
        <f>IF(D268&lt;1,"","пом.")</f>
        <v/>
      </c>
      <c r="C269" s="40"/>
      <c r="D269" s="85"/>
      <c r="E269" s="86"/>
      <c r="F269" s="40" t="str">
        <f>IF(H268&lt;1,"","пом.")</f>
        <v/>
      </c>
      <c r="G269" s="40"/>
      <c r="H269" s="85"/>
      <c r="I269" s="86"/>
      <c r="J269" s="40" t="str">
        <f>IF(L268&lt;1,"","пом.")</f>
        <v/>
      </c>
      <c r="K269" s="40"/>
      <c r="L269" s="85"/>
      <c r="M269" s="86"/>
      <c r="N269" s="40" t="str">
        <f>IF(P268&lt;1,"","пом.")</f>
        <v/>
      </c>
      <c r="O269" s="40"/>
      <c r="P269" s="85"/>
      <c r="Q269" s="86"/>
      <c r="R269" s="30"/>
      <c r="S269" s="30"/>
      <c r="T269" s="30"/>
      <c r="U269" s="30"/>
      <c r="V269" s="32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</row>
    <row r="270" spans="1:44" ht="15.6" customHeight="1" x14ac:dyDescent="0.25">
      <c r="A270" s="3"/>
      <c r="B270" s="3"/>
      <c r="C270" s="3"/>
      <c r="D270" s="4"/>
      <c r="E270" s="4"/>
      <c r="F270" s="3"/>
      <c r="G270" s="3"/>
      <c r="H270" s="4"/>
      <c r="I270" s="4"/>
      <c r="J270" s="3"/>
      <c r="K270" s="3"/>
      <c r="L270" s="4"/>
      <c r="M270" s="4"/>
      <c r="N270" s="3"/>
      <c r="O270" s="3"/>
      <c r="P270" s="4"/>
      <c r="Q270" s="4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</row>
    <row r="271" spans="1:44" ht="15.6" customHeight="1" x14ac:dyDescent="0.25">
      <c r="A271" s="3"/>
      <c r="B271" s="3"/>
      <c r="C271" s="3"/>
      <c r="D271" s="4"/>
      <c r="E271" s="5" t="s">
        <v>30</v>
      </c>
      <c r="F271" s="87" t="s">
        <v>31</v>
      </c>
      <c r="G271" s="87"/>
      <c r="H271" s="87"/>
      <c r="I271" s="117" t="s">
        <v>32</v>
      </c>
      <c r="J271" s="117"/>
      <c r="K271" s="58"/>
      <c r="L271" s="4"/>
      <c r="M271" s="4"/>
      <c r="N271" s="3"/>
      <c r="O271" s="30" t="s">
        <v>33</v>
      </c>
      <c r="P271" s="87" t="s">
        <v>34</v>
      </c>
      <c r="Q271" s="87"/>
      <c r="R271" s="87"/>
      <c r="S271" s="117" t="s">
        <v>35</v>
      </c>
      <c r="T271" s="117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</row>
    <row r="272" spans="1:44" ht="15.6" customHeight="1" x14ac:dyDescent="0.25">
      <c r="A272" s="3"/>
      <c r="B272" s="3"/>
      <c r="C272" s="3"/>
      <c r="D272" s="4"/>
      <c r="E272" s="5" t="s">
        <v>36</v>
      </c>
      <c r="F272" s="87" t="s">
        <v>37</v>
      </c>
      <c r="G272" s="87"/>
      <c r="H272" s="87"/>
      <c r="I272" s="117" t="s">
        <v>38</v>
      </c>
      <c r="J272" s="117"/>
      <c r="K272" s="117"/>
      <c r="L272" s="4"/>
      <c r="M272" s="4"/>
      <c r="N272" s="3"/>
      <c r="O272" s="30" t="s">
        <v>39</v>
      </c>
      <c r="P272" s="87" t="s">
        <v>34</v>
      </c>
      <c r="Q272" s="87"/>
      <c r="R272" s="87"/>
      <c r="S272" s="118" t="s">
        <v>109</v>
      </c>
      <c r="T272" s="118"/>
      <c r="U272" s="118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</row>
    <row r="273" spans="1:44" ht="15.6" customHeight="1" x14ac:dyDescent="0.25">
      <c r="A273" s="41"/>
      <c r="B273" s="41"/>
      <c r="C273" s="41"/>
      <c r="D273" s="42"/>
      <c r="E273" s="43"/>
      <c r="F273" s="41"/>
      <c r="G273" s="41"/>
      <c r="H273" s="42"/>
      <c r="I273" s="42"/>
      <c r="J273" s="41"/>
      <c r="K273" s="41"/>
      <c r="L273" s="42"/>
      <c r="M273" s="42"/>
      <c r="N273" s="41"/>
      <c r="O273" s="41"/>
      <c r="P273" s="42"/>
      <c r="Q273" s="42"/>
      <c r="R273" s="41"/>
      <c r="S273" s="41"/>
      <c r="T273" s="41"/>
      <c r="U273" s="41"/>
      <c r="V273" s="41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</row>
    <row r="274" spans="1:44" ht="15.6" customHeight="1" x14ac:dyDescent="0.3">
      <c r="A274" s="3"/>
      <c r="B274" s="3"/>
      <c r="C274" s="3"/>
      <c r="D274" s="4"/>
      <c r="E274" s="6" t="s">
        <v>1</v>
      </c>
      <c r="F274" s="3"/>
      <c r="G274" s="7"/>
      <c r="H274" s="8"/>
      <c r="I274" s="8"/>
      <c r="J274" s="7"/>
      <c r="K274" s="7"/>
      <c r="L274" s="8"/>
      <c r="M274" s="9" t="s">
        <v>2</v>
      </c>
      <c r="N274" s="12" t="str">
        <f>N254</f>
        <v>1.1</v>
      </c>
      <c r="O274" s="12"/>
      <c r="P274" s="4"/>
      <c r="Q274" s="4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</row>
    <row r="275" spans="1:44" ht="15.6" customHeight="1" x14ac:dyDescent="0.3">
      <c r="A275" s="3"/>
      <c r="B275" s="3"/>
      <c r="C275" s="3"/>
      <c r="D275" s="4"/>
      <c r="E275" s="6" t="s">
        <v>4</v>
      </c>
      <c r="F275" s="3"/>
      <c r="G275" s="3"/>
      <c r="H275" s="4"/>
      <c r="I275" s="4"/>
      <c r="J275" s="13"/>
      <c r="K275" s="13"/>
      <c r="L275" s="14"/>
      <c r="M275" s="9" t="s">
        <v>5</v>
      </c>
      <c r="N275" s="15" t="str">
        <f>N255</f>
        <v>1.1.2</v>
      </c>
      <c r="O275" s="15"/>
      <c r="P275" s="4"/>
      <c r="Q275" s="4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</row>
    <row r="276" spans="1:44" ht="15.6" customHeight="1" x14ac:dyDescent="0.3">
      <c r="A276" s="3"/>
      <c r="B276" s="3"/>
      <c r="C276" s="3"/>
      <c r="D276" s="4"/>
      <c r="E276" s="4" t="s">
        <v>7</v>
      </c>
      <c r="F276" s="3"/>
      <c r="G276" s="3"/>
      <c r="H276" s="8"/>
      <c r="I276" s="8"/>
      <c r="J276" s="7"/>
      <c r="K276" s="7"/>
      <c r="L276" s="8"/>
      <c r="M276" s="16" t="s">
        <v>5</v>
      </c>
      <c r="N276" s="17">
        <f>N256</f>
        <v>7</v>
      </c>
      <c r="O276" s="3"/>
      <c r="P276" s="4"/>
      <c r="Q276" s="4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</row>
    <row r="277" spans="1:44" ht="15.6" customHeight="1" x14ac:dyDescent="0.3">
      <c r="A277" s="3"/>
      <c r="B277" s="3"/>
      <c r="C277" s="3"/>
      <c r="D277" s="4"/>
      <c r="E277" s="4" t="s">
        <v>8</v>
      </c>
      <c r="F277" s="3"/>
      <c r="G277" s="3"/>
      <c r="H277" s="4"/>
      <c r="I277" s="4"/>
      <c r="J277" s="3"/>
      <c r="K277" s="3"/>
      <c r="L277" s="14"/>
      <c r="M277" s="16" t="s">
        <v>99</v>
      </c>
      <c r="N277" s="17" t="str">
        <f>IF(N257="-"&amp;N254&amp;".3",IF(N258=15,"-"&amp;N254&amp;".4","-"&amp;N254&amp;".3"),N257)</f>
        <v>-1.1.3</v>
      </c>
      <c r="O277" s="19"/>
      <c r="P277" s="4"/>
      <c r="Q277" s="4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</row>
    <row r="278" spans="1:44" ht="15.6" customHeight="1" x14ac:dyDescent="0.3">
      <c r="A278" s="3"/>
      <c r="B278" s="3"/>
      <c r="C278" s="3"/>
      <c r="D278" s="4"/>
      <c r="E278" s="21" t="s">
        <v>10</v>
      </c>
      <c r="F278" s="3"/>
      <c r="G278" s="3"/>
      <c r="H278" s="4"/>
      <c r="I278" s="8"/>
      <c r="J278" s="7"/>
      <c r="K278" s="7"/>
      <c r="L278" s="8"/>
      <c r="M278" s="16" t="s">
        <v>5</v>
      </c>
      <c r="N278" s="17">
        <f>IF(N277="-"&amp;N212&amp;".3",N258+1,IF(N257="-"&amp;N212&amp;".3",1,N258+1))</f>
        <v>14</v>
      </c>
      <c r="O278" s="3"/>
      <c r="P278" s="4"/>
      <c r="Q278" s="4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</row>
    <row r="279" spans="1:44" ht="7.9" customHeight="1" x14ac:dyDescent="0.25">
      <c r="A279" s="3"/>
      <c r="B279" s="3"/>
      <c r="C279" s="3"/>
      <c r="D279" s="4"/>
      <c r="E279" s="4"/>
      <c r="F279" s="3"/>
      <c r="G279" s="3"/>
      <c r="H279" s="4"/>
      <c r="I279" s="4"/>
      <c r="J279" s="3"/>
      <c r="K279" s="3"/>
      <c r="L279" s="4"/>
      <c r="M279" s="4"/>
      <c r="N279" s="3"/>
      <c r="O279" s="3"/>
      <c r="P279" s="4"/>
      <c r="Q279" s="4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</row>
    <row r="280" spans="1:44" ht="15.6" customHeight="1" x14ac:dyDescent="0.25">
      <c r="A280" s="24"/>
      <c r="B280" s="25"/>
      <c r="C280" s="25"/>
      <c r="D280" s="26"/>
      <c r="E280" s="26"/>
      <c r="F280" s="25"/>
      <c r="G280" s="25"/>
      <c r="H280" s="26"/>
      <c r="I280" s="26"/>
      <c r="J280" s="25"/>
      <c r="K280" s="25"/>
      <c r="L280" s="26"/>
      <c r="M280" s="26"/>
      <c r="N280" s="25"/>
      <c r="O280" s="25"/>
      <c r="P280" s="26"/>
      <c r="Q280" s="26"/>
      <c r="R280" s="25"/>
      <c r="S280" s="25"/>
      <c r="T280" s="25"/>
      <c r="U280" s="25"/>
      <c r="V280" s="45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</row>
    <row r="281" spans="1:44" ht="15.6" customHeight="1" x14ac:dyDescent="0.25">
      <c r="A281" s="27"/>
      <c r="B281" s="28"/>
      <c r="C281" s="28"/>
      <c r="D281" s="71">
        <v>1</v>
      </c>
      <c r="E281" s="72"/>
      <c r="F281" s="28"/>
      <c r="G281" s="28"/>
      <c r="H281" s="71">
        <v>2</v>
      </c>
      <c r="I281" s="72"/>
      <c r="J281" s="28"/>
      <c r="K281" s="28"/>
      <c r="L281" s="71">
        <v>3</v>
      </c>
      <c r="M281" s="72"/>
      <c r="N281" s="28"/>
      <c r="O281" s="28"/>
      <c r="P281" s="71">
        <v>4</v>
      </c>
      <c r="Q281" s="72"/>
      <c r="R281" s="28"/>
      <c r="S281" s="28"/>
      <c r="T281" s="28"/>
      <c r="U281" s="28"/>
      <c r="V281" s="46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</row>
    <row r="282" spans="1:44" ht="15.6" customHeight="1" x14ac:dyDescent="0.25">
      <c r="A282" s="27"/>
      <c r="B282" s="74" t="s">
        <v>11</v>
      </c>
      <c r="C282" s="74"/>
      <c r="D282" s="71" t="s">
        <v>12</v>
      </c>
      <c r="E282" s="72"/>
      <c r="F282" s="74" t="s">
        <v>11</v>
      </c>
      <c r="G282" s="74"/>
      <c r="H282" s="71" t="s">
        <v>12</v>
      </c>
      <c r="I282" s="72"/>
      <c r="J282" s="74" t="s">
        <v>11</v>
      </c>
      <c r="K282" s="74"/>
      <c r="L282" s="71" t="s">
        <v>12</v>
      </c>
      <c r="M282" s="72"/>
      <c r="N282" s="74" t="s">
        <v>11</v>
      </c>
      <c r="O282" s="74"/>
      <c r="P282" s="71" t="s">
        <v>12</v>
      </c>
      <c r="Q282" s="72"/>
      <c r="R282" s="74"/>
      <c r="S282" s="74"/>
      <c r="T282" s="74"/>
      <c r="U282" s="74"/>
      <c r="V282" s="48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</row>
    <row r="283" spans="1:44" ht="15.6" customHeight="1" x14ac:dyDescent="0.25">
      <c r="A283" s="27"/>
      <c r="B283" s="76"/>
      <c r="C283" s="76"/>
      <c r="D283" s="77"/>
      <c r="E283" s="77"/>
      <c r="F283" s="76"/>
      <c r="G283" s="76"/>
      <c r="H283" s="77"/>
      <c r="I283" s="77"/>
      <c r="J283" s="76"/>
      <c r="K283" s="76"/>
      <c r="L283" s="77"/>
      <c r="M283" s="77"/>
      <c r="N283" s="76"/>
      <c r="O283" s="76"/>
      <c r="P283" s="77"/>
      <c r="Q283" s="77"/>
      <c r="R283" s="76"/>
      <c r="S283" s="76"/>
      <c r="T283" s="76"/>
      <c r="U283" s="76"/>
      <c r="V283" s="48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</row>
    <row r="284" spans="1:44" ht="15.6" customHeight="1" x14ac:dyDescent="0.25">
      <c r="A284" s="27"/>
      <c r="B284" s="74">
        <v>0</v>
      </c>
      <c r="C284" s="74"/>
      <c r="D284" s="78">
        <v>1</v>
      </c>
      <c r="E284" s="78"/>
      <c r="F284" s="74">
        <v>2</v>
      </c>
      <c r="G284" s="74"/>
      <c r="H284" s="78">
        <v>3</v>
      </c>
      <c r="I284" s="78"/>
      <c r="J284" s="74">
        <v>4</v>
      </c>
      <c r="K284" s="74"/>
      <c r="L284" s="78">
        <v>5</v>
      </c>
      <c r="M284" s="78"/>
      <c r="N284" s="74">
        <v>6</v>
      </c>
      <c r="O284" s="74"/>
      <c r="P284" s="78">
        <v>7</v>
      </c>
      <c r="Q284" s="78"/>
      <c r="R284" s="74">
        <v>8</v>
      </c>
      <c r="S284" s="74"/>
      <c r="T284" s="74">
        <v>9</v>
      </c>
      <c r="U284" s="74"/>
      <c r="V284" s="49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</row>
    <row r="285" spans="1:44" ht="15.6" customHeight="1" x14ac:dyDescent="0.25">
      <c r="A285" s="27"/>
      <c r="B285" s="28" t="s">
        <v>13</v>
      </c>
      <c r="C285" s="28" t="s">
        <v>14</v>
      </c>
      <c r="D285" s="31" t="s">
        <v>15</v>
      </c>
      <c r="E285" s="31" t="s">
        <v>16</v>
      </c>
      <c r="F285" s="28" t="s">
        <v>13</v>
      </c>
      <c r="G285" s="28" t="s">
        <v>14</v>
      </c>
      <c r="H285" s="31" t="s">
        <v>15</v>
      </c>
      <c r="I285" s="31" t="s">
        <v>16</v>
      </c>
      <c r="J285" s="28" t="s">
        <v>13</v>
      </c>
      <c r="K285" s="28" t="s">
        <v>14</v>
      </c>
      <c r="L285" s="31" t="s">
        <v>15</v>
      </c>
      <c r="M285" s="31" t="s">
        <v>16</v>
      </c>
      <c r="N285" s="28" t="s">
        <v>13</v>
      </c>
      <c r="O285" s="28" t="s">
        <v>14</v>
      </c>
      <c r="P285" s="31" t="s">
        <v>15</v>
      </c>
      <c r="Q285" s="31" t="s">
        <v>16</v>
      </c>
      <c r="R285" s="28" t="s">
        <v>13</v>
      </c>
      <c r="S285" s="28" t="s">
        <v>14</v>
      </c>
      <c r="T285" s="28" t="s">
        <v>15</v>
      </c>
      <c r="U285" s="28" t="s">
        <v>16</v>
      </c>
      <c r="V285" s="49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</row>
    <row r="286" spans="1:44" ht="15.6" customHeight="1" x14ac:dyDescent="0.25">
      <c r="A286" s="33"/>
      <c r="B286" s="34"/>
      <c r="C286" s="34"/>
      <c r="D286" s="35"/>
      <c r="E286" s="36"/>
      <c r="F286" s="34"/>
      <c r="G286" s="34"/>
      <c r="H286" s="35"/>
      <c r="I286" s="36"/>
      <c r="J286" s="34"/>
      <c r="K286" s="34"/>
      <c r="L286" s="35"/>
      <c r="M286" s="36"/>
      <c r="N286" s="34"/>
      <c r="O286" s="34"/>
      <c r="P286" s="35"/>
      <c r="Q286" s="36"/>
      <c r="R286" s="34"/>
      <c r="S286" s="34"/>
      <c r="T286" s="34"/>
      <c r="U286" s="34"/>
      <c r="V286" s="50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</row>
    <row r="287" spans="1:44" ht="6.6" customHeight="1" x14ac:dyDescent="0.25">
      <c r="A287" s="3"/>
      <c r="B287" s="30"/>
      <c r="C287" s="30"/>
      <c r="D287" s="54"/>
      <c r="E287" s="5"/>
      <c r="F287" s="30"/>
      <c r="G287" s="30"/>
      <c r="H287" s="54"/>
      <c r="I287" s="5"/>
      <c r="J287" s="30"/>
      <c r="K287" s="30"/>
      <c r="L287" s="54"/>
      <c r="M287" s="5"/>
      <c r="N287" s="30"/>
      <c r="O287" s="30"/>
      <c r="P287" s="54"/>
      <c r="Q287" s="5"/>
      <c r="R287" s="30"/>
      <c r="S287" s="30"/>
      <c r="T287" s="30"/>
      <c r="U287" s="30"/>
      <c r="V287" s="32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</row>
    <row r="288" spans="1:44" ht="15.6" customHeight="1" x14ac:dyDescent="0.25">
      <c r="A288" s="3"/>
      <c r="B288" s="95"/>
      <c r="C288" s="96"/>
      <c r="D288" s="97"/>
      <c r="E288" s="98"/>
      <c r="F288" s="95"/>
      <c r="G288" s="96"/>
      <c r="H288" s="97"/>
      <c r="I288" s="98"/>
      <c r="J288" s="95"/>
      <c r="K288" s="96"/>
      <c r="L288" s="97"/>
      <c r="M288" s="98"/>
      <c r="N288" s="95"/>
      <c r="O288" s="96"/>
      <c r="P288" s="97"/>
      <c r="Q288" s="98"/>
      <c r="R288" s="30"/>
      <c r="S288" s="30"/>
      <c r="T288" s="30"/>
      <c r="U288" s="30"/>
      <c r="V288" s="32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</row>
    <row r="289" spans="1:44" ht="15.6" customHeight="1" x14ac:dyDescent="0.25">
      <c r="A289" s="3"/>
      <c r="B289" s="40" t="str">
        <f>IF(D288&lt;1,"","пом.")</f>
        <v/>
      </c>
      <c r="C289" s="40"/>
      <c r="D289" s="85"/>
      <c r="E289" s="86"/>
      <c r="F289" s="40" t="str">
        <f>IF(H288&lt;1,"","пом.")</f>
        <v/>
      </c>
      <c r="G289" s="40"/>
      <c r="H289" s="85"/>
      <c r="I289" s="86"/>
      <c r="J289" s="40" t="str">
        <f>IF(L288&lt;1,"","пом.")</f>
        <v/>
      </c>
      <c r="K289" s="40"/>
      <c r="L289" s="85"/>
      <c r="M289" s="86"/>
      <c r="N289" s="40" t="str">
        <f>IF(P288&lt;1,"","пом.")</f>
        <v/>
      </c>
      <c r="O289" s="40"/>
      <c r="P289" s="85"/>
      <c r="Q289" s="86"/>
      <c r="R289" s="30"/>
      <c r="S289" s="30"/>
      <c r="T289" s="30"/>
      <c r="U289" s="30"/>
      <c r="V289" s="32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</row>
    <row r="290" spans="1:44" ht="6.6" customHeight="1" x14ac:dyDescent="0.25">
      <c r="A290" s="3"/>
      <c r="B290" s="3"/>
      <c r="C290" s="3"/>
      <c r="D290" s="4"/>
      <c r="E290" s="4"/>
      <c r="F290" s="3"/>
      <c r="G290" s="3"/>
      <c r="H290" s="4"/>
      <c r="I290" s="4"/>
      <c r="J290" s="3"/>
      <c r="K290" s="3"/>
      <c r="L290" s="4"/>
      <c r="M290" s="4"/>
      <c r="N290" s="3"/>
      <c r="O290" s="3"/>
      <c r="P290" s="4"/>
      <c r="Q290" s="4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</row>
    <row r="291" spans="1:44" ht="15.6" customHeight="1" x14ac:dyDescent="0.25">
      <c r="A291" s="3"/>
      <c r="B291" s="3"/>
      <c r="C291" s="3"/>
      <c r="D291" s="4"/>
      <c r="E291" s="5" t="s">
        <v>30</v>
      </c>
      <c r="F291" s="87" t="s">
        <v>31</v>
      </c>
      <c r="G291" s="87"/>
      <c r="H291" s="87"/>
      <c r="I291" s="117" t="s">
        <v>32</v>
      </c>
      <c r="J291" s="117"/>
      <c r="K291" s="58"/>
      <c r="L291" s="4"/>
      <c r="M291" s="4"/>
      <c r="N291" s="3"/>
      <c r="O291" s="30" t="s">
        <v>33</v>
      </c>
      <c r="P291" s="87" t="s">
        <v>34</v>
      </c>
      <c r="Q291" s="87"/>
      <c r="R291" s="87"/>
      <c r="S291" s="117" t="s">
        <v>35</v>
      </c>
      <c r="T291" s="117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</row>
    <row r="292" spans="1:44" ht="15.6" customHeight="1" x14ac:dyDescent="0.25">
      <c r="A292" s="3"/>
      <c r="B292" s="3"/>
      <c r="C292" s="3"/>
      <c r="D292" s="4"/>
      <c r="E292" s="5" t="s">
        <v>36</v>
      </c>
      <c r="F292" s="87" t="s">
        <v>37</v>
      </c>
      <c r="G292" s="87"/>
      <c r="H292" s="87"/>
      <c r="I292" s="117" t="s">
        <v>38</v>
      </c>
      <c r="J292" s="117"/>
      <c r="K292" s="117"/>
      <c r="L292" s="4"/>
      <c r="M292" s="4"/>
      <c r="N292" s="3"/>
      <c r="O292" s="30" t="s">
        <v>39</v>
      </c>
      <c r="P292" s="87" t="s">
        <v>34</v>
      </c>
      <c r="Q292" s="87"/>
      <c r="R292" s="87"/>
      <c r="S292" s="118" t="s">
        <v>109</v>
      </c>
      <c r="T292" s="118"/>
      <c r="U292" s="118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</row>
    <row r="293" spans="1:44" ht="15.6" customHeight="1" x14ac:dyDescent="0.25">
      <c r="A293" s="41"/>
      <c r="B293" s="41"/>
      <c r="C293" s="41"/>
      <c r="D293" s="42"/>
      <c r="E293" s="43"/>
      <c r="F293" s="41"/>
      <c r="G293" s="41"/>
      <c r="H293" s="42"/>
      <c r="I293" s="42"/>
      <c r="J293" s="41"/>
      <c r="K293" s="41"/>
      <c r="L293" s="42"/>
      <c r="M293" s="42"/>
      <c r="N293" s="41"/>
      <c r="O293" s="41"/>
      <c r="P293" s="42"/>
      <c r="Q293" s="42"/>
      <c r="R293" s="41"/>
      <c r="S293" s="41"/>
      <c r="T293" s="41"/>
      <c r="U293" s="41"/>
      <c r="V293" s="41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</row>
    <row r="294" spans="1:44" ht="15.6" customHeight="1" x14ac:dyDescent="0.25">
      <c r="A294" s="41"/>
      <c r="B294" s="41"/>
      <c r="C294" s="41"/>
      <c r="D294" s="42"/>
      <c r="E294" s="43"/>
      <c r="F294" s="41"/>
      <c r="G294" s="41"/>
      <c r="H294" s="42"/>
      <c r="I294" s="42"/>
      <c r="J294" s="41"/>
      <c r="K294" s="41"/>
      <c r="L294" s="42"/>
      <c r="M294" s="42"/>
      <c r="N294" s="41"/>
      <c r="O294" s="41"/>
      <c r="P294" s="42"/>
      <c r="Q294" s="42"/>
      <c r="R294" s="41"/>
      <c r="S294" s="41"/>
      <c r="T294" s="41"/>
      <c r="U294" s="41"/>
      <c r="V294" s="41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</row>
    <row r="295" spans="1:44" ht="15.6" hidden="1" customHeight="1" x14ac:dyDescent="0.25">
      <c r="A295" s="3"/>
      <c r="B295" s="3"/>
      <c r="C295" s="3"/>
      <c r="D295" s="4"/>
      <c r="E295" s="4"/>
      <c r="F295" s="3"/>
      <c r="G295" s="3"/>
      <c r="H295" s="4"/>
      <c r="I295" s="4"/>
      <c r="J295" s="3"/>
      <c r="K295" s="3"/>
      <c r="L295" s="4"/>
      <c r="M295" s="4"/>
      <c r="N295" s="3"/>
      <c r="O295" s="3"/>
      <c r="P295" s="4"/>
      <c r="Q295" s="4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</row>
    <row r="296" spans="1:44" ht="15.6" customHeight="1" x14ac:dyDescent="0.3">
      <c r="A296" s="3"/>
      <c r="B296" s="3"/>
      <c r="C296" s="3"/>
      <c r="D296" s="4"/>
      <c r="E296" s="6" t="s">
        <v>1</v>
      </c>
      <c r="F296" s="3"/>
      <c r="G296" s="7"/>
      <c r="H296" s="8"/>
      <c r="I296" s="8"/>
      <c r="J296" s="7"/>
      <c r="K296" s="7"/>
      <c r="L296" s="8"/>
      <c r="M296" s="9" t="s">
        <v>2</v>
      </c>
      <c r="N296" s="12" t="str">
        <f>N274</f>
        <v>1.1</v>
      </c>
      <c r="O296" s="12"/>
      <c r="P296" s="4"/>
      <c r="Q296" s="4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</row>
    <row r="297" spans="1:44" ht="15.6" customHeight="1" x14ac:dyDescent="0.3">
      <c r="A297" s="3"/>
      <c r="B297" s="3"/>
      <c r="C297" s="3"/>
      <c r="D297" s="4"/>
      <c r="E297" s="6" t="s">
        <v>4</v>
      </c>
      <c r="F297" s="3"/>
      <c r="G297" s="3"/>
      <c r="H297" s="4"/>
      <c r="I297" s="4"/>
      <c r="J297" s="13"/>
      <c r="K297" s="13"/>
      <c r="L297" s="14"/>
      <c r="M297" s="9" t="s">
        <v>5</v>
      </c>
      <c r="N297" s="15" t="str">
        <f>N296&amp;".2"</f>
        <v>1.1.2</v>
      </c>
      <c r="O297" s="15"/>
      <c r="P297" s="4"/>
      <c r="Q297" s="4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</row>
    <row r="298" spans="1:44" ht="15.6" customHeight="1" x14ac:dyDescent="0.3">
      <c r="A298" s="3"/>
      <c r="B298" s="3"/>
      <c r="C298" s="3"/>
      <c r="D298" s="4"/>
      <c r="E298" s="4" t="s">
        <v>7</v>
      </c>
      <c r="F298" s="3"/>
      <c r="G298" s="3"/>
      <c r="H298" s="8"/>
      <c r="I298" s="8"/>
      <c r="J298" s="7"/>
      <c r="K298" s="7"/>
      <c r="L298" s="8"/>
      <c r="M298" s="16" t="s">
        <v>5</v>
      </c>
      <c r="N298" s="17">
        <f>N276+1</f>
        <v>8</v>
      </c>
      <c r="O298" s="3"/>
      <c r="P298" s="4"/>
      <c r="Q298" s="4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</row>
    <row r="299" spans="1:44" ht="15.6" customHeight="1" x14ac:dyDescent="0.3">
      <c r="A299" s="3"/>
      <c r="B299" s="3"/>
      <c r="C299" s="3"/>
      <c r="D299" s="4"/>
      <c r="E299" s="4" t="s">
        <v>8</v>
      </c>
      <c r="F299" s="3"/>
      <c r="G299" s="3"/>
      <c r="H299" s="4"/>
      <c r="I299" s="4"/>
      <c r="J299" s="3"/>
      <c r="K299" s="3"/>
      <c r="L299" s="14"/>
      <c r="M299" s="16" t="s">
        <v>99</v>
      </c>
      <c r="N299" s="17" t="str">
        <f>IF(N277="-"&amp;N254&amp;".3",IF(N278=15,"-"&amp;N254&amp;".4","-"&amp;N254&amp;".3"),N277)</f>
        <v>-1.1.3</v>
      </c>
      <c r="O299" s="3"/>
      <c r="P299" s="4"/>
      <c r="Q299" s="4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</row>
    <row r="300" spans="1:44" ht="15.6" customHeight="1" x14ac:dyDescent="0.3">
      <c r="A300" s="3"/>
      <c r="B300" s="3"/>
      <c r="C300" s="3"/>
      <c r="D300" s="4"/>
      <c r="E300" s="21" t="s">
        <v>10</v>
      </c>
      <c r="F300" s="3"/>
      <c r="G300" s="3"/>
      <c r="H300" s="4"/>
      <c r="I300" s="8"/>
      <c r="J300" s="7"/>
      <c r="K300" s="7"/>
      <c r="L300" s="8"/>
      <c r="M300" s="16" t="s">
        <v>5</v>
      </c>
      <c r="N300" s="17">
        <f>IF(N299="-"&amp;N254&amp;".3",N278+1,IF(N277="-"&amp;N254&amp;".3",1,N278+1))</f>
        <v>15</v>
      </c>
      <c r="O300" s="3"/>
      <c r="P300" s="4"/>
      <c r="Q300" s="4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</row>
    <row r="301" spans="1:44" ht="15.6" customHeight="1" x14ac:dyDescent="0.25">
      <c r="A301" s="3"/>
      <c r="B301" s="3"/>
      <c r="C301" s="3"/>
      <c r="D301" s="4"/>
      <c r="E301" s="4"/>
      <c r="F301" s="3"/>
      <c r="G301" s="3"/>
      <c r="H301" s="4"/>
      <c r="I301" s="4"/>
      <c r="J301" s="3"/>
      <c r="K301" s="3"/>
      <c r="L301" s="4"/>
      <c r="M301" s="4"/>
      <c r="N301" s="3"/>
      <c r="O301" s="3"/>
      <c r="P301" s="4"/>
      <c r="Q301" s="4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</row>
    <row r="302" spans="1:44" ht="15.6" customHeight="1" x14ac:dyDescent="0.25">
      <c r="A302" s="24"/>
      <c r="B302" s="25"/>
      <c r="C302" s="25"/>
      <c r="D302" s="26"/>
      <c r="E302" s="26"/>
      <c r="F302" s="25"/>
      <c r="G302" s="25"/>
      <c r="H302" s="26"/>
      <c r="I302" s="26"/>
      <c r="J302" s="25"/>
      <c r="K302" s="25"/>
      <c r="L302" s="26"/>
      <c r="M302" s="26"/>
      <c r="N302" s="25"/>
      <c r="O302" s="25"/>
      <c r="P302" s="26"/>
      <c r="Q302" s="26"/>
      <c r="R302" s="25"/>
      <c r="S302" s="25"/>
      <c r="T302" s="25"/>
      <c r="U302" s="25"/>
      <c r="V302" s="45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</row>
    <row r="303" spans="1:44" ht="15.6" customHeight="1" x14ac:dyDescent="0.25">
      <c r="A303" s="27"/>
      <c r="B303" s="28"/>
      <c r="C303" s="28"/>
      <c r="D303" s="71">
        <v>1</v>
      </c>
      <c r="E303" s="72"/>
      <c r="F303" s="28"/>
      <c r="G303" s="28"/>
      <c r="H303" s="71">
        <v>2</v>
      </c>
      <c r="I303" s="72"/>
      <c r="J303" s="28"/>
      <c r="K303" s="28"/>
      <c r="L303" s="71">
        <v>3</v>
      </c>
      <c r="M303" s="72"/>
      <c r="N303" s="28"/>
      <c r="O303" s="28"/>
      <c r="P303" s="71">
        <v>4</v>
      </c>
      <c r="Q303" s="72"/>
      <c r="R303" s="28"/>
      <c r="S303" s="28"/>
      <c r="T303" s="28"/>
      <c r="U303" s="28"/>
      <c r="V303" s="46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</row>
    <row r="304" spans="1:44" ht="15.6" customHeight="1" x14ac:dyDescent="0.25">
      <c r="A304" s="27"/>
      <c r="B304" s="74" t="s">
        <v>11</v>
      </c>
      <c r="C304" s="74"/>
      <c r="D304" s="71" t="s">
        <v>12</v>
      </c>
      <c r="E304" s="72"/>
      <c r="F304" s="74" t="s">
        <v>11</v>
      </c>
      <c r="G304" s="74"/>
      <c r="H304" s="71" t="s">
        <v>12</v>
      </c>
      <c r="I304" s="72"/>
      <c r="J304" s="74" t="s">
        <v>11</v>
      </c>
      <c r="K304" s="74"/>
      <c r="L304" s="71" t="s">
        <v>12</v>
      </c>
      <c r="M304" s="72"/>
      <c r="N304" s="74" t="s">
        <v>11</v>
      </c>
      <c r="O304" s="74"/>
      <c r="P304" s="71" t="s">
        <v>12</v>
      </c>
      <c r="Q304" s="72"/>
      <c r="R304" s="74"/>
      <c r="S304" s="74"/>
      <c r="T304" s="74"/>
      <c r="U304" s="74"/>
      <c r="V304" s="48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</row>
    <row r="305" spans="1:44" ht="15.6" customHeight="1" x14ac:dyDescent="0.25">
      <c r="A305" s="27"/>
      <c r="B305" s="76"/>
      <c r="C305" s="76"/>
      <c r="D305" s="77"/>
      <c r="E305" s="77"/>
      <c r="F305" s="76"/>
      <c r="G305" s="76"/>
      <c r="H305" s="77"/>
      <c r="I305" s="77"/>
      <c r="J305" s="76"/>
      <c r="K305" s="76"/>
      <c r="L305" s="77"/>
      <c r="M305" s="77"/>
      <c r="N305" s="76"/>
      <c r="O305" s="76"/>
      <c r="P305" s="77"/>
      <c r="Q305" s="77"/>
      <c r="R305" s="76"/>
      <c r="S305" s="76"/>
      <c r="T305" s="76"/>
      <c r="U305" s="76"/>
      <c r="V305" s="48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</row>
    <row r="306" spans="1:44" ht="15.6" customHeight="1" x14ac:dyDescent="0.25">
      <c r="A306" s="27"/>
      <c r="B306" s="74">
        <v>0</v>
      </c>
      <c r="C306" s="74"/>
      <c r="D306" s="78">
        <v>1</v>
      </c>
      <c r="E306" s="78"/>
      <c r="F306" s="74">
        <v>2</v>
      </c>
      <c r="G306" s="74"/>
      <c r="H306" s="78">
        <v>3</v>
      </c>
      <c r="I306" s="78"/>
      <c r="J306" s="74">
        <v>4</v>
      </c>
      <c r="K306" s="74"/>
      <c r="L306" s="78">
        <v>5</v>
      </c>
      <c r="M306" s="78"/>
      <c r="N306" s="74">
        <v>6</v>
      </c>
      <c r="O306" s="74"/>
      <c r="P306" s="78">
        <v>7</v>
      </c>
      <c r="Q306" s="78"/>
      <c r="R306" s="74">
        <v>8</v>
      </c>
      <c r="S306" s="74"/>
      <c r="T306" s="74">
        <v>9</v>
      </c>
      <c r="U306" s="74"/>
      <c r="V306" s="49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</row>
    <row r="307" spans="1:44" ht="15.6" customHeight="1" x14ac:dyDescent="0.25">
      <c r="A307" s="27"/>
      <c r="B307" s="28" t="s">
        <v>13</v>
      </c>
      <c r="C307" s="28" t="s">
        <v>14</v>
      </c>
      <c r="D307" s="31" t="s">
        <v>15</v>
      </c>
      <c r="E307" s="31" t="s">
        <v>16</v>
      </c>
      <c r="F307" s="28" t="s">
        <v>13</v>
      </c>
      <c r="G307" s="28" t="s">
        <v>14</v>
      </c>
      <c r="H307" s="31" t="s">
        <v>15</v>
      </c>
      <c r="I307" s="31" t="s">
        <v>16</v>
      </c>
      <c r="J307" s="28" t="s">
        <v>13</v>
      </c>
      <c r="K307" s="28" t="s">
        <v>14</v>
      </c>
      <c r="L307" s="31" t="s">
        <v>15</v>
      </c>
      <c r="M307" s="31" t="s">
        <v>16</v>
      </c>
      <c r="N307" s="28" t="s">
        <v>13</v>
      </c>
      <c r="O307" s="28" t="s">
        <v>14</v>
      </c>
      <c r="P307" s="31" t="s">
        <v>15</v>
      </c>
      <c r="Q307" s="31" t="s">
        <v>16</v>
      </c>
      <c r="R307" s="28" t="s">
        <v>13</v>
      </c>
      <c r="S307" s="28" t="s">
        <v>14</v>
      </c>
      <c r="T307" s="28" t="s">
        <v>15</v>
      </c>
      <c r="U307" s="28" t="s">
        <v>16</v>
      </c>
      <c r="V307" s="49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</row>
    <row r="308" spans="1:44" ht="15.6" customHeight="1" x14ac:dyDescent="0.25">
      <c r="A308" s="33"/>
      <c r="B308" s="34"/>
      <c r="C308" s="34"/>
      <c r="D308" s="35"/>
      <c r="E308" s="36"/>
      <c r="F308" s="34"/>
      <c r="G308" s="34"/>
      <c r="H308" s="35"/>
      <c r="I308" s="36"/>
      <c r="J308" s="34"/>
      <c r="K308" s="34"/>
      <c r="L308" s="35"/>
      <c r="M308" s="36"/>
      <c r="N308" s="34"/>
      <c r="O308" s="34"/>
      <c r="P308" s="35"/>
      <c r="Q308" s="36"/>
      <c r="R308" s="34"/>
      <c r="S308" s="34"/>
      <c r="T308" s="34"/>
      <c r="U308" s="34"/>
      <c r="V308" s="50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</row>
    <row r="309" spans="1:44" ht="15.6" customHeight="1" x14ac:dyDescent="0.25">
      <c r="A309" s="3"/>
      <c r="B309" s="30"/>
      <c r="C309" s="30"/>
      <c r="D309" s="54"/>
      <c r="E309" s="5"/>
      <c r="F309" s="30"/>
      <c r="G309" s="30"/>
      <c r="H309" s="54"/>
      <c r="I309" s="5"/>
      <c r="J309" s="30"/>
      <c r="K309" s="30"/>
      <c r="L309" s="54"/>
      <c r="M309" s="5"/>
      <c r="N309" s="30"/>
      <c r="O309" s="30"/>
      <c r="P309" s="54"/>
      <c r="Q309" s="5"/>
      <c r="R309" s="30"/>
      <c r="S309" s="30"/>
      <c r="T309" s="30"/>
      <c r="U309" s="30"/>
      <c r="V309" s="32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</row>
    <row r="310" spans="1:44" ht="15.6" customHeight="1" x14ac:dyDescent="0.25">
      <c r="A310" s="3"/>
      <c r="B310" s="95"/>
      <c r="C310" s="96"/>
      <c r="D310" s="97"/>
      <c r="E310" s="98"/>
      <c r="F310" s="95"/>
      <c r="G310" s="96"/>
      <c r="H310" s="97"/>
      <c r="I310" s="98"/>
      <c r="J310" s="95"/>
      <c r="K310" s="96"/>
      <c r="L310" s="97"/>
      <c r="M310" s="98"/>
      <c r="N310" s="95"/>
      <c r="O310" s="96"/>
      <c r="P310" s="97"/>
      <c r="Q310" s="98"/>
      <c r="R310" s="30"/>
      <c r="S310" s="30"/>
      <c r="T310" s="30"/>
      <c r="U310" s="30"/>
      <c r="V310" s="32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</row>
    <row r="311" spans="1:44" ht="15.6" customHeight="1" x14ac:dyDescent="0.25">
      <c r="A311" s="3"/>
      <c r="B311" s="40" t="str">
        <f>IF(D310&lt;1,"","пом.")</f>
        <v/>
      </c>
      <c r="C311" s="40"/>
      <c r="D311" s="85"/>
      <c r="E311" s="86"/>
      <c r="F311" s="40" t="str">
        <f>IF(H310&lt;1,"","пом.")</f>
        <v/>
      </c>
      <c r="G311" s="40"/>
      <c r="H311" s="85"/>
      <c r="I311" s="86"/>
      <c r="J311" s="40" t="str">
        <f>IF(L310&lt;1,"","пом.")</f>
        <v/>
      </c>
      <c r="K311" s="40"/>
      <c r="L311" s="85"/>
      <c r="M311" s="86"/>
      <c r="N311" s="40" t="str">
        <f>IF(P310&lt;1,"","пом.")</f>
        <v/>
      </c>
      <c r="O311" s="40"/>
      <c r="P311" s="85"/>
      <c r="Q311" s="86"/>
      <c r="R311" s="30"/>
      <c r="S311" s="30"/>
      <c r="T311" s="30"/>
      <c r="U311" s="30"/>
      <c r="V311" s="32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</row>
    <row r="312" spans="1:44" ht="15.6" customHeight="1" x14ac:dyDescent="0.25">
      <c r="A312" s="3"/>
      <c r="B312" s="3"/>
      <c r="C312" s="3"/>
      <c r="D312" s="4"/>
      <c r="E312" s="4"/>
      <c r="F312" s="3"/>
      <c r="G312" s="3"/>
      <c r="H312" s="4"/>
      <c r="I312" s="4"/>
      <c r="J312" s="3"/>
      <c r="K312" s="3"/>
      <c r="L312" s="4"/>
      <c r="M312" s="4"/>
      <c r="N312" s="3"/>
      <c r="O312" s="3"/>
      <c r="P312" s="4"/>
      <c r="Q312" s="4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</row>
    <row r="313" spans="1:44" ht="15.6" customHeight="1" x14ac:dyDescent="0.25">
      <c r="A313" s="3"/>
      <c r="B313" s="3"/>
      <c r="C313" s="3"/>
      <c r="D313" s="4"/>
      <c r="E313" s="5" t="s">
        <v>30</v>
      </c>
      <c r="F313" s="87" t="s">
        <v>31</v>
      </c>
      <c r="G313" s="87"/>
      <c r="H313" s="87"/>
      <c r="I313" s="117" t="s">
        <v>32</v>
      </c>
      <c r="J313" s="117"/>
      <c r="K313" s="58"/>
      <c r="L313" s="4"/>
      <c r="M313" s="4"/>
      <c r="N313" s="3"/>
      <c r="O313" s="30" t="s">
        <v>33</v>
      </c>
      <c r="P313" s="87" t="s">
        <v>34</v>
      </c>
      <c r="Q313" s="87"/>
      <c r="R313" s="87"/>
      <c r="S313" s="117" t="s">
        <v>35</v>
      </c>
      <c r="T313" s="117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</row>
    <row r="314" spans="1:44" ht="15.6" customHeight="1" x14ac:dyDescent="0.25">
      <c r="A314" s="3"/>
      <c r="B314" s="3"/>
      <c r="C314" s="3"/>
      <c r="D314" s="4"/>
      <c r="E314" s="5" t="s">
        <v>36</v>
      </c>
      <c r="F314" s="87" t="s">
        <v>37</v>
      </c>
      <c r="G314" s="87"/>
      <c r="H314" s="87"/>
      <c r="I314" s="117" t="s">
        <v>38</v>
      </c>
      <c r="J314" s="117"/>
      <c r="K314" s="117"/>
      <c r="L314" s="4"/>
      <c r="M314" s="4"/>
      <c r="N314" s="3"/>
      <c r="O314" s="30" t="s">
        <v>39</v>
      </c>
      <c r="P314" s="87" t="s">
        <v>34</v>
      </c>
      <c r="Q314" s="87"/>
      <c r="R314" s="87"/>
      <c r="S314" s="118" t="s">
        <v>109</v>
      </c>
      <c r="T314" s="118"/>
      <c r="U314" s="118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</row>
    <row r="315" spans="1:44" ht="15.6" customHeight="1" x14ac:dyDescent="0.25">
      <c r="A315" s="41"/>
      <c r="B315" s="41"/>
      <c r="C315" s="41"/>
      <c r="D315" s="42"/>
      <c r="E315" s="43"/>
      <c r="F315" s="41"/>
      <c r="G315" s="41"/>
      <c r="H315" s="42"/>
      <c r="I315" s="42"/>
      <c r="J315" s="41"/>
      <c r="K315" s="41"/>
      <c r="L315" s="42"/>
      <c r="M315" s="42"/>
      <c r="N315" s="41"/>
      <c r="O315" s="41"/>
      <c r="P315" s="42"/>
      <c r="Q315" s="42"/>
      <c r="R315" s="41"/>
      <c r="S315" s="41"/>
      <c r="T315" s="41"/>
      <c r="U315" s="41"/>
      <c r="V315" s="41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</row>
    <row r="316" spans="1:44" ht="15.6" customHeight="1" x14ac:dyDescent="0.3">
      <c r="A316" s="3"/>
      <c r="B316" s="3"/>
      <c r="C316" s="3"/>
      <c r="D316" s="4"/>
      <c r="E316" s="6" t="s">
        <v>1</v>
      </c>
      <c r="F316" s="3"/>
      <c r="G316" s="7"/>
      <c r="H316" s="8"/>
      <c r="I316" s="8"/>
      <c r="J316" s="7"/>
      <c r="K316" s="7"/>
      <c r="L316" s="8"/>
      <c r="M316" s="9" t="s">
        <v>2</v>
      </c>
      <c r="N316" s="12" t="str">
        <f>N296</f>
        <v>1.1</v>
      </c>
      <c r="O316" s="12"/>
      <c r="P316" s="4"/>
      <c r="Q316" s="4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</row>
    <row r="317" spans="1:44" ht="15.6" customHeight="1" x14ac:dyDescent="0.3">
      <c r="A317" s="3"/>
      <c r="B317" s="3"/>
      <c r="C317" s="3"/>
      <c r="D317" s="4"/>
      <c r="E317" s="6" t="s">
        <v>4</v>
      </c>
      <c r="F317" s="3"/>
      <c r="G317" s="3"/>
      <c r="H317" s="4"/>
      <c r="I317" s="4"/>
      <c r="J317" s="13"/>
      <c r="K317" s="13"/>
      <c r="L317" s="14"/>
      <c r="M317" s="9" t="s">
        <v>5</v>
      </c>
      <c r="N317" s="15" t="str">
        <f>N297</f>
        <v>1.1.2</v>
      </c>
      <c r="O317" s="15"/>
      <c r="P317" s="4"/>
      <c r="Q317" s="4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</row>
    <row r="318" spans="1:44" ht="15.6" customHeight="1" x14ac:dyDescent="0.3">
      <c r="A318" s="3"/>
      <c r="B318" s="3"/>
      <c r="C318" s="3"/>
      <c r="D318" s="4"/>
      <c r="E318" s="4" t="s">
        <v>7</v>
      </c>
      <c r="F318" s="3"/>
      <c r="G318" s="3"/>
      <c r="H318" s="8"/>
      <c r="I318" s="8"/>
      <c r="J318" s="7"/>
      <c r="K318" s="7"/>
      <c r="L318" s="8"/>
      <c r="M318" s="16" t="s">
        <v>5</v>
      </c>
      <c r="N318" s="17">
        <f>N298</f>
        <v>8</v>
      </c>
      <c r="O318" s="3"/>
      <c r="P318" s="4"/>
      <c r="Q318" s="4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</row>
    <row r="319" spans="1:44" ht="15.6" customHeight="1" x14ac:dyDescent="0.3">
      <c r="A319" s="3"/>
      <c r="B319" s="3"/>
      <c r="C319" s="3"/>
      <c r="D319" s="4"/>
      <c r="E319" s="4" t="s">
        <v>8</v>
      </c>
      <c r="F319" s="3"/>
      <c r="G319" s="3"/>
      <c r="H319" s="4"/>
      <c r="I319" s="4"/>
      <c r="J319" s="3"/>
      <c r="K319" s="3"/>
      <c r="L319" s="14"/>
      <c r="M319" s="16" t="s">
        <v>99</v>
      </c>
      <c r="N319" s="17" t="str">
        <f>IF(N299="-"&amp;N296&amp;".3",IF(N300=15,"-"&amp;N296&amp;".4","-"&amp;N296&amp;".3"),N299)</f>
        <v>-1.1.4</v>
      </c>
      <c r="O319" s="19"/>
      <c r="P319" s="4"/>
      <c r="Q319" s="4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</row>
    <row r="320" spans="1:44" ht="15.6" customHeight="1" x14ac:dyDescent="0.3">
      <c r="A320" s="3"/>
      <c r="B320" s="3"/>
      <c r="C320" s="3"/>
      <c r="D320" s="4"/>
      <c r="E320" s="21" t="s">
        <v>10</v>
      </c>
      <c r="F320" s="3"/>
      <c r="G320" s="3"/>
      <c r="H320" s="4"/>
      <c r="I320" s="8"/>
      <c r="J320" s="7"/>
      <c r="K320" s="7"/>
      <c r="L320" s="8"/>
      <c r="M320" s="16" t="s">
        <v>5</v>
      </c>
      <c r="N320" s="17">
        <f>IF(N319="-"&amp;N254&amp;".3",N300+1,IF(N299="-"&amp;N254&amp;".3",1,N300+1))</f>
        <v>1</v>
      </c>
      <c r="O320" s="3"/>
      <c r="P320" s="4"/>
      <c r="Q320" s="4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</row>
    <row r="321" spans="1:44" ht="6.6" customHeight="1" x14ac:dyDescent="0.25">
      <c r="A321" s="3"/>
      <c r="B321" s="3"/>
      <c r="C321" s="3"/>
      <c r="D321" s="4"/>
      <c r="E321" s="4"/>
      <c r="F321" s="3"/>
      <c r="G321" s="3"/>
      <c r="H321" s="4"/>
      <c r="I321" s="4"/>
      <c r="J321" s="3"/>
      <c r="K321" s="3"/>
      <c r="L321" s="4"/>
      <c r="M321" s="4"/>
      <c r="N321" s="3"/>
      <c r="O321" s="3"/>
      <c r="P321" s="4"/>
      <c r="Q321" s="4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</row>
    <row r="322" spans="1:44" ht="15.6" customHeight="1" x14ac:dyDescent="0.25">
      <c r="A322" s="24"/>
      <c r="B322" s="25"/>
      <c r="C322" s="25"/>
      <c r="D322" s="26"/>
      <c r="E322" s="26"/>
      <c r="F322" s="25"/>
      <c r="G322" s="25"/>
      <c r="H322" s="26"/>
      <c r="I322" s="26"/>
      <c r="J322" s="25"/>
      <c r="K322" s="25"/>
      <c r="L322" s="26"/>
      <c r="M322" s="26"/>
      <c r="N322" s="25"/>
      <c r="O322" s="25"/>
      <c r="P322" s="26"/>
      <c r="Q322" s="26"/>
      <c r="R322" s="25"/>
      <c r="S322" s="25"/>
      <c r="T322" s="25"/>
      <c r="U322" s="25"/>
      <c r="V322" s="45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</row>
    <row r="323" spans="1:44" ht="15.6" customHeight="1" x14ac:dyDescent="0.25">
      <c r="A323" s="27"/>
      <c r="B323" s="28"/>
      <c r="C323" s="28"/>
      <c r="D323" s="71">
        <v>1</v>
      </c>
      <c r="E323" s="72"/>
      <c r="F323" s="28"/>
      <c r="G323" s="28"/>
      <c r="H323" s="71">
        <v>2</v>
      </c>
      <c r="I323" s="72"/>
      <c r="J323" s="28"/>
      <c r="K323" s="28"/>
      <c r="L323" s="71">
        <v>3</v>
      </c>
      <c r="M323" s="72"/>
      <c r="N323" s="28"/>
      <c r="O323" s="28"/>
      <c r="P323" s="71">
        <v>4</v>
      </c>
      <c r="Q323" s="72"/>
      <c r="R323" s="28"/>
      <c r="S323" s="28"/>
      <c r="T323" s="28"/>
      <c r="U323" s="28"/>
      <c r="V323" s="46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</row>
    <row r="324" spans="1:44" ht="15.6" customHeight="1" x14ac:dyDescent="0.25">
      <c r="A324" s="27"/>
      <c r="B324" s="74" t="s">
        <v>11</v>
      </c>
      <c r="C324" s="74"/>
      <c r="D324" s="71" t="s">
        <v>12</v>
      </c>
      <c r="E324" s="72"/>
      <c r="F324" s="74" t="s">
        <v>11</v>
      </c>
      <c r="G324" s="74"/>
      <c r="H324" s="71" t="s">
        <v>12</v>
      </c>
      <c r="I324" s="72"/>
      <c r="J324" s="74" t="s">
        <v>11</v>
      </c>
      <c r="K324" s="74"/>
      <c r="L324" s="71" t="s">
        <v>12</v>
      </c>
      <c r="M324" s="72"/>
      <c r="N324" s="74" t="s">
        <v>11</v>
      </c>
      <c r="O324" s="74"/>
      <c r="P324" s="71" t="s">
        <v>12</v>
      </c>
      <c r="Q324" s="72"/>
      <c r="R324" s="74"/>
      <c r="S324" s="74"/>
      <c r="T324" s="74"/>
      <c r="U324" s="74"/>
      <c r="V324" s="48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</row>
    <row r="325" spans="1:44" ht="15.6" customHeight="1" x14ac:dyDescent="0.25">
      <c r="A325" s="27"/>
      <c r="B325" s="76"/>
      <c r="C325" s="76"/>
      <c r="D325" s="77"/>
      <c r="E325" s="77"/>
      <c r="F325" s="76"/>
      <c r="G325" s="76"/>
      <c r="H325" s="77"/>
      <c r="I325" s="77"/>
      <c r="J325" s="76"/>
      <c r="K325" s="76"/>
      <c r="L325" s="77"/>
      <c r="M325" s="77"/>
      <c r="N325" s="76"/>
      <c r="O325" s="76"/>
      <c r="P325" s="77"/>
      <c r="Q325" s="77"/>
      <c r="R325" s="76"/>
      <c r="S325" s="76"/>
      <c r="T325" s="76"/>
      <c r="U325" s="76"/>
      <c r="V325" s="48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</row>
    <row r="326" spans="1:44" ht="15.6" customHeight="1" x14ac:dyDescent="0.25">
      <c r="A326" s="27"/>
      <c r="B326" s="74">
        <v>0</v>
      </c>
      <c r="C326" s="74"/>
      <c r="D326" s="78">
        <v>1</v>
      </c>
      <c r="E326" s="78"/>
      <c r="F326" s="74">
        <v>2</v>
      </c>
      <c r="G326" s="74"/>
      <c r="H326" s="78">
        <v>3</v>
      </c>
      <c r="I326" s="78"/>
      <c r="J326" s="74">
        <v>4</v>
      </c>
      <c r="K326" s="74"/>
      <c r="L326" s="78">
        <v>5</v>
      </c>
      <c r="M326" s="78"/>
      <c r="N326" s="74">
        <v>6</v>
      </c>
      <c r="O326" s="74"/>
      <c r="P326" s="78">
        <v>7</v>
      </c>
      <c r="Q326" s="78"/>
      <c r="R326" s="74">
        <v>8</v>
      </c>
      <c r="S326" s="74"/>
      <c r="T326" s="74">
        <v>9</v>
      </c>
      <c r="U326" s="74"/>
      <c r="V326" s="49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</row>
    <row r="327" spans="1:44" ht="15.6" customHeight="1" x14ac:dyDescent="0.25">
      <c r="A327" s="27"/>
      <c r="B327" s="28" t="s">
        <v>13</v>
      </c>
      <c r="C327" s="28" t="s">
        <v>14</v>
      </c>
      <c r="D327" s="31" t="s">
        <v>15</v>
      </c>
      <c r="E327" s="31" t="s">
        <v>16</v>
      </c>
      <c r="F327" s="28" t="s">
        <v>13</v>
      </c>
      <c r="G327" s="28" t="s">
        <v>14</v>
      </c>
      <c r="H327" s="31" t="s">
        <v>15</v>
      </c>
      <c r="I327" s="31" t="s">
        <v>16</v>
      </c>
      <c r="J327" s="28" t="s">
        <v>13</v>
      </c>
      <c r="K327" s="28" t="s">
        <v>14</v>
      </c>
      <c r="L327" s="31" t="s">
        <v>15</v>
      </c>
      <c r="M327" s="31" t="s">
        <v>16</v>
      </c>
      <c r="N327" s="28" t="s">
        <v>13</v>
      </c>
      <c r="O327" s="28" t="s">
        <v>14</v>
      </c>
      <c r="P327" s="31" t="s">
        <v>15</v>
      </c>
      <c r="Q327" s="31" t="s">
        <v>16</v>
      </c>
      <c r="R327" s="28" t="s">
        <v>13</v>
      </c>
      <c r="S327" s="28" t="s">
        <v>14</v>
      </c>
      <c r="T327" s="28" t="s">
        <v>15</v>
      </c>
      <c r="U327" s="28" t="s">
        <v>16</v>
      </c>
      <c r="V327" s="49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</row>
    <row r="328" spans="1:44" ht="15.6" customHeight="1" x14ac:dyDescent="0.25">
      <c r="A328" s="33"/>
      <c r="B328" s="34"/>
      <c r="C328" s="34"/>
      <c r="D328" s="35"/>
      <c r="E328" s="36"/>
      <c r="F328" s="34"/>
      <c r="G328" s="34"/>
      <c r="H328" s="35"/>
      <c r="I328" s="36"/>
      <c r="J328" s="34"/>
      <c r="K328" s="34"/>
      <c r="L328" s="35"/>
      <c r="M328" s="36"/>
      <c r="N328" s="34"/>
      <c r="O328" s="34"/>
      <c r="P328" s="35"/>
      <c r="Q328" s="36"/>
      <c r="R328" s="34"/>
      <c r="S328" s="34"/>
      <c r="T328" s="34"/>
      <c r="U328" s="34"/>
      <c r="V328" s="50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</row>
    <row r="329" spans="1:44" ht="6.6" customHeight="1" x14ac:dyDescent="0.25">
      <c r="A329" s="3"/>
      <c r="B329" s="30"/>
      <c r="C329" s="30"/>
      <c r="D329" s="54"/>
      <c r="E329" s="5"/>
      <c r="F329" s="30"/>
      <c r="G329" s="30"/>
      <c r="H329" s="54"/>
      <c r="I329" s="5"/>
      <c r="J329" s="30"/>
      <c r="K329" s="30"/>
      <c r="L329" s="54"/>
      <c r="M329" s="5"/>
      <c r="N329" s="30"/>
      <c r="O329" s="30"/>
      <c r="P329" s="54"/>
      <c r="Q329" s="5"/>
      <c r="R329" s="30"/>
      <c r="S329" s="30"/>
      <c r="T329" s="30"/>
      <c r="U329" s="30"/>
      <c r="V329" s="32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</row>
    <row r="330" spans="1:44" ht="15.6" customHeight="1" x14ac:dyDescent="0.25">
      <c r="A330" s="3"/>
      <c r="B330" s="95"/>
      <c r="C330" s="96"/>
      <c r="D330" s="97"/>
      <c r="E330" s="98"/>
      <c r="F330" s="95"/>
      <c r="G330" s="96"/>
      <c r="H330" s="97"/>
      <c r="I330" s="98"/>
      <c r="J330" s="95"/>
      <c r="K330" s="96"/>
      <c r="L330" s="97"/>
      <c r="M330" s="98"/>
      <c r="N330" s="95"/>
      <c r="O330" s="96"/>
      <c r="P330" s="97"/>
      <c r="Q330" s="98"/>
      <c r="R330" s="30"/>
      <c r="S330" s="30"/>
      <c r="T330" s="30"/>
      <c r="U330" s="30"/>
      <c r="V330" s="32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</row>
    <row r="331" spans="1:44" ht="15.6" customHeight="1" x14ac:dyDescent="0.25">
      <c r="A331" s="3"/>
      <c r="B331" s="40" t="str">
        <f>IF(D330&lt;1,"","пом.")</f>
        <v/>
      </c>
      <c r="C331" s="40"/>
      <c r="D331" s="85"/>
      <c r="E331" s="86"/>
      <c r="F331" s="40" t="str">
        <f>IF(H330&lt;1,"","пом.")</f>
        <v/>
      </c>
      <c r="G331" s="40"/>
      <c r="H331" s="85"/>
      <c r="I331" s="86"/>
      <c r="J331" s="40" t="str">
        <f>IF(L330&lt;1,"","пом.")</f>
        <v/>
      </c>
      <c r="K331" s="40"/>
      <c r="L331" s="85"/>
      <c r="M331" s="86"/>
      <c r="N331" s="40" t="str">
        <f>IF(P330&lt;1,"","пом.")</f>
        <v/>
      </c>
      <c r="O331" s="40"/>
      <c r="P331" s="85"/>
      <c r="Q331" s="86"/>
      <c r="R331" s="30"/>
      <c r="S331" s="30"/>
      <c r="T331" s="30"/>
      <c r="U331" s="30"/>
      <c r="V331" s="32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</row>
    <row r="332" spans="1:44" ht="7.9" customHeight="1" x14ac:dyDescent="0.25">
      <c r="A332" s="3"/>
      <c r="B332" s="3"/>
      <c r="C332" s="3"/>
      <c r="D332" s="4"/>
      <c r="E332" s="4"/>
      <c r="F332" s="3"/>
      <c r="G332" s="3"/>
      <c r="H332" s="4"/>
      <c r="I332" s="4"/>
      <c r="J332" s="3"/>
      <c r="K332" s="3"/>
      <c r="L332" s="4"/>
      <c r="M332" s="4"/>
      <c r="N332" s="3"/>
      <c r="O332" s="3"/>
      <c r="P332" s="4"/>
      <c r="Q332" s="4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</row>
    <row r="333" spans="1:44" ht="15.6" customHeight="1" x14ac:dyDescent="0.25">
      <c r="A333" s="3"/>
      <c r="B333" s="3"/>
      <c r="C333" s="3"/>
      <c r="D333" s="4"/>
      <c r="E333" s="5" t="s">
        <v>30</v>
      </c>
      <c r="F333" s="87" t="s">
        <v>31</v>
      </c>
      <c r="G333" s="87"/>
      <c r="H333" s="87"/>
      <c r="I333" s="117" t="s">
        <v>32</v>
      </c>
      <c r="J333" s="117"/>
      <c r="K333" s="58"/>
      <c r="L333" s="4"/>
      <c r="M333" s="4"/>
      <c r="N333" s="3"/>
      <c r="O333" s="30" t="s">
        <v>33</v>
      </c>
      <c r="P333" s="87" t="s">
        <v>34</v>
      </c>
      <c r="Q333" s="87"/>
      <c r="R333" s="87"/>
      <c r="S333" s="117" t="s">
        <v>35</v>
      </c>
      <c r="T333" s="117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</row>
    <row r="334" spans="1:44" ht="15.6" customHeight="1" x14ac:dyDescent="0.25">
      <c r="A334" s="3"/>
      <c r="B334" s="3"/>
      <c r="C334" s="3"/>
      <c r="D334" s="4"/>
      <c r="E334" s="5" t="s">
        <v>36</v>
      </c>
      <c r="F334" s="87" t="s">
        <v>37</v>
      </c>
      <c r="G334" s="87"/>
      <c r="H334" s="87"/>
      <c r="I334" s="117" t="s">
        <v>38</v>
      </c>
      <c r="J334" s="117"/>
      <c r="K334" s="117"/>
      <c r="L334" s="4"/>
      <c r="M334" s="4"/>
      <c r="N334" s="3"/>
      <c r="O334" s="30" t="s">
        <v>39</v>
      </c>
      <c r="P334" s="87" t="s">
        <v>34</v>
      </c>
      <c r="Q334" s="87"/>
      <c r="R334" s="87"/>
      <c r="S334" s="118" t="s">
        <v>109</v>
      </c>
      <c r="T334" s="118"/>
      <c r="U334" s="118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</row>
    <row r="335" spans="1:44" ht="15.6" customHeight="1" x14ac:dyDescent="0.25">
      <c r="A335" s="41"/>
      <c r="B335" s="41"/>
      <c r="C335" s="41"/>
      <c r="D335" s="42"/>
      <c r="E335" s="43"/>
      <c r="F335" s="41"/>
      <c r="G335" s="41"/>
      <c r="H335" s="42"/>
      <c r="I335" s="42"/>
      <c r="J335" s="41"/>
      <c r="K335" s="41"/>
      <c r="L335" s="42"/>
      <c r="M335" s="42"/>
      <c r="N335" s="41"/>
      <c r="O335" s="41"/>
      <c r="P335" s="42"/>
      <c r="Q335" s="42"/>
      <c r="R335" s="41"/>
      <c r="S335" s="41"/>
      <c r="T335" s="41"/>
      <c r="U335" s="41"/>
      <c r="V335" s="41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</row>
    <row r="336" spans="1:44" ht="15.6" customHeight="1" x14ac:dyDescent="0.25">
      <c r="A336" s="41"/>
      <c r="B336" s="41"/>
      <c r="C336" s="41"/>
      <c r="D336" s="42"/>
      <c r="E336" s="43"/>
      <c r="F336" s="41"/>
      <c r="G336" s="41"/>
      <c r="H336" s="42"/>
      <c r="I336" s="42"/>
      <c r="J336" s="41"/>
      <c r="K336" s="41"/>
      <c r="L336" s="42"/>
      <c r="M336" s="42"/>
      <c r="N336" s="41"/>
      <c r="O336" s="41"/>
      <c r="P336" s="42"/>
      <c r="Q336" s="42"/>
      <c r="R336" s="41"/>
      <c r="S336" s="41"/>
      <c r="T336" s="41"/>
      <c r="U336" s="41"/>
      <c r="V336" s="41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</row>
    <row r="337" spans="1:44" ht="15.6" hidden="1" customHeight="1" x14ac:dyDescent="0.25">
      <c r="A337" s="3"/>
      <c r="B337" s="3"/>
      <c r="C337" s="3"/>
      <c r="D337" s="4"/>
      <c r="E337" s="4"/>
      <c r="F337" s="3"/>
      <c r="G337" s="3"/>
      <c r="H337" s="4"/>
      <c r="I337" s="4"/>
      <c r="J337" s="3"/>
      <c r="K337" s="3"/>
      <c r="L337" s="4"/>
      <c r="M337" s="4"/>
      <c r="N337" s="3"/>
      <c r="O337" s="3"/>
      <c r="P337" s="4"/>
      <c r="Q337" s="4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</row>
    <row r="338" spans="1:44" ht="15.6" customHeight="1" x14ac:dyDescent="0.3">
      <c r="A338" s="3"/>
      <c r="B338" s="3"/>
      <c r="C338" s="3"/>
      <c r="D338" s="4"/>
      <c r="E338" s="6" t="s">
        <v>1</v>
      </c>
      <c r="F338" s="3"/>
      <c r="G338" s="7"/>
      <c r="H338" s="8"/>
      <c r="I338" s="8"/>
      <c r="J338" s="7"/>
      <c r="K338" s="7"/>
      <c r="L338" s="8"/>
      <c r="M338" s="9" t="s">
        <v>2</v>
      </c>
      <c r="N338" s="12" t="str">
        <f>N316</f>
        <v>1.1</v>
      </c>
      <c r="O338" s="12"/>
      <c r="P338" s="4"/>
      <c r="Q338" s="4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</row>
    <row r="339" spans="1:44" ht="15.6" customHeight="1" x14ac:dyDescent="0.3">
      <c r="A339" s="3"/>
      <c r="B339" s="3"/>
      <c r="C339" s="3"/>
      <c r="D339" s="4"/>
      <c r="E339" s="6" t="s">
        <v>4</v>
      </c>
      <c r="F339" s="3"/>
      <c r="G339" s="3"/>
      <c r="H339" s="4"/>
      <c r="I339" s="4"/>
      <c r="J339" s="13"/>
      <c r="K339" s="13"/>
      <c r="L339" s="14"/>
      <c r="M339" s="9" t="s">
        <v>5</v>
      </c>
      <c r="N339" s="15" t="str">
        <f>N338&amp;".2"</f>
        <v>1.1.2</v>
      </c>
      <c r="O339" s="15"/>
      <c r="P339" s="4"/>
      <c r="Q339" s="4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</row>
    <row r="340" spans="1:44" ht="15.6" customHeight="1" x14ac:dyDescent="0.3">
      <c r="A340" s="3"/>
      <c r="B340" s="3"/>
      <c r="C340" s="3"/>
      <c r="D340" s="4"/>
      <c r="E340" s="4" t="s">
        <v>7</v>
      </c>
      <c r="F340" s="3"/>
      <c r="G340" s="3"/>
      <c r="H340" s="8"/>
      <c r="I340" s="8"/>
      <c r="J340" s="7"/>
      <c r="K340" s="7"/>
      <c r="L340" s="8"/>
      <c r="M340" s="16" t="s">
        <v>5</v>
      </c>
      <c r="N340" s="17">
        <f>N318+1</f>
        <v>9</v>
      </c>
      <c r="O340" s="3"/>
      <c r="P340" s="4"/>
      <c r="Q340" s="4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</row>
    <row r="341" spans="1:44" ht="15.6" customHeight="1" x14ac:dyDescent="0.3">
      <c r="A341" s="3"/>
      <c r="B341" s="3"/>
      <c r="C341" s="3"/>
      <c r="D341" s="4"/>
      <c r="E341" s="4" t="s">
        <v>8</v>
      </c>
      <c r="F341" s="3"/>
      <c r="G341" s="3"/>
      <c r="H341" s="4"/>
      <c r="I341" s="4"/>
      <c r="J341" s="3"/>
      <c r="K341" s="3"/>
      <c r="L341" s="14"/>
      <c r="M341" s="16" t="s">
        <v>99</v>
      </c>
      <c r="N341" s="17" t="str">
        <f>IF(N319="-"&amp;N296&amp;".3",IF(N320=15,"-"&amp;N296&amp;".4","-"&amp;N296&amp;".3"),N319)</f>
        <v>-1.1.4</v>
      </c>
      <c r="O341" s="3"/>
      <c r="P341" s="4"/>
      <c r="Q341" s="4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</row>
    <row r="342" spans="1:44" ht="15.6" customHeight="1" x14ac:dyDescent="0.3">
      <c r="A342" s="3"/>
      <c r="B342" s="3"/>
      <c r="C342" s="3"/>
      <c r="D342" s="4"/>
      <c r="E342" s="21" t="s">
        <v>10</v>
      </c>
      <c r="F342" s="3"/>
      <c r="G342" s="3"/>
      <c r="H342" s="4"/>
      <c r="I342" s="8"/>
      <c r="J342" s="7"/>
      <c r="K342" s="7"/>
      <c r="L342" s="8"/>
      <c r="M342" s="16" t="s">
        <v>5</v>
      </c>
      <c r="N342" s="17">
        <f>IF(N341="-"&amp;N296&amp;".3",N320+1,IF(N319="-"&amp;N296&amp;".3",1,N320+1))</f>
        <v>2</v>
      </c>
      <c r="O342" s="3"/>
      <c r="P342" s="4"/>
      <c r="Q342" s="4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</row>
    <row r="343" spans="1:44" ht="15.6" customHeight="1" x14ac:dyDescent="0.25">
      <c r="A343" s="3"/>
      <c r="B343" s="3"/>
      <c r="C343" s="3"/>
      <c r="D343" s="4"/>
      <c r="E343" s="4"/>
      <c r="F343" s="3"/>
      <c r="G343" s="3"/>
      <c r="H343" s="4"/>
      <c r="I343" s="4"/>
      <c r="J343" s="3"/>
      <c r="K343" s="3"/>
      <c r="L343" s="4"/>
      <c r="M343" s="4"/>
      <c r="N343" s="3"/>
      <c r="O343" s="3"/>
      <c r="P343" s="4"/>
      <c r="Q343" s="4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</row>
    <row r="344" spans="1:44" ht="15.6" customHeight="1" x14ac:dyDescent="0.25">
      <c r="A344" s="24"/>
      <c r="B344" s="25"/>
      <c r="C344" s="25"/>
      <c r="D344" s="26"/>
      <c r="E344" s="26"/>
      <c r="F344" s="25"/>
      <c r="G344" s="25"/>
      <c r="H344" s="26"/>
      <c r="I344" s="26"/>
      <c r="J344" s="25"/>
      <c r="K344" s="25"/>
      <c r="L344" s="26"/>
      <c r="M344" s="26"/>
      <c r="N344" s="25"/>
      <c r="O344" s="25"/>
      <c r="P344" s="26"/>
      <c r="Q344" s="26"/>
      <c r="R344" s="25"/>
      <c r="S344" s="25"/>
      <c r="T344" s="25"/>
      <c r="U344" s="25"/>
      <c r="V344" s="45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</row>
    <row r="345" spans="1:44" ht="15.6" customHeight="1" x14ac:dyDescent="0.25">
      <c r="A345" s="27"/>
      <c r="B345" s="28"/>
      <c r="C345" s="28"/>
      <c r="D345" s="71">
        <v>1</v>
      </c>
      <c r="E345" s="72"/>
      <c r="F345" s="28"/>
      <c r="G345" s="28"/>
      <c r="H345" s="71">
        <v>2</v>
      </c>
      <c r="I345" s="72"/>
      <c r="J345" s="28"/>
      <c r="K345" s="28"/>
      <c r="L345" s="71">
        <v>3</v>
      </c>
      <c r="M345" s="72"/>
      <c r="N345" s="28"/>
      <c r="O345" s="28"/>
      <c r="P345" s="71">
        <v>4</v>
      </c>
      <c r="Q345" s="72"/>
      <c r="R345" s="28"/>
      <c r="S345" s="28"/>
      <c r="T345" s="28"/>
      <c r="U345" s="28"/>
      <c r="V345" s="46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</row>
    <row r="346" spans="1:44" ht="15.6" customHeight="1" x14ac:dyDescent="0.25">
      <c r="A346" s="27"/>
      <c r="B346" s="74" t="s">
        <v>11</v>
      </c>
      <c r="C346" s="74"/>
      <c r="D346" s="71" t="s">
        <v>12</v>
      </c>
      <c r="E346" s="72"/>
      <c r="F346" s="74" t="s">
        <v>11</v>
      </c>
      <c r="G346" s="74"/>
      <c r="H346" s="71" t="s">
        <v>12</v>
      </c>
      <c r="I346" s="72"/>
      <c r="J346" s="74" t="s">
        <v>11</v>
      </c>
      <c r="K346" s="74"/>
      <c r="L346" s="71" t="s">
        <v>12</v>
      </c>
      <c r="M346" s="72"/>
      <c r="N346" s="74" t="s">
        <v>11</v>
      </c>
      <c r="O346" s="74"/>
      <c r="P346" s="71" t="s">
        <v>12</v>
      </c>
      <c r="Q346" s="72"/>
      <c r="R346" s="74"/>
      <c r="S346" s="74"/>
      <c r="T346" s="74"/>
      <c r="U346" s="74"/>
      <c r="V346" s="48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</row>
    <row r="347" spans="1:44" ht="15.6" customHeight="1" x14ac:dyDescent="0.25">
      <c r="A347" s="27"/>
      <c r="B347" s="76"/>
      <c r="C347" s="76"/>
      <c r="D347" s="77"/>
      <c r="E347" s="77"/>
      <c r="F347" s="76"/>
      <c r="G347" s="76"/>
      <c r="H347" s="77"/>
      <c r="I347" s="77"/>
      <c r="J347" s="76"/>
      <c r="K347" s="76"/>
      <c r="L347" s="77"/>
      <c r="M347" s="77"/>
      <c r="N347" s="76"/>
      <c r="O347" s="76"/>
      <c r="P347" s="77"/>
      <c r="Q347" s="77"/>
      <c r="R347" s="76"/>
      <c r="S347" s="76"/>
      <c r="T347" s="76"/>
      <c r="U347" s="76"/>
      <c r="V347" s="48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</row>
    <row r="348" spans="1:44" ht="15.6" customHeight="1" x14ac:dyDescent="0.25">
      <c r="A348" s="27"/>
      <c r="B348" s="74">
        <v>0</v>
      </c>
      <c r="C348" s="74"/>
      <c r="D348" s="78">
        <v>1</v>
      </c>
      <c r="E348" s="78"/>
      <c r="F348" s="74">
        <v>2</v>
      </c>
      <c r="G348" s="74"/>
      <c r="H348" s="78">
        <v>3</v>
      </c>
      <c r="I348" s="78"/>
      <c r="J348" s="74">
        <v>4</v>
      </c>
      <c r="K348" s="74"/>
      <c r="L348" s="78">
        <v>5</v>
      </c>
      <c r="M348" s="78"/>
      <c r="N348" s="74">
        <v>6</v>
      </c>
      <c r="O348" s="74"/>
      <c r="P348" s="78">
        <v>7</v>
      </c>
      <c r="Q348" s="78"/>
      <c r="R348" s="74">
        <v>8</v>
      </c>
      <c r="S348" s="74"/>
      <c r="T348" s="74">
        <v>9</v>
      </c>
      <c r="U348" s="74"/>
      <c r="V348" s="49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</row>
    <row r="349" spans="1:44" ht="15.6" customHeight="1" x14ac:dyDescent="0.25">
      <c r="A349" s="27"/>
      <c r="B349" s="28" t="s">
        <v>13</v>
      </c>
      <c r="C349" s="28" t="s">
        <v>14</v>
      </c>
      <c r="D349" s="31" t="s">
        <v>15</v>
      </c>
      <c r="E349" s="31" t="s">
        <v>16</v>
      </c>
      <c r="F349" s="28" t="s">
        <v>13</v>
      </c>
      <c r="G349" s="28" t="s">
        <v>14</v>
      </c>
      <c r="H349" s="31" t="s">
        <v>15</v>
      </c>
      <c r="I349" s="31" t="s">
        <v>16</v>
      </c>
      <c r="J349" s="28" t="s">
        <v>13</v>
      </c>
      <c r="K349" s="28" t="s">
        <v>14</v>
      </c>
      <c r="L349" s="31" t="s">
        <v>15</v>
      </c>
      <c r="M349" s="31" t="s">
        <v>16</v>
      </c>
      <c r="N349" s="28" t="s">
        <v>13</v>
      </c>
      <c r="O349" s="28" t="s">
        <v>14</v>
      </c>
      <c r="P349" s="31" t="s">
        <v>15</v>
      </c>
      <c r="Q349" s="31" t="s">
        <v>16</v>
      </c>
      <c r="R349" s="28" t="s">
        <v>13</v>
      </c>
      <c r="S349" s="28" t="s">
        <v>14</v>
      </c>
      <c r="T349" s="28" t="s">
        <v>15</v>
      </c>
      <c r="U349" s="28" t="s">
        <v>16</v>
      </c>
      <c r="V349" s="49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</row>
    <row r="350" spans="1:44" ht="15.6" customHeight="1" x14ac:dyDescent="0.25">
      <c r="A350" s="33"/>
      <c r="B350" s="34"/>
      <c r="C350" s="34"/>
      <c r="D350" s="35"/>
      <c r="E350" s="36"/>
      <c r="F350" s="34"/>
      <c r="G350" s="34"/>
      <c r="H350" s="35"/>
      <c r="I350" s="36"/>
      <c r="J350" s="34"/>
      <c r="K350" s="34"/>
      <c r="L350" s="35"/>
      <c r="M350" s="36"/>
      <c r="N350" s="34"/>
      <c r="O350" s="34"/>
      <c r="P350" s="35"/>
      <c r="Q350" s="36"/>
      <c r="R350" s="34"/>
      <c r="S350" s="34"/>
      <c r="T350" s="34"/>
      <c r="U350" s="34"/>
      <c r="V350" s="50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</row>
    <row r="351" spans="1:44" ht="15.6" customHeight="1" x14ac:dyDescent="0.25">
      <c r="A351" s="3"/>
      <c r="B351" s="30"/>
      <c r="C351" s="30"/>
      <c r="D351" s="54"/>
      <c r="E351" s="5"/>
      <c r="F351" s="30"/>
      <c r="G351" s="30"/>
      <c r="H351" s="54"/>
      <c r="I351" s="5"/>
      <c r="J351" s="30"/>
      <c r="K351" s="30"/>
      <c r="L351" s="54"/>
      <c r="M351" s="5"/>
      <c r="N351" s="30"/>
      <c r="O351" s="30"/>
      <c r="P351" s="54"/>
      <c r="Q351" s="5"/>
      <c r="R351" s="30"/>
      <c r="S351" s="30"/>
      <c r="T351" s="30"/>
      <c r="U351" s="30"/>
      <c r="V351" s="32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</row>
    <row r="352" spans="1:44" ht="15.6" customHeight="1" x14ac:dyDescent="0.25">
      <c r="A352" s="3"/>
      <c r="B352" s="95"/>
      <c r="C352" s="96"/>
      <c r="D352" s="97"/>
      <c r="E352" s="98"/>
      <c r="F352" s="95"/>
      <c r="G352" s="96"/>
      <c r="H352" s="97"/>
      <c r="I352" s="98"/>
      <c r="J352" s="95"/>
      <c r="K352" s="96"/>
      <c r="L352" s="97"/>
      <c r="M352" s="98"/>
      <c r="N352" s="95"/>
      <c r="O352" s="96"/>
      <c r="P352" s="97"/>
      <c r="Q352" s="98"/>
      <c r="R352" s="30"/>
      <c r="S352" s="30"/>
      <c r="T352" s="30"/>
      <c r="U352" s="30"/>
      <c r="V352" s="32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</row>
    <row r="353" spans="1:44" ht="15.6" customHeight="1" x14ac:dyDescent="0.25">
      <c r="A353" s="3"/>
      <c r="B353" s="40" t="str">
        <f>IF(D352&lt;1,"","пом.")</f>
        <v/>
      </c>
      <c r="C353" s="40"/>
      <c r="D353" s="85"/>
      <c r="E353" s="86"/>
      <c r="F353" s="40" t="str">
        <f>IF(H352&lt;1,"","пом.")</f>
        <v/>
      </c>
      <c r="G353" s="40"/>
      <c r="H353" s="85"/>
      <c r="I353" s="86"/>
      <c r="J353" s="40" t="str">
        <f>IF(L352&lt;1,"","пом.")</f>
        <v/>
      </c>
      <c r="K353" s="40"/>
      <c r="L353" s="85"/>
      <c r="M353" s="86"/>
      <c r="N353" s="40" t="str">
        <f>IF(P352&lt;1,"","пом.")</f>
        <v/>
      </c>
      <c r="O353" s="40"/>
      <c r="P353" s="85"/>
      <c r="Q353" s="86"/>
      <c r="R353" s="30"/>
      <c r="S353" s="30"/>
      <c r="T353" s="30"/>
      <c r="U353" s="30"/>
      <c r="V353" s="32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</row>
    <row r="354" spans="1:44" ht="15.6" customHeight="1" x14ac:dyDescent="0.25">
      <c r="A354" s="3"/>
      <c r="B354" s="3"/>
      <c r="C354" s="3"/>
      <c r="D354" s="4"/>
      <c r="E354" s="4"/>
      <c r="F354" s="3"/>
      <c r="G354" s="3"/>
      <c r="H354" s="4"/>
      <c r="I354" s="4"/>
      <c r="J354" s="3"/>
      <c r="K354" s="3"/>
      <c r="L354" s="4"/>
      <c r="M354" s="4"/>
      <c r="N354" s="3"/>
      <c r="O354" s="3"/>
      <c r="P354" s="4"/>
      <c r="Q354" s="4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</row>
    <row r="355" spans="1:44" ht="15.6" customHeight="1" x14ac:dyDescent="0.25">
      <c r="A355" s="3"/>
      <c r="B355" s="3"/>
      <c r="C355" s="3"/>
      <c r="D355" s="4"/>
      <c r="E355" s="5" t="s">
        <v>30</v>
      </c>
      <c r="F355" s="87" t="s">
        <v>31</v>
      </c>
      <c r="G355" s="87"/>
      <c r="H355" s="87"/>
      <c r="I355" s="117" t="s">
        <v>32</v>
      </c>
      <c r="J355" s="117"/>
      <c r="K355" s="58"/>
      <c r="L355" s="4"/>
      <c r="M355" s="4"/>
      <c r="N355" s="3"/>
      <c r="O355" s="30" t="s">
        <v>33</v>
      </c>
      <c r="P355" s="87" t="s">
        <v>34</v>
      </c>
      <c r="Q355" s="87"/>
      <c r="R355" s="87"/>
      <c r="S355" s="117" t="s">
        <v>35</v>
      </c>
      <c r="T355" s="117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</row>
    <row r="356" spans="1:44" ht="15.6" customHeight="1" x14ac:dyDescent="0.25">
      <c r="A356" s="3"/>
      <c r="B356" s="3"/>
      <c r="C356" s="3"/>
      <c r="D356" s="4"/>
      <c r="E356" s="5" t="s">
        <v>36</v>
      </c>
      <c r="F356" s="87" t="s">
        <v>37</v>
      </c>
      <c r="G356" s="87"/>
      <c r="H356" s="87"/>
      <c r="I356" s="117" t="s">
        <v>38</v>
      </c>
      <c r="J356" s="117"/>
      <c r="K356" s="117"/>
      <c r="L356" s="4"/>
      <c r="M356" s="4"/>
      <c r="N356" s="3"/>
      <c r="O356" s="30" t="s">
        <v>39</v>
      </c>
      <c r="P356" s="87" t="s">
        <v>34</v>
      </c>
      <c r="Q356" s="87"/>
      <c r="R356" s="87"/>
      <c r="S356" s="118" t="s">
        <v>109</v>
      </c>
      <c r="T356" s="118"/>
      <c r="U356" s="118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</row>
    <row r="357" spans="1:44" ht="15.6" customHeight="1" x14ac:dyDescent="0.25">
      <c r="A357" s="41"/>
      <c r="B357" s="41"/>
      <c r="C357" s="41"/>
      <c r="D357" s="42"/>
      <c r="E357" s="43"/>
      <c r="F357" s="41"/>
      <c r="G357" s="41"/>
      <c r="H357" s="42"/>
      <c r="I357" s="42"/>
      <c r="J357" s="41"/>
      <c r="K357" s="41"/>
      <c r="L357" s="42"/>
      <c r="M357" s="42"/>
      <c r="N357" s="41"/>
      <c r="O357" s="41"/>
      <c r="P357" s="42"/>
      <c r="Q357" s="42"/>
      <c r="R357" s="41"/>
      <c r="S357" s="41"/>
      <c r="T357" s="41"/>
      <c r="U357" s="41"/>
      <c r="V357" s="41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</row>
    <row r="358" spans="1:44" ht="15.6" customHeight="1" x14ac:dyDescent="0.3">
      <c r="A358" s="3"/>
      <c r="B358" s="3"/>
      <c r="C358" s="3"/>
      <c r="D358" s="4"/>
      <c r="E358" s="6" t="s">
        <v>1</v>
      </c>
      <c r="F358" s="3"/>
      <c r="G358" s="7"/>
      <c r="H358" s="8"/>
      <c r="I358" s="8"/>
      <c r="J358" s="7"/>
      <c r="K358" s="7"/>
      <c r="L358" s="8"/>
      <c r="M358" s="9" t="s">
        <v>2</v>
      </c>
      <c r="N358" s="12" t="str">
        <f>N338</f>
        <v>1.1</v>
      </c>
      <c r="O358" s="12"/>
      <c r="P358" s="4"/>
      <c r="Q358" s="4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</row>
    <row r="359" spans="1:44" ht="15.6" customHeight="1" x14ac:dyDescent="0.3">
      <c r="A359" s="3"/>
      <c r="B359" s="3"/>
      <c r="C359" s="3"/>
      <c r="D359" s="4"/>
      <c r="E359" s="6" t="s">
        <v>4</v>
      </c>
      <c r="F359" s="3"/>
      <c r="G359" s="3"/>
      <c r="H359" s="4"/>
      <c r="I359" s="4"/>
      <c r="J359" s="13"/>
      <c r="K359" s="13"/>
      <c r="L359" s="14"/>
      <c r="M359" s="9" t="s">
        <v>5</v>
      </c>
      <c r="N359" s="15" t="str">
        <f>N339</f>
        <v>1.1.2</v>
      </c>
      <c r="O359" s="15"/>
      <c r="P359" s="4"/>
      <c r="Q359" s="4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</row>
    <row r="360" spans="1:44" ht="15.6" customHeight="1" x14ac:dyDescent="0.3">
      <c r="A360" s="3"/>
      <c r="B360" s="3"/>
      <c r="C360" s="3"/>
      <c r="D360" s="4"/>
      <c r="E360" s="4" t="s">
        <v>7</v>
      </c>
      <c r="F360" s="3"/>
      <c r="G360" s="3"/>
      <c r="H360" s="8"/>
      <c r="I360" s="8"/>
      <c r="J360" s="7"/>
      <c r="K360" s="7"/>
      <c r="L360" s="8"/>
      <c r="M360" s="16" t="s">
        <v>5</v>
      </c>
      <c r="N360" s="17">
        <f>N340</f>
        <v>9</v>
      </c>
      <c r="O360" s="3"/>
      <c r="P360" s="4"/>
      <c r="Q360" s="4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</row>
    <row r="361" spans="1:44" ht="15.6" customHeight="1" x14ac:dyDescent="0.3">
      <c r="A361" s="3"/>
      <c r="B361" s="3"/>
      <c r="C361" s="3"/>
      <c r="D361" s="4"/>
      <c r="E361" s="4" t="s">
        <v>8</v>
      </c>
      <c r="F361" s="3"/>
      <c r="G361" s="3"/>
      <c r="H361" s="4"/>
      <c r="I361" s="4"/>
      <c r="J361" s="3"/>
      <c r="K361" s="3"/>
      <c r="L361" s="14"/>
      <c r="M361" s="16" t="s">
        <v>99</v>
      </c>
      <c r="N361" s="17" t="str">
        <f>IF(N341="-"&amp;N338&amp;".3",IF(N342=15,"-"&amp;N338&amp;".4","-"&amp;N338&amp;".3"),N341)</f>
        <v>-1.1.4</v>
      </c>
      <c r="O361" s="19"/>
      <c r="P361" s="4"/>
      <c r="Q361" s="4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</row>
    <row r="362" spans="1:44" ht="15.6" customHeight="1" x14ac:dyDescent="0.3">
      <c r="A362" s="3"/>
      <c r="B362" s="3"/>
      <c r="C362" s="3"/>
      <c r="D362" s="4"/>
      <c r="E362" s="21" t="s">
        <v>10</v>
      </c>
      <c r="F362" s="3"/>
      <c r="G362" s="3"/>
      <c r="H362" s="4"/>
      <c r="I362" s="8"/>
      <c r="J362" s="7"/>
      <c r="K362" s="7"/>
      <c r="L362" s="8"/>
      <c r="M362" s="16" t="s">
        <v>5</v>
      </c>
      <c r="N362" s="17">
        <f>IF(N361="-"&amp;N296&amp;".3",N342+1,IF(N341="-"&amp;N296&amp;".3",1,N342+1))</f>
        <v>3</v>
      </c>
      <c r="O362" s="3"/>
      <c r="P362" s="4"/>
      <c r="Q362" s="4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</row>
    <row r="363" spans="1:44" ht="7.9" customHeight="1" x14ac:dyDescent="0.25">
      <c r="A363" s="3"/>
      <c r="B363" s="3"/>
      <c r="C363" s="3"/>
      <c r="D363" s="4"/>
      <c r="E363" s="4"/>
      <c r="F363" s="3"/>
      <c r="G363" s="3"/>
      <c r="H363" s="4"/>
      <c r="I363" s="4"/>
      <c r="J363" s="3"/>
      <c r="K363" s="3"/>
      <c r="L363" s="4"/>
      <c r="M363" s="4"/>
      <c r="N363" s="3"/>
      <c r="O363" s="3"/>
      <c r="P363" s="4"/>
      <c r="Q363" s="4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</row>
    <row r="364" spans="1:44" ht="15.6" customHeight="1" x14ac:dyDescent="0.25">
      <c r="A364" s="24"/>
      <c r="B364" s="25"/>
      <c r="C364" s="25"/>
      <c r="D364" s="26"/>
      <c r="E364" s="26"/>
      <c r="F364" s="25"/>
      <c r="G364" s="25"/>
      <c r="H364" s="26"/>
      <c r="I364" s="26"/>
      <c r="J364" s="25"/>
      <c r="K364" s="25"/>
      <c r="L364" s="26"/>
      <c r="M364" s="26"/>
      <c r="N364" s="25"/>
      <c r="O364" s="25"/>
      <c r="P364" s="26"/>
      <c r="Q364" s="26"/>
      <c r="R364" s="25"/>
      <c r="S364" s="25"/>
      <c r="T364" s="25"/>
      <c r="U364" s="25"/>
      <c r="V364" s="45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</row>
    <row r="365" spans="1:44" ht="15.6" customHeight="1" x14ac:dyDescent="0.25">
      <c r="A365" s="27"/>
      <c r="B365" s="28"/>
      <c r="C365" s="28"/>
      <c r="D365" s="71">
        <v>1</v>
      </c>
      <c r="E365" s="72"/>
      <c r="F365" s="28"/>
      <c r="G365" s="28"/>
      <c r="H365" s="71">
        <v>2</v>
      </c>
      <c r="I365" s="72"/>
      <c r="J365" s="28"/>
      <c r="K365" s="28"/>
      <c r="L365" s="71">
        <v>3</v>
      </c>
      <c r="M365" s="72"/>
      <c r="N365" s="28"/>
      <c r="O365" s="28"/>
      <c r="P365" s="71">
        <v>4</v>
      </c>
      <c r="Q365" s="72"/>
      <c r="R365" s="28"/>
      <c r="S365" s="28"/>
      <c r="T365" s="28"/>
      <c r="U365" s="28"/>
      <c r="V365" s="46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</row>
    <row r="366" spans="1:44" ht="15.6" customHeight="1" x14ac:dyDescent="0.25">
      <c r="A366" s="27"/>
      <c r="B366" s="74" t="s">
        <v>11</v>
      </c>
      <c r="C366" s="74"/>
      <c r="D366" s="71" t="s">
        <v>12</v>
      </c>
      <c r="E366" s="72"/>
      <c r="F366" s="74" t="s">
        <v>11</v>
      </c>
      <c r="G366" s="74"/>
      <c r="H366" s="71" t="s">
        <v>12</v>
      </c>
      <c r="I366" s="72"/>
      <c r="J366" s="74" t="s">
        <v>11</v>
      </c>
      <c r="K366" s="74"/>
      <c r="L366" s="71" t="s">
        <v>12</v>
      </c>
      <c r="M366" s="72"/>
      <c r="N366" s="74" t="s">
        <v>11</v>
      </c>
      <c r="O366" s="74"/>
      <c r="P366" s="71" t="s">
        <v>12</v>
      </c>
      <c r="Q366" s="72"/>
      <c r="R366" s="74"/>
      <c r="S366" s="74"/>
      <c r="T366" s="74"/>
      <c r="U366" s="74"/>
      <c r="V366" s="48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</row>
    <row r="367" spans="1:44" ht="15.6" customHeight="1" x14ac:dyDescent="0.25">
      <c r="A367" s="27"/>
      <c r="B367" s="76"/>
      <c r="C367" s="76"/>
      <c r="D367" s="77"/>
      <c r="E367" s="77"/>
      <c r="F367" s="76"/>
      <c r="G367" s="76"/>
      <c r="H367" s="77"/>
      <c r="I367" s="77"/>
      <c r="J367" s="76"/>
      <c r="K367" s="76"/>
      <c r="L367" s="77"/>
      <c r="M367" s="77"/>
      <c r="N367" s="76"/>
      <c r="O367" s="76"/>
      <c r="P367" s="77"/>
      <c r="Q367" s="77"/>
      <c r="R367" s="76"/>
      <c r="S367" s="76"/>
      <c r="T367" s="76"/>
      <c r="U367" s="76"/>
      <c r="V367" s="48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</row>
    <row r="368" spans="1:44" ht="15.6" customHeight="1" x14ac:dyDescent="0.25">
      <c r="A368" s="27"/>
      <c r="B368" s="74">
        <v>0</v>
      </c>
      <c r="C368" s="74"/>
      <c r="D368" s="78">
        <v>1</v>
      </c>
      <c r="E368" s="78"/>
      <c r="F368" s="74">
        <v>2</v>
      </c>
      <c r="G368" s="74"/>
      <c r="H368" s="78">
        <v>3</v>
      </c>
      <c r="I368" s="78"/>
      <c r="J368" s="74">
        <v>4</v>
      </c>
      <c r="K368" s="74"/>
      <c r="L368" s="78">
        <v>5</v>
      </c>
      <c r="M368" s="78"/>
      <c r="N368" s="74">
        <v>6</v>
      </c>
      <c r="O368" s="74"/>
      <c r="P368" s="78">
        <v>7</v>
      </c>
      <c r="Q368" s="78"/>
      <c r="R368" s="74">
        <v>8</v>
      </c>
      <c r="S368" s="74"/>
      <c r="T368" s="74">
        <v>9</v>
      </c>
      <c r="U368" s="74"/>
      <c r="V368" s="49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</row>
    <row r="369" spans="1:44" ht="15.6" customHeight="1" x14ac:dyDescent="0.25">
      <c r="A369" s="27"/>
      <c r="B369" s="28" t="s">
        <v>13</v>
      </c>
      <c r="C369" s="28" t="s">
        <v>14</v>
      </c>
      <c r="D369" s="31" t="s">
        <v>15</v>
      </c>
      <c r="E369" s="31" t="s">
        <v>16</v>
      </c>
      <c r="F369" s="28" t="s">
        <v>13</v>
      </c>
      <c r="G369" s="28" t="s">
        <v>14</v>
      </c>
      <c r="H369" s="31" t="s">
        <v>15</v>
      </c>
      <c r="I369" s="31" t="s">
        <v>16</v>
      </c>
      <c r="J369" s="28" t="s">
        <v>13</v>
      </c>
      <c r="K369" s="28" t="s">
        <v>14</v>
      </c>
      <c r="L369" s="31" t="s">
        <v>15</v>
      </c>
      <c r="M369" s="31" t="s">
        <v>16</v>
      </c>
      <c r="N369" s="28" t="s">
        <v>13</v>
      </c>
      <c r="O369" s="28" t="s">
        <v>14</v>
      </c>
      <c r="P369" s="31" t="s">
        <v>15</v>
      </c>
      <c r="Q369" s="31" t="s">
        <v>16</v>
      </c>
      <c r="R369" s="28" t="s">
        <v>13</v>
      </c>
      <c r="S369" s="28" t="s">
        <v>14</v>
      </c>
      <c r="T369" s="28" t="s">
        <v>15</v>
      </c>
      <c r="U369" s="28" t="s">
        <v>16</v>
      </c>
      <c r="V369" s="49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</row>
    <row r="370" spans="1:44" ht="15.6" customHeight="1" x14ac:dyDescent="0.25">
      <c r="A370" s="33"/>
      <c r="B370" s="34"/>
      <c r="C370" s="34"/>
      <c r="D370" s="35"/>
      <c r="E370" s="36"/>
      <c r="F370" s="34"/>
      <c r="G370" s="34"/>
      <c r="H370" s="35"/>
      <c r="I370" s="36"/>
      <c r="J370" s="34"/>
      <c r="K370" s="34"/>
      <c r="L370" s="35"/>
      <c r="M370" s="36"/>
      <c r="N370" s="34"/>
      <c r="O370" s="34"/>
      <c r="P370" s="35"/>
      <c r="Q370" s="36"/>
      <c r="R370" s="34"/>
      <c r="S370" s="34"/>
      <c r="T370" s="34"/>
      <c r="U370" s="34"/>
      <c r="V370" s="50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</row>
    <row r="371" spans="1:44" ht="7.15" customHeight="1" x14ac:dyDescent="0.25">
      <c r="A371" s="3"/>
      <c r="B371" s="30"/>
      <c r="C371" s="30"/>
      <c r="D371" s="54"/>
      <c r="E371" s="5"/>
      <c r="F371" s="30"/>
      <c r="G371" s="30"/>
      <c r="H371" s="54"/>
      <c r="I371" s="5"/>
      <c r="J371" s="30"/>
      <c r="K371" s="30"/>
      <c r="L371" s="54"/>
      <c r="M371" s="5"/>
      <c r="N371" s="30"/>
      <c r="O371" s="30"/>
      <c r="P371" s="54"/>
      <c r="Q371" s="5"/>
      <c r="R371" s="30"/>
      <c r="S371" s="30"/>
      <c r="T371" s="30"/>
      <c r="U371" s="30"/>
      <c r="V371" s="32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</row>
    <row r="372" spans="1:44" ht="15.6" customHeight="1" x14ac:dyDescent="0.25">
      <c r="A372" s="3"/>
      <c r="B372" s="95"/>
      <c r="C372" s="96"/>
      <c r="D372" s="97"/>
      <c r="E372" s="98"/>
      <c r="F372" s="95"/>
      <c r="G372" s="96"/>
      <c r="H372" s="97"/>
      <c r="I372" s="98"/>
      <c r="J372" s="95"/>
      <c r="K372" s="96"/>
      <c r="L372" s="97"/>
      <c r="M372" s="98"/>
      <c r="N372" s="95"/>
      <c r="O372" s="96"/>
      <c r="P372" s="97"/>
      <c r="Q372" s="98"/>
      <c r="R372" s="30"/>
      <c r="S372" s="30"/>
      <c r="T372" s="30"/>
      <c r="U372" s="30"/>
      <c r="V372" s="32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</row>
    <row r="373" spans="1:44" ht="15.6" customHeight="1" x14ac:dyDescent="0.25">
      <c r="A373" s="3"/>
      <c r="B373" s="40" t="str">
        <f>IF(D372&lt;1,"","пом.")</f>
        <v/>
      </c>
      <c r="C373" s="40"/>
      <c r="D373" s="85"/>
      <c r="E373" s="86"/>
      <c r="F373" s="40" t="str">
        <f>IF(H372&lt;1,"","пом.")</f>
        <v/>
      </c>
      <c r="G373" s="40"/>
      <c r="H373" s="85"/>
      <c r="I373" s="86"/>
      <c r="J373" s="40" t="str">
        <f>IF(L372&lt;1,"","пом.")</f>
        <v/>
      </c>
      <c r="K373" s="40"/>
      <c r="L373" s="85"/>
      <c r="M373" s="86"/>
      <c r="N373" s="40" t="str">
        <f>IF(P372&lt;1,"","пом.")</f>
        <v/>
      </c>
      <c r="O373" s="40"/>
      <c r="P373" s="85"/>
      <c r="Q373" s="86"/>
      <c r="R373" s="30"/>
      <c r="S373" s="30"/>
      <c r="T373" s="30"/>
      <c r="U373" s="30"/>
      <c r="V373" s="32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</row>
    <row r="374" spans="1:44" ht="7.9" customHeight="1" x14ac:dyDescent="0.25">
      <c r="A374" s="3"/>
      <c r="B374" s="3"/>
      <c r="C374" s="3"/>
      <c r="D374" s="4"/>
      <c r="E374" s="4"/>
      <c r="F374" s="3"/>
      <c r="G374" s="3"/>
      <c r="H374" s="4"/>
      <c r="I374" s="4"/>
      <c r="J374" s="3"/>
      <c r="K374" s="3"/>
      <c r="L374" s="4"/>
      <c r="M374" s="4"/>
      <c r="N374" s="3"/>
      <c r="O374" s="3"/>
      <c r="P374" s="4"/>
      <c r="Q374" s="4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</row>
    <row r="375" spans="1:44" ht="15.6" customHeight="1" x14ac:dyDescent="0.25">
      <c r="A375" s="3"/>
      <c r="B375" s="3"/>
      <c r="C375" s="3"/>
      <c r="D375" s="4"/>
      <c r="E375" s="5" t="s">
        <v>30</v>
      </c>
      <c r="F375" s="87" t="s">
        <v>31</v>
      </c>
      <c r="G375" s="87"/>
      <c r="H375" s="87"/>
      <c r="I375" s="117" t="s">
        <v>32</v>
      </c>
      <c r="J375" s="117"/>
      <c r="K375" s="58"/>
      <c r="L375" s="4"/>
      <c r="M375" s="4"/>
      <c r="N375" s="3"/>
      <c r="O375" s="30" t="s">
        <v>33</v>
      </c>
      <c r="P375" s="87" t="s">
        <v>34</v>
      </c>
      <c r="Q375" s="87"/>
      <c r="R375" s="87"/>
      <c r="S375" s="117" t="s">
        <v>35</v>
      </c>
      <c r="T375" s="117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</row>
    <row r="376" spans="1:44" ht="15.6" customHeight="1" x14ac:dyDescent="0.25">
      <c r="A376" s="3"/>
      <c r="B376" s="3"/>
      <c r="C376" s="3"/>
      <c r="D376" s="4"/>
      <c r="E376" s="5" t="s">
        <v>36</v>
      </c>
      <c r="F376" s="87" t="s">
        <v>37</v>
      </c>
      <c r="G376" s="87"/>
      <c r="H376" s="87"/>
      <c r="I376" s="117" t="s">
        <v>38</v>
      </c>
      <c r="J376" s="117"/>
      <c r="K376" s="117"/>
      <c r="L376" s="4"/>
      <c r="M376" s="4"/>
      <c r="N376" s="3"/>
      <c r="O376" s="30" t="s">
        <v>39</v>
      </c>
      <c r="P376" s="87" t="s">
        <v>34</v>
      </c>
      <c r="Q376" s="87"/>
      <c r="R376" s="87"/>
      <c r="S376" s="118" t="s">
        <v>109</v>
      </c>
      <c r="T376" s="118"/>
      <c r="U376" s="118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</row>
    <row r="377" spans="1:44" ht="15.6" customHeight="1" x14ac:dyDescent="0.25">
      <c r="A377" s="41"/>
      <c r="B377" s="41"/>
      <c r="C377" s="41"/>
      <c r="D377" s="42"/>
      <c r="E377" s="43"/>
      <c r="F377" s="41"/>
      <c r="G377" s="41"/>
      <c r="H377" s="42"/>
      <c r="I377" s="42"/>
      <c r="J377" s="41"/>
      <c r="K377" s="41"/>
      <c r="L377" s="42"/>
      <c r="M377" s="42"/>
      <c r="N377" s="41"/>
      <c r="O377" s="41"/>
      <c r="P377" s="42"/>
      <c r="Q377" s="42"/>
      <c r="R377" s="41"/>
      <c r="S377" s="41"/>
      <c r="T377" s="41"/>
      <c r="U377" s="41"/>
      <c r="V377" s="41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</row>
    <row r="378" spans="1:44" ht="15.6" customHeight="1" x14ac:dyDescent="0.25">
      <c r="A378" s="41"/>
      <c r="B378" s="41"/>
      <c r="C378" s="41"/>
      <c r="D378" s="42"/>
      <c r="E378" s="43"/>
      <c r="F378" s="41"/>
      <c r="G378" s="41"/>
      <c r="H378" s="42"/>
      <c r="I378" s="42"/>
      <c r="J378" s="41"/>
      <c r="K378" s="41"/>
      <c r="L378" s="42"/>
      <c r="M378" s="42"/>
      <c r="N378" s="41"/>
      <c r="O378" s="41"/>
      <c r="P378" s="42"/>
      <c r="Q378" s="42"/>
      <c r="R378" s="41"/>
      <c r="S378" s="41"/>
      <c r="T378" s="41"/>
      <c r="U378" s="41"/>
      <c r="V378" s="41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</row>
    <row r="379" spans="1:44" ht="15.6" hidden="1" customHeight="1" x14ac:dyDescent="0.25">
      <c r="A379" s="3"/>
      <c r="B379" s="3"/>
      <c r="C379" s="3"/>
      <c r="D379" s="4"/>
      <c r="E379" s="4"/>
      <c r="F379" s="3"/>
      <c r="G379" s="3"/>
      <c r="H379" s="4"/>
      <c r="I379" s="4"/>
      <c r="J379" s="3"/>
      <c r="K379" s="3"/>
      <c r="L379" s="4"/>
      <c r="M379" s="4"/>
      <c r="N379" s="3"/>
      <c r="O379" s="3"/>
      <c r="P379" s="4"/>
      <c r="Q379" s="4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</row>
    <row r="380" spans="1:44" ht="15.6" customHeight="1" x14ac:dyDescent="0.3">
      <c r="A380" s="3"/>
      <c r="B380" s="3"/>
      <c r="C380" s="3"/>
      <c r="D380" s="4"/>
      <c r="E380" s="6" t="s">
        <v>1</v>
      </c>
      <c r="F380" s="3"/>
      <c r="G380" s="7"/>
      <c r="H380" s="8"/>
      <c r="I380" s="8"/>
      <c r="J380" s="7"/>
      <c r="K380" s="7"/>
      <c r="L380" s="8"/>
      <c r="M380" s="9" t="s">
        <v>2</v>
      </c>
      <c r="N380" s="12" t="str">
        <f>N358</f>
        <v>1.1</v>
      </c>
      <c r="O380" s="12"/>
      <c r="P380" s="4"/>
      <c r="Q380" s="4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</row>
    <row r="381" spans="1:44" ht="15.6" customHeight="1" x14ac:dyDescent="0.3">
      <c r="A381" s="3"/>
      <c r="B381" s="3"/>
      <c r="C381" s="3"/>
      <c r="D381" s="4"/>
      <c r="E381" s="6" t="s">
        <v>4</v>
      </c>
      <c r="F381" s="3"/>
      <c r="G381" s="3"/>
      <c r="H381" s="4"/>
      <c r="I381" s="4"/>
      <c r="J381" s="13"/>
      <c r="K381" s="13"/>
      <c r="L381" s="14"/>
      <c r="M381" s="9" t="s">
        <v>5</v>
      </c>
      <c r="N381" s="15" t="str">
        <f>N380&amp;".2"</f>
        <v>1.1.2</v>
      </c>
      <c r="O381" s="15"/>
      <c r="P381" s="4"/>
      <c r="Q381" s="4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</row>
    <row r="382" spans="1:44" ht="15.6" customHeight="1" x14ac:dyDescent="0.3">
      <c r="A382" s="3"/>
      <c r="B382" s="3"/>
      <c r="C382" s="3"/>
      <c r="D382" s="4"/>
      <c r="E382" s="4" t="s">
        <v>7</v>
      </c>
      <c r="F382" s="3"/>
      <c r="G382" s="3"/>
      <c r="H382" s="8"/>
      <c r="I382" s="8"/>
      <c r="J382" s="7"/>
      <c r="K382" s="7"/>
      <c r="L382" s="8"/>
      <c r="M382" s="16" t="s">
        <v>5</v>
      </c>
      <c r="N382" s="17">
        <f>N360+1</f>
        <v>10</v>
      </c>
      <c r="O382" s="3"/>
      <c r="P382" s="4"/>
      <c r="Q382" s="4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</row>
    <row r="383" spans="1:44" ht="15.6" customHeight="1" x14ac:dyDescent="0.3">
      <c r="A383" s="3"/>
      <c r="B383" s="3"/>
      <c r="C383" s="3"/>
      <c r="D383" s="4"/>
      <c r="E383" s="4" t="s">
        <v>8</v>
      </c>
      <c r="F383" s="3"/>
      <c r="G383" s="3"/>
      <c r="H383" s="4"/>
      <c r="I383" s="4"/>
      <c r="J383" s="3"/>
      <c r="K383" s="3"/>
      <c r="L383" s="14"/>
      <c r="M383" s="16" t="s">
        <v>99</v>
      </c>
      <c r="N383" s="17" t="str">
        <f>IF(N361="-"&amp;N338&amp;".3",IF(N362=15,"-"&amp;N338&amp;".4","-"&amp;N338&amp;".3"),N361)</f>
        <v>-1.1.4</v>
      </c>
      <c r="O383" s="3"/>
      <c r="P383" s="4"/>
      <c r="Q383" s="4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</row>
    <row r="384" spans="1:44" ht="15.6" customHeight="1" x14ac:dyDescent="0.3">
      <c r="A384" s="3"/>
      <c r="B384" s="3"/>
      <c r="C384" s="3"/>
      <c r="D384" s="4"/>
      <c r="E384" s="21" t="s">
        <v>10</v>
      </c>
      <c r="F384" s="3"/>
      <c r="G384" s="3"/>
      <c r="H384" s="4"/>
      <c r="I384" s="8"/>
      <c r="J384" s="7"/>
      <c r="K384" s="7"/>
      <c r="L384" s="8"/>
      <c r="M384" s="16" t="s">
        <v>5</v>
      </c>
      <c r="N384" s="17">
        <f>IF(N383="-"&amp;N338&amp;".3",N362+1,IF(N361="-"&amp;N338&amp;".3",1,N362+1))</f>
        <v>4</v>
      </c>
      <c r="O384" s="3"/>
      <c r="P384" s="4"/>
      <c r="Q384" s="4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</row>
    <row r="385" spans="1:44" ht="15.6" customHeight="1" x14ac:dyDescent="0.25">
      <c r="A385" s="3"/>
      <c r="B385" s="3"/>
      <c r="C385" s="3"/>
      <c r="D385" s="4"/>
      <c r="E385" s="4"/>
      <c r="F385" s="3"/>
      <c r="G385" s="3"/>
      <c r="H385" s="4"/>
      <c r="I385" s="4"/>
      <c r="J385" s="3"/>
      <c r="K385" s="3"/>
      <c r="L385" s="4"/>
      <c r="M385" s="4"/>
      <c r="N385" s="3"/>
      <c r="O385" s="3"/>
      <c r="P385" s="4"/>
      <c r="Q385" s="4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</row>
    <row r="386" spans="1:44" ht="15.6" customHeight="1" x14ac:dyDescent="0.25">
      <c r="A386" s="24"/>
      <c r="B386" s="25"/>
      <c r="C386" s="25"/>
      <c r="D386" s="26"/>
      <c r="E386" s="26"/>
      <c r="F386" s="25"/>
      <c r="G386" s="25"/>
      <c r="H386" s="26"/>
      <c r="I386" s="26"/>
      <c r="J386" s="25"/>
      <c r="K386" s="25"/>
      <c r="L386" s="26"/>
      <c r="M386" s="26"/>
      <c r="N386" s="25"/>
      <c r="O386" s="25"/>
      <c r="P386" s="26"/>
      <c r="Q386" s="26"/>
      <c r="R386" s="25"/>
      <c r="S386" s="25"/>
      <c r="T386" s="25"/>
      <c r="U386" s="25"/>
      <c r="V386" s="45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</row>
    <row r="387" spans="1:44" ht="15.6" customHeight="1" x14ac:dyDescent="0.25">
      <c r="A387" s="27"/>
      <c r="B387" s="28"/>
      <c r="C387" s="28"/>
      <c r="D387" s="71">
        <v>1</v>
      </c>
      <c r="E387" s="72"/>
      <c r="F387" s="28"/>
      <c r="G387" s="28"/>
      <c r="H387" s="71">
        <v>2</v>
      </c>
      <c r="I387" s="72"/>
      <c r="J387" s="28"/>
      <c r="K387" s="28"/>
      <c r="L387" s="71">
        <v>3</v>
      </c>
      <c r="M387" s="72"/>
      <c r="N387" s="28"/>
      <c r="O387" s="28"/>
      <c r="P387" s="71">
        <v>4</v>
      </c>
      <c r="Q387" s="72"/>
      <c r="R387" s="28"/>
      <c r="S387" s="28"/>
      <c r="T387" s="28"/>
      <c r="U387" s="28"/>
      <c r="V387" s="46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</row>
    <row r="388" spans="1:44" ht="15.6" customHeight="1" x14ac:dyDescent="0.25">
      <c r="A388" s="27"/>
      <c r="B388" s="74" t="s">
        <v>11</v>
      </c>
      <c r="C388" s="74"/>
      <c r="D388" s="71" t="s">
        <v>12</v>
      </c>
      <c r="E388" s="72"/>
      <c r="F388" s="74" t="s">
        <v>11</v>
      </c>
      <c r="G388" s="74"/>
      <c r="H388" s="71" t="s">
        <v>12</v>
      </c>
      <c r="I388" s="72"/>
      <c r="J388" s="74" t="s">
        <v>11</v>
      </c>
      <c r="K388" s="74"/>
      <c r="L388" s="71" t="s">
        <v>12</v>
      </c>
      <c r="M388" s="72"/>
      <c r="N388" s="74" t="s">
        <v>11</v>
      </c>
      <c r="O388" s="74"/>
      <c r="P388" s="71" t="s">
        <v>12</v>
      </c>
      <c r="Q388" s="72"/>
      <c r="R388" s="74"/>
      <c r="S388" s="74"/>
      <c r="T388" s="74"/>
      <c r="U388" s="74"/>
      <c r="V388" s="48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</row>
    <row r="389" spans="1:44" ht="15.6" customHeight="1" x14ac:dyDescent="0.25">
      <c r="A389" s="27"/>
      <c r="B389" s="76"/>
      <c r="C389" s="76"/>
      <c r="D389" s="77"/>
      <c r="E389" s="77"/>
      <c r="F389" s="76"/>
      <c r="G389" s="76"/>
      <c r="H389" s="77"/>
      <c r="I389" s="77"/>
      <c r="J389" s="76"/>
      <c r="K389" s="76"/>
      <c r="L389" s="77"/>
      <c r="M389" s="77"/>
      <c r="N389" s="76"/>
      <c r="O389" s="76"/>
      <c r="P389" s="77"/>
      <c r="Q389" s="77"/>
      <c r="R389" s="76"/>
      <c r="S389" s="76"/>
      <c r="T389" s="76"/>
      <c r="U389" s="76"/>
      <c r="V389" s="48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</row>
    <row r="390" spans="1:44" ht="15.6" customHeight="1" x14ac:dyDescent="0.25">
      <c r="A390" s="27"/>
      <c r="B390" s="74">
        <v>0</v>
      </c>
      <c r="C390" s="74"/>
      <c r="D390" s="78">
        <v>1</v>
      </c>
      <c r="E390" s="78"/>
      <c r="F390" s="74">
        <v>2</v>
      </c>
      <c r="G390" s="74"/>
      <c r="H390" s="78">
        <v>3</v>
      </c>
      <c r="I390" s="78"/>
      <c r="J390" s="74">
        <v>4</v>
      </c>
      <c r="K390" s="74"/>
      <c r="L390" s="78">
        <v>5</v>
      </c>
      <c r="M390" s="78"/>
      <c r="N390" s="74">
        <v>6</v>
      </c>
      <c r="O390" s="74"/>
      <c r="P390" s="78">
        <v>7</v>
      </c>
      <c r="Q390" s="78"/>
      <c r="R390" s="74">
        <v>8</v>
      </c>
      <c r="S390" s="74"/>
      <c r="T390" s="74">
        <v>9</v>
      </c>
      <c r="U390" s="74"/>
      <c r="V390" s="49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</row>
    <row r="391" spans="1:44" ht="15.6" customHeight="1" x14ac:dyDescent="0.25">
      <c r="A391" s="27"/>
      <c r="B391" s="28" t="s">
        <v>13</v>
      </c>
      <c r="C391" s="28" t="s">
        <v>14</v>
      </c>
      <c r="D391" s="31" t="s">
        <v>15</v>
      </c>
      <c r="E391" s="31" t="s">
        <v>16</v>
      </c>
      <c r="F391" s="28" t="s">
        <v>13</v>
      </c>
      <c r="G391" s="28" t="s">
        <v>14</v>
      </c>
      <c r="H391" s="31" t="s">
        <v>15</v>
      </c>
      <c r="I391" s="31" t="s">
        <v>16</v>
      </c>
      <c r="J391" s="28" t="s">
        <v>13</v>
      </c>
      <c r="K391" s="28" t="s">
        <v>14</v>
      </c>
      <c r="L391" s="31" t="s">
        <v>15</v>
      </c>
      <c r="M391" s="31" t="s">
        <v>16</v>
      </c>
      <c r="N391" s="28" t="s">
        <v>13</v>
      </c>
      <c r="O391" s="28" t="s">
        <v>14</v>
      </c>
      <c r="P391" s="31" t="s">
        <v>15</v>
      </c>
      <c r="Q391" s="31" t="s">
        <v>16</v>
      </c>
      <c r="R391" s="28" t="s">
        <v>13</v>
      </c>
      <c r="S391" s="28" t="s">
        <v>14</v>
      </c>
      <c r="T391" s="28" t="s">
        <v>15</v>
      </c>
      <c r="U391" s="28" t="s">
        <v>16</v>
      </c>
      <c r="V391" s="49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</row>
    <row r="392" spans="1:44" ht="15.6" customHeight="1" x14ac:dyDescent="0.25">
      <c r="A392" s="33"/>
      <c r="B392" s="34"/>
      <c r="C392" s="34"/>
      <c r="D392" s="35"/>
      <c r="E392" s="36"/>
      <c r="F392" s="34"/>
      <c r="G392" s="34"/>
      <c r="H392" s="35"/>
      <c r="I392" s="36"/>
      <c r="J392" s="34"/>
      <c r="K392" s="34"/>
      <c r="L392" s="35"/>
      <c r="M392" s="36"/>
      <c r="N392" s="34"/>
      <c r="O392" s="34"/>
      <c r="P392" s="35"/>
      <c r="Q392" s="36"/>
      <c r="R392" s="34"/>
      <c r="S392" s="34"/>
      <c r="T392" s="34"/>
      <c r="U392" s="34"/>
      <c r="V392" s="50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</row>
    <row r="393" spans="1:44" ht="15.6" customHeight="1" x14ac:dyDescent="0.25">
      <c r="A393" s="3"/>
      <c r="B393" s="30"/>
      <c r="C393" s="30"/>
      <c r="D393" s="54"/>
      <c r="E393" s="5"/>
      <c r="F393" s="30"/>
      <c r="G393" s="30"/>
      <c r="H393" s="54"/>
      <c r="I393" s="5"/>
      <c r="J393" s="30"/>
      <c r="K393" s="30"/>
      <c r="L393" s="54"/>
      <c r="M393" s="5"/>
      <c r="N393" s="30"/>
      <c r="O393" s="30"/>
      <c r="P393" s="54"/>
      <c r="Q393" s="5"/>
      <c r="R393" s="30"/>
      <c r="S393" s="30"/>
      <c r="T393" s="30"/>
      <c r="U393" s="30"/>
      <c r="V393" s="32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</row>
    <row r="394" spans="1:44" ht="15.6" customHeight="1" x14ac:dyDescent="0.25">
      <c r="A394" s="3"/>
      <c r="B394" s="95"/>
      <c r="C394" s="96"/>
      <c r="D394" s="97"/>
      <c r="E394" s="98"/>
      <c r="F394" s="95"/>
      <c r="G394" s="96"/>
      <c r="H394" s="97"/>
      <c r="I394" s="98"/>
      <c r="J394" s="95"/>
      <c r="K394" s="96"/>
      <c r="L394" s="97"/>
      <c r="M394" s="98"/>
      <c r="N394" s="95"/>
      <c r="O394" s="96"/>
      <c r="P394" s="97"/>
      <c r="Q394" s="98"/>
      <c r="R394" s="30"/>
      <c r="S394" s="30"/>
      <c r="T394" s="30"/>
      <c r="U394" s="30"/>
      <c r="V394" s="32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</row>
    <row r="395" spans="1:44" ht="15.6" customHeight="1" x14ac:dyDescent="0.25">
      <c r="A395" s="3"/>
      <c r="B395" s="40" t="str">
        <f>IF(D394&lt;1,"","пом.")</f>
        <v/>
      </c>
      <c r="C395" s="40"/>
      <c r="D395" s="85"/>
      <c r="E395" s="86"/>
      <c r="F395" s="40" t="str">
        <f>IF(H394&lt;1,"","пом.")</f>
        <v/>
      </c>
      <c r="G395" s="40"/>
      <c r="H395" s="85"/>
      <c r="I395" s="86"/>
      <c r="J395" s="40" t="str">
        <f>IF(L394&lt;1,"","пом.")</f>
        <v/>
      </c>
      <c r="K395" s="40"/>
      <c r="L395" s="85"/>
      <c r="M395" s="86"/>
      <c r="N395" s="40" t="str">
        <f>IF(P394&lt;1,"","пом.")</f>
        <v/>
      </c>
      <c r="O395" s="40"/>
      <c r="P395" s="85"/>
      <c r="Q395" s="86"/>
      <c r="R395" s="30"/>
      <c r="S395" s="30"/>
      <c r="T395" s="30"/>
      <c r="U395" s="30"/>
      <c r="V395" s="32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</row>
    <row r="396" spans="1:44" ht="15.6" customHeight="1" x14ac:dyDescent="0.25">
      <c r="A396" s="3"/>
      <c r="B396" s="3"/>
      <c r="C396" s="3"/>
      <c r="D396" s="4"/>
      <c r="E396" s="4"/>
      <c r="F396" s="3"/>
      <c r="G396" s="3"/>
      <c r="H396" s="4"/>
      <c r="I396" s="4"/>
      <c r="J396" s="3"/>
      <c r="K396" s="3"/>
      <c r="L396" s="4"/>
      <c r="M396" s="4"/>
      <c r="N396" s="3"/>
      <c r="O396" s="3"/>
      <c r="P396" s="4"/>
      <c r="Q396" s="4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</row>
    <row r="397" spans="1:44" ht="15.6" customHeight="1" x14ac:dyDescent="0.25">
      <c r="A397" s="3"/>
      <c r="B397" s="3"/>
      <c r="C397" s="3"/>
      <c r="D397" s="4"/>
      <c r="E397" s="5" t="s">
        <v>30</v>
      </c>
      <c r="F397" s="87" t="s">
        <v>31</v>
      </c>
      <c r="G397" s="87"/>
      <c r="H397" s="87"/>
      <c r="I397" s="117" t="s">
        <v>32</v>
      </c>
      <c r="J397" s="117"/>
      <c r="K397" s="58"/>
      <c r="L397" s="4"/>
      <c r="M397" s="4"/>
      <c r="N397" s="3"/>
      <c r="O397" s="30" t="s">
        <v>33</v>
      </c>
      <c r="P397" s="87" t="s">
        <v>34</v>
      </c>
      <c r="Q397" s="87"/>
      <c r="R397" s="87"/>
      <c r="S397" s="117" t="s">
        <v>35</v>
      </c>
      <c r="T397" s="117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</row>
    <row r="398" spans="1:44" ht="15.6" customHeight="1" x14ac:dyDescent="0.25">
      <c r="A398" s="3"/>
      <c r="B398" s="3"/>
      <c r="C398" s="3"/>
      <c r="D398" s="4"/>
      <c r="E398" s="5" t="s">
        <v>36</v>
      </c>
      <c r="F398" s="87" t="s">
        <v>37</v>
      </c>
      <c r="G398" s="87"/>
      <c r="H398" s="87"/>
      <c r="I398" s="117" t="s">
        <v>38</v>
      </c>
      <c r="J398" s="117"/>
      <c r="K398" s="117"/>
      <c r="L398" s="4"/>
      <c r="M398" s="4"/>
      <c r="N398" s="3"/>
      <c r="O398" s="30" t="s">
        <v>39</v>
      </c>
      <c r="P398" s="87" t="s">
        <v>34</v>
      </c>
      <c r="Q398" s="87"/>
      <c r="R398" s="87"/>
      <c r="S398" s="118" t="s">
        <v>109</v>
      </c>
      <c r="T398" s="118"/>
      <c r="U398" s="118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</row>
    <row r="399" spans="1:44" ht="15.6" customHeight="1" x14ac:dyDescent="0.25">
      <c r="A399" s="41"/>
      <c r="B399" s="41"/>
      <c r="C399" s="41"/>
      <c r="D399" s="42"/>
      <c r="E399" s="43"/>
      <c r="F399" s="41"/>
      <c r="G399" s="41"/>
      <c r="H399" s="42"/>
      <c r="I399" s="42"/>
      <c r="J399" s="41"/>
      <c r="K399" s="41"/>
      <c r="L399" s="42"/>
      <c r="M399" s="42"/>
      <c r="N399" s="41"/>
      <c r="O399" s="41"/>
      <c r="P399" s="42"/>
      <c r="Q399" s="42"/>
      <c r="R399" s="41"/>
      <c r="S399" s="41"/>
      <c r="T399" s="41"/>
      <c r="U399" s="41"/>
      <c r="V399" s="41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</row>
    <row r="400" spans="1:44" ht="15.6" customHeight="1" x14ac:dyDescent="0.3">
      <c r="A400" s="3"/>
      <c r="B400" s="3"/>
      <c r="C400" s="3"/>
      <c r="D400" s="4"/>
      <c r="E400" s="6" t="s">
        <v>1</v>
      </c>
      <c r="F400" s="3"/>
      <c r="G400" s="7"/>
      <c r="H400" s="8"/>
      <c r="I400" s="8"/>
      <c r="J400" s="7"/>
      <c r="K400" s="7"/>
      <c r="L400" s="8"/>
      <c r="M400" s="9" t="s">
        <v>2</v>
      </c>
      <c r="N400" s="12" t="str">
        <f>N380</f>
        <v>1.1</v>
      </c>
      <c r="O400" s="12"/>
      <c r="P400" s="4"/>
      <c r="Q400" s="4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</row>
    <row r="401" spans="1:44" ht="15.6" customHeight="1" x14ac:dyDescent="0.3">
      <c r="A401" s="3"/>
      <c r="B401" s="3"/>
      <c r="C401" s="3"/>
      <c r="D401" s="4"/>
      <c r="E401" s="6" t="s">
        <v>4</v>
      </c>
      <c r="F401" s="3"/>
      <c r="G401" s="3"/>
      <c r="H401" s="4"/>
      <c r="I401" s="4"/>
      <c r="J401" s="13"/>
      <c r="K401" s="13"/>
      <c r="L401" s="14"/>
      <c r="M401" s="9" t="s">
        <v>5</v>
      </c>
      <c r="N401" s="15" t="str">
        <f>N381</f>
        <v>1.1.2</v>
      </c>
      <c r="O401" s="15"/>
      <c r="P401" s="4"/>
      <c r="Q401" s="4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</row>
    <row r="402" spans="1:44" ht="15.6" customHeight="1" x14ac:dyDescent="0.3">
      <c r="A402" s="3"/>
      <c r="B402" s="3"/>
      <c r="C402" s="3"/>
      <c r="D402" s="4"/>
      <c r="E402" s="4" t="s">
        <v>7</v>
      </c>
      <c r="F402" s="3"/>
      <c r="G402" s="3"/>
      <c r="H402" s="8"/>
      <c r="I402" s="8"/>
      <c r="J402" s="7"/>
      <c r="K402" s="7"/>
      <c r="L402" s="8"/>
      <c r="M402" s="16" t="s">
        <v>5</v>
      </c>
      <c r="N402" s="17">
        <f>N382</f>
        <v>10</v>
      </c>
      <c r="O402" s="3"/>
      <c r="P402" s="4"/>
      <c r="Q402" s="4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</row>
    <row r="403" spans="1:44" ht="15.6" customHeight="1" x14ac:dyDescent="0.3">
      <c r="A403" s="3"/>
      <c r="B403" s="3"/>
      <c r="C403" s="3"/>
      <c r="D403" s="4"/>
      <c r="E403" s="4" t="s">
        <v>8</v>
      </c>
      <c r="F403" s="3"/>
      <c r="G403" s="3"/>
      <c r="H403" s="4"/>
      <c r="I403" s="4"/>
      <c r="J403" s="3"/>
      <c r="K403" s="3"/>
      <c r="L403" s="14"/>
      <c r="M403" s="16" t="s">
        <v>99</v>
      </c>
      <c r="N403" s="17" t="str">
        <f>IF(N383="-"&amp;N380&amp;".3",IF(N384=15,"-"&amp;N380&amp;".4","-"&amp;N380&amp;".3"),N383)</f>
        <v>-1.1.4</v>
      </c>
      <c r="O403" s="19"/>
      <c r="P403" s="4"/>
      <c r="Q403" s="4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</row>
    <row r="404" spans="1:44" ht="15.6" customHeight="1" x14ac:dyDescent="0.3">
      <c r="A404" s="3"/>
      <c r="B404" s="3"/>
      <c r="C404" s="3"/>
      <c r="D404" s="4"/>
      <c r="E404" s="21" t="s">
        <v>10</v>
      </c>
      <c r="F404" s="3"/>
      <c r="G404" s="3"/>
      <c r="H404" s="4"/>
      <c r="I404" s="8"/>
      <c r="J404" s="7"/>
      <c r="K404" s="7"/>
      <c r="L404" s="8"/>
      <c r="M404" s="16" t="s">
        <v>5</v>
      </c>
      <c r="N404" s="17">
        <f>IF(N403="-"&amp;N338&amp;".3",N384+1,IF(N383="-"&amp;N338&amp;".3",1,N384+1))</f>
        <v>5</v>
      </c>
      <c r="O404" s="3"/>
      <c r="P404" s="4"/>
      <c r="Q404" s="4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</row>
    <row r="405" spans="1:44" ht="6.6" customHeight="1" x14ac:dyDescent="0.25">
      <c r="A405" s="3"/>
      <c r="B405" s="3"/>
      <c r="C405" s="3"/>
      <c r="D405" s="4"/>
      <c r="E405" s="4"/>
      <c r="F405" s="3"/>
      <c r="G405" s="3"/>
      <c r="H405" s="4"/>
      <c r="I405" s="4"/>
      <c r="J405" s="3"/>
      <c r="K405" s="3"/>
      <c r="L405" s="4"/>
      <c r="M405" s="4"/>
      <c r="N405" s="3"/>
      <c r="O405" s="3"/>
      <c r="P405" s="4"/>
      <c r="Q405" s="4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</row>
    <row r="406" spans="1:44" ht="15.6" customHeight="1" x14ac:dyDescent="0.25">
      <c r="A406" s="24"/>
      <c r="B406" s="25"/>
      <c r="C406" s="25"/>
      <c r="D406" s="26"/>
      <c r="E406" s="26"/>
      <c r="F406" s="25"/>
      <c r="G406" s="25"/>
      <c r="H406" s="26"/>
      <c r="I406" s="26"/>
      <c r="J406" s="25"/>
      <c r="K406" s="25"/>
      <c r="L406" s="26"/>
      <c r="M406" s="26"/>
      <c r="N406" s="25"/>
      <c r="O406" s="25"/>
      <c r="P406" s="26"/>
      <c r="Q406" s="26"/>
      <c r="R406" s="25"/>
      <c r="S406" s="25"/>
      <c r="T406" s="25"/>
      <c r="U406" s="25"/>
      <c r="V406" s="45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</row>
    <row r="407" spans="1:44" ht="15.6" customHeight="1" x14ac:dyDescent="0.25">
      <c r="A407" s="27"/>
      <c r="B407" s="28"/>
      <c r="C407" s="28"/>
      <c r="D407" s="71">
        <v>1</v>
      </c>
      <c r="E407" s="72"/>
      <c r="F407" s="28"/>
      <c r="G407" s="28"/>
      <c r="H407" s="71">
        <v>2</v>
      </c>
      <c r="I407" s="72"/>
      <c r="J407" s="28"/>
      <c r="K407" s="28"/>
      <c r="L407" s="71">
        <v>3</v>
      </c>
      <c r="M407" s="72"/>
      <c r="N407" s="28"/>
      <c r="O407" s="28"/>
      <c r="P407" s="71">
        <v>4</v>
      </c>
      <c r="Q407" s="72"/>
      <c r="R407" s="28"/>
      <c r="S407" s="28"/>
      <c r="T407" s="28"/>
      <c r="U407" s="28"/>
      <c r="V407" s="46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</row>
    <row r="408" spans="1:44" ht="15.6" customHeight="1" x14ac:dyDescent="0.25">
      <c r="A408" s="27"/>
      <c r="B408" s="74" t="s">
        <v>11</v>
      </c>
      <c r="C408" s="74"/>
      <c r="D408" s="71" t="s">
        <v>12</v>
      </c>
      <c r="E408" s="72"/>
      <c r="F408" s="74" t="s">
        <v>11</v>
      </c>
      <c r="G408" s="74"/>
      <c r="H408" s="71" t="s">
        <v>12</v>
      </c>
      <c r="I408" s="72"/>
      <c r="J408" s="74" t="s">
        <v>11</v>
      </c>
      <c r="K408" s="74"/>
      <c r="L408" s="71" t="s">
        <v>12</v>
      </c>
      <c r="M408" s="72"/>
      <c r="N408" s="74" t="s">
        <v>11</v>
      </c>
      <c r="O408" s="74"/>
      <c r="P408" s="71" t="s">
        <v>12</v>
      </c>
      <c r="Q408" s="72"/>
      <c r="R408" s="74"/>
      <c r="S408" s="74"/>
      <c r="T408" s="74"/>
      <c r="U408" s="74"/>
      <c r="V408" s="48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</row>
    <row r="409" spans="1:44" ht="15.6" customHeight="1" x14ac:dyDescent="0.25">
      <c r="A409" s="27"/>
      <c r="B409" s="76"/>
      <c r="C409" s="76"/>
      <c r="D409" s="77"/>
      <c r="E409" s="77"/>
      <c r="F409" s="76"/>
      <c r="G409" s="76"/>
      <c r="H409" s="77"/>
      <c r="I409" s="77"/>
      <c r="J409" s="76"/>
      <c r="K409" s="76"/>
      <c r="L409" s="77"/>
      <c r="M409" s="77"/>
      <c r="N409" s="76"/>
      <c r="O409" s="76"/>
      <c r="P409" s="77"/>
      <c r="Q409" s="77"/>
      <c r="R409" s="76"/>
      <c r="S409" s="76"/>
      <c r="T409" s="76"/>
      <c r="U409" s="76"/>
      <c r="V409" s="48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</row>
    <row r="410" spans="1:44" ht="15.6" customHeight="1" x14ac:dyDescent="0.25">
      <c r="A410" s="27"/>
      <c r="B410" s="74">
        <v>0</v>
      </c>
      <c r="C410" s="74"/>
      <c r="D410" s="78">
        <v>1</v>
      </c>
      <c r="E410" s="78"/>
      <c r="F410" s="74">
        <v>2</v>
      </c>
      <c r="G410" s="74"/>
      <c r="H410" s="78">
        <v>3</v>
      </c>
      <c r="I410" s="78"/>
      <c r="J410" s="74">
        <v>4</v>
      </c>
      <c r="K410" s="74"/>
      <c r="L410" s="78">
        <v>5</v>
      </c>
      <c r="M410" s="78"/>
      <c r="N410" s="74">
        <v>6</v>
      </c>
      <c r="O410" s="74"/>
      <c r="P410" s="78">
        <v>7</v>
      </c>
      <c r="Q410" s="78"/>
      <c r="R410" s="74">
        <v>8</v>
      </c>
      <c r="S410" s="74"/>
      <c r="T410" s="74">
        <v>9</v>
      </c>
      <c r="U410" s="74"/>
      <c r="V410" s="49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</row>
    <row r="411" spans="1:44" ht="15.6" customHeight="1" x14ac:dyDescent="0.25">
      <c r="A411" s="27"/>
      <c r="B411" s="28" t="s">
        <v>13</v>
      </c>
      <c r="C411" s="28" t="s">
        <v>14</v>
      </c>
      <c r="D411" s="31" t="s">
        <v>15</v>
      </c>
      <c r="E411" s="31" t="s">
        <v>16</v>
      </c>
      <c r="F411" s="28" t="s">
        <v>13</v>
      </c>
      <c r="G411" s="28" t="s">
        <v>14</v>
      </c>
      <c r="H411" s="31" t="s">
        <v>15</v>
      </c>
      <c r="I411" s="31" t="s">
        <v>16</v>
      </c>
      <c r="J411" s="28" t="s">
        <v>13</v>
      </c>
      <c r="K411" s="28" t="s">
        <v>14</v>
      </c>
      <c r="L411" s="31" t="s">
        <v>15</v>
      </c>
      <c r="M411" s="31" t="s">
        <v>16</v>
      </c>
      <c r="N411" s="28" t="s">
        <v>13</v>
      </c>
      <c r="O411" s="28" t="s">
        <v>14</v>
      </c>
      <c r="P411" s="31" t="s">
        <v>15</v>
      </c>
      <c r="Q411" s="31" t="s">
        <v>16</v>
      </c>
      <c r="R411" s="28" t="s">
        <v>13</v>
      </c>
      <c r="S411" s="28" t="s">
        <v>14</v>
      </c>
      <c r="T411" s="28" t="s">
        <v>15</v>
      </c>
      <c r="U411" s="28" t="s">
        <v>16</v>
      </c>
      <c r="V411" s="49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</row>
    <row r="412" spans="1:44" ht="15.6" customHeight="1" x14ac:dyDescent="0.25">
      <c r="A412" s="33"/>
      <c r="B412" s="34"/>
      <c r="C412" s="34"/>
      <c r="D412" s="35"/>
      <c r="E412" s="36"/>
      <c r="F412" s="34"/>
      <c r="G412" s="34"/>
      <c r="H412" s="35"/>
      <c r="I412" s="36"/>
      <c r="J412" s="34"/>
      <c r="K412" s="34"/>
      <c r="L412" s="35"/>
      <c r="M412" s="36"/>
      <c r="N412" s="34"/>
      <c r="O412" s="34"/>
      <c r="P412" s="35"/>
      <c r="Q412" s="36"/>
      <c r="R412" s="34"/>
      <c r="S412" s="34"/>
      <c r="T412" s="34"/>
      <c r="U412" s="34"/>
      <c r="V412" s="50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</row>
    <row r="413" spans="1:44" ht="6" customHeight="1" x14ac:dyDescent="0.25">
      <c r="A413" s="3"/>
      <c r="B413" s="30"/>
      <c r="C413" s="30"/>
      <c r="D413" s="54"/>
      <c r="E413" s="5"/>
      <c r="F413" s="30"/>
      <c r="G413" s="30"/>
      <c r="H413" s="54"/>
      <c r="I413" s="5"/>
      <c r="J413" s="30"/>
      <c r="K413" s="30"/>
      <c r="L413" s="54"/>
      <c r="M413" s="5"/>
      <c r="N413" s="30"/>
      <c r="O413" s="30"/>
      <c r="P413" s="54"/>
      <c r="Q413" s="5"/>
      <c r="R413" s="30"/>
      <c r="S413" s="30"/>
      <c r="T413" s="30"/>
      <c r="U413" s="30"/>
      <c r="V413" s="32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</row>
    <row r="414" spans="1:44" ht="15.6" customHeight="1" x14ac:dyDescent="0.25">
      <c r="A414" s="3"/>
      <c r="B414" s="95"/>
      <c r="C414" s="96"/>
      <c r="D414" s="97"/>
      <c r="E414" s="98"/>
      <c r="F414" s="95"/>
      <c r="G414" s="96"/>
      <c r="H414" s="97"/>
      <c r="I414" s="98"/>
      <c r="J414" s="95"/>
      <c r="K414" s="96"/>
      <c r="L414" s="97"/>
      <c r="M414" s="98"/>
      <c r="N414" s="95"/>
      <c r="O414" s="96"/>
      <c r="P414" s="97"/>
      <c r="Q414" s="98"/>
      <c r="R414" s="30"/>
      <c r="S414" s="30"/>
      <c r="T414" s="30"/>
      <c r="U414" s="30"/>
      <c r="V414" s="32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</row>
    <row r="415" spans="1:44" ht="15.6" customHeight="1" x14ac:dyDescent="0.25">
      <c r="A415" s="3"/>
      <c r="B415" s="83" t="str">
        <f>IF(D414&lt;1,"","пом.")</f>
        <v/>
      </c>
      <c r="C415" s="83"/>
      <c r="D415" s="85"/>
      <c r="E415" s="86"/>
      <c r="F415" s="83" t="str">
        <f>IF(H414&lt;1,"","пом.")</f>
        <v/>
      </c>
      <c r="G415" s="83"/>
      <c r="H415" s="85"/>
      <c r="I415" s="86"/>
      <c r="J415" s="83" t="str">
        <f>IF(L414&lt;1,"","пом.")</f>
        <v/>
      </c>
      <c r="K415" s="83"/>
      <c r="L415" s="85"/>
      <c r="M415" s="86"/>
      <c r="N415" s="83" t="str">
        <f>IF(P414&lt;1,"","пом.")</f>
        <v/>
      </c>
      <c r="O415" s="83"/>
      <c r="P415" s="85"/>
      <c r="Q415" s="86"/>
      <c r="R415" s="30"/>
      <c r="S415" s="30"/>
      <c r="T415" s="30"/>
      <c r="U415" s="30"/>
      <c r="V415" s="32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</row>
    <row r="416" spans="1:44" ht="15.6" customHeight="1" x14ac:dyDescent="0.25">
      <c r="A416" s="3"/>
      <c r="B416" s="3"/>
      <c r="C416" s="3"/>
      <c r="D416" s="4"/>
      <c r="E416" s="4"/>
      <c r="F416" s="3"/>
      <c r="G416" s="3"/>
      <c r="H416" s="4"/>
      <c r="I416" s="4"/>
      <c r="J416" s="3"/>
      <c r="K416" s="3"/>
      <c r="L416" s="4"/>
      <c r="M416" s="4"/>
      <c r="N416" s="3"/>
      <c r="O416" s="3"/>
      <c r="P416" s="4"/>
      <c r="Q416" s="4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</row>
    <row r="417" spans="1:44" ht="15.6" customHeight="1" x14ac:dyDescent="0.25">
      <c r="A417" s="3"/>
      <c r="B417" s="3"/>
      <c r="C417" s="3"/>
      <c r="D417" s="4"/>
      <c r="E417" s="5" t="s">
        <v>30</v>
      </c>
      <c r="F417" s="87" t="s">
        <v>31</v>
      </c>
      <c r="G417" s="87"/>
      <c r="H417" s="87"/>
      <c r="I417" s="117" t="s">
        <v>32</v>
      </c>
      <c r="J417" s="117"/>
      <c r="K417" s="58"/>
      <c r="L417" s="4"/>
      <c r="M417" s="4"/>
      <c r="N417" s="3"/>
      <c r="O417" s="30" t="s">
        <v>33</v>
      </c>
      <c r="P417" s="87" t="s">
        <v>34</v>
      </c>
      <c r="Q417" s="87"/>
      <c r="R417" s="87"/>
      <c r="S417" s="117" t="s">
        <v>35</v>
      </c>
      <c r="T417" s="117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</row>
    <row r="418" spans="1:44" ht="15.6" customHeight="1" x14ac:dyDescent="0.25">
      <c r="A418" s="3"/>
      <c r="B418" s="3"/>
      <c r="C418" s="3"/>
      <c r="D418" s="4"/>
      <c r="E418" s="5" t="s">
        <v>36</v>
      </c>
      <c r="F418" s="87" t="s">
        <v>37</v>
      </c>
      <c r="G418" s="87"/>
      <c r="H418" s="87"/>
      <c r="I418" s="117" t="s">
        <v>38</v>
      </c>
      <c r="J418" s="117"/>
      <c r="K418" s="117"/>
      <c r="L418" s="4"/>
      <c r="M418" s="4"/>
      <c r="N418" s="3"/>
      <c r="O418" s="30" t="s">
        <v>39</v>
      </c>
      <c r="P418" s="87" t="s">
        <v>34</v>
      </c>
      <c r="Q418" s="87"/>
      <c r="R418" s="87"/>
      <c r="S418" s="118" t="s">
        <v>109</v>
      </c>
      <c r="T418" s="118"/>
      <c r="U418" s="118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</row>
    <row r="419" spans="1:44" ht="15.6" customHeight="1" x14ac:dyDescent="0.25">
      <c r="A419" s="41"/>
      <c r="B419" s="41"/>
      <c r="C419" s="41"/>
      <c r="D419" s="42"/>
      <c r="E419" s="43"/>
      <c r="F419" s="41"/>
      <c r="G419" s="41"/>
      <c r="H419" s="42"/>
      <c r="I419" s="42"/>
      <c r="J419" s="41"/>
      <c r="K419" s="41"/>
      <c r="L419" s="42"/>
      <c r="M419" s="42"/>
      <c r="N419" s="41"/>
      <c r="O419" s="41"/>
      <c r="P419" s="42"/>
      <c r="Q419" s="42"/>
      <c r="R419" s="41"/>
      <c r="S419" s="41"/>
      <c r="T419" s="41"/>
      <c r="U419" s="41"/>
      <c r="V419" s="41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</row>
    <row r="420" spans="1:44" ht="15.6" customHeight="1" x14ac:dyDescent="0.25">
      <c r="A420" s="41"/>
      <c r="B420" s="41"/>
      <c r="C420" s="41"/>
      <c r="D420" s="42"/>
      <c r="E420" s="43"/>
      <c r="F420" s="41"/>
      <c r="G420" s="41"/>
      <c r="H420" s="42"/>
      <c r="I420" s="42"/>
      <c r="J420" s="41"/>
      <c r="K420" s="41"/>
      <c r="L420" s="42"/>
      <c r="M420" s="42"/>
      <c r="N420" s="41"/>
      <c r="O420" s="41"/>
      <c r="P420" s="42"/>
      <c r="Q420" s="42"/>
      <c r="R420" s="41"/>
      <c r="S420" s="41"/>
      <c r="T420" s="41"/>
      <c r="U420" s="41"/>
      <c r="V420" s="41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</row>
    <row r="421" spans="1:44" ht="15.6" hidden="1" customHeight="1" x14ac:dyDescent="0.25">
      <c r="A421" s="3"/>
      <c r="B421" s="3"/>
      <c r="C421" s="3"/>
      <c r="D421" s="4"/>
      <c r="E421" s="4"/>
      <c r="F421" s="3"/>
      <c r="G421" s="3"/>
      <c r="H421" s="4"/>
      <c r="I421" s="4"/>
      <c r="J421" s="3"/>
      <c r="K421" s="3"/>
      <c r="L421" s="4"/>
      <c r="M421" s="4"/>
      <c r="N421" s="3"/>
      <c r="O421" s="3"/>
      <c r="P421" s="4"/>
      <c r="Q421" s="4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</row>
    <row r="422" spans="1:44" ht="15.6" customHeight="1" x14ac:dyDescent="0.3">
      <c r="A422" s="3"/>
      <c r="B422" s="3"/>
      <c r="C422" s="3"/>
      <c r="D422" s="4"/>
      <c r="E422" s="6" t="s">
        <v>1</v>
      </c>
      <c r="F422" s="3"/>
      <c r="G422" s="7"/>
      <c r="H422" s="8"/>
      <c r="I422" s="8"/>
      <c r="J422" s="7"/>
      <c r="K422" s="7"/>
      <c r="L422" s="8"/>
      <c r="M422" s="9" t="s">
        <v>2</v>
      </c>
      <c r="N422" s="12" t="str">
        <f>N400</f>
        <v>1.1</v>
      </c>
      <c r="O422" s="12"/>
      <c r="P422" s="4"/>
      <c r="Q422" s="4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</row>
    <row r="423" spans="1:44" ht="15.6" customHeight="1" x14ac:dyDescent="0.3">
      <c r="A423" s="3"/>
      <c r="B423" s="3"/>
      <c r="C423" s="3"/>
      <c r="D423" s="4"/>
      <c r="E423" s="6" t="s">
        <v>4</v>
      </c>
      <c r="F423" s="3"/>
      <c r="G423" s="3"/>
      <c r="H423" s="4"/>
      <c r="I423" s="4"/>
      <c r="J423" s="13"/>
      <c r="K423" s="13"/>
      <c r="L423" s="14"/>
      <c r="M423" s="9" t="s">
        <v>5</v>
      </c>
      <c r="N423" s="15" t="str">
        <f>N422&amp;".2"</f>
        <v>1.1.2</v>
      </c>
      <c r="O423" s="15"/>
      <c r="P423" s="4"/>
      <c r="Q423" s="4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</row>
    <row r="424" spans="1:44" ht="15.6" customHeight="1" x14ac:dyDescent="0.3">
      <c r="A424" s="3"/>
      <c r="B424" s="3"/>
      <c r="C424" s="3"/>
      <c r="D424" s="4"/>
      <c r="E424" s="4" t="s">
        <v>7</v>
      </c>
      <c r="F424" s="3"/>
      <c r="G424" s="3"/>
      <c r="H424" s="8"/>
      <c r="I424" s="8"/>
      <c r="J424" s="7"/>
      <c r="K424" s="7"/>
      <c r="L424" s="8"/>
      <c r="M424" s="16" t="s">
        <v>5</v>
      </c>
      <c r="N424" s="17">
        <f>N402+1</f>
        <v>11</v>
      </c>
      <c r="O424" s="3"/>
      <c r="P424" s="4"/>
      <c r="Q424" s="4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</row>
    <row r="425" spans="1:44" ht="15.6" customHeight="1" x14ac:dyDescent="0.3">
      <c r="A425" s="3"/>
      <c r="B425" s="3"/>
      <c r="C425" s="3"/>
      <c r="D425" s="4"/>
      <c r="E425" s="4" t="s">
        <v>8</v>
      </c>
      <c r="F425" s="3"/>
      <c r="G425" s="3"/>
      <c r="H425" s="4"/>
      <c r="I425" s="4"/>
      <c r="J425" s="3"/>
      <c r="K425" s="3"/>
      <c r="L425" s="14"/>
      <c r="M425" s="16" t="s">
        <v>99</v>
      </c>
      <c r="N425" s="17" t="str">
        <f>IF(N403="-"&amp;N380&amp;".3",IF(N404=15,"-"&amp;N380&amp;".4","-"&amp;N380&amp;".3"),N403)</f>
        <v>-1.1.4</v>
      </c>
      <c r="O425" s="3"/>
      <c r="P425" s="4"/>
      <c r="Q425" s="4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</row>
    <row r="426" spans="1:44" ht="15.6" customHeight="1" x14ac:dyDescent="0.3">
      <c r="A426" s="3"/>
      <c r="B426" s="3"/>
      <c r="C426" s="3"/>
      <c r="D426" s="4"/>
      <c r="E426" s="21" t="s">
        <v>10</v>
      </c>
      <c r="F426" s="3"/>
      <c r="G426" s="3"/>
      <c r="H426" s="4"/>
      <c r="I426" s="8"/>
      <c r="J426" s="7"/>
      <c r="K426" s="7"/>
      <c r="L426" s="8"/>
      <c r="M426" s="16" t="s">
        <v>5</v>
      </c>
      <c r="N426" s="17">
        <f>IF(N425="-"&amp;N380&amp;".3",N404+1,IF(N403="-"&amp;N380&amp;".3",1,N404+1))</f>
        <v>6</v>
      </c>
      <c r="O426" s="3"/>
      <c r="P426" s="4"/>
      <c r="Q426" s="4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</row>
    <row r="427" spans="1:44" ht="15.6" customHeight="1" x14ac:dyDescent="0.25">
      <c r="A427" s="3"/>
      <c r="B427" s="3"/>
      <c r="C427" s="3"/>
      <c r="D427" s="4"/>
      <c r="E427" s="4"/>
      <c r="F427" s="3"/>
      <c r="G427" s="3"/>
      <c r="H427" s="4"/>
      <c r="I427" s="4"/>
      <c r="J427" s="3"/>
      <c r="K427" s="3"/>
      <c r="L427" s="4"/>
      <c r="M427" s="4"/>
      <c r="N427" s="3"/>
      <c r="O427" s="3"/>
      <c r="P427" s="4"/>
      <c r="Q427" s="4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</row>
    <row r="428" spans="1:44" ht="15.6" customHeight="1" x14ac:dyDescent="0.25">
      <c r="A428" s="24"/>
      <c r="B428" s="25"/>
      <c r="C428" s="25"/>
      <c r="D428" s="26"/>
      <c r="E428" s="26"/>
      <c r="F428" s="25"/>
      <c r="G428" s="25"/>
      <c r="H428" s="26"/>
      <c r="I428" s="26"/>
      <c r="J428" s="25"/>
      <c r="K428" s="25"/>
      <c r="L428" s="26"/>
      <c r="M428" s="26"/>
      <c r="N428" s="25"/>
      <c r="O428" s="25"/>
      <c r="P428" s="26"/>
      <c r="Q428" s="26"/>
      <c r="R428" s="25"/>
      <c r="S428" s="25"/>
      <c r="T428" s="25"/>
      <c r="U428" s="25"/>
      <c r="V428" s="45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</row>
    <row r="429" spans="1:44" ht="15.6" customHeight="1" x14ac:dyDescent="0.25">
      <c r="A429" s="27"/>
      <c r="B429" s="28"/>
      <c r="C429" s="28"/>
      <c r="D429" s="71">
        <v>1</v>
      </c>
      <c r="E429" s="72"/>
      <c r="F429" s="28"/>
      <c r="G429" s="28"/>
      <c r="H429" s="71">
        <v>2</v>
      </c>
      <c r="I429" s="72"/>
      <c r="J429" s="28"/>
      <c r="K429" s="28"/>
      <c r="L429" s="71">
        <v>3</v>
      </c>
      <c r="M429" s="72"/>
      <c r="N429" s="28"/>
      <c r="O429" s="28"/>
      <c r="P429" s="71">
        <v>4</v>
      </c>
      <c r="Q429" s="72"/>
      <c r="R429" s="28"/>
      <c r="S429" s="28"/>
      <c r="T429" s="28"/>
      <c r="U429" s="28"/>
      <c r="V429" s="46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</row>
    <row r="430" spans="1:44" ht="15.6" customHeight="1" x14ac:dyDescent="0.25">
      <c r="A430" s="27"/>
      <c r="B430" s="74" t="s">
        <v>11</v>
      </c>
      <c r="C430" s="74"/>
      <c r="D430" s="71" t="s">
        <v>12</v>
      </c>
      <c r="E430" s="72"/>
      <c r="F430" s="74" t="s">
        <v>11</v>
      </c>
      <c r="G430" s="74"/>
      <c r="H430" s="71" t="s">
        <v>12</v>
      </c>
      <c r="I430" s="72"/>
      <c r="J430" s="74" t="s">
        <v>11</v>
      </c>
      <c r="K430" s="74"/>
      <c r="L430" s="71" t="s">
        <v>12</v>
      </c>
      <c r="M430" s="72"/>
      <c r="N430" s="74" t="s">
        <v>11</v>
      </c>
      <c r="O430" s="74"/>
      <c r="P430" s="71" t="s">
        <v>12</v>
      </c>
      <c r="Q430" s="72"/>
      <c r="R430" s="74"/>
      <c r="S430" s="74"/>
      <c r="T430" s="74"/>
      <c r="U430" s="74"/>
      <c r="V430" s="48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</row>
    <row r="431" spans="1:44" ht="15.6" customHeight="1" x14ac:dyDescent="0.25">
      <c r="A431" s="27"/>
      <c r="B431" s="76"/>
      <c r="C431" s="76"/>
      <c r="D431" s="77"/>
      <c r="E431" s="77"/>
      <c r="F431" s="76"/>
      <c r="G431" s="76"/>
      <c r="H431" s="77"/>
      <c r="I431" s="77"/>
      <c r="J431" s="76"/>
      <c r="K431" s="76"/>
      <c r="L431" s="77"/>
      <c r="M431" s="77"/>
      <c r="N431" s="76"/>
      <c r="O431" s="76"/>
      <c r="P431" s="77"/>
      <c r="Q431" s="77"/>
      <c r="R431" s="76"/>
      <c r="S431" s="76"/>
      <c r="T431" s="76"/>
      <c r="U431" s="76"/>
      <c r="V431" s="48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</row>
    <row r="432" spans="1:44" ht="15.6" customHeight="1" x14ac:dyDescent="0.25">
      <c r="A432" s="27"/>
      <c r="B432" s="74">
        <v>0</v>
      </c>
      <c r="C432" s="74"/>
      <c r="D432" s="78">
        <v>1</v>
      </c>
      <c r="E432" s="78"/>
      <c r="F432" s="74">
        <v>2</v>
      </c>
      <c r="G432" s="74"/>
      <c r="H432" s="78">
        <v>3</v>
      </c>
      <c r="I432" s="78"/>
      <c r="J432" s="74">
        <v>4</v>
      </c>
      <c r="K432" s="74"/>
      <c r="L432" s="78">
        <v>5</v>
      </c>
      <c r="M432" s="78"/>
      <c r="N432" s="74">
        <v>6</v>
      </c>
      <c r="O432" s="74"/>
      <c r="P432" s="78">
        <v>7</v>
      </c>
      <c r="Q432" s="78"/>
      <c r="R432" s="74">
        <v>8</v>
      </c>
      <c r="S432" s="74"/>
      <c r="T432" s="74">
        <v>9</v>
      </c>
      <c r="U432" s="74"/>
      <c r="V432" s="49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</row>
    <row r="433" spans="1:44" ht="15.6" customHeight="1" x14ac:dyDescent="0.25">
      <c r="A433" s="27"/>
      <c r="B433" s="28" t="s">
        <v>13</v>
      </c>
      <c r="C433" s="28" t="s">
        <v>14</v>
      </c>
      <c r="D433" s="31" t="s">
        <v>15</v>
      </c>
      <c r="E433" s="31" t="s">
        <v>16</v>
      </c>
      <c r="F433" s="28" t="s">
        <v>13</v>
      </c>
      <c r="G433" s="28" t="s">
        <v>14</v>
      </c>
      <c r="H433" s="31" t="s">
        <v>15</v>
      </c>
      <c r="I433" s="31" t="s">
        <v>16</v>
      </c>
      <c r="J433" s="28" t="s">
        <v>13</v>
      </c>
      <c r="K433" s="28" t="s">
        <v>14</v>
      </c>
      <c r="L433" s="31" t="s">
        <v>15</v>
      </c>
      <c r="M433" s="31" t="s">
        <v>16</v>
      </c>
      <c r="N433" s="28" t="s">
        <v>13</v>
      </c>
      <c r="O433" s="28" t="s">
        <v>14</v>
      </c>
      <c r="P433" s="31" t="s">
        <v>15</v>
      </c>
      <c r="Q433" s="31" t="s">
        <v>16</v>
      </c>
      <c r="R433" s="28" t="s">
        <v>13</v>
      </c>
      <c r="S433" s="28" t="s">
        <v>14</v>
      </c>
      <c r="T433" s="28" t="s">
        <v>15</v>
      </c>
      <c r="U433" s="28" t="s">
        <v>16</v>
      </c>
      <c r="V433" s="49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</row>
    <row r="434" spans="1:44" ht="15.6" customHeight="1" x14ac:dyDescent="0.25">
      <c r="A434" s="33"/>
      <c r="B434" s="34"/>
      <c r="C434" s="34"/>
      <c r="D434" s="35"/>
      <c r="E434" s="36"/>
      <c r="F434" s="34"/>
      <c r="G434" s="34"/>
      <c r="H434" s="35"/>
      <c r="I434" s="36"/>
      <c r="J434" s="34"/>
      <c r="K434" s="34"/>
      <c r="L434" s="35"/>
      <c r="M434" s="36"/>
      <c r="N434" s="34"/>
      <c r="O434" s="34"/>
      <c r="P434" s="35"/>
      <c r="Q434" s="36"/>
      <c r="R434" s="34"/>
      <c r="S434" s="34"/>
      <c r="T434" s="34"/>
      <c r="U434" s="34"/>
      <c r="V434" s="50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</row>
    <row r="435" spans="1:44" ht="15.6" customHeight="1" x14ac:dyDescent="0.25">
      <c r="A435" s="3"/>
      <c r="B435" s="30"/>
      <c r="C435" s="30"/>
      <c r="D435" s="54"/>
      <c r="E435" s="5"/>
      <c r="F435" s="30"/>
      <c r="G435" s="30"/>
      <c r="H435" s="54"/>
      <c r="I435" s="5"/>
      <c r="J435" s="30"/>
      <c r="K435" s="30"/>
      <c r="L435" s="54"/>
      <c r="M435" s="5"/>
      <c r="N435" s="30"/>
      <c r="O435" s="30"/>
      <c r="P435" s="54"/>
      <c r="Q435" s="5"/>
      <c r="R435" s="30"/>
      <c r="S435" s="30"/>
      <c r="T435" s="30"/>
      <c r="U435" s="30"/>
      <c r="V435" s="32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</row>
    <row r="436" spans="1:44" ht="15.6" customHeight="1" x14ac:dyDescent="0.25">
      <c r="A436" s="3"/>
      <c r="B436" s="95"/>
      <c r="C436" s="96"/>
      <c r="D436" s="97"/>
      <c r="E436" s="98"/>
      <c r="F436" s="95"/>
      <c r="G436" s="96"/>
      <c r="H436" s="97"/>
      <c r="I436" s="98"/>
      <c r="J436" s="95"/>
      <c r="K436" s="96"/>
      <c r="L436" s="97"/>
      <c r="M436" s="98"/>
      <c r="N436" s="95"/>
      <c r="O436" s="96"/>
      <c r="P436" s="97"/>
      <c r="Q436" s="98"/>
      <c r="R436" s="30"/>
      <c r="S436" s="30"/>
      <c r="T436" s="30"/>
      <c r="U436" s="30"/>
      <c r="V436" s="32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</row>
    <row r="437" spans="1:44" ht="15.6" customHeight="1" x14ac:dyDescent="0.25">
      <c r="A437" s="3"/>
      <c r="B437" s="83" t="str">
        <f>IF(D436&lt;1,"","пом.")</f>
        <v/>
      </c>
      <c r="C437" s="83"/>
      <c r="D437" s="85"/>
      <c r="E437" s="86"/>
      <c r="F437" s="83" t="str">
        <f>IF(H436&lt;1,"","пом.")</f>
        <v/>
      </c>
      <c r="G437" s="83"/>
      <c r="H437" s="85"/>
      <c r="I437" s="86"/>
      <c r="J437" s="83" t="str">
        <f>IF(L436&lt;1,"","пом.")</f>
        <v/>
      </c>
      <c r="K437" s="83"/>
      <c r="L437" s="85"/>
      <c r="M437" s="86"/>
      <c r="N437" s="83" t="str">
        <f>IF(P436&lt;1,"","пом.")</f>
        <v/>
      </c>
      <c r="O437" s="83"/>
      <c r="P437" s="85"/>
      <c r="Q437" s="86"/>
      <c r="R437" s="30"/>
      <c r="S437" s="30"/>
      <c r="T437" s="30"/>
      <c r="U437" s="30"/>
      <c r="V437" s="32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</row>
    <row r="438" spans="1:44" ht="15.6" customHeight="1" x14ac:dyDescent="0.25">
      <c r="A438" s="3"/>
      <c r="B438" s="3"/>
      <c r="C438" s="3"/>
      <c r="D438" s="4"/>
      <c r="E438" s="4"/>
      <c r="F438" s="3"/>
      <c r="G438" s="3"/>
      <c r="H438" s="4"/>
      <c r="I438" s="4"/>
      <c r="J438" s="3"/>
      <c r="K438" s="3"/>
      <c r="L438" s="4"/>
      <c r="M438" s="4"/>
      <c r="N438" s="3"/>
      <c r="O438" s="3"/>
      <c r="P438" s="4"/>
      <c r="Q438" s="4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</row>
    <row r="439" spans="1:44" ht="15.6" customHeight="1" x14ac:dyDescent="0.25">
      <c r="A439" s="3"/>
      <c r="B439" s="3"/>
      <c r="C439" s="3"/>
      <c r="D439" s="4"/>
      <c r="E439" s="5" t="s">
        <v>30</v>
      </c>
      <c r="F439" s="87" t="s">
        <v>31</v>
      </c>
      <c r="G439" s="87"/>
      <c r="H439" s="87"/>
      <c r="I439" s="117" t="s">
        <v>32</v>
      </c>
      <c r="J439" s="117"/>
      <c r="K439" s="58"/>
      <c r="L439" s="4"/>
      <c r="M439" s="4"/>
      <c r="N439" s="3"/>
      <c r="O439" s="30" t="s">
        <v>33</v>
      </c>
      <c r="P439" s="87" t="s">
        <v>34</v>
      </c>
      <c r="Q439" s="87"/>
      <c r="R439" s="87"/>
      <c r="S439" s="117" t="s">
        <v>35</v>
      </c>
      <c r="T439" s="117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</row>
    <row r="440" spans="1:44" ht="15.6" customHeight="1" x14ac:dyDescent="0.25">
      <c r="A440" s="3"/>
      <c r="B440" s="3"/>
      <c r="C440" s="3"/>
      <c r="D440" s="4"/>
      <c r="E440" s="5" t="s">
        <v>36</v>
      </c>
      <c r="F440" s="87" t="s">
        <v>37</v>
      </c>
      <c r="G440" s="87"/>
      <c r="H440" s="87"/>
      <c r="I440" s="117" t="s">
        <v>38</v>
      </c>
      <c r="J440" s="117"/>
      <c r="K440" s="117"/>
      <c r="L440" s="4"/>
      <c r="M440" s="4"/>
      <c r="N440" s="3"/>
      <c r="O440" s="30" t="s">
        <v>39</v>
      </c>
      <c r="P440" s="87" t="s">
        <v>34</v>
      </c>
      <c r="Q440" s="87"/>
      <c r="R440" s="87"/>
      <c r="S440" s="118" t="s">
        <v>109</v>
      </c>
      <c r="T440" s="118"/>
      <c r="U440" s="118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</row>
    <row r="441" spans="1:44" ht="15.6" customHeight="1" x14ac:dyDescent="0.25">
      <c r="A441" s="41"/>
      <c r="B441" s="41"/>
      <c r="C441" s="41"/>
      <c r="D441" s="42"/>
      <c r="E441" s="43"/>
      <c r="F441" s="41"/>
      <c r="G441" s="41"/>
      <c r="H441" s="42"/>
      <c r="I441" s="42"/>
      <c r="J441" s="41"/>
      <c r="K441" s="41"/>
      <c r="L441" s="42"/>
      <c r="M441" s="42"/>
      <c r="N441" s="41"/>
      <c r="O441" s="41"/>
      <c r="P441" s="42"/>
      <c r="Q441" s="42"/>
      <c r="R441" s="41"/>
      <c r="S441" s="41"/>
      <c r="T441" s="41"/>
      <c r="U441" s="41"/>
      <c r="V441" s="41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</row>
    <row r="442" spans="1:44" ht="15.6" customHeight="1" x14ac:dyDescent="0.3">
      <c r="A442" s="3"/>
      <c r="B442" s="3"/>
      <c r="C442" s="3"/>
      <c r="D442" s="4"/>
      <c r="E442" s="6" t="s">
        <v>1</v>
      </c>
      <c r="F442" s="3"/>
      <c r="G442" s="7"/>
      <c r="H442" s="8"/>
      <c r="I442" s="8"/>
      <c r="J442" s="7"/>
      <c r="K442" s="7"/>
      <c r="L442" s="8"/>
      <c r="M442" s="9" t="s">
        <v>2</v>
      </c>
      <c r="N442" s="12" t="str">
        <f>N422</f>
        <v>1.1</v>
      </c>
      <c r="O442" s="12"/>
      <c r="P442" s="4"/>
      <c r="Q442" s="4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</row>
    <row r="443" spans="1:44" ht="15.6" customHeight="1" x14ac:dyDescent="0.3">
      <c r="A443" s="3"/>
      <c r="B443" s="3"/>
      <c r="C443" s="3"/>
      <c r="D443" s="4"/>
      <c r="E443" s="6" t="s">
        <v>4</v>
      </c>
      <c r="F443" s="3"/>
      <c r="G443" s="3"/>
      <c r="H443" s="4"/>
      <c r="I443" s="4"/>
      <c r="J443" s="13"/>
      <c r="K443" s="13"/>
      <c r="L443" s="14"/>
      <c r="M443" s="9" t="s">
        <v>5</v>
      </c>
      <c r="N443" s="15" t="str">
        <f>N423</f>
        <v>1.1.2</v>
      </c>
      <c r="O443" s="15"/>
      <c r="P443" s="4"/>
      <c r="Q443" s="4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</row>
    <row r="444" spans="1:44" ht="15.6" customHeight="1" x14ac:dyDescent="0.3">
      <c r="A444" s="3"/>
      <c r="B444" s="3"/>
      <c r="C444" s="3"/>
      <c r="D444" s="4"/>
      <c r="E444" s="4" t="s">
        <v>7</v>
      </c>
      <c r="F444" s="3"/>
      <c r="G444" s="3"/>
      <c r="H444" s="8"/>
      <c r="I444" s="8"/>
      <c r="J444" s="7"/>
      <c r="K444" s="7"/>
      <c r="L444" s="8"/>
      <c r="M444" s="16" t="s">
        <v>5</v>
      </c>
      <c r="N444" s="17">
        <f>N424</f>
        <v>11</v>
      </c>
      <c r="O444" s="3"/>
      <c r="P444" s="4"/>
      <c r="Q444" s="4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</row>
    <row r="445" spans="1:44" ht="15.6" customHeight="1" x14ac:dyDescent="0.3">
      <c r="A445" s="3"/>
      <c r="B445" s="3"/>
      <c r="C445" s="3"/>
      <c r="D445" s="4"/>
      <c r="E445" s="4" t="s">
        <v>8</v>
      </c>
      <c r="F445" s="3"/>
      <c r="G445" s="3"/>
      <c r="H445" s="4"/>
      <c r="I445" s="4"/>
      <c r="J445" s="3"/>
      <c r="K445" s="3"/>
      <c r="L445" s="14"/>
      <c r="M445" s="16" t="s">
        <v>99</v>
      </c>
      <c r="N445" s="17" t="str">
        <f>IF(N425="-"&amp;N422&amp;".3",IF(N426=15,"-"&amp;N422&amp;".4","-"&amp;N422&amp;".3"),N425)</f>
        <v>-1.1.4</v>
      </c>
      <c r="O445" s="19"/>
      <c r="P445" s="4"/>
      <c r="Q445" s="4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</row>
    <row r="446" spans="1:44" ht="15.6" customHeight="1" x14ac:dyDescent="0.3">
      <c r="A446" s="3"/>
      <c r="B446" s="3"/>
      <c r="C446" s="3"/>
      <c r="D446" s="4"/>
      <c r="E446" s="21" t="s">
        <v>10</v>
      </c>
      <c r="F446" s="3"/>
      <c r="G446" s="3"/>
      <c r="H446" s="4"/>
      <c r="I446" s="8"/>
      <c r="J446" s="7"/>
      <c r="K446" s="7"/>
      <c r="L446" s="8"/>
      <c r="M446" s="16" t="s">
        <v>5</v>
      </c>
      <c r="N446" s="17">
        <f>IF(N445="-"&amp;N380&amp;".3",N426+1,IF(N425="-"&amp;N380&amp;".3",1,N426+1))</f>
        <v>7</v>
      </c>
      <c r="O446" s="3"/>
      <c r="P446" s="4"/>
      <c r="Q446" s="4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</row>
    <row r="447" spans="1:44" ht="15.6" customHeight="1" x14ac:dyDescent="0.25">
      <c r="A447" s="3"/>
      <c r="B447" s="3"/>
      <c r="C447" s="3"/>
      <c r="D447" s="4"/>
      <c r="E447" s="4"/>
      <c r="F447" s="3"/>
      <c r="G447" s="3"/>
      <c r="H447" s="4"/>
      <c r="I447" s="4"/>
      <c r="J447" s="3"/>
      <c r="K447" s="3"/>
      <c r="L447" s="4"/>
      <c r="M447" s="4"/>
      <c r="N447" s="3"/>
      <c r="O447" s="3"/>
      <c r="P447" s="4"/>
      <c r="Q447" s="4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</row>
    <row r="448" spans="1:44" ht="15.6" customHeight="1" x14ac:dyDescent="0.25">
      <c r="A448" s="24"/>
      <c r="B448" s="25"/>
      <c r="C448" s="25"/>
      <c r="D448" s="26"/>
      <c r="E448" s="26"/>
      <c r="F448" s="25"/>
      <c r="G448" s="25"/>
      <c r="H448" s="26"/>
      <c r="I448" s="26"/>
      <c r="J448" s="25"/>
      <c r="K448" s="25"/>
      <c r="L448" s="26"/>
      <c r="M448" s="26"/>
      <c r="N448" s="25"/>
      <c r="O448" s="25"/>
      <c r="P448" s="26"/>
      <c r="Q448" s="26"/>
      <c r="R448" s="25"/>
      <c r="S448" s="25"/>
      <c r="T448" s="25"/>
      <c r="U448" s="25"/>
      <c r="V448" s="45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</row>
    <row r="449" spans="1:44" ht="15.6" customHeight="1" x14ac:dyDescent="0.25">
      <c r="A449" s="27"/>
      <c r="B449" s="28"/>
      <c r="C449" s="28"/>
      <c r="D449" s="71">
        <v>1</v>
      </c>
      <c r="E449" s="72"/>
      <c r="F449" s="28"/>
      <c r="G449" s="28"/>
      <c r="H449" s="71">
        <v>2</v>
      </c>
      <c r="I449" s="72"/>
      <c r="J449" s="28"/>
      <c r="K449" s="28"/>
      <c r="L449" s="71">
        <v>3</v>
      </c>
      <c r="M449" s="72"/>
      <c r="N449" s="28"/>
      <c r="O449" s="28"/>
      <c r="P449" s="71">
        <v>4</v>
      </c>
      <c r="Q449" s="72"/>
      <c r="R449" s="28"/>
      <c r="S449" s="28"/>
      <c r="T449" s="28"/>
      <c r="U449" s="28"/>
      <c r="V449" s="46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</row>
    <row r="450" spans="1:44" ht="15.6" customHeight="1" x14ac:dyDescent="0.25">
      <c r="A450" s="27"/>
      <c r="B450" s="74" t="s">
        <v>11</v>
      </c>
      <c r="C450" s="74"/>
      <c r="D450" s="71" t="s">
        <v>12</v>
      </c>
      <c r="E450" s="72"/>
      <c r="F450" s="74" t="s">
        <v>11</v>
      </c>
      <c r="G450" s="74"/>
      <c r="H450" s="71" t="s">
        <v>12</v>
      </c>
      <c r="I450" s="72"/>
      <c r="J450" s="74" t="s">
        <v>11</v>
      </c>
      <c r="K450" s="74"/>
      <c r="L450" s="71" t="s">
        <v>12</v>
      </c>
      <c r="M450" s="72"/>
      <c r="N450" s="74" t="s">
        <v>11</v>
      </c>
      <c r="O450" s="74"/>
      <c r="P450" s="71" t="s">
        <v>12</v>
      </c>
      <c r="Q450" s="72"/>
      <c r="R450" s="74"/>
      <c r="S450" s="74"/>
      <c r="T450" s="74"/>
      <c r="U450" s="74"/>
      <c r="V450" s="48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</row>
    <row r="451" spans="1:44" ht="15.6" customHeight="1" x14ac:dyDescent="0.25">
      <c r="A451" s="27"/>
      <c r="B451" s="76"/>
      <c r="C451" s="76"/>
      <c r="D451" s="77"/>
      <c r="E451" s="77"/>
      <c r="F451" s="76"/>
      <c r="G451" s="76"/>
      <c r="H451" s="77"/>
      <c r="I451" s="77"/>
      <c r="J451" s="76"/>
      <c r="K451" s="76"/>
      <c r="L451" s="77"/>
      <c r="M451" s="77"/>
      <c r="N451" s="76"/>
      <c r="O451" s="76"/>
      <c r="P451" s="77"/>
      <c r="Q451" s="77"/>
      <c r="R451" s="76"/>
      <c r="S451" s="76"/>
      <c r="T451" s="76"/>
      <c r="U451" s="76"/>
      <c r="V451" s="48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</row>
    <row r="452" spans="1:44" ht="15.6" customHeight="1" x14ac:dyDescent="0.25">
      <c r="A452" s="27"/>
      <c r="B452" s="74">
        <v>0</v>
      </c>
      <c r="C452" s="74"/>
      <c r="D452" s="78">
        <v>1</v>
      </c>
      <c r="E452" s="78"/>
      <c r="F452" s="74">
        <v>2</v>
      </c>
      <c r="G452" s="74"/>
      <c r="H452" s="78">
        <v>3</v>
      </c>
      <c r="I452" s="78"/>
      <c r="J452" s="74">
        <v>4</v>
      </c>
      <c r="K452" s="74"/>
      <c r="L452" s="78">
        <v>5</v>
      </c>
      <c r="M452" s="78"/>
      <c r="N452" s="74">
        <v>6</v>
      </c>
      <c r="O452" s="74"/>
      <c r="P452" s="78">
        <v>7</v>
      </c>
      <c r="Q452" s="78"/>
      <c r="R452" s="74">
        <v>8</v>
      </c>
      <c r="S452" s="74"/>
      <c r="T452" s="74">
        <v>9</v>
      </c>
      <c r="U452" s="74"/>
      <c r="V452" s="49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</row>
    <row r="453" spans="1:44" ht="15.6" customHeight="1" x14ac:dyDescent="0.25">
      <c r="A453" s="27"/>
      <c r="B453" s="28" t="s">
        <v>13</v>
      </c>
      <c r="C453" s="28" t="s">
        <v>14</v>
      </c>
      <c r="D453" s="31" t="s">
        <v>15</v>
      </c>
      <c r="E453" s="31" t="s">
        <v>16</v>
      </c>
      <c r="F453" s="28" t="s">
        <v>13</v>
      </c>
      <c r="G453" s="28" t="s">
        <v>14</v>
      </c>
      <c r="H453" s="31" t="s">
        <v>15</v>
      </c>
      <c r="I453" s="31" t="s">
        <v>16</v>
      </c>
      <c r="J453" s="28" t="s">
        <v>13</v>
      </c>
      <c r="K453" s="28" t="s">
        <v>14</v>
      </c>
      <c r="L453" s="31" t="s">
        <v>15</v>
      </c>
      <c r="M453" s="31" t="s">
        <v>16</v>
      </c>
      <c r="N453" s="28" t="s">
        <v>13</v>
      </c>
      <c r="O453" s="28" t="s">
        <v>14</v>
      </c>
      <c r="P453" s="31" t="s">
        <v>15</v>
      </c>
      <c r="Q453" s="31" t="s">
        <v>16</v>
      </c>
      <c r="R453" s="28" t="s">
        <v>13</v>
      </c>
      <c r="S453" s="28" t="s">
        <v>14</v>
      </c>
      <c r="T453" s="28" t="s">
        <v>15</v>
      </c>
      <c r="U453" s="28" t="s">
        <v>16</v>
      </c>
      <c r="V453" s="49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</row>
    <row r="454" spans="1:44" ht="15.6" customHeight="1" x14ac:dyDescent="0.25">
      <c r="A454" s="33"/>
      <c r="B454" s="34"/>
      <c r="C454" s="34"/>
      <c r="D454" s="35"/>
      <c r="E454" s="36"/>
      <c r="F454" s="34"/>
      <c r="G454" s="34"/>
      <c r="H454" s="35"/>
      <c r="I454" s="36"/>
      <c r="J454" s="34"/>
      <c r="K454" s="34"/>
      <c r="L454" s="35"/>
      <c r="M454" s="36"/>
      <c r="N454" s="34"/>
      <c r="O454" s="34"/>
      <c r="P454" s="35"/>
      <c r="Q454" s="36"/>
      <c r="R454" s="34"/>
      <c r="S454" s="34"/>
      <c r="T454" s="34"/>
      <c r="U454" s="34"/>
      <c r="V454" s="50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</row>
    <row r="455" spans="1:44" ht="7.9" customHeight="1" x14ac:dyDescent="0.25">
      <c r="A455" s="3"/>
      <c r="B455" s="30"/>
      <c r="C455" s="30"/>
      <c r="D455" s="54"/>
      <c r="E455" s="5"/>
      <c r="F455" s="30"/>
      <c r="G455" s="30"/>
      <c r="H455" s="54"/>
      <c r="I455" s="5"/>
      <c r="J455" s="30"/>
      <c r="K455" s="30"/>
      <c r="L455" s="54"/>
      <c r="M455" s="5"/>
      <c r="N455" s="30"/>
      <c r="O455" s="30"/>
      <c r="P455" s="54"/>
      <c r="Q455" s="5"/>
      <c r="R455" s="30"/>
      <c r="S455" s="30"/>
      <c r="T455" s="30"/>
      <c r="U455" s="30"/>
      <c r="V455" s="32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</row>
    <row r="456" spans="1:44" ht="15.6" customHeight="1" x14ac:dyDescent="0.25">
      <c r="A456" s="3"/>
      <c r="B456" s="95"/>
      <c r="C456" s="96"/>
      <c r="D456" s="97"/>
      <c r="E456" s="98"/>
      <c r="F456" s="95"/>
      <c r="G456" s="96"/>
      <c r="H456" s="97"/>
      <c r="I456" s="98"/>
      <c r="J456" s="95"/>
      <c r="K456" s="96"/>
      <c r="L456" s="97"/>
      <c r="M456" s="98"/>
      <c r="N456" s="95"/>
      <c r="O456" s="96"/>
      <c r="P456" s="97"/>
      <c r="Q456" s="98"/>
      <c r="R456" s="30"/>
      <c r="S456" s="30"/>
      <c r="T456" s="30"/>
      <c r="U456" s="30"/>
      <c r="V456" s="32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</row>
    <row r="457" spans="1:44" ht="15.6" customHeight="1" x14ac:dyDescent="0.25">
      <c r="A457" s="3"/>
      <c r="B457" s="83" t="str">
        <f>IF(D456&lt;1,"","пом.")</f>
        <v/>
      </c>
      <c r="C457" s="83"/>
      <c r="D457" s="85"/>
      <c r="E457" s="86"/>
      <c r="F457" s="83" t="str">
        <f>IF(H456&lt;1,"","пом.")</f>
        <v/>
      </c>
      <c r="G457" s="83"/>
      <c r="H457" s="85"/>
      <c r="I457" s="86"/>
      <c r="J457" s="83" t="str">
        <f>IF(L456&lt;1,"","пом.")</f>
        <v/>
      </c>
      <c r="K457" s="83"/>
      <c r="L457" s="85"/>
      <c r="M457" s="86"/>
      <c r="N457" s="83" t="str">
        <f>IF(P456&lt;1,"","пом.")</f>
        <v/>
      </c>
      <c r="O457" s="83"/>
      <c r="P457" s="85"/>
      <c r="Q457" s="86"/>
      <c r="R457" s="30"/>
      <c r="S457" s="30"/>
      <c r="T457" s="30"/>
      <c r="U457" s="30"/>
      <c r="V457" s="32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</row>
    <row r="458" spans="1:44" ht="6.6" customHeight="1" x14ac:dyDescent="0.25">
      <c r="A458" s="3"/>
      <c r="B458" s="3"/>
      <c r="C458" s="3"/>
      <c r="D458" s="4"/>
      <c r="E458" s="4"/>
      <c r="F458" s="3"/>
      <c r="G458" s="3"/>
      <c r="H458" s="4"/>
      <c r="I458" s="4"/>
      <c r="J458" s="3"/>
      <c r="K458" s="3"/>
      <c r="L458" s="4"/>
      <c r="M458" s="4"/>
      <c r="N458" s="3"/>
      <c r="O458" s="3"/>
      <c r="P458" s="4"/>
      <c r="Q458" s="4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</row>
    <row r="459" spans="1:44" ht="15.6" customHeight="1" x14ac:dyDescent="0.25">
      <c r="A459" s="3"/>
      <c r="B459" s="3"/>
      <c r="C459" s="3"/>
      <c r="D459" s="4"/>
      <c r="E459" s="5" t="s">
        <v>30</v>
      </c>
      <c r="F459" s="87" t="s">
        <v>31</v>
      </c>
      <c r="G459" s="87"/>
      <c r="H459" s="87"/>
      <c r="I459" s="117" t="s">
        <v>32</v>
      </c>
      <c r="J459" s="117"/>
      <c r="K459" s="58"/>
      <c r="L459" s="4"/>
      <c r="M459" s="4"/>
      <c r="N459" s="3"/>
      <c r="O459" s="30" t="s">
        <v>33</v>
      </c>
      <c r="P459" s="87" t="s">
        <v>34</v>
      </c>
      <c r="Q459" s="87"/>
      <c r="R459" s="87"/>
      <c r="S459" s="117" t="s">
        <v>35</v>
      </c>
      <c r="T459" s="117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</row>
    <row r="460" spans="1:44" ht="15.6" customHeight="1" x14ac:dyDescent="0.25">
      <c r="A460" s="3"/>
      <c r="B460" s="3"/>
      <c r="C460" s="3"/>
      <c r="D460" s="4"/>
      <c r="E460" s="5" t="s">
        <v>36</v>
      </c>
      <c r="F460" s="87" t="s">
        <v>37</v>
      </c>
      <c r="G460" s="87"/>
      <c r="H460" s="87"/>
      <c r="I460" s="117" t="s">
        <v>38</v>
      </c>
      <c r="J460" s="117"/>
      <c r="K460" s="117"/>
      <c r="L460" s="4"/>
      <c r="M460" s="4"/>
      <c r="N460" s="3"/>
      <c r="O460" s="30" t="s">
        <v>39</v>
      </c>
      <c r="P460" s="87" t="s">
        <v>34</v>
      </c>
      <c r="Q460" s="87"/>
      <c r="R460" s="87"/>
      <c r="S460" s="118" t="s">
        <v>109</v>
      </c>
      <c r="T460" s="118"/>
      <c r="U460" s="118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</row>
    <row r="461" spans="1:44" ht="15.6" customHeight="1" x14ac:dyDescent="0.25">
      <c r="A461" s="41"/>
      <c r="B461" s="41"/>
      <c r="C461" s="41"/>
      <c r="D461" s="42"/>
      <c r="E461" s="43"/>
      <c r="F461" s="41"/>
      <c r="G461" s="41"/>
      <c r="H461" s="42"/>
      <c r="I461" s="42"/>
      <c r="J461" s="41"/>
      <c r="K461" s="41"/>
      <c r="L461" s="42"/>
      <c r="M461" s="42"/>
      <c r="N461" s="41"/>
      <c r="O461" s="41"/>
      <c r="P461" s="42"/>
      <c r="Q461" s="42"/>
      <c r="R461" s="41"/>
      <c r="S461" s="41"/>
      <c r="T461" s="41"/>
      <c r="U461" s="41"/>
      <c r="V461" s="41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</row>
    <row r="462" spans="1:44" ht="15.6" customHeight="1" x14ac:dyDescent="0.25">
      <c r="A462" s="41"/>
      <c r="B462" s="41"/>
      <c r="C462" s="41"/>
      <c r="D462" s="42"/>
      <c r="E462" s="43"/>
      <c r="F462" s="41"/>
      <c r="G462" s="41"/>
      <c r="H462" s="42"/>
      <c r="I462" s="42"/>
      <c r="J462" s="41"/>
      <c r="K462" s="41"/>
      <c r="L462" s="42"/>
      <c r="M462" s="42"/>
      <c r="N462" s="41"/>
      <c r="O462" s="41"/>
      <c r="P462" s="42"/>
      <c r="Q462" s="42"/>
      <c r="R462" s="41"/>
      <c r="S462" s="41"/>
      <c r="T462" s="41"/>
      <c r="U462" s="41"/>
      <c r="V462" s="41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</row>
    <row r="463" spans="1:44" ht="15.6" hidden="1" customHeight="1" x14ac:dyDescent="0.25">
      <c r="A463" s="3"/>
      <c r="B463" s="3"/>
      <c r="C463" s="3"/>
      <c r="D463" s="4"/>
      <c r="E463" s="4"/>
      <c r="F463" s="3"/>
      <c r="G463" s="3"/>
      <c r="H463" s="4"/>
      <c r="I463" s="4"/>
      <c r="J463" s="3"/>
      <c r="K463" s="3"/>
      <c r="L463" s="4"/>
      <c r="M463" s="4"/>
      <c r="N463" s="3"/>
      <c r="O463" s="3"/>
      <c r="P463" s="4"/>
      <c r="Q463" s="4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</row>
    <row r="464" spans="1:44" ht="15.6" customHeight="1" x14ac:dyDescent="0.3">
      <c r="A464" s="3"/>
      <c r="B464" s="3"/>
      <c r="C464" s="3"/>
      <c r="D464" s="4"/>
      <c r="E464" s="6" t="s">
        <v>1</v>
      </c>
      <c r="F464" s="3"/>
      <c r="G464" s="7"/>
      <c r="H464" s="8"/>
      <c r="I464" s="8"/>
      <c r="J464" s="7"/>
      <c r="K464" s="7"/>
      <c r="L464" s="8"/>
      <c r="M464" s="9" t="s">
        <v>2</v>
      </c>
      <c r="N464" s="12" t="str">
        <f>N442</f>
        <v>1.1</v>
      </c>
      <c r="O464" s="12"/>
      <c r="P464" s="4"/>
      <c r="Q464" s="4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</row>
    <row r="465" spans="1:44" ht="15.6" customHeight="1" x14ac:dyDescent="0.3">
      <c r="A465" s="3"/>
      <c r="B465" s="3"/>
      <c r="C465" s="3"/>
      <c r="D465" s="4"/>
      <c r="E465" s="6" t="s">
        <v>4</v>
      </c>
      <c r="F465" s="3"/>
      <c r="G465" s="3"/>
      <c r="H465" s="4"/>
      <c r="I465" s="4"/>
      <c r="J465" s="13"/>
      <c r="K465" s="13"/>
      <c r="L465" s="14"/>
      <c r="M465" s="9" t="s">
        <v>5</v>
      </c>
      <c r="N465" s="15" t="str">
        <f>N464&amp;".2"</f>
        <v>1.1.2</v>
      </c>
      <c r="O465" s="15"/>
      <c r="P465" s="4"/>
      <c r="Q465" s="4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</row>
    <row r="466" spans="1:44" ht="15.6" customHeight="1" x14ac:dyDescent="0.3">
      <c r="A466" s="3"/>
      <c r="B466" s="3"/>
      <c r="C466" s="3"/>
      <c r="D466" s="4"/>
      <c r="E466" s="4" t="s">
        <v>7</v>
      </c>
      <c r="F466" s="3"/>
      <c r="G466" s="3"/>
      <c r="H466" s="8"/>
      <c r="I466" s="8"/>
      <c r="J466" s="7"/>
      <c r="K466" s="7"/>
      <c r="L466" s="8"/>
      <c r="M466" s="16" t="s">
        <v>5</v>
      </c>
      <c r="N466" s="17">
        <f>N444+1</f>
        <v>12</v>
      </c>
      <c r="O466" s="3"/>
      <c r="P466" s="4"/>
      <c r="Q466" s="4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</row>
    <row r="467" spans="1:44" ht="15.6" customHeight="1" x14ac:dyDescent="0.3">
      <c r="A467" s="3"/>
      <c r="B467" s="3"/>
      <c r="C467" s="3"/>
      <c r="D467" s="4"/>
      <c r="E467" s="4" t="s">
        <v>8</v>
      </c>
      <c r="F467" s="3"/>
      <c r="G467" s="3"/>
      <c r="H467" s="4"/>
      <c r="I467" s="4"/>
      <c r="J467" s="3"/>
      <c r="K467" s="3"/>
      <c r="L467" s="14"/>
      <c r="M467" s="16" t="s">
        <v>99</v>
      </c>
      <c r="N467" s="17" t="str">
        <f>IF(N445="-"&amp;N422&amp;".3",IF(N446=15,"-"&amp;N422&amp;".4","-"&amp;N422&amp;".3"),N445)</f>
        <v>-1.1.4</v>
      </c>
      <c r="O467" s="3"/>
      <c r="P467" s="4"/>
      <c r="Q467" s="4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</row>
    <row r="468" spans="1:44" ht="15.6" customHeight="1" x14ac:dyDescent="0.3">
      <c r="A468" s="3"/>
      <c r="B468" s="3"/>
      <c r="C468" s="3"/>
      <c r="D468" s="4"/>
      <c r="E468" s="21" t="s">
        <v>10</v>
      </c>
      <c r="F468" s="3"/>
      <c r="G468" s="3"/>
      <c r="H468" s="4"/>
      <c r="I468" s="8"/>
      <c r="J468" s="7"/>
      <c r="K468" s="7"/>
      <c r="L468" s="8"/>
      <c r="M468" s="16" t="s">
        <v>5</v>
      </c>
      <c r="N468" s="17">
        <f>IF(N467="-"&amp;N422&amp;".3",N446+1,IF(N445="-"&amp;N422&amp;".3",1,N446+1))</f>
        <v>8</v>
      </c>
      <c r="O468" s="3"/>
      <c r="P468" s="4"/>
      <c r="Q468" s="4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</row>
    <row r="469" spans="1:44" ht="15.6" customHeight="1" x14ac:dyDescent="0.25">
      <c r="A469" s="3"/>
      <c r="B469" s="3"/>
      <c r="C469" s="3"/>
      <c r="D469" s="4"/>
      <c r="E469" s="4"/>
      <c r="F469" s="3"/>
      <c r="G469" s="3"/>
      <c r="H469" s="4"/>
      <c r="I469" s="4"/>
      <c r="J469" s="3"/>
      <c r="K469" s="3"/>
      <c r="L469" s="4"/>
      <c r="M469" s="4"/>
      <c r="N469" s="3"/>
      <c r="O469" s="3"/>
      <c r="P469" s="4"/>
      <c r="Q469" s="4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</row>
    <row r="470" spans="1:44" ht="15.6" customHeight="1" x14ac:dyDescent="0.25">
      <c r="A470" s="24"/>
      <c r="B470" s="25"/>
      <c r="C470" s="25"/>
      <c r="D470" s="26"/>
      <c r="E470" s="26"/>
      <c r="F470" s="25"/>
      <c r="G470" s="25"/>
      <c r="H470" s="26"/>
      <c r="I470" s="26"/>
      <c r="J470" s="25"/>
      <c r="K470" s="25"/>
      <c r="L470" s="26"/>
      <c r="M470" s="26"/>
      <c r="N470" s="25"/>
      <c r="O470" s="25"/>
      <c r="P470" s="26"/>
      <c r="Q470" s="26"/>
      <c r="R470" s="25"/>
      <c r="S470" s="25"/>
      <c r="T470" s="25"/>
      <c r="U470" s="25"/>
      <c r="V470" s="45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</row>
    <row r="471" spans="1:44" ht="15.6" customHeight="1" x14ac:dyDescent="0.25">
      <c r="A471" s="27"/>
      <c r="B471" s="28"/>
      <c r="C471" s="28"/>
      <c r="D471" s="71">
        <v>1</v>
      </c>
      <c r="E471" s="72"/>
      <c r="F471" s="28"/>
      <c r="G471" s="28"/>
      <c r="H471" s="71">
        <v>2</v>
      </c>
      <c r="I471" s="72"/>
      <c r="J471" s="28"/>
      <c r="K471" s="28"/>
      <c r="L471" s="71">
        <v>3</v>
      </c>
      <c r="M471" s="72"/>
      <c r="N471" s="28"/>
      <c r="O471" s="28"/>
      <c r="P471" s="71">
        <v>4</v>
      </c>
      <c r="Q471" s="72"/>
      <c r="R471" s="28"/>
      <c r="S471" s="28"/>
      <c r="T471" s="28"/>
      <c r="U471" s="28"/>
      <c r="V471" s="46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</row>
    <row r="472" spans="1:44" ht="15.6" customHeight="1" x14ac:dyDescent="0.25">
      <c r="A472" s="27"/>
      <c r="B472" s="74" t="s">
        <v>11</v>
      </c>
      <c r="C472" s="74"/>
      <c r="D472" s="71" t="s">
        <v>12</v>
      </c>
      <c r="E472" s="72"/>
      <c r="F472" s="74" t="s">
        <v>11</v>
      </c>
      <c r="G472" s="74"/>
      <c r="H472" s="71" t="s">
        <v>12</v>
      </c>
      <c r="I472" s="72"/>
      <c r="J472" s="74" t="s">
        <v>11</v>
      </c>
      <c r="K472" s="74"/>
      <c r="L472" s="71" t="s">
        <v>12</v>
      </c>
      <c r="M472" s="72"/>
      <c r="N472" s="74" t="s">
        <v>11</v>
      </c>
      <c r="O472" s="74"/>
      <c r="P472" s="71" t="s">
        <v>12</v>
      </c>
      <c r="Q472" s="72"/>
      <c r="R472" s="74"/>
      <c r="S472" s="74"/>
      <c r="T472" s="74"/>
      <c r="U472" s="74"/>
      <c r="V472" s="48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</row>
    <row r="473" spans="1:44" ht="15.6" customHeight="1" x14ac:dyDescent="0.25">
      <c r="A473" s="27"/>
      <c r="B473" s="76"/>
      <c r="C473" s="76"/>
      <c r="D473" s="77"/>
      <c r="E473" s="77"/>
      <c r="F473" s="76"/>
      <c r="G473" s="76"/>
      <c r="H473" s="77"/>
      <c r="I473" s="77"/>
      <c r="J473" s="76"/>
      <c r="K473" s="76"/>
      <c r="L473" s="77"/>
      <c r="M473" s="77"/>
      <c r="N473" s="76"/>
      <c r="O473" s="76"/>
      <c r="P473" s="77"/>
      <c r="Q473" s="77"/>
      <c r="R473" s="76"/>
      <c r="S473" s="76"/>
      <c r="T473" s="76"/>
      <c r="U473" s="76"/>
      <c r="V473" s="48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</row>
    <row r="474" spans="1:44" ht="15.6" customHeight="1" x14ac:dyDescent="0.25">
      <c r="A474" s="27"/>
      <c r="B474" s="74">
        <v>0</v>
      </c>
      <c r="C474" s="74"/>
      <c r="D474" s="78">
        <v>1</v>
      </c>
      <c r="E474" s="78"/>
      <c r="F474" s="74">
        <v>2</v>
      </c>
      <c r="G474" s="74"/>
      <c r="H474" s="78">
        <v>3</v>
      </c>
      <c r="I474" s="78"/>
      <c r="J474" s="74">
        <v>4</v>
      </c>
      <c r="K474" s="74"/>
      <c r="L474" s="78">
        <v>5</v>
      </c>
      <c r="M474" s="78"/>
      <c r="N474" s="74">
        <v>6</v>
      </c>
      <c r="O474" s="74"/>
      <c r="P474" s="78">
        <v>7</v>
      </c>
      <c r="Q474" s="78"/>
      <c r="R474" s="74">
        <v>8</v>
      </c>
      <c r="S474" s="74"/>
      <c r="T474" s="74">
        <v>9</v>
      </c>
      <c r="U474" s="74"/>
      <c r="V474" s="49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</row>
    <row r="475" spans="1:44" ht="15.6" customHeight="1" x14ac:dyDescent="0.25">
      <c r="A475" s="27"/>
      <c r="B475" s="28" t="s">
        <v>13</v>
      </c>
      <c r="C475" s="28" t="s">
        <v>14</v>
      </c>
      <c r="D475" s="31" t="s">
        <v>15</v>
      </c>
      <c r="E475" s="31" t="s">
        <v>16</v>
      </c>
      <c r="F475" s="28" t="s">
        <v>13</v>
      </c>
      <c r="G475" s="28" t="s">
        <v>14</v>
      </c>
      <c r="H475" s="31" t="s">
        <v>15</v>
      </c>
      <c r="I475" s="31" t="s">
        <v>16</v>
      </c>
      <c r="J475" s="28" t="s">
        <v>13</v>
      </c>
      <c r="K475" s="28" t="s">
        <v>14</v>
      </c>
      <c r="L475" s="31" t="s">
        <v>15</v>
      </c>
      <c r="M475" s="31" t="s">
        <v>16</v>
      </c>
      <c r="N475" s="28" t="s">
        <v>13</v>
      </c>
      <c r="O475" s="28" t="s">
        <v>14</v>
      </c>
      <c r="P475" s="31" t="s">
        <v>15</v>
      </c>
      <c r="Q475" s="31" t="s">
        <v>16</v>
      </c>
      <c r="R475" s="28" t="s">
        <v>13</v>
      </c>
      <c r="S475" s="28" t="s">
        <v>14</v>
      </c>
      <c r="T475" s="28" t="s">
        <v>15</v>
      </c>
      <c r="U475" s="28" t="s">
        <v>16</v>
      </c>
      <c r="V475" s="49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</row>
    <row r="476" spans="1:44" ht="15.6" customHeight="1" x14ac:dyDescent="0.25">
      <c r="A476" s="33"/>
      <c r="B476" s="34"/>
      <c r="C476" s="34"/>
      <c r="D476" s="35"/>
      <c r="E476" s="36"/>
      <c r="F476" s="34"/>
      <c r="G476" s="34"/>
      <c r="H476" s="35"/>
      <c r="I476" s="36"/>
      <c r="J476" s="34"/>
      <c r="K476" s="34"/>
      <c r="L476" s="35"/>
      <c r="M476" s="36"/>
      <c r="N476" s="34"/>
      <c r="O476" s="34"/>
      <c r="P476" s="35"/>
      <c r="Q476" s="36"/>
      <c r="R476" s="34"/>
      <c r="S476" s="34"/>
      <c r="T476" s="34"/>
      <c r="U476" s="34"/>
      <c r="V476" s="50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</row>
    <row r="477" spans="1:44" ht="15.6" customHeight="1" x14ac:dyDescent="0.25">
      <c r="A477" s="3"/>
      <c r="B477" s="30"/>
      <c r="C477" s="30"/>
      <c r="D477" s="54"/>
      <c r="E477" s="5"/>
      <c r="F477" s="30"/>
      <c r="G477" s="30"/>
      <c r="H477" s="54"/>
      <c r="I477" s="5"/>
      <c r="J477" s="30"/>
      <c r="K477" s="30"/>
      <c r="L477" s="54"/>
      <c r="M477" s="5"/>
      <c r="N477" s="30"/>
      <c r="O477" s="30"/>
      <c r="P477" s="54"/>
      <c r="Q477" s="5"/>
      <c r="R477" s="30"/>
      <c r="S477" s="30"/>
      <c r="T477" s="30"/>
      <c r="U477" s="30"/>
      <c r="V477" s="32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</row>
    <row r="478" spans="1:44" ht="15.6" customHeight="1" x14ac:dyDescent="0.25">
      <c r="A478" s="3"/>
      <c r="B478" s="95"/>
      <c r="C478" s="96"/>
      <c r="D478" s="97"/>
      <c r="E478" s="98"/>
      <c r="F478" s="95"/>
      <c r="G478" s="96"/>
      <c r="H478" s="97"/>
      <c r="I478" s="98"/>
      <c r="J478" s="95"/>
      <c r="K478" s="96"/>
      <c r="L478" s="97"/>
      <c r="M478" s="98"/>
      <c r="N478" s="95"/>
      <c r="O478" s="96"/>
      <c r="P478" s="97"/>
      <c r="Q478" s="98"/>
      <c r="R478" s="30"/>
      <c r="S478" s="30"/>
      <c r="T478" s="30"/>
      <c r="U478" s="30"/>
      <c r="V478" s="32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</row>
    <row r="479" spans="1:44" ht="15.6" customHeight="1" x14ac:dyDescent="0.25">
      <c r="A479" s="3"/>
      <c r="B479" s="83" t="str">
        <f>IF(D478&lt;1,"","пом.")</f>
        <v/>
      </c>
      <c r="C479" s="83"/>
      <c r="D479" s="85"/>
      <c r="E479" s="86"/>
      <c r="F479" s="83" t="str">
        <f>IF(H478&lt;1,"","пом.")</f>
        <v/>
      </c>
      <c r="G479" s="83"/>
      <c r="H479" s="85"/>
      <c r="I479" s="86"/>
      <c r="J479" s="83" t="str">
        <f>IF(L478&lt;1,"","пом.")</f>
        <v/>
      </c>
      <c r="K479" s="83"/>
      <c r="L479" s="85"/>
      <c r="M479" s="86"/>
      <c r="N479" s="83" t="str">
        <f>IF(P478&lt;1,"","пом.")</f>
        <v/>
      </c>
      <c r="O479" s="83"/>
      <c r="P479" s="85"/>
      <c r="Q479" s="86"/>
      <c r="R479" s="30"/>
      <c r="S479" s="30"/>
      <c r="T479" s="30"/>
      <c r="U479" s="30"/>
      <c r="V479" s="32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</row>
    <row r="480" spans="1:44" ht="15.6" customHeight="1" x14ac:dyDescent="0.25">
      <c r="A480" s="3"/>
      <c r="B480" s="3"/>
      <c r="C480" s="3"/>
      <c r="D480" s="4"/>
      <c r="E480" s="4"/>
      <c r="F480" s="3"/>
      <c r="G480" s="3"/>
      <c r="H480" s="4"/>
      <c r="I480" s="4"/>
      <c r="J480" s="3"/>
      <c r="K480" s="3"/>
      <c r="L480" s="4"/>
      <c r="M480" s="4"/>
      <c r="N480" s="3"/>
      <c r="O480" s="3"/>
      <c r="P480" s="4"/>
      <c r="Q480" s="4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</row>
    <row r="481" spans="1:44" ht="15.6" customHeight="1" x14ac:dyDescent="0.25">
      <c r="A481" s="3"/>
      <c r="B481" s="3"/>
      <c r="C481" s="3"/>
      <c r="D481" s="4"/>
      <c r="E481" s="5" t="s">
        <v>30</v>
      </c>
      <c r="F481" s="87" t="s">
        <v>31</v>
      </c>
      <c r="G481" s="87"/>
      <c r="H481" s="87"/>
      <c r="I481" s="117" t="s">
        <v>32</v>
      </c>
      <c r="J481" s="117"/>
      <c r="K481" s="58"/>
      <c r="L481" s="4"/>
      <c r="M481" s="4"/>
      <c r="N481" s="3"/>
      <c r="O481" s="30" t="s">
        <v>33</v>
      </c>
      <c r="P481" s="87" t="s">
        <v>34</v>
      </c>
      <c r="Q481" s="87"/>
      <c r="R481" s="87"/>
      <c r="S481" s="117" t="s">
        <v>35</v>
      </c>
      <c r="T481" s="117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</row>
    <row r="482" spans="1:44" ht="15.6" customHeight="1" x14ac:dyDescent="0.25">
      <c r="A482" s="3"/>
      <c r="B482" s="3"/>
      <c r="C482" s="3"/>
      <c r="D482" s="4"/>
      <c r="E482" s="5" t="s">
        <v>36</v>
      </c>
      <c r="F482" s="87" t="s">
        <v>37</v>
      </c>
      <c r="G482" s="87"/>
      <c r="H482" s="87"/>
      <c r="I482" s="117" t="s">
        <v>38</v>
      </c>
      <c r="J482" s="117"/>
      <c r="K482" s="117"/>
      <c r="L482" s="4"/>
      <c r="M482" s="4"/>
      <c r="N482" s="3"/>
      <c r="O482" s="30" t="s">
        <v>39</v>
      </c>
      <c r="P482" s="87" t="s">
        <v>34</v>
      </c>
      <c r="Q482" s="87"/>
      <c r="R482" s="87"/>
      <c r="S482" s="118" t="s">
        <v>109</v>
      </c>
      <c r="T482" s="118"/>
      <c r="U482" s="118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</row>
    <row r="483" spans="1:44" ht="15.6" customHeight="1" x14ac:dyDescent="0.25">
      <c r="A483" s="41"/>
      <c r="B483" s="41"/>
      <c r="C483" s="41"/>
      <c r="D483" s="42"/>
      <c r="E483" s="43"/>
      <c r="F483" s="41"/>
      <c r="G483" s="41"/>
      <c r="H483" s="42"/>
      <c r="I483" s="42"/>
      <c r="J483" s="41"/>
      <c r="K483" s="41"/>
      <c r="L483" s="42"/>
      <c r="M483" s="42"/>
      <c r="N483" s="41"/>
      <c r="O483" s="41"/>
      <c r="P483" s="42"/>
      <c r="Q483" s="42"/>
      <c r="R483" s="41"/>
      <c r="S483" s="41"/>
      <c r="T483" s="41"/>
      <c r="U483" s="41"/>
      <c r="V483" s="41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</row>
    <row r="484" spans="1:44" ht="15.6" customHeight="1" x14ac:dyDescent="0.3">
      <c r="A484" s="3"/>
      <c r="B484" s="3"/>
      <c r="C484" s="3"/>
      <c r="D484" s="4"/>
      <c r="E484" s="6" t="s">
        <v>1</v>
      </c>
      <c r="F484" s="3"/>
      <c r="G484" s="7"/>
      <c r="H484" s="8"/>
      <c r="I484" s="8"/>
      <c r="J484" s="7"/>
      <c r="K484" s="7"/>
      <c r="L484" s="8"/>
      <c r="M484" s="9" t="s">
        <v>2</v>
      </c>
      <c r="N484" s="12" t="str">
        <f>N464</f>
        <v>1.1</v>
      </c>
      <c r="O484" s="12"/>
      <c r="P484" s="4"/>
      <c r="Q484" s="4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</row>
    <row r="485" spans="1:44" ht="15.6" customHeight="1" x14ac:dyDescent="0.3">
      <c r="A485" s="3"/>
      <c r="B485" s="3"/>
      <c r="C485" s="3"/>
      <c r="D485" s="4"/>
      <c r="E485" s="6" t="s">
        <v>4</v>
      </c>
      <c r="F485" s="3"/>
      <c r="G485" s="3"/>
      <c r="H485" s="4"/>
      <c r="I485" s="4"/>
      <c r="J485" s="13"/>
      <c r="K485" s="13"/>
      <c r="L485" s="14"/>
      <c r="M485" s="9" t="s">
        <v>5</v>
      </c>
      <c r="N485" s="15" t="str">
        <f>N465</f>
        <v>1.1.2</v>
      </c>
      <c r="O485" s="15"/>
      <c r="P485" s="4"/>
      <c r="Q485" s="4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</row>
    <row r="486" spans="1:44" ht="15.6" customHeight="1" x14ac:dyDescent="0.3">
      <c r="A486" s="3"/>
      <c r="B486" s="3"/>
      <c r="C486" s="3"/>
      <c r="D486" s="4"/>
      <c r="E486" s="4" t="s">
        <v>7</v>
      </c>
      <c r="F486" s="3"/>
      <c r="G486" s="3"/>
      <c r="H486" s="8"/>
      <c r="I486" s="8"/>
      <c r="J486" s="7"/>
      <c r="K486" s="7"/>
      <c r="L486" s="8"/>
      <c r="M486" s="16" t="s">
        <v>5</v>
      </c>
      <c r="N486" s="17">
        <f>N466</f>
        <v>12</v>
      </c>
      <c r="O486" s="3"/>
      <c r="P486" s="4"/>
      <c r="Q486" s="4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</row>
    <row r="487" spans="1:44" ht="15.6" customHeight="1" x14ac:dyDescent="0.3">
      <c r="A487" s="3"/>
      <c r="B487" s="3"/>
      <c r="C487" s="3"/>
      <c r="D487" s="4"/>
      <c r="E487" s="4" t="s">
        <v>8</v>
      </c>
      <c r="F487" s="3"/>
      <c r="G487" s="3"/>
      <c r="H487" s="4"/>
      <c r="I487" s="4"/>
      <c r="J487" s="3"/>
      <c r="K487" s="3"/>
      <c r="L487" s="14"/>
      <c r="M487" s="16" t="s">
        <v>99</v>
      </c>
      <c r="N487" s="17" t="str">
        <f>IF(N467="-"&amp;N464&amp;".3",IF(N468=15,"-"&amp;N464&amp;".4","-"&amp;N464&amp;".3"),N467)</f>
        <v>-1.1.4</v>
      </c>
      <c r="O487" s="19"/>
      <c r="P487" s="4"/>
      <c r="Q487" s="4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</row>
    <row r="488" spans="1:44" ht="15.6" customHeight="1" x14ac:dyDescent="0.3">
      <c r="A488" s="3"/>
      <c r="B488" s="3"/>
      <c r="C488" s="3"/>
      <c r="D488" s="4"/>
      <c r="E488" s="21" t="s">
        <v>10</v>
      </c>
      <c r="F488" s="3"/>
      <c r="G488" s="3"/>
      <c r="H488" s="4"/>
      <c r="I488" s="8"/>
      <c r="J488" s="7"/>
      <c r="K488" s="7"/>
      <c r="L488" s="8"/>
      <c r="M488" s="16" t="s">
        <v>5</v>
      </c>
      <c r="N488" s="17">
        <f>IF(N487="-"&amp;N422&amp;".3",N468+1,IF(N467="-"&amp;N422&amp;".3",1,N468+1))</f>
        <v>9</v>
      </c>
      <c r="O488" s="3"/>
      <c r="P488" s="4"/>
      <c r="Q488" s="4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</row>
    <row r="489" spans="1:44" ht="6" customHeight="1" x14ac:dyDescent="0.25">
      <c r="A489" s="3"/>
      <c r="B489" s="3"/>
      <c r="C489" s="3"/>
      <c r="D489" s="4"/>
      <c r="E489" s="4"/>
      <c r="F489" s="3"/>
      <c r="G489" s="3"/>
      <c r="H489" s="4"/>
      <c r="I489" s="4"/>
      <c r="J489" s="3"/>
      <c r="K489" s="3"/>
      <c r="L489" s="4"/>
      <c r="M489" s="4"/>
      <c r="N489" s="3"/>
      <c r="O489" s="3"/>
      <c r="P489" s="4"/>
      <c r="Q489" s="4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</row>
    <row r="490" spans="1:44" ht="15.6" customHeight="1" x14ac:dyDescent="0.25">
      <c r="A490" s="24"/>
      <c r="B490" s="25"/>
      <c r="C490" s="25"/>
      <c r="D490" s="26"/>
      <c r="E490" s="26"/>
      <c r="F490" s="25"/>
      <c r="G490" s="25"/>
      <c r="H490" s="26"/>
      <c r="I490" s="26"/>
      <c r="J490" s="25"/>
      <c r="K490" s="25"/>
      <c r="L490" s="26"/>
      <c r="M490" s="26"/>
      <c r="N490" s="25"/>
      <c r="O490" s="25"/>
      <c r="P490" s="26"/>
      <c r="Q490" s="26"/>
      <c r="R490" s="25"/>
      <c r="S490" s="25"/>
      <c r="T490" s="25"/>
      <c r="U490" s="25"/>
      <c r="V490" s="45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</row>
    <row r="491" spans="1:44" ht="15.6" customHeight="1" x14ac:dyDescent="0.25">
      <c r="A491" s="27"/>
      <c r="B491" s="28"/>
      <c r="C491" s="28"/>
      <c r="D491" s="71">
        <v>1</v>
      </c>
      <c r="E491" s="72"/>
      <c r="F491" s="28"/>
      <c r="G491" s="28"/>
      <c r="H491" s="71">
        <v>2</v>
      </c>
      <c r="I491" s="72"/>
      <c r="J491" s="28"/>
      <c r="K491" s="28"/>
      <c r="L491" s="71">
        <v>3</v>
      </c>
      <c r="M491" s="72"/>
      <c r="N491" s="28"/>
      <c r="O491" s="28"/>
      <c r="P491" s="71">
        <v>4</v>
      </c>
      <c r="Q491" s="72"/>
      <c r="R491" s="28"/>
      <c r="S491" s="28"/>
      <c r="T491" s="28"/>
      <c r="U491" s="28"/>
      <c r="V491" s="46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</row>
    <row r="492" spans="1:44" ht="15.6" customHeight="1" x14ac:dyDescent="0.25">
      <c r="A492" s="27"/>
      <c r="B492" s="74" t="s">
        <v>11</v>
      </c>
      <c r="C492" s="74"/>
      <c r="D492" s="71" t="s">
        <v>12</v>
      </c>
      <c r="E492" s="72"/>
      <c r="F492" s="74" t="s">
        <v>11</v>
      </c>
      <c r="G492" s="74"/>
      <c r="H492" s="71" t="s">
        <v>12</v>
      </c>
      <c r="I492" s="72"/>
      <c r="J492" s="74" t="s">
        <v>11</v>
      </c>
      <c r="K492" s="74"/>
      <c r="L492" s="71" t="s">
        <v>12</v>
      </c>
      <c r="M492" s="72"/>
      <c r="N492" s="74" t="s">
        <v>11</v>
      </c>
      <c r="O492" s="74"/>
      <c r="P492" s="71" t="s">
        <v>12</v>
      </c>
      <c r="Q492" s="72"/>
      <c r="R492" s="74"/>
      <c r="S492" s="74"/>
      <c r="T492" s="74"/>
      <c r="U492" s="74"/>
      <c r="V492" s="48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</row>
    <row r="493" spans="1:44" ht="15.6" customHeight="1" x14ac:dyDescent="0.25">
      <c r="A493" s="27"/>
      <c r="B493" s="76"/>
      <c r="C493" s="76"/>
      <c r="D493" s="77"/>
      <c r="E493" s="77"/>
      <c r="F493" s="76"/>
      <c r="G493" s="76"/>
      <c r="H493" s="77"/>
      <c r="I493" s="77"/>
      <c r="J493" s="76"/>
      <c r="K493" s="76"/>
      <c r="L493" s="77"/>
      <c r="M493" s="77"/>
      <c r="N493" s="76"/>
      <c r="O493" s="76"/>
      <c r="P493" s="77"/>
      <c r="Q493" s="77"/>
      <c r="R493" s="76"/>
      <c r="S493" s="76"/>
      <c r="T493" s="76"/>
      <c r="U493" s="76"/>
      <c r="V493" s="48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</row>
    <row r="494" spans="1:44" ht="15.6" customHeight="1" x14ac:dyDescent="0.25">
      <c r="A494" s="27"/>
      <c r="B494" s="74">
        <v>0</v>
      </c>
      <c r="C494" s="74"/>
      <c r="D494" s="78">
        <v>1</v>
      </c>
      <c r="E494" s="78"/>
      <c r="F494" s="74">
        <v>2</v>
      </c>
      <c r="G494" s="74"/>
      <c r="H494" s="78">
        <v>3</v>
      </c>
      <c r="I494" s="78"/>
      <c r="J494" s="74">
        <v>4</v>
      </c>
      <c r="K494" s="74"/>
      <c r="L494" s="78">
        <v>5</v>
      </c>
      <c r="M494" s="78"/>
      <c r="N494" s="74">
        <v>6</v>
      </c>
      <c r="O494" s="74"/>
      <c r="P494" s="78">
        <v>7</v>
      </c>
      <c r="Q494" s="78"/>
      <c r="R494" s="74">
        <v>8</v>
      </c>
      <c r="S494" s="74"/>
      <c r="T494" s="74">
        <v>9</v>
      </c>
      <c r="U494" s="74"/>
      <c r="V494" s="49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</row>
    <row r="495" spans="1:44" ht="15.6" customHeight="1" x14ac:dyDescent="0.25">
      <c r="A495" s="27"/>
      <c r="B495" s="28" t="s">
        <v>13</v>
      </c>
      <c r="C495" s="28" t="s">
        <v>14</v>
      </c>
      <c r="D495" s="31" t="s">
        <v>15</v>
      </c>
      <c r="E495" s="31" t="s">
        <v>16</v>
      </c>
      <c r="F495" s="28" t="s">
        <v>13</v>
      </c>
      <c r="G495" s="28" t="s">
        <v>14</v>
      </c>
      <c r="H495" s="31" t="s">
        <v>15</v>
      </c>
      <c r="I495" s="31" t="s">
        <v>16</v>
      </c>
      <c r="J495" s="28" t="s">
        <v>13</v>
      </c>
      <c r="K495" s="28" t="s">
        <v>14</v>
      </c>
      <c r="L495" s="31" t="s">
        <v>15</v>
      </c>
      <c r="M495" s="31" t="s">
        <v>16</v>
      </c>
      <c r="N495" s="28" t="s">
        <v>13</v>
      </c>
      <c r="O495" s="28" t="s">
        <v>14</v>
      </c>
      <c r="P495" s="31" t="s">
        <v>15</v>
      </c>
      <c r="Q495" s="31" t="s">
        <v>16</v>
      </c>
      <c r="R495" s="28" t="s">
        <v>13</v>
      </c>
      <c r="S495" s="28" t="s">
        <v>14</v>
      </c>
      <c r="T495" s="28" t="s">
        <v>15</v>
      </c>
      <c r="U495" s="28" t="s">
        <v>16</v>
      </c>
      <c r="V495" s="49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</row>
    <row r="496" spans="1:44" ht="15.6" customHeight="1" x14ac:dyDescent="0.25">
      <c r="A496" s="33"/>
      <c r="B496" s="34"/>
      <c r="C496" s="34"/>
      <c r="D496" s="35"/>
      <c r="E496" s="36"/>
      <c r="F496" s="34"/>
      <c r="G496" s="34"/>
      <c r="H496" s="35"/>
      <c r="I496" s="36"/>
      <c r="J496" s="34"/>
      <c r="K496" s="34"/>
      <c r="L496" s="35"/>
      <c r="M496" s="36"/>
      <c r="N496" s="34"/>
      <c r="O496" s="34"/>
      <c r="P496" s="35"/>
      <c r="Q496" s="36"/>
      <c r="R496" s="34"/>
      <c r="S496" s="34"/>
      <c r="T496" s="34"/>
      <c r="U496" s="34"/>
      <c r="V496" s="50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</row>
    <row r="497" spans="1:44" ht="9" customHeight="1" x14ac:dyDescent="0.25">
      <c r="A497" s="3"/>
      <c r="B497" s="30"/>
      <c r="C497" s="30"/>
      <c r="D497" s="54"/>
      <c r="E497" s="5"/>
      <c r="F497" s="30"/>
      <c r="G497" s="30"/>
      <c r="H497" s="54"/>
      <c r="I497" s="5"/>
      <c r="J497" s="30"/>
      <c r="K497" s="30"/>
      <c r="L497" s="54"/>
      <c r="M497" s="5"/>
      <c r="N497" s="30"/>
      <c r="O497" s="30"/>
      <c r="P497" s="54"/>
      <c r="Q497" s="5"/>
      <c r="R497" s="30"/>
      <c r="S497" s="30"/>
      <c r="T497" s="30"/>
      <c r="U497" s="30"/>
      <c r="V497" s="32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</row>
    <row r="498" spans="1:44" ht="15.6" customHeight="1" x14ac:dyDescent="0.25">
      <c r="A498" s="3"/>
      <c r="B498" s="95"/>
      <c r="C498" s="96"/>
      <c r="D498" s="97"/>
      <c r="E498" s="98"/>
      <c r="F498" s="95"/>
      <c r="G498" s="96"/>
      <c r="H498" s="97"/>
      <c r="I498" s="98"/>
      <c r="J498" s="95"/>
      <c r="K498" s="96"/>
      <c r="L498" s="97"/>
      <c r="M498" s="98"/>
      <c r="N498" s="95"/>
      <c r="O498" s="96"/>
      <c r="P498" s="97"/>
      <c r="Q498" s="98"/>
      <c r="R498" s="30"/>
      <c r="S498" s="30"/>
      <c r="T498" s="30"/>
      <c r="U498" s="30"/>
      <c r="V498" s="32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</row>
    <row r="499" spans="1:44" ht="15.6" customHeight="1" x14ac:dyDescent="0.25">
      <c r="A499" s="3"/>
      <c r="B499" s="83" t="str">
        <f>IF(D498&lt;1,"","пом.")</f>
        <v/>
      </c>
      <c r="C499" s="83"/>
      <c r="D499" s="85"/>
      <c r="E499" s="86"/>
      <c r="F499" s="83" t="str">
        <f>IF(H498&lt;1,"","пом.")</f>
        <v/>
      </c>
      <c r="G499" s="83"/>
      <c r="H499" s="85"/>
      <c r="I499" s="86"/>
      <c r="J499" s="83" t="str">
        <f>IF(L498&lt;1,"","пом.")</f>
        <v/>
      </c>
      <c r="K499" s="83"/>
      <c r="L499" s="85"/>
      <c r="M499" s="86"/>
      <c r="N499" s="83" t="str">
        <f>IF(P498&lt;1,"","пом.")</f>
        <v/>
      </c>
      <c r="O499" s="83"/>
      <c r="P499" s="85"/>
      <c r="Q499" s="86"/>
      <c r="R499" s="30"/>
      <c r="S499" s="30"/>
      <c r="T499" s="30"/>
      <c r="U499" s="30"/>
      <c r="V499" s="32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</row>
    <row r="500" spans="1:44" ht="15.6" customHeight="1" x14ac:dyDescent="0.25">
      <c r="A500" s="3"/>
      <c r="B500" s="3"/>
      <c r="C500" s="3"/>
      <c r="D500" s="4"/>
      <c r="E500" s="4"/>
      <c r="F500" s="3"/>
      <c r="G500" s="3"/>
      <c r="H500" s="4"/>
      <c r="I500" s="4"/>
      <c r="J500" s="3"/>
      <c r="K500" s="3"/>
      <c r="L500" s="4"/>
      <c r="M500" s="4"/>
      <c r="N500" s="3"/>
      <c r="O500" s="3"/>
      <c r="P500" s="4"/>
      <c r="Q500" s="4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</row>
    <row r="501" spans="1:44" ht="15.6" customHeight="1" x14ac:dyDescent="0.25">
      <c r="A501" s="3"/>
      <c r="B501" s="3"/>
      <c r="C501" s="3"/>
      <c r="D501" s="4"/>
      <c r="E501" s="5" t="s">
        <v>30</v>
      </c>
      <c r="F501" s="87" t="s">
        <v>31</v>
      </c>
      <c r="G501" s="87"/>
      <c r="H501" s="87"/>
      <c r="I501" s="117" t="s">
        <v>32</v>
      </c>
      <c r="J501" s="117"/>
      <c r="K501" s="58"/>
      <c r="L501" s="4"/>
      <c r="M501" s="4"/>
      <c r="N501" s="3"/>
      <c r="O501" s="30" t="s">
        <v>33</v>
      </c>
      <c r="P501" s="87" t="s">
        <v>34</v>
      </c>
      <c r="Q501" s="87"/>
      <c r="R501" s="87"/>
      <c r="S501" s="117" t="s">
        <v>35</v>
      </c>
      <c r="T501" s="117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</row>
    <row r="502" spans="1:44" ht="15.6" customHeight="1" x14ac:dyDescent="0.25">
      <c r="A502" s="3"/>
      <c r="B502" s="3"/>
      <c r="C502" s="3"/>
      <c r="D502" s="4"/>
      <c r="E502" s="5" t="s">
        <v>36</v>
      </c>
      <c r="F502" s="87" t="s">
        <v>37</v>
      </c>
      <c r="G502" s="87"/>
      <c r="H502" s="87"/>
      <c r="I502" s="117" t="s">
        <v>38</v>
      </c>
      <c r="J502" s="117"/>
      <c r="K502" s="117"/>
      <c r="L502" s="4"/>
      <c r="M502" s="4"/>
      <c r="N502" s="3"/>
      <c r="O502" s="30" t="s">
        <v>39</v>
      </c>
      <c r="P502" s="87" t="s">
        <v>34</v>
      </c>
      <c r="Q502" s="87"/>
      <c r="R502" s="87"/>
      <c r="S502" s="118" t="s">
        <v>109</v>
      </c>
      <c r="T502" s="118"/>
      <c r="U502" s="118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</row>
    <row r="503" spans="1:44" ht="15.6" customHeight="1" x14ac:dyDescent="0.25">
      <c r="A503" s="41"/>
      <c r="B503" s="41"/>
      <c r="C503" s="41"/>
      <c r="D503" s="42"/>
      <c r="E503" s="43"/>
      <c r="F503" s="41"/>
      <c r="G503" s="41"/>
      <c r="H503" s="42"/>
      <c r="I503" s="42"/>
      <c r="J503" s="41"/>
      <c r="K503" s="41"/>
      <c r="L503" s="42"/>
      <c r="M503" s="42"/>
      <c r="N503" s="41"/>
      <c r="O503" s="41"/>
      <c r="P503" s="42"/>
      <c r="Q503" s="42"/>
      <c r="R503" s="41"/>
      <c r="S503" s="41"/>
      <c r="T503" s="41"/>
      <c r="U503" s="41"/>
      <c r="V503" s="41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</row>
    <row r="504" spans="1:44" ht="15.6" customHeight="1" x14ac:dyDescent="0.25">
      <c r="A504" s="41"/>
      <c r="B504" s="41"/>
      <c r="C504" s="41"/>
      <c r="D504" s="42"/>
      <c r="E504" s="43"/>
      <c r="F504" s="41"/>
      <c r="G504" s="41"/>
      <c r="H504" s="42"/>
      <c r="I504" s="42"/>
      <c r="J504" s="41"/>
      <c r="K504" s="41"/>
      <c r="L504" s="42"/>
      <c r="M504" s="42"/>
      <c r="N504" s="41"/>
      <c r="O504" s="41"/>
      <c r="P504" s="42"/>
      <c r="Q504" s="42"/>
      <c r="R504" s="41"/>
      <c r="S504" s="41"/>
      <c r="T504" s="41"/>
      <c r="U504" s="41"/>
      <c r="V504" s="41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</row>
    <row r="505" spans="1:44" ht="15.6" hidden="1" customHeight="1" x14ac:dyDescent="0.25">
      <c r="A505" s="3"/>
      <c r="B505" s="3"/>
      <c r="C505" s="3"/>
      <c r="D505" s="4"/>
      <c r="E505" s="4"/>
      <c r="F505" s="3"/>
      <c r="G505" s="3"/>
      <c r="H505" s="4"/>
      <c r="I505" s="4"/>
      <c r="J505" s="3"/>
      <c r="K505" s="3"/>
      <c r="L505" s="4"/>
      <c r="M505" s="4"/>
      <c r="N505" s="3"/>
      <c r="O505" s="3"/>
      <c r="P505" s="4"/>
      <c r="Q505" s="4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</row>
    <row r="506" spans="1:44" ht="15.6" customHeight="1" x14ac:dyDescent="0.3">
      <c r="A506" s="3"/>
      <c r="B506" s="3"/>
      <c r="C506" s="3"/>
      <c r="D506" s="4"/>
      <c r="E506" s="6" t="s">
        <v>1</v>
      </c>
      <c r="F506" s="3"/>
      <c r="G506" s="7"/>
      <c r="H506" s="8"/>
      <c r="I506" s="8"/>
      <c r="J506" s="7"/>
      <c r="K506" s="7"/>
      <c r="L506" s="8"/>
      <c r="M506" s="9" t="s">
        <v>2</v>
      </c>
      <c r="N506" s="12" t="str">
        <f>N484</f>
        <v>1.1</v>
      </c>
      <c r="O506" s="12"/>
      <c r="P506" s="4"/>
      <c r="Q506" s="4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</row>
    <row r="507" spans="1:44" ht="15.6" customHeight="1" x14ac:dyDescent="0.3">
      <c r="A507" s="3"/>
      <c r="B507" s="3"/>
      <c r="C507" s="3"/>
      <c r="D507" s="4"/>
      <c r="E507" s="6" t="s">
        <v>4</v>
      </c>
      <c r="F507" s="3"/>
      <c r="G507" s="3"/>
      <c r="H507" s="4"/>
      <c r="I507" s="4"/>
      <c r="J507" s="13"/>
      <c r="K507" s="13"/>
      <c r="L507" s="14"/>
      <c r="M507" s="9" t="s">
        <v>5</v>
      </c>
      <c r="N507" s="15" t="str">
        <f>N506&amp;".2"</f>
        <v>1.1.2</v>
      </c>
      <c r="O507" s="15"/>
      <c r="P507" s="4"/>
      <c r="Q507" s="4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</row>
    <row r="508" spans="1:44" ht="15.6" customHeight="1" x14ac:dyDescent="0.3">
      <c r="A508" s="3"/>
      <c r="B508" s="3"/>
      <c r="C508" s="3"/>
      <c r="D508" s="4"/>
      <c r="E508" s="4" t="s">
        <v>7</v>
      </c>
      <c r="F508" s="3"/>
      <c r="G508" s="3"/>
      <c r="H508" s="8"/>
      <c r="I508" s="8"/>
      <c r="J508" s="7"/>
      <c r="K508" s="7"/>
      <c r="L508" s="8"/>
      <c r="M508" s="16" t="s">
        <v>5</v>
      </c>
      <c r="N508" s="17">
        <f>N486+1</f>
        <v>13</v>
      </c>
      <c r="O508" s="3"/>
      <c r="P508" s="4"/>
      <c r="Q508" s="4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</row>
    <row r="509" spans="1:44" ht="15.6" customHeight="1" x14ac:dyDescent="0.3">
      <c r="A509" s="3"/>
      <c r="B509" s="3"/>
      <c r="C509" s="3"/>
      <c r="D509" s="4"/>
      <c r="E509" s="4" t="s">
        <v>8</v>
      </c>
      <c r="F509" s="3"/>
      <c r="G509" s="3"/>
      <c r="H509" s="4"/>
      <c r="I509" s="4"/>
      <c r="J509" s="3"/>
      <c r="K509" s="3"/>
      <c r="L509" s="14"/>
      <c r="M509" s="16" t="s">
        <v>99</v>
      </c>
      <c r="N509" s="17" t="str">
        <f>IF(N487="-"&amp;N464&amp;".3",IF(N488=15,"-"&amp;N464&amp;".4","-"&amp;N464&amp;".3"),N487)</f>
        <v>-1.1.4</v>
      </c>
      <c r="O509" s="3"/>
      <c r="P509" s="4"/>
      <c r="Q509" s="4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</row>
    <row r="510" spans="1:44" ht="15.6" customHeight="1" x14ac:dyDescent="0.3">
      <c r="A510" s="3"/>
      <c r="B510" s="3"/>
      <c r="C510" s="3"/>
      <c r="D510" s="4"/>
      <c r="E510" s="21" t="s">
        <v>10</v>
      </c>
      <c r="F510" s="3"/>
      <c r="G510" s="3"/>
      <c r="H510" s="4"/>
      <c r="I510" s="8"/>
      <c r="J510" s="7"/>
      <c r="K510" s="7"/>
      <c r="L510" s="8"/>
      <c r="M510" s="16" t="s">
        <v>5</v>
      </c>
      <c r="N510" s="17">
        <f>IF(N509="-"&amp;N464&amp;".3",N488+1,IF(N487="-"&amp;N464&amp;".3",1,N488+1))</f>
        <v>10</v>
      </c>
      <c r="O510" s="3"/>
      <c r="P510" s="4"/>
      <c r="Q510" s="4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</row>
    <row r="511" spans="1:44" ht="15.6" customHeight="1" x14ac:dyDescent="0.25">
      <c r="A511" s="3"/>
      <c r="B511" s="3"/>
      <c r="C511" s="3"/>
      <c r="D511" s="4"/>
      <c r="E511" s="4"/>
      <c r="F511" s="3"/>
      <c r="G511" s="3"/>
      <c r="H511" s="4"/>
      <c r="I511" s="4"/>
      <c r="J511" s="3"/>
      <c r="K511" s="3"/>
      <c r="L511" s="4"/>
      <c r="M511" s="4"/>
      <c r="N511" s="3"/>
      <c r="O511" s="3"/>
      <c r="P511" s="4"/>
      <c r="Q511" s="4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</row>
    <row r="512" spans="1:44" ht="15.6" customHeight="1" x14ac:dyDescent="0.25">
      <c r="A512" s="24"/>
      <c r="B512" s="25"/>
      <c r="C512" s="25"/>
      <c r="D512" s="26"/>
      <c r="E512" s="26"/>
      <c r="F512" s="25"/>
      <c r="G512" s="25"/>
      <c r="H512" s="26"/>
      <c r="I512" s="26"/>
      <c r="J512" s="25"/>
      <c r="K512" s="25"/>
      <c r="L512" s="26"/>
      <c r="M512" s="26"/>
      <c r="N512" s="25"/>
      <c r="O512" s="25"/>
      <c r="P512" s="26"/>
      <c r="Q512" s="26"/>
      <c r="R512" s="25"/>
      <c r="S512" s="25"/>
      <c r="T512" s="25"/>
      <c r="U512" s="25"/>
      <c r="V512" s="45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</row>
    <row r="513" spans="1:44" ht="15.6" customHeight="1" x14ac:dyDescent="0.25">
      <c r="A513" s="27"/>
      <c r="B513" s="28"/>
      <c r="C513" s="28"/>
      <c r="D513" s="71">
        <v>1</v>
      </c>
      <c r="E513" s="72"/>
      <c r="F513" s="28"/>
      <c r="G513" s="28"/>
      <c r="H513" s="71">
        <v>2</v>
      </c>
      <c r="I513" s="72"/>
      <c r="J513" s="28"/>
      <c r="K513" s="28"/>
      <c r="L513" s="71">
        <v>3</v>
      </c>
      <c r="M513" s="72"/>
      <c r="N513" s="28"/>
      <c r="O513" s="28"/>
      <c r="P513" s="71">
        <v>4</v>
      </c>
      <c r="Q513" s="72"/>
      <c r="R513" s="28"/>
      <c r="S513" s="28"/>
      <c r="T513" s="28"/>
      <c r="U513" s="28"/>
      <c r="V513" s="46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</row>
    <row r="514" spans="1:44" ht="15.6" customHeight="1" x14ac:dyDescent="0.25">
      <c r="A514" s="27"/>
      <c r="B514" s="74" t="s">
        <v>11</v>
      </c>
      <c r="C514" s="74"/>
      <c r="D514" s="71" t="s">
        <v>12</v>
      </c>
      <c r="E514" s="72"/>
      <c r="F514" s="74" t="s">
        <v>11</v>
      </c>
      <c r="G514" s="74"/>
      <c r="H514" s="71" t="s">
        <v>12</v>
      </c>
      <c r="I514" s="72"/>
      <c r="J514" s="74" t="s">
        <v>11</v>
      </c>
      <c r="K514" s="74"/>
      <c r="L514" s="71" t="s">
        <v>12</v>
      </c>
      <c r="M514" s="72"/>
      <c r="N514" s="74" t="s">
        <v>11</v>
      </c>
      <c r="O514" s="74"/>
      <c r="P514" s="71" t="s">
        <v>12</v>
      </c>
      <c r="Q514" s="72"/>
      <c r="R514" s="74"/>
      <c r="S514" s="74"/>
      <c r="T514" s="74"/>
      <c r="U514" s="74"/>
      <c r="V514" s="48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</row>
    <row r="515" spans="1:44" ht="15.6" customHeight="1" x14ac:dyDescent="0.25">
      <c r="A515" s="27"/>
      <c r="B515" s="76"/>
      <c r="C515" s="76"/>
      <c r="D515" s="77"/>
      <c r="E515" s="77"/>
      <c r="F515" s="76"/>
      <c r="G515" s="76"/>
      <c r="H515" s="77"/>
      <c r="I515" s="77"/>
      <c r="J515" s="76"/>
      <c r="K515" s="76"/>
      <c r="L515" s="77"/>
      <c r="M515" s="77"/>
      <c r="N515" s="76"/>
      <c r="O515" s="76"/>
      <c r="P515" s="77"/>
      <c r="Q515" s="77"/>
      <c r="R515" s="76"/>
      <c r="S515" s="76"/>
      <c r="T515" s="76"/>
      <c r="U515" s="76"/>
      <c r="V515" s="48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</row>
    <row r="516" spans="1:44" ht="15.6" customHeight="1" x14ac:dyDescent="0.25">
      <c r="A516" s="27"/>
      <c r="B516" s="74">
        <v>0</v>
      </c>
      <c r="C516" s="74"/>
      <c r="D516" s="78">
        <v>1</v>
      </c>
      <c r="E516" s="78"/>
      <c r="F516" s="74">
        <v>2</v>
      </c>
      <c r="G516" s="74"/>
      <c r="H516" s="78">
        <v>3</v>
      </c>
      <c r="I516" s="78"/>
      <c r="J516" s="74">
        <v>4</v>
      </c>
      <c r="K516" s="74"/>
      <c r="L516" s="78">
        <v>5</v>
      </c>
      <c r="M516" s="78"/>
      <c r="N516" s="74">
        <v>6</v>
      </c>
      <c r="O516" s="74"/>
      <c r="P516" s="78">
        <v>7</v>
      </c>
      <c r="Q516" s="78"/>
      <c r="R516" s="74">
        <v>8</v>
      </c>
      <c r="S516" s="74"/>
      <c r="T516" s="74">
        <v>9</v>
      </c>
      <c r="U516" s="74"/>
      <c r="V516" s="49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</row>
    <row r="517" spans="1:44" ht="15.6" customHeight="1" x14ac:dyDescent="0.25">
      <c r="A517" s="27"/>
      <c r="B517" s="28" t="s">
        <v>13</v>
      </c>
      <c r="C517" s="28" t="s">
        <v>14</v>
      </c>
      <c r="D517" s="31" t="s">
        <v>15</v>
      </c>
      <c r="E517" s="31" t="s">
        <v>16</v>
      </c>
      <c r="F517" s="28" t="s">
        <v>13</v>
      </c>
      <c r="G517" s="28" t="s">
        <v>14</v>
      </c>
      <c r="H517" s="31" t="s">
        <v>15</v>
      </c>
      <c r="I517" s="31" t="s">
        <v>16</v>
      </c>
      <c r="J517" s="28" t="s">
        <v>13</v>
      </c>
      <c r="K517" s="28" t="s">
        <v>14</v>
      </c>
      <c r="L517" s="31" t="s">
        <v>15</v>
      </c>
      <c r="M517" s="31" t="s">
        <v>16</v>
      </c>
      <c r="N517" s="28" t="s">
        <v>13</v>
      </c>
      <c r="O517" s="28" t="s">
        <v>14</v>
      </c>
      <c r="P517" s="31" t="s">
        <v>15</v>
      </c>
      <c r="Q517" s="31" t="s">
        <v>16</v>
      </c>
      <c r="R517" s="28" t="s">
        <v>13</v>
      </c>
      <c r="S517" s="28" t="s">
        <v>14</v>
      </c>
      <c r="T517" s="28" t="s">
        <v>15</v>
      </c>
      <c r="U517" s="28" t="s">
        <v>16</v>
      </c>
      <c r="V517" s="49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</row>
    <row r="518" spans="1:44" ht="15.6" customHeight="1" x14ac:dyDescent="0.25">
      <c r="A518" s="33"/>
      <c r="B518" s="34"/>
      <c r="C518" s="34"/>
      <c r="D518" s="35"/>
      <c r="E518" s="36"/>
      <c r="F518" s="34"/>
      <c r="G518" s="34"/>
      <c r="H518" s="35"/>
      <c r="I518" s="36"/>
      <c r="J518" s="34"/>
      <c r="K518" s="34"/>
      <c r="L518" s="35"/>
      <c r="M518" s="36"/>
      <c r="N518" s="34"/>
      <c r="O518" s="34"/>
      <c r="P518" s="35"/>
      <c r="Q518" s="36"/>
      <c r="R518" s="34"/>
      <c r="S518" s="34"/>
      <c r="T518" s="34"/>
      <c r="U518" s="34"/>
      <c r="V518" s="50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</row>
    <row r="519" spans="1:44" ht="15.6" customHeight="1" x14ac:dyDescent="0.25">
      <c r="A519" s="3"/>
      <c r="B519" s="30"/>
      <c r="C519" s="30"/>
      <c r="D519" s="54"/>
      <c r="E519" s="5"/>
      <c r="F519" s="30"/>
      <c r="G519" s="30"/>
      <c r="H519" s="54"/>
      <c r="I519" s="5"/>
      <c r="J519" s="30"/>
      <c r="K519" s="30"/>
      <c r="L519" s="54"/>
      <c r="M519" s="5"/>
      <c r="N519" s="30"/>
      <c r="O519" s="30"/>
      <c r="P519" s="54"/>
      <c r="Q519" s="5"/>
      <c r="R519" s="30"/>
      <c r="S519" s="30"/>
      <c r="T519" s="30"/>
      <c r="U519" s="30"/>
      <c r="V519" s="32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</row>
    <row r="520" spans="1:44" ht="15.6" customHeight="1" x14ac:dyDescent="0.25">
      <c r="A520" s="3"/>
      <c r="B520" s="95"/>
      <c r="C520" s="96"/>
      <c r="D520" s="97"/>
      <c r="E520" s="98"/>
      <c r="F520" s="95"/>
      <c r="G520" s="96"/>
      <c r="H520" s="97"/>
      <c r="I520" s="98"/>
      <c r="J520" s="95"/>
      <c r="K520" s="96"/>
      <c r="L520" s="97"/>
      <c r="M520" s="98"/>
      <c r="N520" s="95"/>
      <c r="O520" s="96"/>
      <c r="P520" s="97"/>
      <c r="Q520" s="98"/>
      <c r="R520" s="30"/>
      <c r="S520" s="30"/>
      <c r="T520" s="30"/>
      <c r="U520" s="30"/>
      <c r="V520" s="32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</row>
    <row r="521" spans="1:44" ht="15.6" customHeight="1" x14ac:dyDescent="0.25">
      <c r="A521" s="3"/>
      <c r="B521" s="83" t="str">
        <f>IF(D520&lt;1,"","пом.")</f>
        <v/>
      </c>
      <c r="C521" s="83"/>
      <c r="D521" s="85"/>
      <c r="E521" s="86"/>
      <c r="F521" s="83" t="str">
        <f>IF(H520&lt;1,"","пом.")</f>
        <v/>
      </c>
      <c r="G521" s="83"/>
      <c r="H521" s="85"/>
      <c r="I521" s="86"/>
      <c r="J521" s="83" t="str">
        <f>IF(L520&lt;1,"","пом.")</f>
        <v/>
      </c>
      <c r="K521" s="83"/>
      <c r="L521" s="85"/>
      <c r="M521" s="86"/>
      <c r="N521" s="83" t="str">
        <f>IF(P520&lt;1,"","пом.")</f>
        <v/>
      </c>
      <c r="O521" s="83"/>
      <c r="P521" s="85"/>
      <c r="Q521" s="86"/>
      <c r="R521" s="30"/>
      <c r="S521" s="30"/>
      <c r="T521" s="30"/>
      <c r="U521" s="30"/>
      <c r="V521" s="32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</row>
    <row r="522" spans="1:44" ht="15.6" customHeight="1" x14ac:dyDescent="0.25">
      <c r="A522" s="3"/>
      <c r="B522" s="3"/>
      <c r="C522" s="3"/>
      <c r="D522" s="4"/>
      <c r="E522" s="4"/>
      <c r="F522" s="3"/>
      <c r="G522" s="3"/>
      <c r="H522" s="4"/>
      <c r="I522" s="4"/>
      <c r="J522" s="3"/>
      <c r="K522" s="3"/>
      <c r="L522" s="4"/>
      <c r="M522" s="4"/>
      <c r="N522" s="3"/>
      <c r="O522" s="3"/>
      <c r="P522" s="4"/>
      <c r="Q522" s="4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</row>
    <row r="523" spans="1:44" ht="15.6" customHeight="1" x14ac:dyDescent="0.25">
      <c r="A523" s="3"/>
      <c r="B523" s="3"/>
      <c r="C523" s="3"/>
      <c r="D523" s="4"/>
      <c r="E523" s="5" t="s">
        <v>30</v>
      </c>
      <c r="F523" s="87" t="s">
        <v>31</v>
      </c>
      <c r="G523" s="87"/>
      <c r="H523" s="87"/>
      <c r="I523" s="117" t="s">
        <v>32</v>
      </c>
      <c r="J523" s="117"/>
      <c r="K523" s="58"/>
      <c r="L523" s="4"/>
      <c r="M523" s="4"/>
      <c r="N523" s="3"/>
      <c r="O523" s="30" t="s">
        <v>33</v>
      </c>
      <c r="P523" s="87" t="s">
        <v>34</v>
      </c>
      <c r="Q523" s="87"/>
      <c r="R523" s="87"/>
      <c r="S523" s="117" t="s">
        <v>35</v>
      </c>
      <c r="T523" s="117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</row>
    <row r="524" spans="1:44" ht="15.6" customHeight="1" x14ac:dyDescent="0.25">
      <c r="A524" s="3"/>
      <c r="B524" s="3"/>
      <c r="C524" s="3"/>
      <c r="D524" s="4"/>
      <c r="E524" s="5" t="s">
        <v>36</v>
      </c>
      <c r="F524" s="87" t="s">
        <v>37</v>
      </c>
      <c r="G524" s="87"/>
      <c r="H524" s="87"/>
      <c r="I524" s="117" t="s">
        <v>38</v>
      </c>
      <c r="J524" s="117"/>
      <c r="K524" s="117"/>
      <c r="L524" s="4"/>
      <c r="M524" s="4"/>
      <c r="N524" s="3"/>
      <c r="O524" s="30" t="s">
        <v>39</v>
      </c>
      <c r="P524" s="87" t="s">
        <v>34</v>
      </c>
      <c r="Q524" s="87"/>
      <c r="R524" s="87"/>
      <c r="S524" s="118" t="s">
        <v>109</v>
      </c>
      <c r="T524" s="118"/>
      <c r="U524" s="118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</row>
    <row r="525" spans="1:44" ht="15.6" customHeight="1" x14ac:dyDescent="0.25">
      <c r="A525" s="41"/>
      <c r="B525" s="41"/>
      <c r="C525" s="41"/>
      <c r="D525" s="42"/>
      <c r="E525" s="43"/>
      <c r="F525" s="41"/>
      <c r="G525" s="41"/>
      <c r="H525" s="42"/>
      <c r="I525" s="42"/>
      <c r="J525" s="41"/>
      <c r="K525" s="41"/>
      <c r="L525" s="42"/>
      <c r="M525" s="42"/>
      <c r="N525" s="41"/>
      <c r="O525" s="41"/>
      <c r="P525" s="42"/>
      <c r="Q525" s="42"/>
      <c r="R525" s="41"/>
      <c r="S525" s="41"/>
      <c r="T525" s="41"/>
      <c r="U525" s="41"/>
      <c r="V525" s="41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</row>
    <row r="526" spans="1:44" ht="15.6" customHeight="1" x14ac:dyDescent="0.3">
      <c r="A526" s="3"/>
      <c r="B526" s="3"/>
      <c r="C526" s="3"/>
      <c r="D526" s="4"/>
      <c r="E526" s="6" t="s">
        <v>1</v>
      </c>
      <c r="F526" s="3"/>
      <c r="G526" s="7"/>
      <c r="H526" s="8"/>
      <c r="I526" s="8"/>
      <c r="J526" s="7"/>
      <c r="K526" s="7"/>
      <c r="L526" s="8"/>
      <c r="M526" s="9" t="s">
        <v>2</v>
      </c>
      <c r="N526" s="12" t="str">
        <f>N506</f>
        <v>1.1</v>
      </c>
      <c r="O526" s="12"/>
      <c r="P526" s="4"/>
      <c r="Q526" s="4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</row>
    <row r="527" spans="1:44" ht="15.6" customHeight="1" x14ac:dyDescent="0.3">
      <c r="A527" s="3"/>
      <c r="B527" s="3"/>
      <c r="C527" s="3"/>
      <c r="D527" s="4"/>
      <c r="E527" s="6" t="s">
        <v>4</v>
      </c>
      <c r="F527" s="3"/>
      <c r="G527" s="3"/>
      <c r="H527" s="4"/>
      <c r="I527" s="4"/>
      <c r="J527" s="13"/>
      <c r="K527" s="13"/>
      <c r="L527" s="14"/>
      <c r="M527" s="9" t="s">
        <v>5</v>
      </c>
      <c r="N527" s="15" t="str">
        <f>N507</f>
        <v>1.1.2</v>
      </c>
      <c r="O527" s="15"/>
      <c r="P527" s="4"/>
      <c r="Q527" s="4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</row>
    <row r="528" spans="1:44" ht="15.6" customHeight="1" x14ac:dyDescent="0.3">
      <c r="A528" s="3"/>
      <c r="B528" s="3"/>
      <c r="C528" s="3"/>
      <c r="D528" s="4"/>
      <c r="E528" s="4" t="s">
        <v>7</v>
      </c>
      <c r="F528" s="3"/>
      <c r="G528" s="3"/>
      <c r="H528" s="8"/>
      <c r="I528" s="8"/>
      <c r="J528" s="7"/>
      <c r="K528" s="7"/>
      <c r="L528" s="8"/>
      <c r="M528" s="16" t="s">
        <v>5</v>
      </c>
      <c r="N528" s="17">
        <f>N508</f>
        <v>13</v>
      </c>
      <c r="O528" s="3"/>
      <c r="P528" s="4"/>
      <c r="Q528" s="4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</row>
    <row r="529" spans="1:44" ht="15.6" customHeight="1" x14ac:dyDescent="0.3">
      <c r="A529" s="3"/>
      <c r="B529" s="3"/>
      <c r="C529" s="3"/>
      <c r="D529" s="4"/>
      <c r="E529" s="4" t="s">
        <v>8</v>
      </c>
      <c r="F529" s="3"/>
      <c r="G529" s="3"/>
      <c r="H529" s="4"/>
      <c r="I529" s="4"/>
      <c r="J529" s="3"/>
      <c r="K529" s="3"/>
      <c r="L529" s="14"/>
      <c r="M529" s="16" t="s">
        <v>99</v>
      </c>
      <c r="N529" s="17" t="str">
        <f>IF(N509="-"&amp;N506&amp;".3",IF(N510=15,"-"&amp;N506&amp;".4","-"&amp;N506&amp;".3"),N509)</f>
        <v>-1.1.4</v>
      </c>
      <c r="O529" s="19"/>
      <c r="P529" s="4"/>
      <c r="Q529" s="4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</row>
    <row r="530" spans="1:44" ht="15.6" customHeight="1" x14ac:dyDescent="0.3">
      <c r="A530" s="3"/>
      <c r="B530" s="3"/>
      <c r="C530" s="3"/>
      <c r="D530" s="4"/>
      <c r="E530" s="21" t="s">
        <v>10</v>
      </c>
      <c r="F530" s="3"/>
      <c r="G530" s="3"/>
      <c r="H530" s="4"/>
      <c r="I530" s="8"/>
      <c r="J530" s="7"/>
      <c r="K530" s="7"/>
      <c r="L530" s="8"/>
      <c r="M530" s="16" t="s">
        <v>5</v>
      </c>
      <c r="N530" s="17">
        <f>IF(N529="-"&amp;N464&amp;".3",N510+1,IF(N509="-"&amp;N464&amp;".3",1,N510+1))</f>
        <v>11</v>
      </c>
      <c r="O530" s="3"/>
      <c r="P530" s="4"/>
      <c r="Q530" s="4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</row>
    <row r="531" spans="1:44" ht="15.6" customHeight="1" x14ac:dyDescent="0.25">
      <c r="A531" s="3"/>
      <c r="B531" s="3"/>
      <c r="C531" s="3"/>
      <c r="D531" s="4"/>
      <c r="E531" s="4"/>
      <c r="F531" s="3"/>
      <c r="G531" s="3"/>
      <c r="H531" s="4"/>
      <c r="I531" s="4"/>
      <c r="J531" s="3"/>
      <c r="K531" s="3"/>
      <c r="L531" s="4"/>
      <c r="M531" s="4"/>
      <c r="N531" s="3"/>
      <c r="O531" s="3"/>
      <c r="P531" s="4"/>
      <c r="Q531" s="4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</row>
    <row r="532" spans="1:44" ht="15.6" customHeight="1" x14ac:dyDescent="0.25">
      <c r="A532" s="24"/>
      <c r="B532" s="25"/>
      <c r="C532" s="25"/>
      <c r="D532" s="26"/>
      <c r="E532" s="26"/>
      <c r="F532" s="25"/>
      <c r="G532" s="25"/>
      <c r="H532" s="26"/>
      <c r="I532" s="26"/>
      <c r="J532" s="25"/>
      <c r="K532" s="25"/>
      <c r="L532" s="26"/>
      <c r="M532" s="26"/>
      <c r="N532" s="25"/>
      <c r="O532" s="25"/>
      <c r="P532" s="26"/>
      <c r="Q532" s="26"/>
      <c r="R532" s="25"/>
      <c r="S532" s="25"/>
      <c r="T532" s="25"/>
      <c r="U532" s="25"/>
      <c r="V532" s="45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</row>
    <row r="533" spans="1:44" ht="15.6" customHeight="1" x14ac:dyDescent="0.25">
      <c r="A533" s="27"/>
      <c r="B533" s="28"/>
      <c r="C533" s="28"/>
      <c r="D533" s="71">
        <v>1</v>
      </c>
      <c r="E533" s="72"/>
      <c r="F533" s="28"/>
      <c r="G533" s="28"/>
      <c r="H533" s="71">
        <v>2</v>
      </c>
      <c r="I533" s="72"/>
      <c r="J533" s="28"/>
      <c r="K533" s="28"/>
      <c r="L533" s="71">
        <v>3</v>
      </c>
      <c r="M533" s="72"/>
      <c r="N533" s="28"/>
      <c r="O533" s="28"/>
      <c r="P533" s="71">
        <v>4</v>
      </c>
      <c r="Q533" s="72"/>
      <c r="R533" s="28"/>
      <c r="S533" s="28"/>
      <c r="T533" s="28"/>
      <c r="U533" s="28"/>
      <c r="V533" s="46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</row>
    <row r="534" spans="1:44" ht="15.6" customHeight="1" x14ac:dyDescent="0.25">
      <c r="A534" s="27"/>
      <c r="B534" s="74" t="s">
        <v>11</v>
      </c>
      <c r="C534" s="74"/>
      <c r="D534" s="71" t="s">
        <v>12</v>
      </c>
      <c r="E534" s="72"/>
      <c r="F534" s="74" t="s">
        <v>11</v>
      </c>
      <c r="G534" s="74"/>
      <c r="H534" s="71" t="s">
        <v>12</v>
      </c>
      <c r="I534" s="72"/>
      <c r="J534" s="74" t="s">
        <v>11</v>
      </c>
      <c r="K534" s="74"/>
      <c r="L534" s="71" t="s">
        <v>12</v>
      </c>
      <c r="M534" s="72"/>
      <c r="N534" s="74" t="s">
        <v>11</v>
      </c>
      <c r="O534" s="74"/>
      <c r="P534" s="71" t="s">
        <v>12</v>
      </c>
      <c r="Q534" s="72"/>
      <c r="R534" s="74"/>
      <c r="S534" s="74"/>
      <c r="T534" s="74"/>
      <c r="U534" s="74"/>
      <c r="V534" s="48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</row>
    <row r="535" spans="1:44" ht="15.6" customHeight="1" x14ac:dyDescent="0.25">
      <c r="A535" s="27"/>
      <c r="B535" s="76"/>
      <c r="C535" s="76"/>
      <c r="D535" s="77"/>
      <c r="E535" s="77"/>
      <c r="F535" s="76"/>
      <c r="G535" s="76"/>
      <c r="H535" s="77"/>
      <c r="I535" s="77"/>
      <c r="J535" s="76"/>
      <c r="K535" s="76"/>
      <c r="L535" s="77"/>
      <c r="M535" s="77"/>
      <c r="N535" s="76"/>
      <c r="O535" s="76"/>
      <c r="P535" s="77"/>
      <c r="Q535" s="77"/>
      <c r="R535" s="76"/>
      <c r="S535" s="76"/>
      <c r="T535" s="76"/>
      <c r="U535" s="76"/>
      <c r="V535" s="48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</row>
    <row r="536" spans="1:44" ht="15.6" customHeight="1" x14ac:dyDescent="0.25">
      <c r="A536" s="27"/>
      <c r="B536" s="74">
        <v>0</v>
      </c>
      <c r="C536" s="74"/>
      <c r="D536" s="78">
        <v>1</v>
      </c>
      <c r="E536" s="78"/>
      <c r="F536" s="74">
        <v>2</v>
      </c>
      <c r="G536" s="74"/>
      <c r="H536" s="78">
        <v>3</v>
      </c>
      <c r="I536" s="78"/>
      <c r="J536" s="74">
        <v>4</v>
      </c>
      <c r="K536" s="74"/>
      <c r="L536" s="78">
        <v>5</v>
      </c>
      <c r="M536" s="78"/>
      <c r="N536" s="74">
        <v>6</v>
      </c>
      <c r="O536" s="74"/>
      <c r="P536" s="78">
        <v>7</v>
      </c>
      <c r="Q536" s="78"/>
      <c r="R536" s="74">
        <v>8</v>
      </c>
      <c r="S536" s="74"/>
      <c r="T536" s="74">
        <v>9</v>
      </c>
      <c r="U536" s="74"/>
      <c r="V536" s="49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</row>
    <row r="537" spans="1:44" ht="15.6" customHeight="1" x14ac:dyDescent="0.25">
      <c r="A537" s="27"/>
      <c r="B537" s="28" t="s">
        <v>13</v>
      </c>
      <c r="C537" s="28" t="s">
        <v>14</v>
      </c>
      <c r="D537" s="31" t="s">
        <v>15</v>
      </c>
      <c r="E537" s="31" t="s">
        <v>16</v>
      </c>
      <c r="F537" s="28" t="s">
        <v>13</v>
      </c>
      <c r="G537" s="28" t="s">
        <v>14</v>
      </c>
      <c r="H537" s="31" t="s">
        <v>15</v>
      </c>
      <c r="I537" s="31" t="s">
        <v>16</v>
      </c>
      <c r="J537" s="28" t="s">
        <v>13</v>
      </c>
      <c r="K537" s="28" t="s">
        <v>14</v>
      </c>
      <c r="L537" s="31" t="s">
        <v>15</v>
      </c>
      <c r="M537" s="31" t="s">
        <v>16</v>
      </c>
      <c r="N537" s="28" t="s">
        <v>13</v>
      </c>
      <c r="O537" s="28" t="s">
        <v>14</v>
      </c>
      <c r="P537" s="31" t="s">
        <v>15</v>
      </c>
      <c r="Q537" s="31" t="s">
        <v>16</v>
      </c>
      <c r="R537" s="28" t="s">
        <v>13</v>
      </c>
      <c r="S537" s="28" t="s">
        <v>14</v>
      </c>
      <c r="T537" s="28" t="s">
        <v>15</v>
      </c>
      <c r="U537" s="28" t="s">
        <v>16</v>
      </c>
      <c r="V537" s="49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</row>
    <row r="538" spans="1:44" ht="15.6" customHeight="1" x14ac:dyDescent="0.25">
      <c r="A538" s="33"/>
      <c r="B538" s="34"/>
      <c r="C538" s="34"/>
      <c r="D538" s="35"/>
      <c r="E538" s="36"/>
      <c r="F538" s="34"/>
      <c r="G538" s="34"/>
      <c r="H538" s="35"/>
      <c r="I538" s="36"/>
      <c r="J538" s="34"/>
      <c r="K538" s="34"/>
      <c r="L538" s="35"/>
      <c r="M538" s="36"/>
      <c r="N538" s="34"/>
      <c r="O538" s="34"/>
      <c r="P538" s="35"/>
      <c r="Q538" s="36"/>
      <c r="R538" s="34"/>
      <c r="S538" s="34"/>
      <c r="T538" s="34"/>
      <c r="U538" s="34"/>
      <c r="V538" s="50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</row>
    <row r="539" spans="1:44" ht="7.9" customHeight="1" x14ac:dyDescent="0.25">
      <c r="A539" s="3"/>
      <c r="B539" s="30"/>
      <c r="C539" s="30"/>
      <c r="D539" s="54"/>
      <c r="E539" s="5"/>
      <c r="F539" s="30"/>
      <c r="G539" s="30"/>
      <c r="H539" s="54"/>
      <c r="I539" s="5"/>
      <c r="J539" s="30"/>
      <c r="K539" s="30"/>
      <c r="L539" s="54"/>
      <c r="M539" s="5"/>
      <c r="N539" s="30"/>
      <c r="O539" s="30"/>
      <c r="P539" s="54"/>
      <c r="Q539" s="5"/>
      <c r="R539" s="30"/>
      <c r="S539" s="30"/>
      <c r="T539" s="30"/>
      <c r="U539" s="30"/>
      <c r="V539" s="32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</row>
    <row r="540" spans="1:44" ht="15.6" customHeight="1" x14ac:dyDescent="0.25">
      <c r="A540" s="3"/>
      <c r="B540" s="95"/>
      <c r="C540" s="96"/>
      <c r="D540" s="97"/>
      <c r="E540" s="98"/>
      <c r="F540" s="95"/>
      <c r="G540" s="96"/>
      <c r="H540" s="97"/>
      <c r="I540" s="98"/>
      <c r="J540" s="95"/>
      <c r="K540" s="96"/>
      <c r="L540" s="97"/>
      <c r="M540" s="98"/>
      <c r="N540" s="95"/>
      <c r="O540" s="96"/>
      <c r="P540" s="97"/>
      <c r="Q540" s="98"/>
      <c r="R540" s="30"/>
      <c r="S540" s="30"/>
      <c r="T540" s="30"/>
      <c r="U540" s="30"/>
      <c r="V540" s="32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</row>
    <row r="541" spans="1:44" ht="15.6" customHeight="1" x14ac:dyDescent="0.25">
      <c r="A541" s="3"/>
      <c r="B541" s="83" t="str">
        <f>IF(D540&lt;1,"","пом.")</f>
        <v/>
      </c>
      <c r="C541" s="83"/>
      <c r="D541" s="85"/>
      <c r="E541" s="86"/>
      <c r="F541" s="83" t="str">
        <f>IF(H540&lt;1,"","пом.")</f>
        <v/>
      </c>
      <c r="G541" s="83"/>
      <c r="H541" s="85"/>
      <c r="I541" s="86"/>
      <c r="J541" s="83" t="str">
        <f>IF(L540&lt;1,"","пом.")</f>
        <v/>
      </c>
      <c r="K541" s="83"/>
      <c r="L541" s="85"/>
      <c r="M541" s="86"/>
      <c r="N541" s="83" t="str">
        <f>IF(P540&lt;1,"","пом.")</f>
        <v/>
      </c>
      <c r="O541" s="83"/>
      <c r="P541" s="85"/>
      <c r="Q541" s="86"/>
      <c r="R541" s="30"/>
      <c r="S541" s="30"/>
      <c r="T541" s="30"/>
      <c r="U541" s="30"/>
      <c r="V541" s="32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</row>
    <row r="542" spans="1:44" ht="7.15" customHeight="1" x14ac:dyDescent="0.25">
      <c r="A542" s="3"/>
      <c r="B542" s="3"/>
      <c r="C542" s="3"/>
      <c r="D542" s="4"/>
      <c r="E542" s="4"/>
      <c r="F542" s="3"/>
      <c r="G542" s="3"/>
      <c r="H542" s="4"/>
      <c r="I542" s="4"/>
      <c r="J542" s="3"/>
      <c r="K542" s="3"/>
      <c r="L542" s="4"/>
      <c r="M542" s="4"/>
      <c r="N542" s="3"/>
      <c r="O542" s="3"/>
      <c r="P542" s="4"/>
      <c r="Q542" s="4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</row>
    <row r="543" spans="1:44" ht="15.6" customHeight="1" x14ac:dyDescent="0.25">
      <c r="A543" s="3"/>
      <c r="B543" s="3"/>
      <c r="C543" s="3"/>
      <c r="D543" s="4"/>
      <c r="E543" s="5" t="s">
        <v>30</v>
      </c>
      <c r="F543" s="87" t="s">
        <v>31</v>
      </c>
      <c r="G543" s="87"/>
      <c r="H543" s="87"/>
      <c r="I543" s="117" t="s">
        <v>32</v>
      </c>
      <c r="J543" s="117"/>
      <c r="K543" s="58"/>
      <c r="L543" s="4"/>
      <c r="M543" s="4"/>
      <c r="N543" s="3"/>
      <c r="O543" s="30" t="s">
        <v>33</v>
      </c>
      <c r="P543" s="87" t="s">
        <v>34</v>
      </c>
      <c r="Q543" s="87"/>
      <c r="R543" s="87"/>
      <c r="S543" s="117" t="s">
        <v>35</v>
      </c>
      <c r="T543" s="117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</row>
    <row r="544" spans="1:44" ht="15.6" customHeight="1" x14ac:dyDescent="0.25">
      <c r="A544" s="3"/>
      <c r="B544" s="3"/>
      <c r="C544" s="3"/>
      <c r="D544" s="4"/>
      <c r="E544" s="5" t="s">
        <v>36</v>
      </c>
      <c r="F544" s="87" t="s">
        <v>37</v>
      </c>
      <c r="G544" s="87"/>
      <c r="H544" s="87"/>
      <c r="I544" s="117" t="s">
        <v>38</v>
      </c>
      <c r="J544" s="117"/>
      <c r="K544" s="117"/>
      <c r="L544" s="4"/>
      <c r="M544" s="4"/>
      <c r="N544" s="3"/>
      <c r="O544" s="30" t="s">
        <v>39</v>
      </c>
      <c r="P544" s="87" t="s">
        <v>34</v>
      </c>
      <c r="Q544" s="87"/>
      <c r="R544" s="87"/>
      <c r="S544" s="118" t="s">
        <v>109</v>
      </c>
      <c r="T544" s="118"/>
      <c r="U544" s="118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</row>
    <row r="545" spans="1:44" ht="15.6" customHeight="1" x14ac:dyDescent="0.25">
      <c r="A545" s="41"/>
      <c r="B545" s="41"/>
      <c r="C545" s="41"/>
      <c r="D545" s="42"/>
      <c r="E545" s="43"/>
      <c r="F545" s="41"/>
      <c r="G545" s="41"/>
      <c r="H545" s="42"/>
      <c r="I545" s="42"/>
      <c r="J545" s="41"/>
      <c r="K545" s="41"/>
      <c r="L545" s="42"/>
      <c r="M545" s="42"/>
      <c r="N545" s="41"/>
      <c r="O545" s="41"/>
      <c r="P545" s="42"/>
      <c r="Q545" s="42"/>
      <c r="R545" s="41"/>
      <c r="S545" s="41"/>
      <c r="T545" s="41"/>
      <c r="U545" s="41"/>
      <c r="V545" s="41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</row>
    <row r="546" spans="1:44" ht="15.6" customHeight="1" x14ac:dyDescent="0.25">
      <c r="A546" s="41"/>
      <c r="B546" s="41"/>
      <c r="C546" s="41"/>
      <c r="D546" s="42"/>
      <c r="E546" s="43"/>
      <c r="F546" s="41"/>
      <c r="G546" s="41"/>
      <c r="H546" s="42"/>
      <c r="I546" s="42"/>
      <c r="J546" s="41"/>
      <c r="K546" s="41"/>
      <c r="L546" s="42"/>
      <c r="M546" s="42"/>
      <c r="N546" s="41"/>
      <c r="O546" s="41"/>
      <c r="P546" s="42"/>
      <c r="Q546" s="42"/>
      <c r="R546" s="41"/>
      <c r="S546" s="41"/>
      <c r="T546" s="41"/>
      <c r="U546" s="41"/>
      <c r="V546" s="41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</row>
    <row r="547" spans="1:44" ht="15.6" hidden="1" customHeight="1" x14ac:dyDescent="0.25">
      <c r="A547" s="3"/>
      <c r="B547" s="3"/>
      <c r="C547" s="3"/>
      <c r="D547" s="4"/>
      <c r="E547" s="4"/>
      <c r="F547" s="3"/>
      <c r="G547" s="3"/>
      <c r="H547" s="4"/>
      <c r="I547" s="4"/>
      <c r="J547" s="3"/>
      <c r="K547" s="3"/>
      <c r="L547" s="4"/>
      <c r="M547" s="4"/>
      <c r="N547" s="3"/>
      <c r="O547" s="3"/>
      <c r="P547" s="4"/>
      <c r="Q547" s="4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</row>
    <row r="548" spans="1:44" ht="15.6" customHeight="1" x14ac:dyDescent="0.3">
      <c r="A548" s="3"/>
      <c r="B548" s="3"/>
      <c r="C548" s="3"/>
      <c r="D548" s="4"/>
      <c r="E548" s="6" t="s">
        <v>1</v>
      </c>
      <c r="F548" s="3"/>
      <c r="G548" s="7"/>
      <c r="H548" s="8"/>
      <c r="I548" s="8"/>
      <c r="J548" s="7"/>
      <c r="K548" s="7"/>
      <c r="L548" s="8"/>
      <c r="M548" s="9" t="s">
        <v>2</v>
      </c>
      <c r="N548" s="12" t="str">
        <f>N526</f>
        <v>1.1</v>
      </c>
      <c r="O548" s="12"/>
      <c r="P548" s="4"/>
      <c r="Q548" s="4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</row>
    <row r="549" spans="1:44" ht="15.6" customHeight="1" x14ac:dyDescent="0.3">
      <c r="A549" s="3"/>
      <c r="B549" s="3"/>
      <c r="C549" s="3"/>
      <c r="D549" s="4"/>
      <c r="E549" s="6" t="s">
        <v>4</v>
      </c>
      <c r="F549" s="3"/>
      <c r="G549" s="3"/>
      <c r="H549" s="4"/>
      <c r="I549" s="4"/>
      <c r="J549" s="13"/>
      <c r="K549" s="13"/>
      <c r="L549" s="14"/>
      <c r="M549" s="9" t="s">
        <v>5</v>
      </c>
      <c r="N549" s="15" t="str">
        <f>N548&amp;".2"</f>
        <v>1.1.2</v>
      </c>
      <c r="O549" s="15"/>
      <c r="P549" s="4"/>
      <c r="Q549" s="4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</row>
    <row r="550" spans="1:44" ht="15.6" customHeight="1" x14ac:dyDescent="0.3">
      <c r="A550" s="3"/>
      <c r="B550" s="3"/>
      <c r="C550" s="3"/>
      <c r="D550" s="4"/>
      <c r="E550" s="4" t="s">
        <v>7</v>
      </c>
      <c r="F550" s="3"/>
      <c r="G550" s="3"/>
      <c r="H550" s="8"/>
      <c r="I550" s="8"/>
      <c r="J550" s="7"/>
      <c r="K550" s="7"/>
      <c r="L550" s="8"/>
      <c r="M550" s="16" t="s">
        <v>5</v>
      </c>
      <c r="N550" s="17">
        <f>N528+1</f>
        <v>14</v>
      </c>
      <c r="O550" s="3"/>
      <c r="P550" s="4"/>
      <c r="Q550" s="4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</row>
    <row r="551" spans="1:44" ht="15.6" customHeight="1" x14ac:dyDescent="0.3">
      <c r="A551" s="3"/>
      <c r="B551" s="3"/>
      <c r="C551" s="3"/>
      <c r="D551" s="4"/>
      <c r="E551" s="4" t="s">
        <v>8</v>
      </c>
      <c r="F551" s="3"/>
      <c r="G551" s="3"/>
      <c r="H551" s="4"/>
      <c r="I551" s="4"/>
      <c r="J551" s="3"/>
      <c r="K551" s="3"/>
      <c r="L551" s="14"/>
      <c r="M551" s="16" t="s">
        <v>99</v>
      </c>
      <c r="N551" s="17" t="str">
        <f>IF(N529="-"&amp;N506&amp;".3",IF(N530=15,"-"&amp;N506&amp;".4","-"&amp;N506&amp;".3"),N529)</f>
        <v>-1.1.4</v>
      </c>
      <c r="O551" s="3"/>
      <c r="P551" s="4"/>
      <c r="Q551" s="4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</row>
    <row r="552" spans="1:44" ht="15.6" customHeight="1" x14ac:dyDescent="0.3">
      <c r="A552" s="3"/>
      <c r="B552" s="3"/>
      <c r="C552" s="3"/>
      <c r="D552" s="4"/>
      <c r="E552" s="21" t="s">
        <v>10</v>
      </c>
      <c r="F552" s="3"/>
      <c r="G552" s="3"/>
      <c r="H552" s="4"/>
      <c r="I552" s="8"/>
      <c r="J552" s="7"/>
      <c r="K552" s="7"/>
      <c r="L552" s="8"/>
      <c r="M552" s="16" t="s">
        <v>5</v>
      </c>
      <c r="N552" s="17">
        <f>IF(N551="-"&amp;N506&amp;".3",N530+1,IF(N529="-"&amp;N506&amp;".3",1,N530+1))</f>
        <v>12</v>
      </c>
      <c r="O552" s="3"/>
      <c r="P552" s="4"/>
      <c r="Q552" s="4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</row>
    <row r="553" spans="1:44" ht="15.6" customHeight="1" x14ac:dyDescent="0.25">
      <c r="A553" s="3"/>
      <c r="B553" s="3"/>
      <c r="C553" s="3"/>
      <c r="D553" s="4"/>
      <c r="E553" s="4"/>
      <c r="F553" s="3"/>
      <c r="G553" s="3"/>
      <c r="H553" s="4"/>
      <c r="I553" s="4"/>
      <c r="J553" s="3"/>
      <c r="K553" s="3"/>
      <c r="L553" s="4"/>
      <c r="M553" s="4"/>
      <c r="N553" s="3"/>
      <c r="O553" s="3"/>
      <c r="P553" s="4"/>
      <c r="Q553" s="4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</row>
    <row r="554" spans="1:44" ht="15.6" customHeight="1" x14ac:dyDescent="0.25">
      <c r="A554" s="24"/>
      <c r="B554" s="25"/>
      <c r="C554" s="25"/>
      <c r="D554" s="26"/>
      <c r="E554" s="26"/>
      <c r="F554" s="25"/>
      <c r="G554" s="25"/>
      <c r="H554" s="26"/>
      <c r="I554" s="26"/>
      <c r="J554" s="25"/>
      <c r="K554" s="25"/>
      <c r="L554" s="26"/>
      <c r="M554" s="26"/>
      <c r="N554" s="25"/>
      <c r="O554" s="25"/>
      <c r="P554" s="26"/>
      <c r="Q554" s="26"/>
      <c r="R554" s="25"/>
      <c r="S554" s="25"/>
      <c r="T554" s="25"/>
      <c r="U554" s="25"/>
      <c r="V554" s="45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</row>
    <row r="555" spans="1:44" ht="15.6" customHeight="1" x14ac:dyDescent="0.25">
      <c r="A555" s="27"/>
      <c r="B555" s="28"/>
      <c r="C555" s="28"/>
      <c r="D555" s="71">
        <v>1</v>
      </c>
      <c r="E555" s="72"/>
      <c r="F555" s="28"/>
      <c r="G555" s="28"/>
      <c r="H555" s="71">
        <v>2</v>
      </c>
      <c r="I555" s="72"/>
      <c r="J555" s="28"/>
      <c r="K555" s="28"/>
      <c r="L555" s="71">
        <v>3</v>
      </c>
      <c r="M555" s="72"/>
      <c r="N555" s="28"/>
      <c r="O555" s="28"/>
      <c r="P555" s="71">
        <v>4</v>
      </c>
      <c r="Q555" s="72"/>
      <c r="R555" s="28"/>
      <c r="S555" s="28"/>
      <c r="T555" s="28"/>
      <c r="U555" s="28"/>
      <c r="V555" s="46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</row>
    <row r="556" spans="1:44" ht="15.6" customHeight="1" x14ac:dyDescent="0.25">
      <c r="A556" s="27"/>
      <c r="B556" s="74" t="s">
        <v>11</v>
      </c>
      <c r="C556" s="74"/>
      <c r="D556" s="71" t="s">
        <v>12</v>
      </c>
      <c r="E556" s="72"/>
      <c r="F556" s="74" t="s">
        <v>11</v>
      </c>
      <c r="G556" s="74"/>
      <c r="H556" s="71" t="s">
        <v>12</v>
      </c>
      <c r="I556" s="72"/>
      <c r="J556" s="74" t="s">
        <v>11</v>
      </c>
      <c r="K556" s="74"/>
      <c r="L556" s="71" t="s">
        <v>12</v>
      </c>
      <c r="M556" s="72"/>
      <c r="N556" s="74" t="s">
        <v>11</v>
      </c>
      <c r="O556" s="74"/>
      <c r="P556" s="71" t="s">
        <v>12</v>
      </c>
      <c r="Q556" s="72"/>
      <c r="R556" s="74"/>
      <c r="S556" s="74"/>
      <c r="T556" s="74"/>
      <c r="U556" s="74"/>
      <c r="V556" s="48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</row>
    <row r="557" spans="1:44" ht="15.6" customHeight="1" x14ac:dyDescent="0.25">
      <c r="A557" s="27"/>
      <c r="B557" s="76"/>
      <c r="C557" s="76"/>
      <c r="D557" s="77"/>
      <c r="E557" s="77"/>
      <c r="F557" s="76"/>
      <c r="G557" s="76"/>
      <c r="H557" s="77"/>
      <c r="I557" s="77"/>
      <c r="J557" s="76"/>
      <c r="K557" s="76"/>
      <c r="L557" s="77"/>
      <c r="M557" s="77"/>
      <c r="N557" s="76"/>
      <c r="O557" s="76"/>
      <c r="P557" s="77"/>
      <c r="Q557" s="77"/>
      <c r="R557" s="76"/>
      <c r="S557" s="76"/>
      <c r="T557" s="76"/>
      <c r="U557" s="76"/>
      <c r="V557" s="48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</row>
    <row r="558" spans="1:44" ht="15.6" customHeight="1" x14ac:dyDescent="0.25">
      <c r="A558" s="27"/>
      <c r="B558" s="74">
        <v>0</v>
      </c>
      <c r="C558" s="74"/>
      <c r="D558" s="78">
        <v>1</v>
      </c>
      <c r="E558" s="78"/>
      <c r="F558" s="74">
        <v>2</v>
      </c>
      <c r="G558" s="74"/>
      <c r="H558" s="78">
        <v>3</v>
      </c>
      <c r="I558" s="78"/>
      <c r="J558" s="74">
        <v>4</v>
      </c>
      <c r="K558" s="74"/>
      <c r="L558" s="78">
        <v>5</v>
      </c>
      <c r="M558" s="78"/>
      <c r="N558" s="74">
        <v>6</v>
      </c>
      <c r="O558" s="74"/>
      <c r="P558" s="78">
        <v>7</v>
      </c>
      <c r="Q558" s="78"/>
      <c r="R558" s="74">
        <v>8</v>
      </c>
      <c r="S558" s="74"/>
      <c r="T558" s="74">
        <v>9</v>
      </c>
      <c r="U558" s="74"/>
      <c r="V558" s="49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</row>
    <row r="559" spans="1:44" ht="15.6" customHeight="1" x14ac:dyDescent="0.25">
      <c r="A559" s="27"/>
      <c r="B559" s="28" t="s">
        <v>13</v>
      </c>
      <c r="C559" s="28" t="s">
        <v>14</v>
      </c>
      <c r="D559" s="31" t="s">
        <v>15</v>
      </c>
      <c r="E559" s="31" t="s">
        <v>16</v>
      </c>
      <c r="F559" s="28" t="s">
        <v>13</v>
      </c>
      <c r="G559" s="28" t="s">
        <v>14</v>
      </c>
      <c r="H559" s="31" t="s">
        <v>15</v>
      </c>
      <c r="I559" s="31" t="s">
        <v>16</v>
      </c>
      <c r="J559" s="28" t="s">
        <v>13</v>
      </c>
      <c r="K559" s="28" t="s">
        <v>14</v>
      </c>
      <c r="L559" s="31" t="s">
        <v>15</v>
      </c>
      <c r="M559" s="31" t="s">
        <v>16</v>
      </c>
      <c r="N559" s="28" t="s">
        <v>13</v>
      </c>
      <c r="O559" s="28" t="s">
        <v>14</v>
      </c>
      <c r="P559" s="31" t="s">
        <v>15</v>
      </c>
      <c r="Q559" s="31" t="s">
        <v>16</v>
      </c>
      <c r="R559" s="28" t="s">
        <v>13</v>
      </c>
      <c r="S559" s="28" t="s">
        <v>14</v>
      </c>
      <c r="T559" s="28" t="s">
        <v>15</v>
      </c>
      <c r="U559" s="28" t="s">
        <v>16</v>
      </c>
      <c r="V559" s="49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</row>
    <row r="560" spans="1:44" ht="15.6" customHeight="1" x14ac:dyDescent="0.25">
      <c r="A560" s="33"/>
      <c r="B560" s="34"/>
      <c r="C560" s="34"/>
      <c r="D560" s="35"/>
      <c r="E560" s="36"/>
      <c r="F560" s="34"/>
      <c r="G560" s="34"/>
      <c r="H560" s="35"/>
      <c r="I560" s="36"/>
      <c r="J560" s="34"/>
      <c r="K560" s="34"/>
      <c r="L560" s="35"/>
      <c r="M560" s="36"/>
      <c r="N560" s="34"/>
      <c r="O560" s="34"/>
      <c r="P560" s="35"/>
      <c r="Q560" s="36"/>
      <c r="R560" s="34"/>
      <c r="S560" s="34"/>
      <c r="T560" s="34"/>
      <c r="U560" s="34"/>
      <c r="V560" s="50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</row>
    <row r="561" spans="1:44" ht="15.6" customHeight="1" x14ac:dyDescent="0.25">
      <c r="A561" s="3"/>
      <c r="B561" s="30"/>
      <c r="C561" s="30"/>
      <c r="D561" s="54"/>
      <c r="E561" s="5"/>
      <c r="F561" s="30"/>
      <c r="G561" s="30"/>
      <c r="H561" s="54"/>
      <c r="I561" s="5"/>
      <c r="J561" s="30"/>
      <c r="K561" s="30"/>
      <c r="L561" s="54"/>
      <c r="M561" s="5"/>
      <c r="N561" s="30"/>
      <c r="O561" s="30"/>
      <c r="P561" s="54"/>
      <c r="Q561" s="5"/>
      <c r="R561" s="30"/>
      <c r="S561" s="30"/>
      <c r="T561" s="30"/>
      <c r="U561" s="30"/>
      <c r="V561" s="32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</row>
    <row r="562" spans="1:44" ht="15.6" customHeight="1" x14ac:dyDescent="0.25">
      <c r="A562" s="3"/>
      <c r="B562" s="95"/>
      <c r="C562" s="96"/>
      <c r="D562" s="97"/>
      <c r="E562" s="98"/>
      <c r="F562" s="95"/>
      <c r="G562" s="96"/>
      <c r="H562" s="97"/>
      <c r="I562" s="98"/>
      <c r="J562" s="95"/>
      <c r="K562" s="96"/>
      <c r="L562" s="97"/>
      <c r="M562" s="98"/>
      <c r="N562" s="95"/>
      <c r="O562" s="96"/>
      <c r="P562" s="97"/>
      <c r="Q562" s="98"/>
      <c r="R562" s="30"/>
      <c r="S562" s="30"/>
      <c r="T562" s="30"/>
      <c r="U562" s="30"/>
      <c r="V562" s="32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</row>
    <row r="563" spans="1:44" ht="15.6" customHeight="1" x14ac:dyDescent="0.25">
      <c r="A563" s="3"/>
      <c r="B563" s="83" t="str">
        <f>IF(D562&lt;1,"","пом.")</f>
        <v/>
      </c>
      <c r="C563" s="83"/>
      <c r="D563" s="85"/>
      <c r="E563" s="86"/>
      <c r="F563" s="83" t="str">
        <f>IF(H562&lt;1,"","пом.")</f>
        <v/>
      </c>
      <c r="G563" s="83"/>
      <c r="H563" s="85"/>
      <c r="I563" s="86"/>
      <c r="J563" s="83" t="str">
        <f>IF(L562&lt;1,"","пом.")</f>
        <v/>
      </c>
      <c r="K563" s="83"/>
      <c r="L563" s="85"/>
      <c r="M563" s="86"/>
      <c r="N563" s="83" t="str">
        <f>IF(P562&lt;1,"","пом.")</f>
        <v/>
      </c>
      <c r="O563" s="83"/>
      <c r="P563" s="85"/>
      <c r="Q563" s="86"/>
      <c r="R563" s="30"/>
      <c r="S563" s="30"/>
      <c r="T563" s="30"/>
      <c r="U563" s="30"/>
      <c r="V563" s="32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</row>
    <row r="564" spans="1:44" ht="15.6" customHeight="1" x14ac:dyDescent="0.25">
      <c r="A564" s="3"/>
      <c r="B564" s="3"/>
      <c r="C564" s="3"/>
      <c r="D564" s="4"/>
      <c r="E564" s="4"/>
      <c r="F564" s="3"/>
      <c r="G564" s="3"/>
      <c r="H564" s="4"/>
      <c r="I564" s="4"/>
      <c r="J564" s="3"/>
      <c r="K564" s="3"/>
      <c r="L564" s="4"/>
      <c r="M564" s="4"/>
      <c r="N564" s="3"/>
      <c r="O564" s="3"/>
      <c r="P564" s="4"/>
      <c r="Q564" s="4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</row>
    <row r="565" spans="1:44" ht="15.6" customHeight="1" x14ac:dyDescent="0.25">
      <c r="A565" s="3"/>
      <c r="B565" s="3"/>
      <c r="C565" s="3"/>
      <c r="D565" s="4"/>
      <c r="E565" s="5" t="s">
        <v>30</v>
      </c>
      <c r="F565" s="87" t="s">
        <v>31</v>
      </c>
      <c r="G565" s="87"/>
      <c r="H565" s="87"/>
      <c r="I565" s="117" t="s">
        <v>32</v>
      </c>
      <c r="J565" s="117"/>
      <c r="K565" s="58"/>
      <c r="L565" s="4"/>
      <c r="M565" s="4"/>
      <c r="N565" s="3"/>
      <c r="O565" s="30" t="s">
        <v>33</v>
      </c>
      <c r="P565" s="87" t="s">
        <v>34</v>
      </c>
      <c r="Q565" s="87"/>
      <c r="R565" s="87"/>
      <c r="S565" s="117" t="s">
        <v>35</v>
      </c>
      <c r="T565" s="117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</row>
    <row r="566" spans="1:44" ht="15.6" customHeight="1" x14ac:dyDescent="0.25">
      <c r="A566" s="3"/>
      <c r="B566" s="3"/>
      <c r="C566" s="3"/>
      <c r="D566" s="4"/>
      <c r="E566" s="5" t="s">
        <v>36</v>
      </c>
      <c r="F566" s="87" t="s">
        <v>37</v>
      </c>
      <c r="G566" s="87"/>
      <c r="H566" s="87"/>
      <c r="I566" s="117" t="s">
        <v>38</v>
      </c>
      <c r="J566" s="117"/>
      <c r="K566" s="117"/>
      <c r="L566" s="4"/>
      <c r="M566" s="4"/>
      <c r="N566" s="3"/>
      <c r="O566" s="30" t="s">
        <v>39</v>
      </c>
      <c r="P566" s="87" t="s">
        <v>34</v>
      </c>
      <c r="Q566" s="87"/>
      <c r="R566" s="87"/>
      <c r="S566" s="118" t="s">
        <v>109</v>
      </c>
      <c r="T566" s="118"/>
      <c r="U566" s="118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</row>
    <row r="567" spans="1:44" ht="15.6" customHeight="1" x14ac:dyDescent="0.25">
      <c r="A567" s="41"/>
      <c r="B567" s="41"/>
      <c r="C567" s="41"/>
      <c r="D567" s="42"/>
      <c r="E567" s="43"/>
      <c r="F567" s="41"/>
      <c r="G567" s="41"/>
      <c r="H567" s="42"/>
      <c r="I567" s="42"/>
      <c r="J567" s="41"/>
      <c r="K567" s="41"/>
      <c r="L567" s="42"/>
      <c r="M567" s="42"/>
      <c r="N567" s="41"/>
      <c r="O567" s="41"/>
      <c r="P567" s="42"/>
      <c r="Q567" s="42"/>
      <c r="R567" s="41"/>
      <c r="S567" s="41"/>
      <c r="T567" s="41"/>
      <c r="U567" s="41"/>
      <c r="V567" s="41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</row>
    <row r="568" spans="1:44" ht="15.6" customHeight="1" x14ac:dyDescent="0.3">
      <c r="A568" s="3"/>
      <c r="B568" s="3"/>
      <c r="C568" s="3"/>
      <c r="D568" s="4"/>
      <c r="E568" s="6" t="s">
        <v>1</v>
      </c>
      <c r="F568" s="3"/>
      <c r="G568" s="7"/>
      <c r="H568" s="8"/>
      <c r="I568" s="8"/>
      <c r="J568" s="7"/>
      <c r="K568" s="7"/>
      <c r="L568" s="8"/>
      <c r="M568" s="9" t="s">
        <v>2</v>
      </c>
      <c r="N568" s="12" t="str">
        <f>N548</f>
        <v>1.1</v>
      </c>
      <c r="O568" s="12"/>
      <c r="P568" s="4"/>
      <c r="Q568" s="4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</row>
    <row r="569" spans="1:44" ht="15.6" customHeight="1" x14ac:dyDescent="0.3">
      <c r="A569" s="3"/>
      <c r="B569" s="3"/>
      <c r="C569" s="3"/>
      <c r="D569" s="4"/>
      <c r="E569" s="6" t="s">
        <v>4</v>
      </c>
      <c r="F569" s="3"/>
      <c r="G569" s="3"/>
      <c r="H569" s="4"/>
      <c r="I569" s="4"/>
      <c r="J569" s="13"/>
      <c r="K569" s="13"/>
      <c r="L569" s="14"/>
      <c r="M569" s="9" t="s">
        <v>5</v>
      </c>
      <c r="N569" s="15" t="str">
        <f>N549</f>
        <v>1.1.2</v>
      </c>
      <c r="O569" s="15"/>
      <c r="P569" s="4"/>
      <c r="Q569" s="4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</row>
    <row r="570" spans="1:44" ht="15.6" customHeight="1" x14ac:dyDescent="0.3">
      <c r="A570" s="3"/>
      <c r="B570" s="3"/>
      <c r="C570" s="3"/>
      <c r="D570" s="4"/>
      <c r="E570" s="4" t="s">
        <v>7</v>
      </c>
      <c r="F570" s="3"/>
      <c r="G570" s="3"/>
      <c r="H570" s="8"/>
      <c r="I570" s="8"/>
      <c r="J570" s="7"/>
      <c r="K570" s="7"/>
      <c r="L570" s="8"/>
      <c r="M570" s="16" t="s">
        <v>5</v>
      </c>
      <c r="N570" s="17">
        <f>N550</f>
        <v>14</v>
      </c>
      <c r="O570" s="3"/>
      <c r="P570" s="4"/>
      <c r="Q570" s="4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</row>
    <row r="571" spans="1:44" ht="15.6" customHeight="1" x14ac:dyDescent="0.3">
      <c r="A571" s="3"/>
      <c r="B571" s="3"/>
      <c r="C571" s="3"/>
      <c r="D571" s="4"/>
      <c r="E571" s="4" t="s">
        <v>8</v>
      </c>
      <c r="F571" s="3"/>
      <c r="G571" s="3"/>
      <c r="H571" s="4"/>
      <c r="I571" s="4"/>
      <c r="J571" s="3"/>
      <c r="K571" s="3"/>
      <c r="L571" s="14"/>
      <c r="M571" s="16" t="s">
        <v>99</v>
      </c>
      <c r="N571" s="17" t="str">
        <f>IF(N551="-"&amp;N548&amp;".3",IF(N552=15,"-"&amp;N548&amp;".4","-"&amp;N548&amp;".3"),N551)</f>
        <v>-1.1.4</v>
      </c>
      <c r="O571" s="19"/>
      <c r="P571" s="4"/>
      <c r="Q571" s="4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</row>
    <row r="572" spans="1:44" ht="15.6" customHeight="1" x14ac:dyDescent="0.3">
      <c r="A572" s="3"/>
      <c r="B572" s="3"/>
      <c r="C572" s="3"/>
      <c r="D572" s="4"/>
      <c r="E572" s="21" t="s">
        <v>10</v>
      </c>
      <c r="F572" s="3"/>
      <c r="G572" s="3"/>
      <c r="H572" s="4"/>
      <c r="I572" s="8"/>
      <c r="J572" s="7"/>
      <c r="K572" s="7"/>
      <c r="L572" s="8"/>
      <c r="M572" s="16" t="s">
        <v>5</v>
      </c>
      <c r="N572" s="17">
        <f>IF(N571="-"&amp;N506&amp;".3",N552+1,IF(N551="-"&amp;N506&amp;".3",1,N552+1))</f>
        <v>13</v>
      </c>
      <c r="O572" s="3"/>
      <c r="P572" s="4"/>
      <c r="Q572" s="4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</row>
    <row r="573" spans="1:44" ht="6" customHeight="1" x14ac:dyDescent="0.25">
      <c r="A573" s="3"/>
      <c r="B573" s="3"/>
      <c r="C573" s="3"/>
      <c r="D573" s="4"/>
      <c r="E573" s="4"/>
      <c r="F573" s="3"/>
      <c r="G573" s="3"/>
      <c r="H573" s="4"/>
      <c r="I573" s="4"/>
      <c r="J573" s="3"/>
      <c r="K573" s="3"/>
      <c r="L573" s="4"/>
      <c r="M573" s="4"/>
      <c r="N573" s="3"/>
      <c r="O573" s="3"/>
      <c r="P573" s="4"/>
      <c r="Q573" s="4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</row>
    <row r="574" spans="1:44" ht="15.6" customHeight="1" x14ac:dyDescent="0.25">
      <c r="A574" s="24"/>
      <c r="B574" s="25"/>
      <c r="C574" s="25"/>
      <c r="D574" s="26"/>
      <c r="E574" s="26"/>
      <c r="F574" s="25"/>
      <c r="G574" s="25"/>
      <c r="H574" s="26"/>
      <c r="I574" s="26"/>
      <c r="J574" s="25"/>
      <c r="K574" s="25"/>
      <c r="L574" s="26"/>
      <c r="M574" s="26"/>
      <c r="N574" s="25"/>
      <c r="O574" s="25"/>
      <c r="P574" s="26"/>
      <c r="Q574" s="26"/>
      <c r="R574" s="25"/>
      <c r="S574" s="25"/>
      <c r="T574" s="25"/>
      <c r="U574" s="25"/>
      <c r="V574" s="45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</row>
    <row r="575" spans="1:44" ht="15.6" customHeight="1" x14ac:dyDescent="0.25">
      <c r="A575" s="27"/>
      <c r="B575" s="28"/>
      <c r="C575" s="28"/>
      <c r="D575" s="71">
        <v>1</v>
      </c>
      <c r="E575" s="72"/>
      <c r="F575" s="28"/>
      <c r="G575" s="28"/>
      <c r="H575" s="71">
        <v>2</v>
      </c>
      <c r="I575" s="72"/>
      <c r="J575" s="28"/>
      <c r="K575" s="28"/>
      <c r="L575" s="71">
        <v>3</v>
      </c>
      <c r="M575" s="72"/>
      <c r="N575" s="28"/>
      <c r="O575" s="28"/>
      <c r="P575" s="71">
        <v>4</v>
      </c>
      <c r="Q575" s="72"/>
      <c r="R575" s="28"/>
      <c r="S575" s="28"/>
      <c r="T575" s="28"/>
      <c r="U575" s="28"/>
      <c r="V575" s="46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</row>
    <row r="576" spans="1:44" ht="15.6" customHeight="1" x14ac:dyDescent="0.25">
      <c r="A576" s="27"/>
      <c r="B576" s="74" t="s">
        <v>11</v>
      </c>
      <c r="C576" s="74"/>
      <c r="D576" s="71" t="s">
        <v>12</v>
      </c>
      <c r="E576" s="72"/>
      <c r="F576" s="74" t="s">
        <v>11</v>
      </c>
      <c r="G576" s="74"/>
      <c r="H576" s="71" t="s">
        <v>12</v>
      </c>
      <c r="I576" s="72"/>
      <c r="J576" s="74" t="s">
        <v>11</v>
      </c>
      <c r="K576" s="74"/>
      <c r="L576" s="71" t="s">
        <v>12</v>
      </c>
      <c r="M576" s="72"/>
      <c r="N576" s="74" t="s">
        <v>11</v>
      </c>
      <c r="O576" s="74"/>
      <c r="P576" s="71" t="s">
        <v>12</v>
      </c>
      <c r="Q576" s="72"/>
      <c r="R576" s="74"/>
      <c r="S576" s="74"/>
      <c r="T576" s="74"/>
      <c r="U576" s="74"/>
      <c r="V576" s="48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</row>
    <row r="577" spans="1:44" ht="15.6" customHeight="1" x14ac:dyDescent="0.25">
      <c r="A577" s="27"/>
      <c r="B577" s="76"/>
      <c r="C577" s="76"/>
      <c r="D577" s="77"/>
      <c r="E577" s="77"/>
      <c r="F577" s="76"/>
      <c r="G577" s="76"/>
      <c r="H577" s="77"/>
      <c r="I577" s="77"/>
      <c r="J577" s="76"/>
      <c r="K577" s="76"/>
      <c r="L577" s="77"/>
      <c r="M577" s="77"/>
      <c r="N577" s="76"/>
      <c r="O577" s="76"/>
      <c r="P577" s="77"/>
      <c r="Q577" s="77"/>
      <c r="R577" s="76"/>
      <c r="S577" s="76"/>
      <c r="T577" s="76"/>
      <c r="U577" s="76"/>
      <c r="V577" s="48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</row>
    <row r="578" spans="1:44" ht="15.6" customHeight="1" x14ac:dyDescent="0.25">
      <c r="A578" s="27"/>
      <c r="B578" s="74">
        <v>0</v>
      </c>
      <c r="C578" s="74"/>
      <c r="D578" s="78">
        <v>1</v>
      </c>
      <c r="E578" s="78"/>
      <c r="F578" s="74">
        <v>2</v>
      </c>
      <c r="G578" s="74"/>
      <c r="H578" s="78">
        <v>3</v>
      </c>
      <c r="I578" s="78"/>
      <c r="J578" s="74">
        <v>4</v>
      </c>
      <c r="K578" s="74"/>
      <c r="L578" s="78">
        <v>5</v>
      </c>
      <c r="M578" s="78"/>
      <c r="N578" s="74">
        <v>6</v>
      </c>
      <c r="O578" s="74"/>
      <c r="P578" s="78">
        <v>7</v>
      </c>
      <c r="Q578" s="78"/>
      <c r="R578" s="74">
        <v>8</v>
      </c>
      <c r="S578" s="74"/>
      <c r="T578" s="74">
        <v>9</v>
      </c>
      <c r="U578" s="74"/>
      <c r="V578" s="49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</row>
    <row r="579" spans="1:44" ht="15.6" customHeight="1" x14ac:dyDescent="0.25">
      <c r="A579" s="27"/>
      <c r="B579" s="28" t="s">
        <v>13</v>
      </c>
      <c r="C579" s="28" t="s">
        <v>14</v>
      </c>
      <c r="D579" s="31" t="s">
        <v>15</v>
      </c>
      <c r="E579" s="31" t="s">
        <v>16</v>
      </c>
      <c r="F579" s="28" t="s">
        <v>13</v>
      </c>
      <c r="G579" s="28" t="s">
        <v>14</v>
      </c>
      <c r="H579" s="31" t="s">
        <v>15</v>
      </c>
      <c r="I579" s="31" t="s">
        <v>16</v>
      </c>
      <c r="J579" s="28" t="s">
        <v>13</v>
      </c>
      <c r="K579" s="28" t="s">
        <v>14</v>
      </c>
      <c r="L579" s="31" t="s">
        <v>15</v>
      </c>
      <c r="M579" s="31" t="s">
        <v>16</v>
      </c>
      <c r="N579" s="28" t="s">
        <v>13</v>
      </c>
      <c r="O579" s="28" t="s">
        <v>14</v>
      </c>
      <c r="P579" s="31" t="s">
        <v>15</v>
      </c>
      <c r="Q579" s="31" t="s">
        <v>16</v>
      </c>
      <c r="R579" s="28" t="s">
        <v>13</v>
      </c>
      <c r="S579" s="28" t="s">
        <v>14</v>
      </c>
      <c r="T579" s="28" t="s">
        <v>15</v>
      </c>
      <c r="U579" s="28" t="s">
        <v>16</v>
      </c>
      <c r="V579" s="49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</row>
    <row r="580" spans="1:44" ht="15.6" customHeight="1" x14ac:dyDescent="0.25">
      <c r="A580" s="33"/>
      <c r="B580" s="34"/>
      <c r="C580" s="34"/>
      <c r="D580" s="35"/>
      <c r="E580" s="36"/>
      <c r="F580" s="34"/>
      <c r="G580" s="34"/>
      <c r="H580" s="35"/>
      <c r="I580" s="36"/>
      <c r="J580" s="34"/>
      <c r="K580" s="34"/>
      <c r="L580" s="35"/>
      <c r="M580" s="36"/>
      <c r="N580" s="34"/>
      <c r="O580" s="34"/>
      <c r="P580" s="35"/>
      <c r="Q580" s="36"/>
      <c r="R580" s="34"/>
      <c r="S580" s="34"/>
      <c r="T580" s="34"/>
      <c r="U580" s="34"/>
      <c r="V580" s="50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</row>
    <row r="581" spans="1:44" ht="4.9000000000000004" customHeight="1" x14ac:dyDescent="0.25">
      <c r="A581" s="3"/>
      <c r="B581" s="30"/>
      <c r="C581" s="30"/>
      <c r="D581" s="54"/>
      <c r="E581" s="5"/>
      <c r="F581" s="30"/>
      <c r="G581" s="30"/>
      <c r="H581" s="54"/>
      <c r="I581" s="5"/>
      <c r="J581" s="30"/>
      <c r="K581" s="30"/>
      <c r="L581" s="54"/>
      <c r="M581" s="5"/>
      <c r="N581" s="30"/>
      <c r="O581" s="30"/>
      <c r="P581" s="54"/>
      <c r="Q581" s="5"/>
      <c r="R581" s="30"/>
      <c r="S581" s="30"/>
      <c r="T581" s="30"/>
      <c r="U581" s="30"/>
      <c r="V581" s="32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</row>
    <row r="582" spans="1:44" ht="15.6" customHeight="1" x14ac:dyDescent="0.25">
      <c r="A582" s="3"/>
      <c r="B582" s="95"/>
      <c r="C582" s="96"/>
      <c r="D582" s="97"/>
      <c r="E582" s="98"/>
      <c r="F582" s="95"/>
      <c r="G582" s="96"/>
      <c r="H582" s="97"/>
      <c r="I582" s="98"/>
      <c r="J582" s="95"/>
      <c r="K582" s="96"/>
      <c r="L582" s="97"/>
      <c r="M582" s="98"/>
      <c r="N582" s="95"/>
      <c r="O582" s="96"/>
      <c r="P582" s="97"/>
      <c r="Q582" s="98"/>
      <c r="R582" s="30"/>
      <c r="S582" s="30"/>
      <c r="T582" s="30"/>
      <c r="U582" s="30"/>
      <c r="V582" s="32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</row>
    <row r="583" spans="1:44" ht="15.6" customHeight="1" x14ac:dyDescent="0.25">
      <c r="A583" s="3"/>
      <c r="B583" s="83" t="str">
        <f>IF(D582&lt;1,"","пом.")</f>
        <v/>
      </c>
      <c r="C583" s="83"/>
      <c r="D583" s="85"/>
      <c r="E583" s="86"/>
      <c r="F583" s="83" t="str">
        <f>IF(H582&lt;1,"","пом.")</f>
        <v/>
      </c>
      <c r="G583" s="83"/>
      <c r="H583" s="85"/>
      <c r="I583" s="86"/>
      <c r="J583" s="83" t="str">
        <f>IF(L582&lt;1,"","пом.")</f>
        <v/>
      </c>
      <c r="K583" s="83"/>
      <c r="L583" s="85"/>
      <c r="M583" s="86"/>
      <c r="N583" s="83" t="str">
        <f>IF(P582&lt;1,"","пом.")</f>
        <v/>
      </c>
      <c r="O583" s="83"/>
      <c r="P583" s="85"/>
      <c r="Q583" s="86"/>
      <c r="R583" s="30"/>
      <c r="S583" s="30"/>
      <c r="T583" s="30"/>
      <c r="U583" s="30"/>
      <c r="V583" s="32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</row>
    <row r="584" spans="1:44" ht="7.15" customHeight="1" x14ac:dyDescent="0.25">
      <c r="A584" s="3"/>
      <c r="B584" s="3"/>
      <c r="C584" s="3"/>
      <c r="D584" s="4"/>
      <c r="E584" s="4"/>
      <c r="F584" s="3"/>
      <c r="G584" s="3"/>
      <c r="H584" s="4"/>
      <c r="I584" s="4"/>
      <c r="J584" s="3"/>
      <c r="K584" s="3"/>
      <c r="L584" s="4"/>
      <c r="M584" s="4"/>
      <c r="N584" s="3"/>
      <c r="O584" s="3"/>
      <c r="P584" s="4"/>
      <c r="Q584" s="4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</row>
    <row r="585" spans="1:44" ht="15.6" customHeight="1" x14ac:dyDescent="0.25">
      <c r="A585" s="3"/>
      <c r="B585" s="3"/>
      <c r="C585" s="3"/>
      <c r="D585" s="4"/>
      <c r="E585" s="5" t="s">
        <v>30</v>
      </c>
      <c r="F585" s="87" t="s">
        <v>31</v>
      </c>
      <c r="G585" s="87"/>
      <c r="H585" s="87"/>
      <c r="I585" s="117" t="s">
        <v>32</v>
      </c>
      <c r="J585" s="117"/>
      <c r="K585" s="58"/>
      <c r="L585" s="4"/>
      <c r="M585" s="4"/>
      <c r="N585" s="3"/>
      <c r="O585" s="30" t="s">
        <v>33</v>
      </c>
      <c r="P585" s="87" t="s">
        <v>34</v>
      </c>
      <c r="Q585" s="87"/>
      <c r="R585" s="87"/>
      <c r="S585" s="117" t="s">
        <v>35</v>
      </c>
      <c r="T585" s="117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</row>
    <row r="586" spans="1:44" ht="15.6" customHeight="1" x14ac:dyDescent="0.25">
      <c r="A586" s="3"/>
      <c r="B586" s="3"/>
      <c r="C586" s="3"/>
      <c r="D586" s="4"/>
      <c r="E586" s="5" t="s">
        <v>36</v>
      </c>
      <c r="F586" s="87" t="s">
        <v>37</v>
      </c>
      <c r="G586" s="87"/>
      <c r="H586" s="87"/>
      <c r="I586" s="117" t="s">
        <v>38</v>
      </c>
      <c r="J586" s="117"/>
      <c r="K586" s="117"/>
      <c r="L586" s="4"/>
      <c r="M586" s="4"/>
      <c r="N586" s="3"/>
      <c r="O586" s="30" t="s">
        <v>39</v>
      </c>
      <c r="P586" s="87" t="s">
        <v>34</v>
      </c>
      <c r="Q586" s="87"/>
      <c r="R586" s="87"/>
      <c r="S586" s="118" t="s">
        <v>109</v>
      </c>
      <c r="T586" s="118"/>
      <c r="U586" s="118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</row>
    <row r="587" spans="1:44" ht="15.6" customHeight="1" x14ac:dyDescent="0.25">
      <c r="A587" s="41"/>
      <c r="B587" s="41"/>
      <c r="C587" s="41"/>
      <c r="D587" s="42"/>
      <c r="E587" s="43"/>
      <c r="F587" s="41"/>
      <c r="G587" s="41"/>
      <c r="H587" s="42"/>
      <c r="I587" s="42"/>
      <c r="J587" s="41"/>
      <c r="K587" s="41"/>
      <c r="L587" s="42"/>
      <c r="M587" s="42"/>
      <c r="N587" s="41"/>
      <c r="O587" s="41"/>
      <c r="P587" s="42"/>
      <c r="Q587" s="42"/>
      <c r="R587" s="41"/>
      <c r="S587" s="41"/>
      <c r="T587" s="41"/>
      <c r="U587" s="41"/>
      <c r="V587" s="41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</row>
    <row r="588" spans="1:44" ht="15.6" customHeight="1" x14ac:dyDescent="0.25">
      <c r="A588" s="41"/>
      <c r="B588" s="41"/>
      <c r="C588" s="41"/>
      <c r="D588" s="42"/>
      <c r="E588" s="43"/>
      <c r="F588" s="41"/>
      <c r="G588" s="41"/>
      <c r="H588" s="42"/>
      <c r="I588" s="42"/>
      <c r="J588" s="41"/>
      <c r="K588" s="41"/>
      <c r="L588" s="42"/>
      <c r="M588" s="42"/>
      <c r="N588" s="41"/>
      <c r="O588" s="41"/>
      <c r="P588" s="42"/>
      <c r="Q588" s="42"/>
      <c r="R588" s="41"/>
      <c r="S588" s="41"/>
      <c r="T588" s="41"/>
      <c r="U588" s="41"/>
      <c r="V588" s="41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</row>
    <row r="589" spans="1:44" ht="15.6" hidden="1" customHeight="1" x14ac:dyDescent="0.25">
      <c r="A589" s="3"/>
      <c r="B589" s="3"/>
      <c r="C589" s="3"/>
      <c r="D589" s="4"/>
      <c r="E589" s="4"/>
      <c r="F589" s="3"/>
      <c r="G589" s="3"/>
      <c r="H589" s="4"/>
      <c r="I589" s="4"/>
      <c r="J589" s="3"/>
      <c r="K589" s="3"/>
      <c r="L589" s="4"/>
      <c r="M589" s="4"/>
      <c r="N589" s="3"/>
      <c r="O589" s="3"/>
      <c r="P589" s="4"/>
      <c r="Q589" s="4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</row>
    <row r="590" spans="1:44" ht="15.6" customHeight="1" x14ac:dyDescent="0.3">
      <c r="A590" s="3"/>
      <c r="B590" s="3"/>
      <c r="C590" s="3"/>
      <c r="D590" s="4"/>
      <c r="E590" s="6" t="s">
        <v>1</v>
      </c>
      <c r="F590" s="3"/>
      <c r="G590" s="7"/>
      <c r="H590" s="8"/>
      <c r="I590" s="8"/>
      <c r="J590" s="7"/>
      <c r="K590" s="7"/>
      <c r="L590" s="8"/>
      <c r="M590" s="9" t="s">
        <v>2</v>
      </c>
      <c r="N590" s="12" t="str">
        <f>N568</f>
        <v>1.1</v>
      </c>
      <c r="O590" s="12"/>
      <c r="P590" s="4"/>
      <c r="Q590" s="4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</row>
    <row r="591" spans="1:44" ht="15.6" customHeight="1" x14ac:dyDescent="0.3">
      <c r="A591" s="3"/>
      <c r="B591" s="3"/>
      <c r="C591" s="3"/>
      <c r="D591" s="4"/>
      <c r="E591" s="6" t="s">
        <v>4</v>
      </c>
      <c r="F591" s="3"/>
      <c r="G591" s="3"/>
      <c r="H591" s="4"/>
      <c r="I591" s="4"/>
      <c r="J591" s="13"/>
      <c r="K591" s="13"/>
      <c r="L591" s="14"/>
      <c r="M591" s="9" t="s">
        <v>5</v>
      </c>
      <c r="N591" s="15" t="str">
        <f>N590&amp;".2"</f>
        <v>1.1.2</v>
      </c>
      <c r="O591" s="15"/>
      <c r="P591" s="4"/>
      <c r="Q591" s="4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</row>
    <row r="592" spans="1:44" ht="15.6" customHeight="1" x14ac:dyDescent="0.3">
      <c r="A592" s="3"/>
      <c r="B592" s="3"/>
      <c r="C592" s="3"/>
      <c r="D592" s="4"/>
      <c r="E592" s="4" t="s">
        <v>7</v>
      </c>
      <c r="F592" s="3"/>
      <c r="G592" s="3"/>
      <c r="H592" s="8"/>
      <c r="I592" s="8"/>
      <c r="J592" s="7"/>
      <c r="K592" s="7"/>
      <c r="L592" s="8"/>
      <c r="M592" s="16" t="s">
        <v>5</v>
      </c>
      <c r="N592" s="17">
        <f>N570+1</f>
        <v>15</v>
      </c>
      <c r="O592" s="3"/>
      <c r="P592" s="4"/>
      <c r="Q592" s="4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</row>
    <row r="593" spans="1:44" ht="15.6" customHeight="1" x14ac:dyDescent="0.3">
      <c r="A593" s="3"/>
      <c r="B593" s="3"/>
      <c r="C593" s="3"/>
      <c r="D593" s="4"/>
      <c r="E593" s="4" t="s">
        <v>8</v>
      </c>
      <c r="F593" s="3"/>
      <c r="G593" s="3"/>
      <c r="H593" s="4"/>
      <c r="I593" s="4"/>
      <c r="J593" s="3"/>
      <c r="K593" s="3"/>
      <c r="L593" s="14"/>
      <c r="M593" s="16" t="s">
        <v>99</v>
      </c>
      <c r="N593" s="17" t="str">
        <f>IF(N571="-"&amp;N548&amp;".3",IF(N572=15,"-"&amp;N548&amp;".4","-"&amp;N548&amp;".3"),N571)</f>
        <v>-1.1.4</v>
      </c>
      <c r="O593" s="3"/>
      <c r="P593" s="4"/>
      <c r="Q593" s="4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</row>
    <row r="594" spans="1:44" ht="15.6" customHeight="1" x14ac:dyDescent="0.3">
      <c r="A594" s="3"/>
      <c r="B594" s="3"/>
      <c r="C594" s="3"/>
      <c r="D594" s="4"/>
      <c r="E594" s="21" t="s">
        <v>10</v>
      </c>
      <c r="F594" s="3"/>
      <c r="G594" s="3"/>
      <c r="H594" s="4"/>
      <c r="I594" s="8"/>
      <c r="J594" s="7"/>
      <c r="K594" s="7"/>
      <c r="L594" s="8"/>
      <c r="M594" s="16" t="s">
        <v>5</v>
      </c>
      <c r="N594" s="17">
        <f>IF(N593="-"&amp;N548&amp;".3",N572+1,IF(N571="-"&amp;N548&amp;".3",1,N572+1))</f>
        <v>14</v>
      </c>
      <c r="O594" s="3"/>
      <c r="P594" s="4"/>
      <c r="Q594" s="4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</row>
    <row r="595" spans="1:44" ht="15.6" customHeight="1" x14ac:dyDescent="0.25">
      <c r="A595" s="3"/>
      <c r="B595" s="3"/>
      <c r="C595" s="3"/>
      <c r="D595" s="4"/>
      <c r="E595" s="4"/>
      <c r="F595" s="3"/>
      <c r="G595" s="3"/>
      <c r="H595" s="4"/>
      <c r="I595" s="4"/>
      <c r="J595" s="3"/>
      <c r="K595" s="3"/>
      <c r="L595" s="4"/>
      <c r="M595" s="4"/>
      <c r="N595" s="3"/>
      <c r="O595" s="3"/>
      <c r="P595" s="4"/>
      <c r="Q595" s="4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</row>
    <row r="596" spans="1:44" ht="15.6" customHeight="1" x14ac:dyDescent="0.25">
      <c r="A596" s="24"/>
      <c r="B596" s="25"/>
      <c r="C596" s="25"/>
      <c r="D596" s="26"/>
      <c r="E596" s="26"/>
      <c r="F596" s="25"/>
      <c r="G596" s="25"/>
      <c r="H596" s="26"/>
      <c r="I596" s="26"/>
      <c r="J596" s="25"/>
      <c r="K596" s="25"/>
      <c r="L596" s="26"/>
      <c r="M596" s="26"/>
      <c r="N596" s="25"/>
      <c r="O596" s="25"/>
      <c r="P596" s="26"/>
      <c r="Q596" s="26"/>
      <c r="R596" s="25"/>
      <c r="S596" s="25"/>
      <c r="T596" s="25"/>
      <c r="U596" s="25"/>
      <c r="V596" s="45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</row>
    <row r="597" spans="1:44" ht="15.6" customHeight="1" x14ac:dyDescent="0.25">
      <c r="A597" s="27"/>
      <c r="B597" s="28"/>
      <c r="C597" s="28"/>
      <c r="D597" s="71">
        <v>1</v>
      </c>
      <c r="E597" s="72"/>
      <c r="F597" s="28"/>
      <c r="G597" s="28"/>
      <c r="H597" s="71">
        <v>2</v>
      </c>
      <c r="I597" s="72"/>
      <c r="J597" s="28"/>
      <c r="K597" s="28"/>
      <c r="L597" s="71">
        <v>3</v>
      </c>
      <c r="M597" s="72"/>
      <c r="N597" s="28"/>
      <c r="O597" s="28"/>
      <c r="P597" s="71">
        <v>4</v>
      </c>
      <c r="Q597" s="72"/>
      <c r="R597" s="28"/>
      <c r="S597" s="28"/>
      <c r="T597" s="28"/>
      <c r="U597" s="28"/>
      <c r="V597" s="46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</row>
    <row r="598" spans="1:44" ht="15.6" customHeight="1" x14ac:dyDescent="0.25">
      <c r="A598" s="27"/>
      <c r="B598" s="74" t="s">
        <v>11</v>
      </c>
      <c r="C598" s="74"/>
      <c r="D598" s="71" t="s">
        <v>12</v>
      </c>
      <c r="E598" s="72"/>
      <c r="F598" s="74" t="s">
        <v>11</v>
      </c>
      <c r="G598" s="74"/>
      <c r="H598" s="71" t="s">
        <v>12</v>
      </c>
      <c r="I598" s="72"/>
      <c r="J598" s="74" t="s">
        <v>11</v>
      </c>
      <c r="K598" s="74"/>
      <c r="L598" s="71" t="s">
        <v>12</v>
      </c>
      <c r="M598" s="72"/>
      <c r="N598" s="74" t="s">
        <v>11</v>
      </c>
      <c r="O598" s="74"/>
      <c r="P598" s="71" t="s">
        <v>12</v>
      </c>
      <c r="Q598" s="72"/>
      <c r="R598" s="74"/>
      <c r="S598" s="74"/>
      <c r="T598" s="74"/>
      <c r="U598" s="74"/>
      <c r="V598" s="48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</row>
    <row r="599" spans="1:44" ht="15.6" customHeight="1" x14ac:dyDescent="0.25">
      <c r="A599" s="27"/>
      <c r="B599" s="76"/>
      <c r="C599" s="76"/>
      <c r="D599" s="77"/>
      <c r="E599" s="77"/>
      <c r="F599" s="76"/>
      <c r="G599" s="76"/>
      <c r="H599" s="77"/>
      <c r="I599" s="77"/>
      <c r="J599" s="76"/>
      <c r="K599" s="76"/>
      <c r="L599" s="77"/>
      <c r="M599" s="77"/>
      <c r="N599" s="76"/>
      <c r="O599" s="76"/>
      <c r="P599" s="77"/>
      <c r="Q599" s="77"/>
      <c r="R599" s="76"/>
      <c r="S599" s="76"/>
      <c r="T599" s="76"/>
      <c r="U599" s="76"/>
      <c r="V599" s="48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</row>
    <row r="600" spans="1:44" ht="15.6" customHeight="1" x14ac:dyDescent="0.25">
      <c r="A600" s="27"/>
      <c r="B600" s="74">
        <v>0</v>
      </c>
      <c r="C600" s="74"/>
      <c r="D600" s="78">
        <v>1</v>
      </c>
      <c r="E600" s="78"/>
      <c r="F600" s="74">
        <v>2</v>
      </c>
      <c r="G600" s="74"/>
      <c r="H600" s="78">
        <v>3</v>
      </c>
      <c r="I600" s="78"/>
      <c r="J600" s="74">
        <v>4</v>
      </c>
      <c r="K600" s="74"/>
      <c r="L600" s="78">
        <v>5</v>
      </c>
      <c r="M600" s="78"/>
      <c r="N600" s="74">
        <v>6</v>
      </c>
      <c r="O600" s="74"/>
      <c r="P600" s="78">
        <v>7</v>
      </c>
      <c r="Q600" s="78"/>
      <c r="R600" s="74">
        <v>8</v>
      </c>
      <c r="S600" s="74"/>
      <c r="T600" s="74">
        <v>9</v>
      </c>
      <c r="U600" s="74"/>
      <c r="V600" s="49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</row>
    <row r="601" spans="1:44" ht="15.6" customHeight="1" x14ac:dyDescent="0.25">
      <c r="A601" s="27"/>
      <c r="B601" s="28" t="s">
        <v>13</v>
      </c>
      <c r="C601" s="28" t="s">
        <v>14</v>
      </c>
      <c r="D601" s="31" t="s">
        <v>15</v>
      </c>
      <c r="E601" s="31" t="s">
        <v>16</v>
      </c>
      <c r="F601" s="28" t="s">
        <v>13</v>
      </c>
      <c r="G601" s="28" t="s">
        <v>14</v>
      </c>
      <c r="H601" s="31" t="s">
        <v>15</v>
      </c>
      <c r="I601" s="31" t="s">
        <v>16</v>
      </c>
      <c r="J601" s="28" t="s">
        <v>13</v>
      </c>
      <c r="K601" s="28" t="s">
        <v>14</v>
      </c>
      <c r="L601" s="31" t="s">
        <v>15</v>
      </c>
      <c r="M601" s="31" t="s">
        <v>16</v>
      </c>
      <c r="N601" s="28" t="s">
        <v>13</v>
      </c>
      <c r="O601" s="28" t="s">
        <v>14</v>
      </c>
      <c r="P601" s="31" t="s">
        <v>15</v>
      </c>
      <c r="Q601" s="31" t="s">
        <v>16</v>
      </c>
      <c r="R601" s="28" t="s">
        <v>13</v>
      </c>
      <c r="S601" s="28" t="s">
        <v>14</v>
      </c>
      <c r="T601" s="28" t="s">
        <v>15</v>
      </c>
      <c r="U601" s="28" t="s">
        <v>16</v>
      </c>
      <c r="V601" s="49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</row>
    <row r="602" spans="1:44" ht="15.6" customHeight="1" x14ac:dyDescent="0.25">
      <c r="A602" s="33"/>
      <c r="B602" s="34"/>
      <c r="C602" s="34"/>
      <c r="D602" s="35"/>
      <c r="E602" s="36"/>
      <c r="F602" s="34"/>
      <c r="G602" s="34"/>
      <c r="H602" s="35"/>
      <c r="I602" s="36"/>
      <c r="J602" s="34"/>
      <c r="K602" s="34"/>
      <c r="L602" s="35"/>
      <c r="M602" s="36"/>
      <c r="N602" s="34"/>
      <c r="O602" s="34"/>
      <c r="P602" s="35"/>
      <c r="Q602" s="36"/>
      <c r="R602" s="34"/>
      <c r="S602" s="34"/>
      <c r="T602" s="34"/>
      <c r="U602" s="34"/>
      <c r="V602" s="50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</row>
    <row r="603" spans="1:44" ht="15.6" customHeight="1" x14ac:dyDescent="0.25">
      <c r="A603" s="3"/>
      <c r="B603" s="30"/>
      <c r="C603" s="30"/>
      <c r="D603" s="54"/>
      <c r="E603" s="5"/>
      <c r="F603" s="30"/>
      <c r="G603" s="30"/>
      <c r="H603" s="54"/>
      <c r="I603" s="5"/>
      <c r="J603" s="30"/>
      <c r="K603" s="30"/>
      <c r="L603" s="54"/>
      <c r="M603" s="5"/>
      <c r="N603" s="30"/>
      <c r="O603" s="30"/>
      <c r="P603" s="54"/>
      <c r="Q603" s="5"/>
      <c r="R603" s="30"/>
      <c r="S603" s="30"/>
      <c r="T603" s="30"/>
      <c r="U603" s="30"/>
      <c r="V603" s="32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</row>
    <row r="604" spans="1:44" ht="15.6" customHeight="1" x14ac:dyDescent="0.25">
      <c r="A604" s="3"/>
      <c r="B604" s="95"/>
      <c r="C604" s="96"/>
      <c r="D604" s="97"/>
      <c r="E604" s="98"/>
      <c r="F604" s="95"/>
      <c r="G604" s="96"/>
      <c r="H604" s="97"/>
      <c r="I604" s="98"/>
      <c r="J604" s="95"/>
      <c r="K604" s="96"/>
      <c r="L604" s="97"/>
      <c r="M604" s="98"/>
      <c r="N604" s="95"/>
      <c r="O604" s="96"/>
      <c r="P604" s="97"/>
      <c r="Q604" s="98"/>
      <c r="R604" s="30"/>
      <c r="S604" s="30"/>
      <c r="T604" s="30"/>
      <c r="U604" s="30"/>
      <c r="V604" s="32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</row>
    <row r="605" spans="1:44" ht="15.6" customHeight="1" x14ac:dyDescent="0.25">
      <c r="A605" s="3"/>
      <c r="B605" s="83" t="str">
        <f>IF(D604&lt;1,"","пом.")</f>
        <v/>
      </c>
      <c r="C605" s="83"/>
      <c r="D605" s="85"/>
      <c r="E605" s="86"/>
      <c r="F605" s="83" t="str">
        <f>IF(H604&lt;1,"","пом.")</f>
        <v/>
      </c>
      <c r="G605" s="83"/>
      <c r="H605" s="85"/>
      <c r="I605" s="86"/>
      <c r="J605" s="83" t="str">
        <f>IF(L604&lt;1,"","пом.")</f>
        <v/>
      </c>
      <c r="K605" s="83"/>
      <c r="L605" s="85"/>
      <c r="M605" s="86"/>
      <c r="N605" s="83" t="str">
        <f>IF(P604&lt;1,"","пом.")</f>
        <v/>
      </c>
      <c r="O605" s="83"/>
      <c r="P605" s="85"/>
      <c r="Q605" s="86"/>
      <c r="R605" s="30"/>
      <c r="S605" s="30"/>
      <c r="T605" s="30"/>
      <c r="U605" s="30"/>
      <c r="V605" s="32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</row>
    <row r="606" spans="1:44" ht="15.6" customHeight="1" x14ac:dyDescent="0.25">
      <c r="A606" s="3"/>
      <c r="B606" s="3"/>
      <c r="C606" s="3"/>
      <c r="D606" s="4"/>
      <c r="E606" s="4"/>
      <c r="F606" s="3"/>
      <c r="G606" s="3"/>
      <c r="H606" s="4"/>
      <c r="I606" s="4"/>
      <c r="J606" s="3"/>
      <c r="K606" s="3"/>
      <c r="L606" s="4"/>
      <c r="M606" s="4"/>
      <c r="N606" s="3"/>
      <c r="O606" s="3"/>
      <c r="P606" s="4"/>
      <c r="Q606" s="4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</row>
    <row r="607" spans="1:44" ht="15.6" customHeight="1" x14ac:dyDescent="0.25">
      <c r="A607" s="3"/>
      <c r="B607" s="3"/>
      <c r="C607" s="3"/>
      <c r="D607" s="4"/>
      <c r="E607" s="5" t="s">
        <v>30</v>
      </c>
      <c r="F607" s="87" t="s">
        <v>31</v>
      </c>
      <c r="G607" s="87"/>
      <c r="H607" s="87"/>
      <c r="I607" s="117" t="s">
        <v>32</v>
      </c>
      <c r="J607" s="117"/>
      <c r="K607" s="58"/>
      <c r="L607" s="4"/>
      <c r="M607" s="4"/>
      <c r="N607" s="3"/>
      <c r="O607" s="30" t="s">
        <v>33</v>
      </c>
      <c r="P607" s="87" t="s">
        <v>34</v>
      </c>
      <c r="Q607" s="87"/>
      <c r="R607" s="87"/>
      <c r="S607" s="117" t="s">
        <v>35</v>
      </c>
      <c r="T607" s="117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</row>
    <row r="608" spans="1:44" ht="15.6" customHeight="1" x14ac:dyDescent="0.25">
      <c r="A608" s="3"/>
      <c r="B608" s="3"/>
      <c r="C608" s="3"/>
      <c r="D608" s="4"/>
      <c r="E608" s="5" t="s">
        <v>36</v>
      </c>
      <c r="F608" s="87" t="s">
        <v>37</v>
      </c>
      <c r="G608" s="87"/>
      <c r="H608" s="87"/>
      <c r="I608" s="117" t="s">
        <v>38</v>
      </c>
      <c r="J608" s="117"/>
      <c r="K608" s="117"/>
      <c r="L608" s="4"/>
      <c r="M608" s="4"/>
      <c r="N608" s="3"/>
      <c r="O608" s="30" t="s">
        <v>39</v>
      </c>
      <c r="P608" s="87" t="s">
        <v>34</v>
      </c>
      <c r="Q608" s="87"/>
      <c r="R608" s="87"/>
      <c r="S608" s="118" t="s">
        <v>109</v>
      </c>
      <c r="T608" s="118"/>
      <c r="U608" s="118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</row>
    <row r="609" spans="1:44" ht="15.6" customHeight="1" x14ac:dyDescent="0.25">
      <c r="A609" s="41"/>
      <c r="B609" s="41"/>
      <c r="C609" s="41"/>
      <c r="D609" s="42"/>
      <c r="E609" s="43"/>
      <c r="F609" s="41"/>
      <c r="G609" s="41"/>
      <c r="H609" s="42"/>
      <c r="I609" s="42"/>
      <c r="J609" s="41"/>
      <c r="K609" s="41"/>
      <c r="L609" s="42"/>
      <c r="M609" s="42"/>
      <c r="N609" s="41"/>
      <c r="O609" s="41"/>
      <c r="P609" s="42"/>
      <c r="Q609" s="42"/>
      <c r="R609" s="41"/>
      <c r="S609" s="41"/>
      <c r="T609" s="41"/>
      <c r="U609" s="41"/>
      <c r="V609" s="41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</row>
    <row r="610" spans="1:44" ht="15.6" customHeight="1" x14ac:dyDescent="0.3">
      <c r="A610" s="3"/>
      <c r="B610" s="3"/>
      <c r="C610" s="3"/>
      <c r="D610" s="4"/>
      <c r="E610" s="6" t="s">
        <v>1</v>
      </c>
      <c r="F610" s="3"/>
      <c r="G610" s="7"/>
      <c r="H610" s="8"/>
      <c r="I610" s="8"/>
      <c r="J610" s="7"/>
      <c r="K610" s="7"/>
      <c r="L610" s="8"/>
      <c r="M610" s="9" t="s">
        <v>2</v>
      </c>
      <c r="N610" s="12" t="str">
        <f>N590</f>
        <v>1.1</v>
      </c>
      <c r="O610" s="12"/>
      <c r="P610" s="4"/>
      <c r="Q610" s="4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</row>
    <row r="611" spans="1:44" ht="15.6" customHeight="1" x14ac:dyDescent="0.3">
      <c r="A611" s="3"/>
      <c r="B611" s="3"/>
      <c r="C611" s="3"/>
      <c r="D611" s="4"/>
      <c r="E611" s="6" t="s">
        <v>4</v>
      </c>
      <c r="F611" s="3"/>
      <c r="G611" s="3"/>
      <c r="H611" s="4"/>
      <c r="I611" s="4"/>
      <c r="J611" s="13"/>
      <c r="K611" s="13"/>
      <c r="L611" s="14"/>
      <c r="M611" s="9" t="s">
        <v>5</v>
      </c>
      <c r="N611" s="15" t="str">
        <f>N591</f>
        <v>1.1.2</v>
      </c>
      <c r="O611" s="15"/>
      <c r="P611" s="4"/>
      <c r="Q611" s="4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</row>
    <row r="612" spans="1:44" ht="15.6" customHeight="1" x14ac:dyDescent="0.3">
      <c r="A612" s="3"/>
      <c r="B612" s="3"/>
      <c r="C612" s="3"/>
      <c r="D612" s="4"/>
      <c r="E612" s="4" t="s">
        <v>7</v>
      </c>
      <c r="F612" s="3"/>
      <c r="G612" s="3"/>
      <c r="H612" s="8"/>
      <c r="I612" s="8"/>
      <c r="J612" s="7"/>
      <c r="K612" s="7"/>
      <c r="L612" s="8"/>
      <c r="M612" s="16" t="s">
        <v>5</v>
      </c>
      <c r="N612" s="17">
        <f>N592</f>
        <v>15</v>
      </c>
      <c r="O612" s="3"/>
      <c r="P612" s="4"/>
      <c r="Q612" s="4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</row>
    <row r="613" spans="1:44" ht="15.6" customHeight="1" x14ac:dyDescent="0.3">
      <c r="A613" s="3"/>
      <c r="B613" s="3"/>
      <c r="C613" s="3"/>
      <c r="D613" s="4"/>
      <c r="E613" s="4" t="s">
        <v>8</v>
      </c>
      <c r="F613" s="3"/>
      <c r="G613" s="3"/>
      <c r="H613" s="4"/>
      <c r="I613" s="4"/>
      <c r="J613" s="3"/>
      <c r="K613" s="3"/>
      <c r="L613" s="14"/>
      <c r="M613" s="16" t="s">
        <v>99</v>
      </c>
      <c r="N613" s="17" t="str">
        <f>IF(N593="-"&amp;N590&amp;".3",IF(N594=15,"-"&amp;N590&amp;".4","-"&amp;N590&amp;".3"),N593)</f>
        <v>-1.1.4</v>
      </c>
      <c r="O613" s="19"/>
      <c r="P613" s="4"/>
      <c r="Q613" s="4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</row>
    <row r="614" spans="1:44" ht="15.6" customHeight="1" x14ac:dyDescent="0.3">
      <c r="A614" s="3"/>
      <c r="B614" s="3"/>
      <c r="C614" s="3"/>
      <c r="D614" s="4"/>
      <c r="E614" s="21" t="s">
        <v>10</v>
      </c>
      <c r="F614" s="3"/>
      <c r="G614" s="3"/>
      <c r="H614" s="4"/>
      <c r="I614" s="8"/>
      <c r="J614" s="7"/>
      <c r="K614" s="7"/>
      <c r="L614" s="8"/>
      <c r="M614" s="16" t="s">
        <v>5</v>
      </c>
      <c r="N614" s="17">
        <f>IF(N613="-"&amp;N548&amp;".3",N594+1,IF(N593="-"&amp;N548&amp;".3",1,N594+1))</f>
        <v>15</v>
      </c>
      <c r="O614" s="3"/>
      <c r="P614" s="4"/>
      <c r="Q614" s="4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</row>
    <row r="615" spans="1:44" ht="7.9" customHeight="1" x14ac:dyDescent="0.25">
      <c r="A615" s="3"/>
      <c r="B615" s="3"/>
      <c r="C615" s="3"/>
      <c r="D615" s="4"/>
      <c r="E615" s="4"/>
      <c r="F615" s="3"/>
      <c r="G615" s="3"/>
      <c r="H615" s="4"/>
      <c r="I615" s="4"/>
      <c r="J615" s="3"/>
      <c r="K615" s="3"/>
      <c r="L615" s="4"/>
      <c r="M615" s="4"/>
      <c r="N615" s="3"/>
      <c r="O615" s="3"/>
      <c r="P615" s="4"/>
      <c r="Q615" s="4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</row>
    <row r="616" spans="1:44" ht="15.6" customHeight="1" x14ac:dyDescent="0.25">
      <c r="A616" s="24"/>
      <c r="B616" s="25"/>
      <c r="C616" s="25"/>
      <c r="D616" s="26"/>
      <c r="E616" s="26"/>
      <c r="F616" s="25"/>
      <c r="G616" s="25"/>
      <c r="H616" s="26"/>
      <c r="I616" s="26"/>
      <c r="J616" s="25"/>
      <c r="K616" s="25"/>
      <c r="L616" s="26"/>
      <c r="M616" s="26"/>
      <c r="N616" s="25"/>
      <c r="O616" s="25"/>
      <c r="P616" s="26"/>
      <c r="Q616" s="26"/>
      <c r="R616" s="25"/>
      <c r="S616" s="25"/>
      <c r="T616" s="25"/>
      <c r="U616" s="25"/>
      <c r="V616" s="45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</row>
    <row r="617" spans="1:44" ht="15.6" customHeight="1" x14ac:dyDescent="0.25">
      <c r="A617" s="27"/>
      <c r="B617" s="28"/>
      <c r="C617" s="28"/>
      <c r="D617" s="71">
        <v>1</v>
      </c>
      <c r="E617" s="72"/>
      <c r="F617" s="28"/>
      <c r="G617" s="28"/>
      <c r="H617" s="71">
        <v>2</v>
      </c>
      <c r="I617" s="72"/>
      <c r="J617" s="28"/>
      <c r="K617" s="28"/>
      <c r="L617" s="71">
        <v>3</v>
      </c>
      <c r="M617" s="72"/>
      <c r="N617" s="28"/>
      <c r="O617" s="28"/>
      <c r="P617" s="71">
        <v>4</v>
      </c>
      <c r="Q617" s="72"/>
      <c r="R617" s="28"/>
      <c r="S617" s="28"/>
      <c r="T617" s="28"/>
      <c r="U617" s="28"/>
      <c r="V617" s="46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</row>
    <row r="618" spans="1:44" ht="15.6" customHeight="1" x14ac:dyDescent="0.25">
      <c r="A618" s="27"/>
      <c r="B618" s="74" t="s">
        <v>11</v>
      </c>
      <c r="C618" s="74"/>
      <c r="D618" s="71" t="s">
        <v>12</v>
      </c>
      <c r="E618" s="72"/>
      <c r="F618" s="74" t="s">
        <v>11</v>
      </c>
      <c r="G618" s="74"/>
      <c r="H618" s="71" t="s">
        <v>12</v>
      </c>
      <c r="I618" s="72"/>
      <c r="J618" s="74" t="s">
        <v>11</v>
      </c>
      <c r="K618" s="74"/>
      <c r="L618" s="71" t="s">
        <v>12</v>
      </c>
      <c r="M618" s="72"/>
      <c r="N618" s="74" t="s">
        <v>11</v>
      </c>
      <c r="O618" s="74"/>
      <c r="P618" s="71" t="s">
        <v>12</v>
      </c>
      <c r="Q618" s="72"/>
      <c r="R618" s="74"/>
      <c r="S618" s="74"/>
      <c r="T618" s="74"/>
      <c r="U618" s="74"/>
      <c r="V618" s="48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</row>
    <row r="619" spans="1:44" ht="15.6" customHeight="1" x14ac:dyDescent="0.25">
      <c r="A619" s="27"/>
      <c r="B619" s="76"/>
      <c r="C619" s="76"/>
      <c r="D619" s="77"/>
      <c r="E619" s="77"/>
      <c r="F619" s="76"/>
      <c r="G619" s="76"/>
      <c r="H619" s="77"/>
      <c r="I619" s="77"/>
      <c r="J619" s="76"/>
      <c r="K619" s="76"/>
      <c r="L619" s="77"/>
      <c r="M619" s="77"/>
      <c r="N619" s="76"/>
      <c r="O619" s="76"/>
      <c r="P619" s="77"/>
      <c r="Q619" s="77"/>
      <c r="R619" s="76"/>
      <c r="S619" s="76"/>
      <c r="T619" s="76"/>
      <c r="U619" s="76"/>
      <c r="V619" s="48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</row>
    <row r="620" spans="1:44" ht="15.6" customHeight="1" x14ac:dyDescent="0.25">
      <c r="A620" s="27"/>
      <c r="B620" s="74">
        <v>0</v>
      </c>
      <c r="C620" s="74"/>
      <c r="D620" s="78">
        <v>1</v>
      </c>
      <c r="E620" s="78"/>
      <c r="F620" s="74">
        <v>2</v>
      </c>
      <c r="G620" s="74"/>
      <c r="H620" s="78">
        <v>3</v>
      </c>
      <c r="I620" s="78"/>
      <c r="J620" s="74">
        <v>4</v>
      </c>
      <c r="K620" s="74"/>
      <c r="L620" s="78">
        <v>5</v>
      </c>
      <c r="M620" s="78"/>
      <c r="N620" s="74">
        <v>6</v>
      </c>
      <c r="O620" s="74"/>
      <c r="P620" s="78">
        <v>7</v>
      </c>
      <c r="Q620" s="78"/>
      <c r="R620" s="74">
        <v>8</v>
      </c>
      <c r="S620" s="74"/>
      <c r="T620" s="74">
        <v>9</v>
      </c>
      <c r="U620" s="74"/>
      <c r="V620" s="49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</row>
    <row r="621" spans="1:44" ht="15.6" customHeight="1" x14ac:dyDescent="0.25">
      <c r="A621" s="27"/>
      <c r="B621" s="28" t="s">
        <v>13</v>
      </c>
      <c r="C621" s="28" t="s">
        <v>14</v>
      </c>
      <c r="D621" s="31" t="s">
        <v>15</v>
      </c>
      <c r="E621" s="31" t="s">
        <v>16</v>
      </c>
      <c r="F621" s="28" t="s">
        <v>13</v>
      </c>
      <c r="G621" s="28" t="s">
        <v>14</v>
      </c>
      <c r="H621" s="31" t="s">
        <v>15</v>
      </c>
      <c r="I621" s="31" t="s">
        <v>16</v>
      </c>
      <c r="J621" s="28" t="s">
        <v>13</v>
      </c>
      <c r="K621" s="28" t="s">
        <v>14</v>
      </c>
      <c r="L621" s="31" t="s">
        <v>15</v>
      </c>
      <c r="M621" s="31" t="s">
        <v>16</v>
      </c>
      <c r="N621" s="28" t="s">
        <v>13</v>
      </c>
      <c r="O621" s="28" t="s">
        <v>14</v>
      </c>
      <c r="P621" s="31" t="s">
        <v>15</v>
      </c>
      <c r="Q621" s="31" t="s">
        <v>16</v>
      </c>
      <c r="R621" s="28" t="s">
        <v>13</v>
      </c>
      <c r="S621" s="28" t="s">
        <v>14</v>
      </c>
      <c r="T621" s="28" t="s">
        <v>15</v>
      </c>
      <c r="U621" s="28" t="s">
        <v>16</v>
      </c>
      <c r="V621" s="49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</row>
    <row r="622" spans="1:44" ht="15.6" customHeight="1" x14ac:dyDescent="0.25">
      <c r="A622" s="33"/>
      <c r="B622" s="34"/>
      <c r="C622" s="34"/>
      <c r="D622" s="35"/>
      <c r="E622" s="36"/>
      <c r="F622" s="34"/>
      <c r="G622" s="34"/>
      <c r="H622" s="35"/>
      <c r="I622" s="36"/>
      <c r="J622" s="34"/>
      <c r="K622" s="34"/>
      <c r="L622" s="35"/>
      <c r="M622" s="36"/>
      <c r="N622" s="34"/>
      <c r="O622" s="34"/>
      <c r="P622" s="35"/>
      <c r="Q622" s="36"/>
      <c r="R622" s="34"/>
      <c r="S622" s="34"/>
      <c r="T622" s="34"/>
      <c r="U622" s="34"/>
      <c r="V622" s="50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</row>
    <row r="623" spans="1:44" ht="6" customHeight="1" x14ac:dyDescent="0.25">
      <c r="A623" s="3"/>
      <c r="B623" s="30"/>
      <c r="C623" s="30"/>
      <c r="D623" s="54"/>
      <c r="E623" s="5"/>
      <c r="F623" s="30"/>
      <c r="G623" s="30"/>
      <c r="H623" s="54"/>
      <c r="I623" s="5"/>
      <c r="J623" s="30"/>
      <c r="K623" s="30"/>
      <c r="L623" s="54"/>
      <c r="M623" s="5"/>
      <c r="N623" s="30"/>
      <c r="O623" s="30"/>
      <c r="P623" s="54"/>
      <c r="Q623" s="5"/>
      <c r="R623" s="30"/>
      <c r="S623" s="30"/>
      <c r="T623" s="30"/>
      <c r="U623" s="30"/>
      <c r="V623" s="32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</row>
    <row r="624" spans="1:44" ht="15.6" customHeight="1" x14ac:dyDescent="0.25">
      <c r="A624" s="3"/>
      <c r="B624" s="95"/>
      <c r="C624" s="96"/>
      <c r="D624" s="97"/>
      <c r="E624" s="98"/>
      <c r="F624" s="95"/>
      <c r="G624" s="96"/>
      <c r="H624" s="97"/>
      <c r="I624" s="98"/>
      <c r="J624" s="95"/>
      <c r="K624" s="96"/>
      <c r="L624" s="97"/>
      <c r="M624" s="98"/>
      <c r="N624" s="95"/>
      <c r="O624" s="96"/>
      <c r="P624" s="97"/>
      <c r="Q624" s="98"/>
      <c r="R624" s="30"/>
      <c r="S624" s="30"/>
      <c r="T624" s="30"/>
      <c r="U624" s="30"/>
      <c r="V624" s="32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</row>
    <row r="625" spans="1:44" ht="15.6" customHeight="1" x14ac:dyDescent="0.25">
      <c r="A625" s="3"/>
      <c r="B625" s="83" t="str">
        <f>IF(D624&lt;1,"","пом.")</f>
        <v/>
      </c>
      <c r="C625" s="83"/>
      <c r="D625" s="85"/>
      <c r="E625" s="86"/>
      <c r="F625" s="83" t="str">
        <f>IF(H624&lt;1,"","пом.")</f>
        <v/>
      </c>
      <c r="G625" s="83"/>
      <c r="H625" s="85"/>
      <c r="I625" s="86"/>
      <c r="J625" s="83" t="str">
        <f>IF(L624&lt;1,"","пом.")</f>
        <v/>
      </c>
      <c r="K625" s="83"/>
      <c r="L625" s="85"/>
      <c r="M625" s="86"/>
      <c r="N625" s="83" t="str">
        <f>IF(P624&lt;1,"","пом.")</f>
        <v/>
      </c>
      <c r="O625" s="83"/>
      <c r="P625" s="85"/>
      <c r="Q625" s="86"/>
      <c r="R625" s="30"/>
      <c r="S625" s="30"/>
      <c r="T625" s="30"/>
      <c r="U625" s="30"/>
      <c r="V625" s="32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</row>
    <row r="626" spans="1:44" ht="15.6" customHeight="1" x14ac:dyDescent="0.25">
      <c r="A626" s="3"/>
      <c r="B626" s="3"/>
      <c r="C626" s="3"/>
      <c r="D626" s="4"/>
      <c r="E626" s="4"/>
      <c r="F626" s="3"/>
      <c r="G626" s="3"/>
      <c r="H626" s="4"/>
      <c r="I626" s="4"/>
      <c r="J626" s="3"/>
      <c r="K626" s="3"/>
      <c r="L626" s="4"/>
      <c r="M626" s="4"/>
      <c r="N626" s="3"/>
      <c r="O626" s="3"/>
      <c r="P626" s="4"/>
      <c r="Q626" s="4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</row>
    <row r="627" spans="1:44" ht="15.6" customHeight="1" x14ac:dyDescent="0.25">
      <c r="A627" s="3"/>
      <c r="B627" s="3"/>
      <c r="C627" s="3"/>
      <c r="D627" s="4"/>
      <c r="E627" s="5" t="s">
        <v>30</v>
      </c>
      <c r="F627" s="87" t="s">
        <v>31</v>
      </c>
      <c r="G627" s="87"/>
      <c r="H627" s="87"/>
      <c r="I627" s="117" t="s">
        <v>32</v>
      </c>
      <c r="J627" s="117"/>
      <c r="K627" s="58"/>
      <c r="L627" s="4"/>
      <c r="M627" s="4"/>
      <c r="N627" s="3"/>
      <c r="O627" s="30" t="s">
        <v>33</v>
      </c>
      <c r="P627" s="87" t="s">
        <v>34</v>
      </c>
      <c r="Q627" s="87"/>
      <c r="R627" s="87"/>
      <c r="S627" s="117" t="s">
        <v>35</v>
      </c>
      <c r="T627" s="117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</row>
    <row r="628" spans="1:44" ht="15.6" customHeight="1" x14ac:dyDescent="0.25">
      <c r="A628" s="3"/>
      <c r="B628" s="3"/>
      <c r="C628" s="3"/>
      <c r="D628" s="4"/>
      <c r="E628" s="5" t="s">
        <v>36</v>
      </c>
      <c r="F628" s="87" t="s">
        <v>37</v>
      </c>
      <c r="G628" s="87"/>
      <c r="H628" s="87"/>
      <c r="I628" s="117" t="s">
        <v>38</v>
      </c>
      <c r="J628" s="117"/>
      <c r="K628" s="117"/>
      <c r="L628" s="4"/>
      <c r="M628" s="4"/>
      <c r="N628" s="3"/>
      <c r="O628" s="30" t="s">
        <v>39</v>
      </c>
      <c r="P628" s="87" t="s">
        <v>34</v>
      </c>
      <c r="Q628" s="87"/>
      <c r="R628" s="87"/>
      <c r="S628" s="118" t="s">
        <v>109</v>
      </c>
      <c r="T628" s="118"/>
      <c r="U628" s="118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</row>
    <row r="629" spans="1:44" ht="15.6" customHeight="1" x14ac:dyDescent="0.25">
      <c r="A629" s="41"/>
      <c r="B629" s="41"/>
      <c r="C629" s="41"/>
      <c r="D629" s="42"/>
      <c r="E629" s="43"/>
      <c r="F629" s="41"/>
      <c r="G629" s="41"/>
      <c r="H629" s="42"/>
      <c r="I629" s="42"/>
      <c r="J629" s="41"/>
      <c r="K629" s="41"/>
      <c r="L629" s="42"/>
      <c r="M629" s="42"/>
      <c r="N629" s="41"/>
      <c r="O629" s="41"/>
      <c r="P629" s="42"/>
      <c r="Q629" s="42"/>
      <c r="R629" s="41"/>
      <c r="S629" s="41"/>
      <c r="T629" s="41"/>
      <c r="U629" s="41"/>
      <c r="V629" s="41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</row>
    <row r="630" spans="1:44" ht="15.6" customHeight="1" x14ac:dyDescent="0.25">
      <c r="A630" s="41"/>
      <c r="B630" s="41"/>
      <c r="C630" s="41"/>
      <c r="D630" s="42"/>
      <c r="E630" s="43"/>
      <c r="F630" s="41"/>
      <c r="G630" s="41"/>
      <c r="H630" s="42"/>
      <c r="I630" s="42"/>
      <c r="J630" s="41"/>
      <c r="K630" s="41"/>
      <c r="L630" s="42"/>
      <c r="M630" s="42"/>
      <c r="N630" s="41"/>
      <c r="O630" s="41"/>
      <c r="P630" s="42"/>
      <c r="Q630" s="42"/>
      <c r="R630" s="41"/>
      <c r="S630" s="41"/>
      <c r="T630" s="41"/>
      <c r="U630" s="41"/>
      <c r="V630" s="41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</row>
    <row r="631" spans="1:44" ht="15.6" hidden="1" customHeight="1" x14ac:dyDescent="0.25">
      <c r="A631" s="3"/>
      <c r="B631" s="3"/>
      <c r="C631" s="3"/>
      <c r="D631" s="4"/>
      <c r="E631" s="4"/>
      <c r="F631" s="3"/>
      <c r="G631" s="3"/>
      <c r="H631" s="4"/>
      <c r="I631" s="4"/>
      <c r="J631" s="3"/>
      <c r="K631" s="3"/>
      <c r="L631" s="4"/>
      <c r="M631" s="4"/>
      <c r="N631" s="3"/>
      <c r="O631" s="3"/>
      <c r="P631" s="4"/>
      <c r="Q631" s="4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</row>
    <row r="632" spans="1:44" ht="15.6" customHeight="1" x14ac:dyDescent="0.3">
      <c r="A632" s="3"/>
      <c r="B632" s="3"/>
      <c r="C632" s="3"/>
      <c r="D632" s="4"/>
      <c r="E632" s="6" t="s">
        <v>1</v>
      </c>
      <c r="F632" s="3"/>
      <c r="G632" s="7"/>
      <c r="H632" s="8"/>
      <c r="I632" s="8"/>
      <c r="J632" s="7"/>
      <c r="K632" s="7"/>
      <c r="L632" s="8"/>
      <c r="M632" s="9" t="s">
        <v>2</v>
      </c>
      <c r="N632" s="12" t="str">
        <f>N610</f>
        <v>1.1</v>
      </c>
      <c r="O632" s="12"/>
      <c r="P632" s="4"/>
      <c r="Q632" s="4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</row>
    <row r="633" spans="1:44" ht="15.6" customHeight="1" x14ac:dyDescent="0.3">
      <c r="A633" s="3"/>
      <c r="B633" s="3"/>
      <c r="C633" s="3"/>
      <c r="D633" s="4"/>
      <c r="E633" s="6" t="s">
        <v>4</v>
      </c>
      <c r="F633" s="3"/>
      <c r="G633" s="3"/>
      <c r="H633" s="4"/>
      <c r="I633" s="4"/>
      <c r="J633" s="13"/>
      <c r="K633" s="13"/>
      <c r="L633" s="14"/>
      <c r="M633" s="9" t="s">
        <v>5</v>
      </c>
      <c r="N633" s="15" t="str">
        <f>N632&amp;".2"</f>
        <v>1.1.2</v>
      </c>
      <c r="O633" s="15"/>
      <c r="P633" s="4"/>
      <c r="Q633" s="4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</row>
    <row r="634" spans="1:44" ht="15.6" customHeight="1" x14ac:dyDescent="0.3">
      <c r="A634" s="3"/>
      <c r="B634" s="3"/>
      <c r="C634" s="3"/>
      <c r="D634" s="4"/>
      <c r="E634" s="4" t="s">
        <v>7</v>
      </c>
      <c r="F634" s="3"/>
      <c r="G634" s="3"/>
      <c r="H634" s="8"/>
      <c r="I634" s="8"/>
      <c r="J634" s="7"/>
      <c r="K634" s="7"/>
      <c r="L634" s="8"/>
      <c r="M634" s="16" t="s">
        <v>5</v>
      </c>
      <c r="N634" s="17">
        <f>N612+1</f>
        <v>16</v>
      </c>
      <c r="O634" s="3"/>
      <c r="P634" s="4"/>
      <c r="Q634" s="4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</row>
    <row r="635" spans="1:44" ht="15.6" customHeight="1" x14ac:dyDescent="0.3">
      <c r="A635" s="3"/>
      <c r="B635" s="3"/>
      <c r="C635" s="3"/>
      <c r="D635" s="4"/>
      <c r="E635" s="4" t="s">
        <v>8</v>
      </c>
      <c r="F635" s="3"/>
      <c r="G635" s="3"/>
      <c r="H635" s="4"/>
      <c r="I635" s="4"/>
      <c r="J635" s="3"/>
      <c r="K635" s="3"/>
      <c r="L635" s="14"/>
      <c r="M635" s="16" t="s">
        <v>99</v>
      </c>
      <c r="N635" s="17" t="str">
        <f>IF(N613="-"&amp;N590&amp;".3",IF(N614=15,"-"&amp;N590&amp;".4","-"&amp;N590&amp;".3"),N613)</f>
        <v>-1.1.4</v>
      </c>
      <c r="O635" s="3"/>
      <c r="P635" s="4"/>
      <c r="Q635" s="4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</row>
    <row r="636" spans="1:44" ht="15.6" customHeight="1" x14ac:dyDescent="0.3">
      <c r="A636" s="3"/>
      <c r="B636" s="3"/>
      <c r="C636" s="3"/>
      <c r="D636" s="4"/>
      <c r="E636" s="21" t="s">
        <v>10</v>
      </c>
      <c r="F636" s="3"/>
      <c r="G636" s="3"/>
      <c r="H636" s="4"/>
      <c r="I636" s="8"/>
      <c r="J636" s="7"/>
      <c r="K636" s="7"/>
      <c r="L636" s="8"/>
      <c r="M636" s="16" t="s">
        <v>5</v>
      </c>
      <c r="N636" s="17">
        <f>IF(N635="-"&amp;N590&amp;".3",N614+1,IF(N613="-"&amp;N590&amp;".3",1,N614+1))</f>
        <v>16</v>
      </c>
      <c r="O636" s="3"/>
      <c r="P636" s="4"/>
      <c r="Q636" s="4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</row>
    <row r="637" spans="1:44" ht="15.6" customHeight="1" x14ac:dyDescent="0.25">
      <c r="A637" s="3"/>
      <c r="B637" s="3"/>
      <c r="C637" s="3"/>
      <c r="D637" s="4"/>
      <c r="E637" s="4"/>
      <c r="F637" s="3"/>
      <c r="G637" s="3"/>
      <c r="H637" s="4"/>
      <c r="I637" s="4"/>
      <c r="J637" s="3"/>
      <c r="K637" s="3"/>
      <c r="L637" s="4"/>
      <c r="M637" s="4"/>
      <c r="N637" s="3"/>
      <c r="O637" s="3"/>
      <c r="P637" s="4"/>
      <c r="Q637" s="4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</row>
    <row r="638" spans="1:44" ht="15.6" customHeight="1" x14ac:dyDescent="0.25">
      <c r="A638" s="24"/>
      <c r="B638" s="25"/>
      <c r="C638" s="25"/>
      <c r="D638" s="26"/>
      <c r="E638" s="26"/>
      <c r="F638" s="25"/>
      <c r="G638" s="25"/>
      <c r="H638" s="26"/>
      <c r="I638" s="26"/>
      <c r="J638" s="25"/>
      <c r="K638" s="25"/>
      <c r="L638" s="26"/>
      <c r="M638" s="26"/>
      <c r="N638" s="25"/>
      <c r="O638" s="25"/>
      <c r="P638" s="26"/>
      <c r="Q638" s="26"/>
      <c r="R638" s="25"/>
      <c r="S638" s="25"/>
      <c r="T638" s="25"/>
      <c r="U638" s="25"/>
      <c r="V638" s="45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</row>
    <row r="639" spans="1:44" ht="15.6" customHeight="1" x14ac:dyDescent="0.25">
      <c r="A639" s="27"/>
      <c r="B639" s="28"/>
      <c r="C639" s="28"/>
      <c r="D639" s="71">
        <v>1</v>
      </c>
      <c r="E639" s="72"/>
      <c r="F639" s="28"/>
      <c r="G639" s="28"/>
      <c r="H639" s="71">
        <v>2</v>
      </c>
      <c r="I639" s="72"/>
      <c r="J639" s="28"/>
      <c r="K639" s="28"/>
      <c r="L639" s="71">
        <v>3</v>
      </c>
      <c r="M639" s="72"/>
      <c r="N639" s="28"/>
      <c r="O639" s="28"/>
      <c r="P639" s="71">
        <v>4</v>
      </c>
      <c r="Q639" s="72"/>
      <c r="R639" s="28"/>
      <c r="S639" s="28"/>
      <c r="T639" s="28"/>
      <c r="U639" s="28"/>
      <c r="V639" s="46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</row>
    <row r="640" spans="1:44" ht="15.6" customHeight="1" x14ac:dyDescent="0.25">
      <c r="A640" s="27"/>
      <c r="B640" s="74" t="s">
        <v>11</v>
      </c>
      <c r="C640" s="74"/>
      <c r="D640" s="71" t="s">
        <v>12</v>
      </c>
      <c r="E640" s="72"/>
      <c r="F640" s="74" t="s">
        <v>11</v>
      </c>
      <c r="G640" s="74"/>
      <c r="H640" s="71" t="s">
        <v>12</v>
      </c>
      <c r="I640" s="72"/>
      <c r="J640" s="74" t="s">
        <v>11</v>
      </c>
      <c r="K640" s="74"/>
      <c r="L640" s="71" t="s">
        <v>12</v>
      </c>
      <c r="M640" s="72"/>
      <c r="N640" s="74" t="s">
        <v>11</v>
      </c>
      <c r="O640" s="74"/>
      <c r="P640" s="71" t="s">
        <v>12</v>
      </c>
      <c r="Q640" s="72"/>
      <c r="R640" s="74"/>
      <c r="S640" s="74"/>
      <c r="T640" s="74"/>
      <c r="U640" s="74"/>
      <c r="V640" s="48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</row>
    <row r="641" spans="1:44" ht="15.6" customHeight="1" x14ac:dyDescent="0.25">
      <c r="A641" s="27"/>
      <c r="B641" s="76"/>
      <c r="C641" s="76"/>
      <c r="D641" s="77"/>
      <c r="E641" s="77"/>
      <c r="F641" s="76"/>
      <c r="G641" s="76"/>
      <c r="H641" s="77"/>
      <c r="I641" s="77"/>
      <c r="J641" s="76"/>
      <c r="K641" s="76"/>
      <c r="L641" s="77"/>
      <c r="M641" s="77"/>
      <c r="N641" s="76"/>
      <c r="O641" s="76"/>
      <c r="P641" s="77"/>
      <c r="Q641" s="77"/>
      <c r="R641" s="76"/>
      <c r="S641" s="76"/>
      <c r="T641" s="76"/>
      <c r="U641" s="76"/>
      <c r="V641" s="48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</row>
    <row r="642" spans="1:44" ht="15.6" customHeight="1" x14ac:dyDescent="0.25">
      <c r="A642" s="27"/>
      <c r="B642" s="74">
        <v>0</v>
      </c>
      <c r="C642" s="74"/>
      <c r="D642" s="78">
        <v>1</v>
      </c>
      <c r="E642" s="78"/>
      <c r="F642" s="74">
        <v>2</v>
      </c>
      <c r="G642" s="74"/>
      <c r="H642" s="78">
        <v>3</v>
      </c>
      <c r="I642" s="78"/>
      <c r="J642" s="74">
        <v>4</v>
      </c>
      <c r="K642" s="74"/>
      <c r="L642" s="78">
        <v>5</v>
      </c>
      <c r="M642" s="78"/>
      <c r="N642" s="74">
        <v>6</v>
      </c>
      <c r="O642" s="74"/>
      <c r="P642" s="78">
        <v>7</v>
      </c>
      <c r="Q642" s="78"/>
      <c r="R642" s="74">
        <v>8</v>
      </c>
      <c r="S642" s="74"/>
      <c r="T642" s="74">
        <v>9</v>
      </c>
      <c r="U642" s="74"/>
      <c r="V642" s="49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</row>
    <row r="643" spans="1:44" ht="15.6" customHeight="1" x14ac:dyDescent="0.25">
      <c r="A643" s="27"/>
      <c r="B643" s="28" t="s">
        <v>13</v>
      </c>
      <c r="C643" s="28" t="s">
        <v>14</v>
      </c>
      <c r="D643" s="31" t="s">
        <v>15</v>
      </c>
      <c r="E643" s="31" t="s">
        <v>16</v>
      </c>
      <c r="F643" s="28" t="s">
        <v>13</v>
      </c>
      <c r="G643" s="28" t="s">
        <v>14</v>
      </c>
      <c r="H643" s="31" t="s">
        <v>15</v>
      </c>
      <c r="I643" s="31" t="s">
        <v>16</v>
      </c>
      <c r="J643" s="28" t="s">
        <v>13</v>
      </c>
      <c r="K643" s="28" t="s">
        <v>14</v>
      </c>
      <c r="L643" s="31" t="s">
        <v>15</v>
      </c>
      <c r="M643" s="31" t="s">
        <v>16</v>
      </c>
      <c r="N643" s="28" t="s">
        <v>13</v>
      </c>
      <c r="O643" s="28" t="s">
        <v>14</v>
      </c>
      <c r="P643" s="31" t="s">
        <v>15</v>
      </c>
      <c r="Q643" s="31" t="s">
        <v>16</v>
      </c>
      <c r="R643" s="28" t="s">
        <v>13</v>
      </c>
      <c r="S643" s="28" t="s">
        <v>14</v>
      </c>
      <c r="T643" s="28" t="s">
        <v>15</v>
      </c>
      <c r="U643" s="28" t="s">
        <v>16</v>
      </c>
      <c r="V643" s="49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</row>
    <row r="644" spans="1:44" ht="15.6" customHeight="1" x14ac:dyDescent="0.25">
      <c r="A644" s="33"/>
      <c r="B644" s="34"/>
      <c r="C644" s="34"/>
      <c r="D644" s="35"/>
      <c r="E644" s="36"/>
      <c r="F644" s="34"/>
      <c r="G644" s="34"/>
      <c r="H644" s="35"/>
      <c r="I644" s="36"/>
      <c r="J644" s="34"/>
      <c r="K644" s="34"/>
      <c r="L644" s="35"/>
      <c r="M644" s="36"/>
      <c r="N644" s="34"/>
      <c r="O644" s="34"/>
      <c r="P644" s="35"/>
      <c r="Q644" s="36"/>
      <c r="R644" s="34"/>
      <c r="S644" s="34"/>
      <c r="T644" s="34"/>
      <c r="U644" s="34"/>
      <c r="V644" s="50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</row>
    <row r="645" spans="1:44" ht="15.6" customHeight="1" x14ac:dyDescent="0.25">
      <c r="A645" s="3"/>
      <c r="B645" s="30"/>
      <c r="C645" s="30"/>
      <c r="D645" s="54"/>
      <c r="E645" s="5"/>
      <c r="F645" s="30"/>
      <c r="G645" s="30"/>
      <c r="H645" s="54"/>
      <c r="I645" s="5"/>
      <c r="J645" s="30"/>
      <c r="K645" s="30"/>
      <c r="L645" s="54"/>
      <c r="M645" s="5"/>
      <c r="N645" s="30"/>
      <c r="O645" s="30"/>
      <c r="P645" s="54"/>
      <c r="Q645" s="5"/>
      <c r="R645" s="30"/>
      <c r="S645" s="30"/>
      <c r="T645" s="30"/>
      <c r="U645" s="30"/>
      <c r="V645" s="32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</row>
    <row r="646" spans="1:44" ht="15.6" customHeight="1" x14ac:dyDescent="0.25">
      <c r="A646" s="3"/>
      <c r="B646" s="95"/>
      <c r="C646" s="96"/>
      <c r="D646" s="97"/>
      <c r="E646" s="98"/>
      <c r="F646" s="95"/>
      <c r="G646" s="96"/>
      <c r="H646" s="97"/>
      <c r="I646" s="98"/>
      <c r="J646" s="95"/>
      <c r="K646" s="96"/>
      <c r="L646" s="97"/>
      <c r="M646" s="98"/>
      <c r="N646" s="95"/>
      <c r="O646" s="96"/>
      <c r="P646" s="97"/>
      <c r="Q646" s="98"/>
      <c r="R646" s="30"/>
      <c r="S646" s="30"/>
      <c r="T646" s="30"/>
      <c r="U646" s="30"/>
      <c r="V646" s="32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</row>
    <row r="647" spans="1:44" ht="15.6" customHeight="1" x14ac:dyDescent="0.25">
      <c r="A647" s="3"/>
      <c r="B647" s="83" t="str">
        <f>IF(D646&lt;1,"","пом.")</f>
        <v/>
      </c>
      <c r="C647" s="83"/>
      <c r="D647" s="85"/>
      <c r="E647" s="86"/>
      <c r="F647" s="83" t="str">
        <f>IF(H646&lt;1,"","пом.")</f>
        <v/>
      </c>
      <c r="G647" s="83"/>
      <c r="H647" s="85"/>
      <c r="I647" s="86"/>
      <c r="J647" s="83" t="str">
        <f>IF(L646&lt;1,"","пом.")</f>
        <v/>
      </c>
      <c r="K647" s="83"/>
      <c r="L647" s="85"/>
      <c r="M647" s="86"/>
      <c r="N647" s="83" t="str">
        <f>IF(P646&lt;1,"","пом.")</f>
        <v/>
      </c>
      <c r="O647" s="83"/>
      <c r="P647" s="85"/>
      <c r="Q647" s="86"/>
      <c r="R647" s="30"/>
      <c r="S647" s="30"/>
      <c r="T647" s="30"/>
      <c r="U647" s="30"/>
      <c r="V647" s="32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</row>
    <row r="648" spans="1:44" ht="15.6" customHeight="1" x14ac:dyDescent="0.25">
      <c r="A648" s="3"/>
      <c r="B648" s="3"/>
      <c r="C648" s="3"/>
      <c r="D648" s="4"/>
      <c r="E648" s="4"/>
      <c r="F648" s="3"/>
      <c r="G648" s="3"/>
      <c r="H648" s="4"/>
      <c r="I648" s="4"/>
      <c r="J648" s="3"/>
      <c r="K648" s="3"/>
      <c r="L648" s="4"/>
      <c r="M648" s="4"/>
      <c r="N648" s="3"/>
      <c r="O648" s="3"/>
      <c r="P648" s="4"/>
      <c r="Q648" s="4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</row>
    <row r="649" spans="1:44" ht="15.6" customHeight="1" x14ac:dyDescent="0.25">
      <c r="A649" s="3"/>
      <c r="B649" s="3"/>
      <c r="C649" s="3"/>
      <c r="D649" s="4"/>
      <c r="E649" s="5" t="s">
        <v>30</v>
      </c>
      <c r="F649" s="87" t="s">
        <v>31</v>
      </c>
      <c r="G649" s="87"/>
      <c r="H649" s="87"/>
      <c r="I649" s="117" t="s">
        <v>32</v>
      </c>
      <c r="J649" s="117"/>
      <c r="K649" s="58"/>
      <c r="L649" s="4"/>
      <c r="M649" s="4"/>
      <c r="N649" s="3"/>
      <c r="O649" s="30" t="s">
        <v>33</v>
      </c>
      <c r="P649" s="87" t="s">
        <v>34</v>
      </c>
      <c r="Q649" s="87"/>
      <c r="R649" s="87"/>
      <c r="S649" s="117" t="s">
        <v>35</v>
      </c>
      <c r="T649" s="117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</row>
    <row r="650" spans="1:44" ht="15.6" customHeight="1" x14ac:dyDescent="0.25">
      <c r="A650" s="3"/>
      <c r="B650" s="3"/>
      <c r="C650" s="3"/>
      <c r="D650" s="4"/>
      <c r="E650" s="5" t="s">
        <v>36</v>
      </c>
      <c r="F650" s="87" t="s">
        <v>37</v>
      </c>
      <c r="G650" s="87"/>
      <c r="H650" s="87"/>
      <c r="I650" s="117" t="s">
        <v>38</v>
      </c>
      <c r="J650" s="117"/>
      <c r="K650" s="117"/>
      <c r="L650" s="4"/>
      <c r="M650" s="4"/>
      <c r="N650" s="3"/>
      <c r="O650" s="30" t="s">
        <v>39</v>
      </c>
      <c r="P650" s="87" t="s">
        <v>34</v>
      </c>
      <c r="Q650" s="87"/>
      <c r="R650" s="87"/>
      <c r="S650" s="118" t="s">
        <v>109</v>
      </c>
      <c r="T650" s="118"/>
      <c r="U650" s="118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</row>
    <row r="651" spans="1:44" ht="15.6" customHeight="1" x14ac:dyDescent="0.25">
      <c r="A651" s="41"/>
      <c r="B651" s="41"/>
      <c r="C651" s="41"/>
      <c r="D651" s="42"/>
      <c r="E651" s="43"/>
      <c r="F651" s="41"/>
      <c r="G651" s="41"/>
      <c r="H651" s="42"/>
      <c r="I651" s="42"/>
      <c r="J651" s="41"/>
      <c r="K651" s="41"/>
      <c r="L651" s="42"/>
      <c r="M651" s="42"/>
      <c r="N651" s="41"/>
      <c r="O651" s="41"/>
      <c r="P651" s="42"/>
      <c r="Q651" s="42"/>
      <c r="R651" s="41"/>
      <c r="S651" s="41"/>
      <c r="T651" s="41"/>
      <c r="U651" s="41"/>
      <c r="V651" s="41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</row>
    <row r="652" spans="1:44" ht="15.6" customHeight="1" x14ac:dyDescent="0.3">
      <c r="A652" s="3"/>
      <c r="B652" s="3"/>
      <c r="C652" s="3"/>
      <c r="D652" s="4"/>
      <c r="E652" s="6" t="s">
        <v>1</v>
      </c>
      <c r="F652" s="3"/>
      <c r="G652" s="7"/>
      <c r="H652" s="8"/>
      <c r="I652" s="8"/>
      <c r="J652" s="7"/>
      <c r="K652" s="7"/>
      <c r="L652" s="8"/>
      <c r="M652" s="9" t="s">
        <v>2</v>
      </c>
      <c r="N652" s="12" t="str">
        <f>N632</f>
        <v>1.1</v>
      </c>
      <c r="O652" s="12"/>
      <c r="P652" s="4"/>
      <c r="Q652" s="4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</row>
    <row r="653" spans="1:44" ht="15.6" customHeight="1" x14ac:dyDescent="0.3">
      <c r="A653" s="3"/>
      <c r="B653" s="3"/>
      <c r="C653" s="3"/>
      <c r="D653" s="4"/>
      <c r="E653" s="6" t="s">
        <v>4</v>
      </c>
      <c r="F653" s="3"/>
      <c r="G653" s="3"/>
      <c r="H653" s="4"/>
      <c r="I653" s="4"/>
      <c r="J653" s="13"/>
      <c r="K653" s="13"/>
      <c r="L653" s="14"/>
      <c r="M653" s="9" t="s">
        <v>5</v>
      </c>
      <c r="N653" s="15" t="str">
        <f>N633</f>
        <v>1.1.2</v>
      </c>
      <c r="O653" s="15"/>
      <c r="P653" s="4"/>
      <c r="Q653" s="4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</row>
    <row r="654" spans="1:44" ht="15.6" customHeight="1" x14ac:dyDescent="0.3">
      <c r="A654" s="3"/>
      <c r="B654" s="3"/>
      <c r="C654" s="3"/>
      <c r="D654" s="4"/>
      <c r="E654" s="4" t="s">
        <v>7</v>
      </c>
      <c r="F654" s="3"/>
      <c r="G654" s="3"/>
      <c r="H654" s="8"/>
      <c r="I654" s="8"/>
      <c r="J654" s="7"/>
      <c r="K654" s="7"/>
      <c r="L654" s="8"/>
      <c r="M654" s="16" t="s">
        <v>5</v>
      </c>
      <c r="N654" s="17">
        <f>N634</f>
        <v>16</v>
      </c>
      <c r="O654" s="3"/>
      <c r="P654" s="4"/>
      <c r="Q654" s="4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</row>
    <row r="655" spans="1:44" ht="15.6" customHeight="1" x14ac:dyDescent="0.3">
      <c r="A655" s="3"/>
      <c r="B655" s="3"/>
      <c r="C655" s="3"/>
      <c r="D655" s="4"/>
      <c r="E655" s="4" t="s">
        <v>8</v>
      </c>
      <c r="F655" s="3"/>
      <c r="G655" s="3"/>
      <c r="H655" s="4"/>
      <c r="I655" s="4"/>
      <c r="J655" s="3"/>
      <c r="K655" s="3"/>
      <c r="L655" s="14"/>
      <c r="M655" s="16" t="s">
        <v>99</v>
      </c>
      <c r="N655" s="17" t="str">
        <f>IF(N635="-"&amp;N632&amp;".3",IF(N636=15,"-"&amp;N632&amp;".4","-"&amp;N632&amp;".3"),N635)</f>
        <v>-1.1.4</v>
      </c>
      <c r="O655" s="19"/>
      <c r="P655" s="4"/>
      <c r="Q655" s="4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</row>
    <row r="656" spans="1:44" ht="15.6" customHeight="1" x14ac:dyDescent="0.3">
      <c r="A656" s="3"/>
      <c r="B656" s="3"/>
      <c r="C656" s="3"/>
      <c r="D656" s="4"/>
      <c r="E656" s="21" t="s">
        <v>10</v>
      </c>
      <c r="F656" s="3"/>
      <c r="G656" s="3"/>
      <c r="H656" s="4"/>
      <c r="I656" s="8"/>
      <c r="J656" s="7"/>
      <c r="K656" s="7"/>
      <c r="L656" s="8"/>
      <c r="M656" s="16" t="s">
        <v>5</v>
      </c>
      <c r="N656" s="17">
        <f>IF(N655="-"&amp;N590&amp;".3",N636+1,IF(N635="-"&amp;N590&amp;".3",1,N636+1))</f>
        <v>17</v>
      </c>
      <c r="O656" s="3"/>
      <c r="P656" s="4"/>
      <c r="Q656" s="4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</row>
    <row r="657" spans="1:44" ht="7.15" customHeight="1" x14ac:dyDescent="0.25">
      <c r="A657" s="3"/>
      <c r="B657" s="3"/>
      <c r="C657" s="3"/>
      <c r="D657" s="4"/>
      <c r="E657" s="4"/>
      <c r="F657" s="3"/>
      <c r="G657" s="3"/>
      <c r="H657" s="4"/>
      <c r="I657" s="4"/>
      <c r="J657" s="3"/>
      <c r="K657" s="3"/>
      <c r="L657" s="4"/>
      <c r="M657" s="4"/>
      <c r="N657" s="3"/>
      <c r="O657" s="3"/>
      <c r="P657" s="4"/>
      <c r="Q657" s="4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</row>
    <row r="658" spans="1:44" ht="15.6" customHeight="1" x14ac:dyDescent="0.25">
      <c r="A658" s="24"/>
      <c r="B658" s="25"/>
      <c r="C658" s="25"/>
      <c r="D658" s="26"/>
      <c r="E658" s="26"/>
      <c r="F658" s="25"/>
      <c r="G658" s="25"/>
      <c r="H658" s="26"/>
      <c r="I658" s="26"/>
      <c r="J658" s="25"/>
      <c r="K658" s="25"/>
      <c r="L658" s="26"/>
      <c r="M658" s="26"/>
      <c r="N658" s="25"/>
      <c r="O658" s="25"/>
      <c r="P658" s="26"/>
      <c r="Q658" s="26"/>
      <c r="R658" s="25"/>
      <c r="S658" s="25"/>
      <c r="T658" s="25"/>
      <c r="U658" s="25"/>
      <c r="V658" s="45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</row>
    <row r="659" spans="1:44" ht="15.6" customHeight="1" x14ac:dyDescent="0.25">
      <c r="A659" s="27"/>
      <c r="B659" s="28"/>
      <c r="C659" s="28"/>
      <c r="D659" s="71">
        <v>1</v>
      </c>
      <c r="E659" s="72"/>
      <c r="F659" s="28"/>
      <c r="G659" s="28"/>
      <c r="H659" s="71">
        <v>2</v>
      </c>
      <c r="I659" s="72"/>
      <c r="J659" s="28"/>
      <c r="K659" s="28"/>
      <c r="L659" s="71">
        <v>3</v>
      </c>
      <c r="M659" s="72"/>
      <c r="N659" s="28"/>
      <c r="O659" s="28"/>
      <c r="P659" s="71">
        <v>4</v>
      </c>
      <c r="Q659" s="72"/>
      <c r="R659" s="28"/>
      <c r="S659" s="28"/>
      <c r="T659" s="28"/>
      <c r="U659" s="28"/>
      <c r="V659" s="46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</row>
    <row r="660" spans="1:44" ht="15.6" customHeight="1" x14ac:dyDescent="0.25">
      <c r="A660" s="27"/>
      <c r="B660" s="74" t="s">
        <v>11</v>
      </c>
      <c r="C660" s="74"/>
      <c r="D660" s="71" t="s">
        <v>12</v>
      </c>
      <c r="E660" s="72"/>
      <c r="F660" s="74" t="s">
        <v>11</v>
      </c>
      <c r="G660" s="74"/>
      <c r="H660" s="71" t="s">
        <v>12</v>
      </c>
      <c r="I660" s="72"/>
      <c r="J660" s="74" t="s">
        <v>11</v>
      </c>
      <c r="K660" s="74"/>
      <c r="L660" s="71" t="s">
        <v>12</v>
      </c>
      <c r="M660" s="72"/>
      <c r="N660" s="74" t="s">
        <v>11</v>
      </c>
      <c r="O660" s="74"/>
      <c r="P660" s="71" t="s">
        <v>12</v>
      </c>
      <c r="Q660" s="72"/>
      <c r="R660" s="74"/>
      <c r="S660" s="74"/>
      <c r="T660" s="74"/>
      <c r="U660" s="74"/>
      <c r="V660" s="48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</row>
    <row r="661" spans="1:44" ht="15.6" customHeight="1" x14ac:dyDescent="0.25">
      <c r="A661" s="27"/>
      <c r="B661" s="76"/>
      <c r="C661" s="76"/>
      <c r="D661" s="77"/>
      <c r="E661" s="77"/>
      <c r="F661" s="76"/>
      <c r="G661" s="76"/>
      <c r="H661" s="77"/>
      <c r="I661" s="77"/>
      <c r="J661" s="76"/>
      <c r="K661" s="76"/>
      <c r="L661" s="77"/>
      <c r="M661" s="77"/>
      <c r="N661" s="76"/>
      <c r="O661" s="76"/>
      <c r="P661" s="77"/>
      <c r="Q661" s="77"/>
      <c r="R661" s="76"/>
      <c r="S661" s="76"/>
      <c r="T661" s="76"/>
      <c r="U661" s="76"/>
      <c r="V661" s="48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</row>
    <row r="662" spans="1:44" ht="15.6" customHeight="1" x14ac:dyDescent="0.25">
      <c r="A662" s="27"/>
      <c r="B662" s="74">
        <v>0</v>
      </c>
      <c r="C662" s="74"/>
      <c r="D662" s="78">
        <v>1</v>
      </c>
      <c r="E662" s="78"/>
      <c r="F662" s="74">
        <v>2</v>
      </c>
      <c r="G662" s="74"/>
      <c r="H662" s="78">
        <v>3</v>
      </c>
      <c r="I662" s="78"/>
      <c r="J662" s="74">
        <v>4</v>
      </c>
      <c r="K662" s="74"/>
      <c r="L662" s="78">
        <v>5</v>
      </c>
      <c r="M662" s="78"/>
      <c r="N662" s="74">
        <v>6</v>
      </c>
      <c r="O662" s="74"/>
      <c r="P662" s="78">
        <v>7</v>
      </c>
      <c r="Q662" s="78"/>
      <c r="R662" s="74">
        <v>8</v>
      </c>
      <c r="S662" s="74"/>
      <c r="T662" s="74">
        <v>9</v>
      </c>
      <c r="U662" s="74"/>
      <c r="V662" s="49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</row>
    <row r="663" spans="1:44" ht="15.6" customHeight="1" x14ac:dyDescent="0.25">
      <c r="A663" s="27"/>
      <c r="B663" s="28" t="s">
        <v>13</v>
      </c>
      <c r="C663" s="28" t="s">
        <v>14</v>
      </c>
      <c r="D663" s="31" t="s">
        <v>15</v>
      </c>
      <c r="E663" s="31" t="s">
        <v>16</v>
      </c>
      <c r="F663" s="28" t="s">
        <v>13</v>
      </c>
      <c r="G663" s="28" t="s">
        <v>14</v>
      </c>
      <c r="H663" s="31" t="s">
        <v>15</v>
      </c>
      <c r="I663" s="31" t="s">
        <v>16</v>
      </c>
      <c r="J663" s="28" t="s">
        <v>13</v>
      </c>
      <c r="K663" s="28" t="s">
        <v>14</v>
      </c>
      <c r="L663" s="31" t="s">
        <v>15</v>
      </c>
      <c r="M663" s="31" t="s">
        <v>16</v>
      </c>
      <c r="N663" s="28" t="s">
        <v>13</v>
      </c>
      <c r="O663" s="28" t="s">
        <v>14</v>
      </c>
      <c r="P663" s="31" t="s">
        <v>15</v>
      </c>
      <c r="Q663" s="31" t="s">
        <v>16</v>
      </c>
      <c r="R663" s="28" t="s">
        <v>13</v>
      </c>
      <c r="S663" s="28" t="s">
        <v>14</v>
      </c>
      <c r="T663" s="28" t="s">
        <v>15</v>
      </c>
      <c r="U663" s="28" t="s">
        <v>16</v>
      </c>
      <c r="V663" s="49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</row>
    <row r="664" spans="1:44" ht="15.6" customHeight="1" x14ac:dyDescent="0.25">
      <c r="A664" s="33"/>
      <c r="B664" s="34"/>
      <c r="C664" s="34"/>
      <c r="D664" s="35"/>
      <c r="E664" s="36"/>
      <c r="F664" s="34"/>
      <c r="G664" s="34"/>
      <c r="H664" s="35"/>
      <c r="I664" s="36"/>
      <c r="J664" s="34"/>
      <c r="K664" s="34"/>
      <c r="L664" s="35"/>
      <c r="M664" s="36"/>
      <c r="N664" s="34"/>
      <c r="O664" s="34"/>
      <c r="P664" s="35"/>
      <c r="Q664" s="36"/>
      <c r="R664" s="34"/>
      <c r="S664" s="34"/>
      <c r="T664" s="34"/>
      <c r="U664" s="34"/>
      <c r="V664" s="50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</row>
    <row r="665" spans="1:44" ht="7.15" customHeight="1" x14ac:dyDescent="0.25">
      <c r="A665" s="3"/>
      <c r="B665" s="30"/>
      <c r="C665" s="30"/>
      <c r="D665" s="54"/>
      <c r="E665" s="5"/>
      <c r="F665" s="30"/>
      <c r="G665" s="30"/>
      <c r="H665" s="54"/>
      <c r="I665" s="5"/>
      <c r="J665" s="30"/>
      <c r="K665" s="30"/>
      <c r="L665" s="54"/>
      <c r="M665" s="5"/>
      <c r="N665" s="30"/>
      <c r="O665" s="30"/>
      <c r="P665" s="54"/>
      <c r="Q665" s="5"/>
      <c r="R665" s="30"/>
      <c r="S665" s="30"/>
      <c r="T665" s="30"/>
      <c r="U665" s="30"/>
      <c r="V665" s="32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</row>
    <row r="666" spans="1:44" ht="15.6" customHeight="1" x14ac:dyDescent="0.25">
      <c r="A666" s="3"/>
      <c r="B666" s="95"/>
      <c r="C666" s="96"/>
      <c r="D666" s="97"/>
      <c r="E666" s="98"/>
      <c r="F666" s="95"/>
      <c r="G666" s="96"/>
      <c r="H666" s="97"/>
      <c r="I666" s="98"/>
      <c r="J666" s="95"/>
      <c r="K666" s="96"/>
      <c r="L666" s="97"/>
      <c r="M666" s="98"/>
      <c r="N666" s="95"/>
      <c r="O666" s="96"/>
      <c r="P666" s="97"/>
      <c r="Q666" s="98"/>
      <c r="R666" s="30"/>
      <c r="S666" s="30"/>
      <c r="T666" s="30"/>
      <c r="U666" s="30"/>
      <c r="V666" s="32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</row>
    <row r="667" spans="1:44" ht="15.6" customHeight="1" x14ac:dyDescent="0.25">
      <c r="A667" s="3"/>
      <c r="B667" s="83" t="str">
        <f>IF(D666&lt;1,"","пом.")</f>
        <v/>
      </c>
      <c r="C667" s="83"/>
      <c r="D667" s="85"/>
      <c r="E667" s="86"/>
      <c r="F667" s="83" t="str">
        <f>IF(H666&lt;1,"","пом.")</f>
        <v/>
      </c>
      <c r="G667" s="83"/>
      <c r="H667" s="85"/>
      <c r="I667" s="86"/>
      <c r="J667" s="83" t="str">
        <f>IF(L666&lt;1,"","пом.")</f>
        <v/>
      </c>
      <c r="K667" s="83"/>
      <c r="L667" s="85"/>
      <c r="M667" s="86"/>
      <c r="N667" s="83" t="str">
        <f>IF(P666&lt;1,"","пом.")</f>
        <v/>
      </c>
      <c r="O667" s="83"/>
      <c r="P667" s="85"/>
      <c r="Q667" s="86"/>
      <c r="R667" s="30"/>
      <c r="S667" s="30"/>
      <c r="T667" s="30"/>
      <c r="U667" s="30"/>
      <c r="V667" s="32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</row>
    <row r="668" spans="1:44" ht="9" customHeight="1" x14ac:dyDescent="0.25">
      <c r="A668" s="3"/>
      <c r="B668" s="3"/>
      <c r="C668" s="3"/>
      <c r="D668" s="4"/>
      <c r="E668" s="4"/>
      <c r="F668" s="3"/>
      <c r="G668" s="3"/>
      <c r="H668" s="4"/>
      <c r="I668" s="4"/>
      <c r="J668" s="3"/>
      <c r="K668" s="3"/>
      <c r="L668" s="4"/>
      <c r="M668" s="4"/>
      <c r="N668" s="3"/>
      <c r="O668" s="3"/>
      <c r="P668" s="4"/>
      <c r="Q668" s="4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</row>
    <row r="669" spans="1:44" ht="15.6" customHeight="1" x14ac:dyDescent="0.25">
      <c r="A669" s="3"/>
      <c r="B669" s="3"/>
      <c r="C669" s="3"/>
      <c r="D669" s="4"/>
      <c r="E669" s="5" t="s">
        <v>30</v>
      </c>
      <c r="F669" s="87" t="s">
        <v>31</v>
      </c>
      <c r="G669" s="87"/>
      <c r="H669" s="87"/>
      <c r="I669" s="117" t="s">
        <v>32</v>
      </c>
      <c r="J669" s="117"/>
      <c r="K669" s="58"/>
      <c r="L669" s="4"/>
      <c r="M669" s="4"/>
      <c r="N669" s="3"/>
      <c r="O669" s="30" t="s">
        <v>33</v>
      </c>
      <c r="P669" s="87" t="s">
        <v>34</v>
      </c>
      <c r="Q669" s="87"/>
      <c r="R669" s="87"/>
      <c r="S669" s="117" t="s">
        <v>35</v>
      </c>
      <c r="T669" s="117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</row>
    <row r="670" spans="1:44" ht="15.6" customHeight="1" x14ac:dyDescent="0.25">
      <c r="A670" s="3"/>
      <c r="B670" s="3"/>
      <c r="C670" s="3"/>
      <c r="D670" s="4"/>
      <c r="E670" s="5" t="s">
        <v>36</v>
      </c>
      <c r="F670" s="87" t="s">
        <v>37</v>
      </c>
      <c r="G670" s="87"/>
      <c r="H670" s="87"/>
      <c r="I670" s="117" t="s">
        <v>38</v>
      </c>
      <c r="J670" s="117"/>
      <c r="K670" s="117"/>
      <c r="L670" s="4"/>
      <c r="M670" s="4"/>
      <c r="N670" s="3"/>
      <c r="O670" s="30" t="s">
        <v>39</v>
      </c>
      <c r="P670" s="87" t="s">
        <v>34</v>
      </c>
      <c r="Q670" s="87"/>
      <c r="R670" s="87"/>
      <c r="S670" s="118" t="s">
        <v>109</v>
      </c>
      <c r="T670" s="118"/>
      <c r="U670" s="118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</row>
    <row r="671" spans="1:44" ht="15.6" customHeight="1" x14ac:dyDescent="0.25">
      <c r="A671" s="41"/>
      <c r="B671" s="41"/>
      <c r="C671" s="41"/>
      <c r="D671" s="42"/>
      <c r="E671" s="43"/>
      <c r="F671" s="41"/>
      <c r="G671" s="41"/>
      <c r="H671" s="42"/>
      <c r="I671" s="42"/>
      <c r="J671" s="41"/>
      <c r="K671" s="41"/>
      <c r="L671" s="42"/>
      <c r="M671" s="42"/>
      <c r="N671" s="41"/>
      <c r="O671" s="41"/>
      <c r="P671" s="42"/>
      <c r="Q671" s="42"/>
      <c r="R671" s="41"/>
      <c r="S671" s="41"/>
      <c r="T671" s="41"/>
      <c r="U671" s="41"/>
      <c r="V671" s="41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</row>
    <row r="672" spans="1:44" ht="15.6" customHeight="1" x14ac:dyDescent="0.25">
      <c r="A672" s="3"/>
      <c r="B672" s="3"/>
      <c r="C672" s="3"/>
      <c r="D672" s="4"/>
      <c r="E672" s="4"/>
      <c r="F672" s="3"/>
      <c r="G672" s="3"/>
      <c r="H672" s="4"/>
      <c r="I672" s="4"/>
      <c r="J672" s="3"/>
      <c r="K672" s="3"/>
      <c r="L672" s="4"/>
      <c r="M672" s="4"/>
      <c r="N672" s="3"/>
      <c r="O672" s="3"/>
      <c r="P672" s="4"/>
      <c r="Q672" s="4"/>
      <c r="R672" s="3"/>
      <c r="S672" s="3"/>
      <c r="T672" s="3"/>
      <c r="U672" s="3"/>
      <c r="V672" s="3"/>
    </row>
    <row r="673" spans="1:22" ht="15.6" customHeight="1" x14ac:dyDescent="0.25">
      <c r="A673" s="3"/>
      <c r="B673" s="3"/>
      <c r="C673" s="3"/>
      <c r="D673" s="4"/>
      <c r="E673" s="4"/>
      <c r="F673" s="3"/>
      <c r="G673" s="3"/>
      <c r="H673" s="4"/>
      <c r="I673" s="4"/>
      <c r="J673" s="3"/>
      <c r="K673" s="3"/>
      <c r="L673" s="4"/>
      <c r="M673" s="4"/>
      <c r="N673" s="3"/>
      <c r="O673" s="3"/>
      <c r="P673" s="4"/>
      <c r="Q673" s="4"/>
      <c r="R673" s="3"/>
      <c r="S673" s="3"/>
      <c r="T673" s="3"/>
      <c r="U673" s="3"/>
      <c r="V673" s="3"/>
    </row>
  </sheetData>
  <mergeCells count="1854">
    <mergeCell ref="B667:C667"/>
    <mergeCell ref="D667:E667"/>
    <mergeCell ref="F667:G667"/>
    <mergeCell ref="H667:I667"/>
    <mergeCell ref="J667:K667"/>
    <mergeCell ref="L667:M667"/>
    <mergeCell ref="N667:O667"/>
    <mergeCell ref="P667:Q667"/>
    <mergeCell ref="F669:H669"/>
    <mergeCell ref="I669:J669"/>
    <mergeCell ref="P669:R669"/>
    <mergeCell ref="S669:T669"/>
    <mergeCell ref="F670:H670"/>
    <mergeCell ref="I670:K670"/>
    <mergeCell ref="P670:R670"/>
    <mergeCell ref="S670:U670"/>
    <mergeCell ref="B662:C662"/>
    <mergeCell ref="D662:E662"/>
    <mergeCell ref="F662:G662"/>
    <mergeCell ref="H662:I662"/>
    <mergeCell ref="J662:K662"/>
    <mergeCell ref="L662:M662"/>
    <mergeCell ref="N662:O662"/>
    <mergeCell ref="P662:Q662"/>
    <mergeCell ref="R662:S662"/>
    <mergeCell ref="T662:U662"/>
    <mergeCell ref="B666:C666"/>
    <mergeCell ref="D666:E666"/>
    <mergeCell ref="F666:G666"/>
    <mergeCell ref="H666:I666"/>
    <mergeCell ref="J666:K666"/>
    <mergeCell ref="L666:M666"/>
    <mergeCell ref="N666:O666"/>
    <mergeCell ref="P666:Q666"/>
    <mergeCell ref="B660:C660"/>
    <mergeCell ref="D660:E660"/>
    <mergeCell ref="F660:G660"/>
    <mergeCell ref="H660:I660"/>
    <mergeCell ref="J660:K660"/>
    <mergeCell ref="L660:M660"/>
    <mergeCell ref="N660:O660"/>
    <mergeCell ref="P660:Q660"/>
    <mergeCell ref="R660:S660"/>
    <mergeCell ref="T660:U660"/>
    <mergeCell ref="B661:C661"/>
    <mergeCell ref="D661:E661"/>
    <mergeCell ref="F661:G661"/>
    <mergeCell ref="H661:I661"/>
    <mergeCell ref="J661:K661"/>
    <mergeCell ref="L661:M661"/>
    <mergeCell ref="N661:O661"/>
    <mergeCell ref="P661:Q661"/>
    <mergeCell ref="R661:S661"/>
    <mergeCell ref="T661:U661"/>
    <mergeCell ref="B647:C647"/>
    <mergeCell ref="D647:E647"/>
    <mergeCell ref="F647:G647"/>
    <mergeCell ref="H647:I647"/>
    <mergeCell ref="J647:K647"/>
    <mergeCell ref="L647:M647"/>
    <mergeCell ref="N647:O647"/>
    <mergeCell ref="P647:Q647"/>
    <mergeCell ref="F649:H649"/>
    <mergeCell ref="I649:J649"/>
    <mergeCell ref="P649:R649"/>
    <mergeCell ref="S649:T649"/>
    <mergeCell ref="F650:H650"/>
    <mergeCell ref="I650:K650"/>
    <mergeCell ref="P650:R650"/>
    <mergeCell ref="S650:U650"/>
    <mergeCell ref="D659:E659"/>
    <mergeCell ref="H659:I659"/>
    <mergeCell ref="L659:M659"/>
    <mergeCell ref="P659:Q659"/>
    <mergeCell ref="B642:C642"/>
    <mergeCell ref="D642:E642"/>
    <mergeCell ref="F642:G642"/>
    <mergeCell ref="H642:I642"/>
    <mergeCell ref="J642:K642"/>
    <mergeCell ref="L642:M642"/>
    <mergeCell ref="N642:O642"/>
    <mergeCell ref="P642:Q642"/>
    <mergeCell ref="R642:S642"/>
    <mergeCell ref="T642:U642"/>
    <mergeCell ref="B646:C646"/>
    <mergeCell ref="D646:E646"/>
    <mergeCell ref="F646:G646"/>
    <mergeCell ref="H646:I646"/>
    <mergeCell ref="J646:K646"/>
    <mergeCell ref="L646:M646"/>
    <mergeCell ref="N646:O646"/>
    <mergeCell ref="P646:Q646"/>
    <mergeCell ref="B640:C640"/>
    <mergeCell ref="D640:E640"/>
    <mergeCell ref="F640:G640"/>
    <mergeCell ref="H640:I640"/>
    <mergeCell ref="J640:K640"/>
    <mergeCell ref="L640:M640"/>
    <mergeCell ref="N640:O640"/>
    <mergeCell ref="P640:Q640"/>
    <mergeCell ref="R640:S640"/>
    <mergeCell ref="T640:U640"/>
    <mergeCell ref="B641:C641"/>
    <mergeCell ref="D641:E641"/>
    <mergeCell ref="F641:G641"/>
    <mergeCell ref="H641:I641"/>
    <mergeCell ref="J641:K641"/>
    <mergeCell ref="L641:M641"/>
    <mergeCell ref="N641:O641"/>
    <mergeCell ref="P641:Q641"/>
    <mergeCell ref="R641:S641"/>
    <mergeCell ref="T641:U641"/>
    <mergeCell ref="B625:C625"/>
    <mergeCell ref="D625:E625"/>
    <mergeCell ref="F625:G625"/>
    <mergeCell ref="H625:I625"/>
    <mergeCell ref="J625:K625"/>
    <mergeCell ref="L625:M625"/>
    <mergeCell ref="N625:O625"/>
    <mergeCell ref="P625:Q625"/>
    <mergeCell ref="F627:H627"/>
    <mergeCell ref="I627:J627"/>
    <mergeCell ref="P627:R627"/>
    <mergeCell ref="S627:T627"/>
    <mergeCell ref="F628:H628"/>
    <mergeCell ref="I628:K628"/>
    <mergeCell ref="P628:R628"/>
    <mergeCell ref="S628:U628"/>
    <mergeCell ref="D639:E639"/>
    <mergeCell ref="H639:I639"/>
    <mergeCell ref="L639:M639"/>
    <mergeCell ref="P639:Q639"/>
    <mergeCell ref="B620:C620"/>
    <mergeCell ref="D620:E620"/>
    <mergeCell ref="F620:G620"/>
    <mergeCell ref="H620:I620"/>
    <mergeCell ref="J620:K620"/>
    <mergeCell ref="L620:M620"/>
    <mergeCell ref="N620:O620"/>
    <mergeCell ref="P620:Q620"/>
    <mergeCell ref="R620:S620"/>
    <mergeCell ref="T620:U620"/>
    <mergeCell ref="B624:C624"/>
    <mergeCell ref="D624:E624"/>
    <mergeCell ref="F624:G624"/>
    <mergeCell ref="H624:I624"/>
    <mergeCell ref="J624:K624"/>
    <mergeCell ref="L624:M624"/>
    <mergeCell ref="N624:O624"/>
    <mergeCell ref="P624:Q624"/>
    <mergeCell ref="B618:C618"/>
    <mergeCell ref="D618:E618"/>
    <mergeCell ref="F618:G618"/>
    <mergeCell ref="H618:I618"/>
    <mergeCell ref="J618:K618"/>
    <mergeCell ref="L618:M618"/>
    <mergeCell ref="N618:O618"/>
    <mergeCell ref="P618:Q618"/>
    <mergeCell ref="R618:S618"/>
    <mergeCell ref="T618:U618"/>
    <mergeCell ref="B619:C619"/>
    <mergeCell ref="D619:E619"/>
    <mergeCell ref="F619:G619"/>
    <mergeCell ref="H619:I619"/>
    <mergeCell ref="J619:K619"/>
    <mergeCell ref="L619:M619"/>
    <mergeCell ref="N619:O619"/>
    <mergeCell ref="P619:Q619"/>
    <mergeCell ref="R619:S619"/>
    <mergeCell ref="T619:U619"/>
    <mergeCell ref="B605:C605"/>
    <mergeCell ref="D605:E605"/>
    <mergeCell ref="F605:G605"/>
    <mergeCell ref="H605:I605"/>
    <mergeCell ref="J605:K605"/>
    <mergeCell ref="L605:M605"/>
    <mergeCell ref="N605:O605"/>
    <mergeCell ref="P605:Q605"/>
    <mergeCell ref="F607:H607"/>
    <mergeCell ref="I607:J607"/>
    <mergeCell ref="P607:R607"/>
    <mergeCell ref="S607:T607"/>
    <mergeCell ref="F608:H608"/>
    <mergeCell ref="I608:K608"/>
    <mergeCell ref="P608:R608"/>
    <mergeCell ref="S608:U608"/>
    <mergeCell ref="D617:E617"/>
    <mergeCell ref="H617:I617"/>
    <mergeCell ref="L617:M617"/>
    <mergeCell ref="P617:Q617"/>
    <mergeCell ref="B600:C600"/>
    <mergeCell ref="D600:E600"/>
    <mergeCell ref="F600:G600"/>
    <mergeCell ref="H600:I600"/>
    <mergeCell ref="J600:K600"/>
    <mergeCell ref="L600:M600"/>
    <mergeCell ref="N600:O600"/>
    <mergeCell ref="P600:Q600"/>
    <mergeCell ref="R600:S600"/>
    <mergeCell ref="T600:U600"/>
    <mergeCell ref="B604:C604"/>
    <mergeCell ref="D604:E604"/>
    <mergeCell ref="F604:G604"/>
    <mergeCell ref="H604:I604"/>
    <mergeCell ref="J604:K604"/>
    <mergeCell ref="L604:M604"/>
    <mergeCell ref="N604:O604"/>
    <mergeCell ref="P604:Q604"/>
    <mergeCell ref="B598:C598"/>
    <mergeCell ref="D598:E598"/>
    <mergeCell ref="F598:G598"/>
    <mergeCell ref="H598:I598"/>
    <mergeCell ref="J598:K598"/>
    <mergeCell ref="L598:M598"/>
    <mergeCell ref="N598:O598"/>
    <mergeCell ref="P598:Q598"/>
    <mergeCell ref="R598:S598"/>
    <mergeCell ref="T598:U598"/>
    <mergeCell ref="B599:C599"/>
    <mergeCell ref="D599:E599"/>
    <mergeCell ref="F599:G599"/>
    <mergeCell ref="H599:I599"/>
    <mergeCell ref="J599:K599"/>
    <mergeCell ref="L599:M599"/>
    <mergeCell ref="N599:O599"/>
    <mergeCell ref="P599:Q599"/>
    <mergeCell ref="R599:S599"/>
    <mergeCell ref="T599:U599"/>
    <mergeCell ref="B583:C583"/>
    <mergeCell ref="D583:E583"/>
    <mergeCell ref="F583:G583"/>
    <mergeCell ref="H583:I583"/>
    <mergeCell ref="J583:K583"/>
    <mergeCell ref="L583:M583"/>
    <mergeCell ref="N583:O583"/>
    <mergeCell ref="P583:Q583"/>
    <mergeCell ref="F585:H585"/>
    <mergeCell ref="I585:J585"/>
    <mergeCell ref="P585:R585"/>
    <mergeCell ref="S585:T585"/>
    <mergeCell ref="F586:H586"/>
    <mergeCell ref="I586:K586"/>
    <mergeCell ref="P586:R586"/>
    <mergeCell ref="S586:U586"/>
    <mergeCell ref="D597:E597"/>
    <mergeCell ref="H597:I597"/>
    <mergeCell ref="L597:M597"/>
    <mergeCell ref="P597:Q597"/>
    <mergeCell ref="B578:C578"/>
    <mergeCell ref="D578:E578"/>
    <mergeCell ref="F578:G578"/>
    <mergeCell ref="H578:I578"/>
    <mergeCell ref="J578:K578"/>
    <mergeCell ref="L578:M578"/>
    <mergeCell ref="N578:O578"/>
    <mergeCell ref="P578:Q578"/>
    <mergeCell ref="R578:S578"/>
    <mergeCell ref="T578:U578"/>
    <mergeCell ref="B582:C582"/>
    <mergeCell ref="D582:E582"/>
    <mergeCell ref="F582:G582"/>
    <mergeCell ref="H582:I582"/>
    <mergeCell ref="J582:K582"/>
    <mergeCell ref="L582:M582"/>
    <mergeCell ref="N582:O582"/>
    <mergeCell ref="P582:Q582"/>
    <mergeCell ref="B576:C576"/>
    <mergeCell ref="D576:E576"/>
    <mergeCell ref="F576:G576"/>
    <mergeCell ref="H576:I576"/>
    <mergeCell ref="J576:K576"/>
    <mergeCell ref="L576:M576"/>
    <mergeCell ref="N576:O576"/>
    <mergeCell ref="P576:Q576"/>
    <mergeCell ref="R576:S576"/>
    <mergeCell ref="T576:U576"/>
    <mergeCell ref="B577:C577"/>
    <mergeCell ref="D577:E577"/>
    <mergeCell ref="F577:G577"/>
    <mergeCell ref="H577:I577"/>
    <mergeCell ref="J577:K577"/>
    <mergeCell ref="L577:M577"/>
    <mergeCell ref="N577:O577"/>
    <mergeCell ref="P577:Q577"/>
    <mergeCell ref="R577:S577"/>
    <mergeCell ref="T577:U577"/>
    <mergeCell ref="B563:C563"/>
    <mergeCell ref="D563:E563"/>
    <mergeCell ref="F563:G563"/>
    <mergeCell ref="H563:I563"/>
    <mergeCell ref="J563:K563"/>
    <mergeCell ref="L563:M563"/>
    <mergeCell ref="N563:O563"/>
    <mergeCell ref="P563:Q563"/>
    <mergeCell ref="F565:H565"/>
    <mergeCell ref="I565:J565"/>
    <mergeCell ref="P565:R565"/>
    <mergeCell ref="S565:T565"/>
    <mergeCell ref="F566:H566"/>
    <mergeCell ref="I566:K566"/>
    <mergeCell ref="P566:R566"/>
    <mergeCell ref="S566:U566"/>
    <mergeCell ref="D575:E575"/>
    <mergeCell ref="H575:I575"/>
    <mergeCell ref="L575:M575"/>
    <mergeCell ref="P575:Q575"/>
    <mergeCell ref="B558:C558"/>
    <mergeCell ref="D558:E558"/>
    <mergeCell ref="F558:G558"/>
    <mergeCell ref="H558:I558"/>
    <mergeCell ref="J558:K558"/>
    <mergeCell ref="L558:M558"/>
    <mergeCell ref="N558:O558"/>
    <mergeCell ref="P558:Q558"/>
    <mergeCell ref="R558:S558"/>
    <mergeCell ref="T558:U558"/>
    <mergeCell ref="B562:C562"/>
    <mergeCell ref="D562:E562"/>
    <mergeCell ref="F562:G562"/>
    <mergeCell ref="H562:I562"/>
    <mergeCell ref="J562:K562"/>
    <mergeCell ref="L562:M562"/>
    <mergeCell ref="N562:O562"/>
    <mergeCell ref="P562:Q562"/>
    <mergeCell ref="B556:C556"/>
    <mergeCell ref="D556:E556"/>
    <mergeCell ref="F556:G556"/>
    <mergeCell ref="H556:I556"/>
    <mergeCell ref="J556:K556"/>
    <mergeCell ref="L556:M556"/>
    <mergeCell ref="N556:O556"/>
    <mergeCell ref="P556:Q556"/>
    <mergeCell ref="R556:S556"/>
    <mergeCell ref="T556:U556"/>
    <mergeCell ref="B557:C557"/>
    <mergeCell ref="D557:E557"/>
    <mergeCell ref="F557:G557"/>
    <mergeCell ref="H557:I557"/>
    <mergeCell ref="J557:K557"/>
    <mergeCell ref="L557:M557"/>
    <mergeCell ref="N557:O557"/>
    <mergeCell ref="P557:Q557"/>
    <mergeCell ref="R557:S557"/>
    <mergeCell ref="T557:U557"/>
    <mergeCell ref="B541:C541"/>
    <mergeCell ref="D541:E541"/>
    <mergeCell ref="F541:G541"/>
    <mergeCell ref="H541:I541"/>
    <mergeCell ref="J541:K541"/>
    <mergeCell ref="L541:M541"/>
    <mergeCell ref="N541:O541"/>
    <mergeCell ref="P541:Q541"/>
    <mergeCell ref="F543:H543"/>
    <mergeCell ref="I543:J543"/>
    <mergeCell ref="P543:R543"/>
    <mergeCell ref="S543:T543"/>
    <mergeCell ref="F544:H544"/>
    <mergeCell ref="I544:K544"/>
    <mergeCell ref="P544:R544"/>
    <mergeCell ref="S544:U544"/>
    <mergeCell ref="D555:E555"/>
    <mergeCell ref="H555:I555"/>
    <mergeCell ref="L555:M555"/>
    <mergeCell ref="P555:Q555"/>
    <mergeCell ref="B536:C536"/>
    <mergeCell ref="D536:E536"/>
    <mergeCell ref="F536:G536"/>
    <mergeCell ref="H536:I536"/>
    <mergeCell ref="J536:K536"/>
    <mergeCell ref="L536:M536"/>
    <mergeCell ref="N536:O536"/>
    <mergeCell ref="P536:Q536"/>
    <mergeCell ref="R536:S536"/>
    <mergeCell ref="T536:U536"/>
    <mergeCell ref="B540:C540"/>
    <mergeCell ref="D540:E540"/>
    <mergeCell ref="F540:G540"/>
    <mergeCell ref="H540:I540"/>
    <mergeCell ref="J540:K540"/>
    <mergeCell ref="L540:M540"/>
    <mergeCell ref="N540:O540"/>
    <mergeCell ref="P540:Q540"/>
    <mergeCell ref="B534:C534"/>
    <mergeCell ref="D534:E534"/>
    <mergeCell ref="F534:G534"/>
    <mergeCell ref="H534:I534"/>
    <mergeCell ref="J534:K534"/>
    <mergeCell ref="L534:M534"/>
    <mergeCell ref="N534:O534"/>
    <mergeCell ref="P534:Q534"/>
    <mergeCell ref="R534:S534"/>
    <mergeCell ref="T534:U534"/>
    <mergeCell ref="B535:C535"/>
    <mergeCell ref="D535:E535"/>
    <mergeCell ref="F535:G535"/>
    <mergeCell ref="H535:I535"/>
    <mergeCell ref="J535:K535"/>
    <mergeCell ref="L535:M535"/>
    <mergeCell ref="N535:O535"/>
    <mergeCell ref="P535:Q535"/>
    <mergeCell ref="R535:S535"/>
    <mergeCell ref="T535:U535"/>
    <mergeCell ref="B521:C521"/>
    <mergeCell ref="D521:E521"/>
    <mergeCell ref="F521:G521"/>
    <mergeCell ref="H521:I521"/>
    <mergeCell ref="J521:K521"/>
    <mergeCell ref="L521:M521"/>
    <mergeCell ref="N521:O521"/>
    <mergeCell ref="P521:Q521"/>
    <mergeCell ref="F523:H523"/>
    <mergeCell ref="I523:J523"/>
    <mergeCell ref="P523:R523"/>
    <mergeCell ref="S523:T523"/>
    <mergeCell ref="F524:H524"/>
    <mergeCell ref="I524:K524"/>
    <mergeCell ref="P524:R524"/>
    <mergeCell ref="S524:U524"/>
    <mergeCell ref="D533:E533"/>
    <mergeCell ref="H533:I533"/>
    <mergeCell ref="L533:M533"/>
    <mergeCell ref="P533:Q533"/>
    <mergeCell ref="B516:C516"/>
    <mergeCell ref="D516:E516"/>
    <mergeCell ref="F516:G516"/>
    <mergeCell ref="H516:I516"/>
    <mergeCell ref="J516:K516"/>
    <mergeCell ref="L516:M516"/>
    <mergeCell ref="N516:O516"/>
    <mergeCell ref="P516:Q516"/>
    <mergeCell ref="R516:S516"/>
    <mergeCell ref="T516:U516"/>
    <mergeCell ref="B520:C520"/>
    <mergeCell ref="D520:E520"/>
    <mergeCell ref="F520:G520"/>
    <mergeCell ref="H520:I520"/>
    <mergeCell ref="J520:K520"/>
    <mergeCell ref="L520:M520"/>
    <mergeCell ref="N520:O520"/>
    <mergeCell ref="P520:Q520"/>
    <mergeCell ref="B514:C514"/>
    <mergeCell ref="D514:E514"/>
    <mergeCell ref="F514:G514"/>
    <mergeCell ref="H514:I514"/>
    <mergeCell ref="J514:K514"/>
    <mergeCell ref="L514:M514"/>
    <mergeCell ref="N514:O514"/>
    <mergeCell ref="P514:Q514"/>
    <mergeCell ref="R514:S514"/>
    <mergeCell ref="T514:U514"/>
    <mergeCell ref="B515:C515"/>
    <mergeCell ref="D515:E515"/>
    <mergeCell ref="F515:G515"/>
    <mergeCell ref="H515:I515"/>
    <mergeCell ref="J515:K515"/>
    <mergeCell ref="L515:M515"/>
    <mergeCell ref="N515:O515"/>
    <mergeCell ref="P515:Q515"/>
    <mergeCell ref="R515:S515"/>
    <mergeCell ref="T515:U515"/>
    <mergeCell ref="B499:C499"/>
    <mergeCell ref="D499:E499"/>
    <mergeCell ref="F499:G499"/>
    <mergeCell ref="H499:I499"/>
    <mergeCell ref="J499:K499"/>
    <mergeCell ref="L499:M499"/>
    <mergeCell ref="N499:O499"/>
    <mergeCell ref="P499:Q499"/>
    <mergeCell ref="F501:H501"/>
    <mergeCell ref="I501:J501"/>
    <mergeCell ref="P501:R501"/>
    <mergeCell ref="S501:T501"/>
    <mergeCell ref="F502:H502"/>
    <mergeCell ref="I502:K502"/>
    <mergeCell ref="P502:R502"/>
    <mergeCell ref="S502:U502"/>
    <mergeCell ref="D513:E513"/>
    <mergeCell ref="H513:I513"/>
    <mergeCell ref="L513:M513"/>
    <mergeCell ref="P513:Q513"/>
    <mergeCell ref="B494:C494"/>
    <mergeCell ref="D494:E494"/>
    <mergeCell ref="F494:G494"/>
    <mergeCell ref="H494:I494"/>
    <mergeCell ref="J494:K494"/>
    <mergeCell ref="L494:M494"/>
    <mergeCell ref="N494:O494"/>
    <mergeCell ref="P494:Q494"/>
    <mergeCell ref="R494:S494"/>
    <mergeCell ref="T494:U494"/>
    <mergeCell ref="B498:C498"/>
    <mergeCell ref="D498:E498"/>
    <mergeCell ref="F498:G498"/>
    <mergeCell ref="H498:I498"/>
    <mergeCell ref="J498:K498"/>
    <mergeCell ref="L498:M498"/>
    <mergeCell ref="N498:O498"/>
    <mergeCell ref="P498:Q498"/>
    <mergeCell ref="B492:C492"/>
    <mergeCell ref="D492:E492"/>
    <mergeCell ref="F492:G492"/>
    <mergeCell ref="H492:I492"/>
    <mergeCell ref="J492:K492"/>
    <mergeCell ref="L492:M492"/>
    <mergeCell ref="N492:O492"/>
    <mergeCell ref="P492:Q492"/>
    <mergeCell ref="R492:S492"/>
    <mergeCell ref="T492:U492"/>
    <mergeCell ref="B493:C493"/>
    <mergeCell ref="D493:E493"/>
    <mergeCell ref="F493:G493"/>
    <mergeCell ref="H493:I493"/>
    <mergeCell ref="J493:K493"/>
    <mergeCell ref="L493:M493"/>
    <mergeCell ref="N493:O493"/>
    <mergeCell ref="P493:Q493"/>
    <mergeCell ref="R493:S493"/>
    <mergeCell ref="T493:U493"/>
    <mergeCell ref="B479:C479"/>
    <mergeCell ref="D479:E479"/>
    <mergeCell ref="F479:G479"/>
    <mergeCell ref="H479:I479"/>
    <mergeCell ref="J479:K479"/>
    <mergeCell ref="L479:M479"/>
    <mergeCell ref="N479:O479"/>
    <mergeCell ref="P479:Q479"/>
    <mergeCell ref="F481:H481"/>
    <mergeCell ref="I481:J481"/>
    <mergeCell ref="P481:R481"/>
    <mergeCell ref="S481:T481"/>
    <mergeCell ref="F482:H482"/>
    <mergeCell ref="I482:K482"/>
    <mergeCell ref="P482:R482"/>
    <mergeCell ref="S482:U482"/>
    <mergeCell ref="D491:E491"/>
    <mergeCell ref="H491:I491"/>
    <mergeCell ref="L491:M491"/>
    <mergeCell ref="P491:Q491"/>
    <mergeCell ref="B474:C474"/>
    <mergeCell ref="D474:E474"/>
    <mergeCell ref="F474:G474"/>
    <mergeCell ref="H474:I474"/>
    <mergeCell ref="J474:K474"/>
    <mergeCell ref="L474:M474"/>
    <mergeCell ref="N474:O474"/>
    <mergeCell ref="P474:Q474"/>
    <mergeCell ref="R474:S474"/>
    <mergeCell ref="T474:U474"/>
    <mergeCell ref="B478:C478"/>
    <mergeCell ref="D478:E478"/>
    <mergeCell ref="F478:G478"/>
    <mergeCell ref="H478:I478"/>
    <mergeCell ref="J478:K478"/>
    <mergeCell ref="L478:M478"/>
    <mergeCell ref="N478:O478"/>
    <mergeCell ref="P478:Q478"/>
    <mergeCell ref="B472:C472"/>
    <mergeCell ref="D472:E472"/>
    <mergeCell ref="F472:G472"/>
    <mergeCell ref="H472:I472"/>
    <mergeCell ref="J472:K472"/>
    <mergeCell ref="L472:M472"/>
    <mergeCell ref="N472:O472"/>
    <mergeCell ref="P472:Q472"/>
    <mergeCell ref="R472:S472"/>
    <mergeCell ref="T472:U472"/>
    <mergeCell ref="B473:C473"/>
    <mergeCell ref="D473:E473"/>
    <mergeCell ref="F473:G473"/>
    <mergeCell ref="H473:I473"/>
    <mergeCell ref="J473:K473"/>
    <mergeCell ref="L473:M473"/>
    <mergeCell ref="N473:O473"/>
    <mergeCell ref="P473:Q473"/>
    <mergeCell ref="R473:S473"/>
    <mergeCell ref="T473:U473"/>
    <mergeCell ref="B457:C457"/>
    <mergeCell ref="D457:E457"/>
    <mergeCell ref="F457:G457"/>
    <mergeCell ref="H457:I457"/>
    <mergeCell ref="J457:K457"/>
    <mergeCell ref="L457:M457"/>
    <mergeCell ref="N457:O457"/>
    <mergeCell ref="P457:Q457"/>
    <mergeCell ref="F459:H459"/>
    <mergeCell ref="I459:J459"/>
    <mergeCell ref="P459:R459"/>
    <mergeCell ref="S459:T459"/>
    <mergeCell ref="F460:H460"/>
    <mergeCell ref="I460:K460"/>
    <mergeCell ref="P460:R460"/>
    <mergeCell ref="S460:U460"/>
    <mergeCell ref="D471:E471"/>
    <mergeCell ref="H471:I471"/>
    <mergeCell ref="L471:M471"/>
    <mergeCell ref="P471:Q471"/>
    <mergeCell ref="B452:C452"/>
    <mergeCell ref="D452:E452"/>
    <mergeCell ref="F452:G452"/>
    <mergeCell ref="H452:I452"/>
    <mergeCell ref="J452:K452"/>
    <mergeCell ref="L452:M452"/>
    <mergeCell ref="N452:O452"/>
    <mergeCell ref="P452:Q452"/>
    <mergeCell ref="R452:S452"/>
    <mergeCell ref="T452:U452"/>
    <mergeCell ref="B456:C456"/>
    <mergeCell ref="D456:E456"/>
    <mergeCell ref="F456:G456"/>
    <mergeCell ref="H456:I456"/>
    <mergeCell ref="J456:K456"/>
    <mergeCell ref="L456:M456"/>
    <mergeCell ref="N456:O456"/>
    <mergeCell ref="P456:Q456"/>
    <mergeCell ref="B450:C450"/>
    <mergeCell ref="D450:E450"/>
    <mergeCell ref="F450:G450"/>
    <mergeCell ref="H450:I450"/>
    <mergeCell ref="J450:K450"/>
    <mergeCell ref="L450:M450"/>
    <mergeCell ref="N450:O450"/>
    <mergeCell ref="P450:Q450"/>
    <mergeCell ref="R450:S450"/>
    <mergeCell ref="T450:U450"/>
    <mergeCell ref="B451:C451"/>
    <mergeCell ref="D451:E451"/>
    <mergeCell ref="F451:G451"/>
    <mergeCell ref="H451:I451"/>
    <mergeCell ref="J451:K451"/>
    <mergeCell ref="L451:M451"/>
    <mergeCell ref="N451:O451"/>
    <mergeCell ref="P451:Q451"/>
    <mergeCell ref="R451:S451"/>
    <mergeCell ref="T451:U451"/>
    <mergeCell ref="B437:C437"/>
    <mergeCell ref="D437:E437"/>
    <mergeCell ref="F437:G437"/>
    <mergeCell ref="H437:I437"/>
    <mergeCell ref="J437:K437"/>
    <mergeCell ref="L437:M437"/>
    <mergeCell ref="N437:O437"/>
    <mergeCell ref="P437:Q437"/>
    <mergeCell ref="F439:H439"/>
    <mergeCell ref="I439:J439"/>
    <mergeCell ref="P439:R439"/>
    <mergeCell ref="S439:T439"/>
    <mergeCell ref="F440:H440"/>
    <mergeCell ref="I440:K440"/>
    <mergeCell ref="P440:R440"/>
    <mergeCell ref="S440:U440"/>
    <mergeCell ref="D449:E449"/>
    <mergeCell ref="H449:I449"/>
    <mergeCell ref="L449:M449"/>
    <mergeCell ref="P449:Q449"/>
    <mergeCell ref="B432:C432"/>
    <mergeCell ref="D432:E432"/>
    <mergeCell ref="F432:G432"/>
    <mergeCell ref="H432:I432"/>
    <mergeCell ref="J432:K432"/>
    <mergeCell ref="L432:M432"/>
    <mergeCell ref="N432:O432"/>
    <mergeCell ref="P432:Q432"/>
    <mergeCell ref="R432:S432"/>
    <mergeCell ref="T432:U432"/>
    <mergeCell ref="B436:C436"/>
    <mergeCell ref="D436:E436"/>
    <mergeCell ref="F436:G436"/>
    <mergeCell ref="H436:I436"/>
    <mergeCell ref="J436:K436"/>
    <mergeCell ref="L436:M436"/>
    <mergeCell ref="N436:O436"/>
    <mergeCell ref="P436:Q436"/>
    <mergeCell ref="B430:C430"/>
    <mergeCell ref="D430:E430"/>
    <mergeCell ref="F430:G430"/>
    <mergeCell ref="H430:I430"/>
    <mergeCell ref="J430:K430"/>
    <mergeCell ref="L430:M430"/>
    <mergeCell ref="N430:O430"/>
    <mergeCell ref="P430:Q430"/>
    <mergeCell ref="R430:S430"/>
    <mergeCell ref="T430:U430"/>
    <mergeCell ref="B431:C431"/>
    <mergeCell ref="D431:E431"/>
    <mergeCell ref="F431:G431"/>
    <mergeCell ref="H431:I431"/>
    <mergeCell ref="J431:K431"/>
    <mergeCell ref="L431:M431"/>
    <mergeCell ref="N431:O431"/>
    <mergeCell ref="P431:Q431"/>
    <mergeCell ref="R431:S431"/>
    <mergeCell ref="T431:U431"/>
    <mergeCell ref="B415:C415"/>
    <mergeCell ref="D415:E415"/>
    <mergeCell ref="F415:G415"/>
    <mergeCell ref="H415:I415"/>
    <mergeCell ref="J415:K415"/>
    <mergeCell ref="L415:M415"/>
    <mergeCell ref="N415:O415"/>
    <mergeCell ref="P415:Q415"/>
    <mergeCell ref="F417:H417"/>
    <mergeCell ref="I417:J417"/>
    <mergeCell ref="P417:R417"/>
    <mergeCell ref="S417:T417"/>
    <mergeCell ref="F418:H418"/>
    <mergeCell ref="I418:K418"/>
    <mergeCell ref="P418:R418"/>
    <mergeCell ref="S418:U418"/>
    <mergeCell ref="D429:E429"/>
    <mergeCell ref="H429:I429"/>
    <mergeCell ref="L429:M429"/>
    <mergeCell ref="P429:Q429"/>
    <mergeCell ref="B410:C410"/>
    <mergeCell ref="D410:E410"/>
    <mergeCell ref="F410:G410"/>
    <mergeCell ref="H410:I410"/>
    <mergeCell ref="J410:K410"/>
    <mergeCell ref="L410:M410"/>
    <mergeCell ref="N410:O410"/>
    <mergeCell ref="P410:Q410"/>
    <mergeCell ref="R410:S410"/>
    <mergeCell ref="T410:U410"/>
    <mergeCell ref="B414:C414"/>
    <mergeCell ref="D414:E414"/>
    <mergeCell ref="F414:G414"/>
    <mergeCell ref="H414:I414"/>
    <mergeCell ref="J414:K414"/>
    <mergeCell ref="L414:M414"/>
    <mergeCell ref="N414:O414"/>
    <mergeCell ref="P414:Q414"/>
    <mergeCell ref="D407:E407"/>
    <mergeCell ref="H407:I407"/>
    <mergeCell ref="L407:M407"/>
    <mergeCell ref="P407:Q407"/>
    <mergeCell ref="B408:C408"/>
    <mergeCell ref="D408:E408"/>
    <mergeCell ref="F408:G408"/>
    <mergeCell ref="H408:I408"/>
    <mergeCell ref="J408:K408"/>
    <mergeCell ref="L408:M408"/>
    <mergeCell ref="N408:O408"/>
    <mergeCell ref="P408:Q408"/>
    <mergeCell ref="R408:S408"/>
    <mergeCell ref="T408:U408"/>
    <mergeCell ref="B409:C409"/>
    <mergeCell ref="D409:E409"/>
    <mergeCell ref="F409:G409"/>
    <mergeCell ref="H409:I409"/>
    <mergeCell ref="J409:K409"/>
    <mergeCell ref="L409:M409"/>
    <mergeCell ref="N409:O409"/>
    <mergeCell ref="P409:Q409"/>
    <mergeCell ref="R409:S409"/>
    <mergeCell ref="T409:U409"/>
    <mergeCell ref="B394:C394"/>
    <mergeCell ref="D394:E394"/>
    <mergeCell ref="F394:G394"/>
    <mergeCell ref="H394:I394"/>
    <mergeCell ref="J394:K394"/>
    <mergeCell ref="L394:M394"/>
    <mergeCell ref="N394:O394"/>
    <mergeCell ref="P394:Q394"/>
    <mergeCell ref="D395:E395"/>
    <mergeCell ref="H395:I395"/>
    <mergeCell ref="L395:M395"/>
    <mergeCell ref="P395:Q395"/>
    <mergeCell ref="F397:H397"/>
    <mergeCell ref="I397:J397"/>
    <mergeCell ref="P397:R397"/>
    <mergeCell ref="S397:T397"/>
    <mergeCell ref="F398:H398"/>
    <mergeCell ref="I398:K398"/>
    <mergeCell ref="P398:R398"/>
    <mergeCell ref="S398:U398"/>
    <mergeCell ref="B389:C389"/>
    <mergeCell ref="D389:E389"/>
    <mergeCell ref="F389:G389"/>
    <mergeCell ref="H389:I389"/>
    <mergeCell ref="J389:K389"/>
    <mergeCell ref="L389:M389"/>
    <mergeCell ref="N389:O389"/>
    <mergeCell ref="P389:Q389"/>
    <mergeCell ref="R389:S389"/>
    <mergeCell ref="T389:U389"/>
    <mergeCell ref="B390:C390"/>
    <mergeCell ref="D390:E390"/>
    <mergeCell ref="F390:G390"/>
    <mergeCell ref="H390:I390"/>
    <mergeCell ref="J390:K390"/>
    <mergeCell ref="L390:M390"/>
    <mergeCell ref="N390:O390"/>
    <mergeCell ref="P390:Q390"/>
    <mergeCell ref="R390:S390"/>
    <mergeCell ref="T390:U390"/>
    <mergeCell ref="D373:E373"/>
    <mergeCell ref="H373:I373"/>
    <mergeCell ref="L373:M373"/>
    <mergeCell ref="P373:Q373"/>
    <mergeCell ref="F375:H375"/>
    <mergeCell ref="I375:J375"/>
    <mergeCell ref="P375:R375"/>
    <mergeCell ref="S375:T375"/>
    <mergeCell ref="F376:H376"/>
    <mergeCell ref="I376:K376"/>
    <mergeCell ref="P376:R376"/>
    <mergeCell ref="S376:U376"/>
    <mergeCell ref="D387:E387"/>
    <mergeCell ref="H387:I387"/>
    <mergeCell ref="L387:M387"/>
    <mergeCell ref="P387:Q387"/>
    <mergeCell ref="B388:C388"/>
    <mergeCell ref="D388:E388"/>
    <mergeCell ref="F388:G388"/>
    <mergeCell ref="H388:I388"/>
    <mergeCell ref="J388:K388"/>
    <mergeCell ref="L388:M388"/>
    <mergeCell ref="N388:O388"/>
    <mergeCell ref="P388:Q388"/>
    <mergeCell ref="R388:S388"/>
    <mergeCell ref="T388:U388"/>
    <mergeCell ref="B368:C368"/>
    <mergeCell ref="D368:E368"/>
    <mergeCell ref="F368:G368"/>
    <mergeCell ref="H368:I368"/>
    <mergeCell ref="J368:K368"/>
    <mergeCell ref="L368:M368"/>
    <mergeCell ref="N368:O368"/>
    <mergeCell ref="P368:Q368"/>
    <mergeCell ref="R368:S368"/>
    <mergeCell ref="T368:U368"/>
    <mergeCell ref="B372:C372"/>
    <mergeCell ref="D372:E372"/>
    <mergeCell ref="F372:G372"/>
    <mergeCell ref="H372:I372"/>
    <mergeCell ref="J372:K372"/>
    <mergeCell ref="L372:M372"/>
    <mergeCell ref="N372:O372"/>
    <mergeCell ref="P372:Q372"/>
    <mergeCell ref="D365:E365"/>
    <mergeCell ref="H365:I365"/>
    <mergeCell ref="L365:M365"/>
    <mergeCell ref="P365:Q365"/>
    <mergeCell ref="B366:C366"/>
    <mergeCell ref="D366:E366"/>
    <mergeCell ref="F366:G366"/>
    <mergeCell ref="H366:I366"/>
    <mergeCell ref="J366:K366"/>
    <mergeCell ref="L366:M366"/>
    <mergeCell ref="N366:O366"/>
    <mergeCell ref="P366:Q366"/>
    <mergeCell ref="R366:S366"/>
    <mergeCell ref="T366:U366"/>
    <mergeCell ref="B367:C367"/>
    <mergeCell ref="D367:E367"/>
    <mergeCell ref="F367:G367"/>
    <mergeCell ref="H367:I367"/>
    <mergeCell ref="J367:K367"/>
    <mergeCell ref="L367:M367"/>
    <mergeCell ref="N367:O367"/>
    <mergeCell ref="P367:Q367"/>
    <mergeCell ref="R367:S367"/>
    <mergeCell ref="T367:U367"/>
    <mergeCell ref="B352:C352"/>
    <mergeCell ref="D352:E352"/>
    <mergeCell ref="F352:G352"/>
    <mergeCell ref="H352:I352"/>
    <mergeCell ref="J352:K352"/>
    <mergeCell ref="L352:M352"/>
    <mergeCell ref="N352:O352"/>
    <mergeCell ref="P352:Q352"/>
    <mergeCell ref="D353:E353"/>
    <mergeCell ref="H353:I353"/>
    <mergeCell ref="L353:M353"/>
    <mergeCell ref="P353:Q353"/>
    <mergeCell ref="F355:H355"/>
    <mergeCell ref="I355:J355"/>
    <mergeCell ref="P355:R355"/>
    <mergeCell ref="S355:T355"/>
    <mergeCell ref="F356:H356"/>
    <mergeCell ref="I356:K356"/>
    <mergeCell ref="P356:R356"/>
    <mergeCell ref="S356:U356"/>
    <mergeCell ref="B347:C347"/>
    <mergeCell ref="D347:E347"/>
    <mergeCell ref="F347:G347"/>
    <mergeCell ref="H347:I347"/>
    <mergeCell ref="J347:K347"/>
    <mergeCell ref="L347:M347"/>
    <mergeCell ref="N347:O347"/>
    <mergeCell ref="P347:Q347"/>
    <mergeCell ref="R347:S347"/>
    <mergeCell ref="T347:U347"/>
    <mergeCell ref="B348:C348"/>
    <mergeCell ref="D348:E348"/>
    <mergeCell ref="F348:G348"/>
    <mergeCell ref="H348:I348"/>
    <mergeCell ref="J348:K348"/>
    <mergeCell ref="L348:M348"/>
    <mergeCell ref="N348:O348"/>
    <mergeCell ref="P348:Q348"/>
    <mergeCell ref="R348:S348"/>
    <mergeCell ref="T348:U348"/>
    <mergeCell ref="D331:E331"/>
    <mergeCell ref="H331:I331"/>
    <mergeCell ref="L331:M331"/>
    <mergeCell ref="P331:Q331"/>
    <mergeCell ref="F333:H333"/>
    <mergeCell ref="I333:J333"/>
    <mergeCell ref="P333:R333"/>
    <mergeCell ref="S333:T333"/>
    <mergeCell ref="F334:H334"/>
    <mergeCell ref="I334:K334"/>
    <mergeCell ref="P334:R334"/>
    <mergeCell ref="S334:U334"/>
    <mergeCell ref="D345:E345"/>
    <mergeCell ref="H345:I345"/>
    <mergeCell ref="L345:M345"/>
    <mergeCell ref="P345:Q345"/>
    <mergeCell ref="B346:C346"/>
    <mergeCell ref="D346:E346"/>
    <mergeCell ref="F346:G346"/>
    <mergeCell ref="H346:I346"/>
    <mergeCell ref="J346:K346"/>
    <mergeCell ref="L346:M346"/>
    <mergeCell ref="N346:O346"/>
    <mergeCell ref="P346:Q346"/>
    <mergeCell ref="R346:S346"/>
    <mergeCell ref="T346:U346"/>
    <mergeCell ref="B326:C326"/>
    <mergeCell ref="D326:E326"/>
    <mergeCell ref="F326:G326"/>
    <mergeCell ref="H326:I326"/>
    <mergeCell ref="J326:K326"/>
    <mergeCell ref="L326:M326"/>
    <mergeCell ref="N326:O326"/>
    <mergeCell ref="P326:Q326"/>
    <mergeCell ref="R326:S326"/>
    <mergeCell ref="T326:U326"/>
    <mergeCell ref="B330:C330"/>
    <mergeCell ref="D330:E330"/>
    <mergeCell ref="F330:G330"/>
    <mergeCell ref="H330:I330"/>
    <mergeCell ref="J330:K330"/>
    <mergeCell ref="L330:M330"/>
    <mergeCell ref="N330:O330"/>
    <mergeCell ref="P330:Q330"/>
    <mergeCell ref="D323:E323"/>
    <mergeCell ref="H323:I323"/>
    <mergeCell ref="L323:M323"/>
    <mergeCell ref="P323:Q323"/>
    <mergeCell ref="B324:C324"/>
    <mergeCell ref="D324:E324"/>
    <mergeCell ref="F324:G324"/>
    <mergeCell ref="H324:I324"/>
    <mergeCell ref="J324:K324"/>
    <mergeCell ref="L324:M324"/>
    <mergeCell ref="N324:O324"/>
    <mergeCell ref="P324:Q324"/>
    <mergeCell ref="R324:S324"/>
    <mergeCell ref="T324:U324"/>
    <mergeCell ref="B325:C325"/>
    <mergeCell ref="D325:E325"/>
    <mergeCell ref="F325:G325"/>
    <mergeCell ref="H325:I325"/>
    <mergeCell ref="J325:K325"/>
    <mergeCell ref="L325:M325"/>
    <mergeCell ref="N325:O325"/>
    <mergeCell ref="P325:Q325"/>
    <mergeCell ref="R325:S325"/>
    <mergeCell ref="T325:U325"/>
    <mergeCell ref="B310:C310"/>
    <mergeCell ref="D310:E310"/>
    <mergeCell ref="F310:G310"/>
    <mergeCell ref="H310:I310"/>
    <mergeCell ref="J310:K310"/>
    <mergeCell ref="L310:M310"/>
    <mergeCell ref="N310:O310"/>
    <mergeCell ref="P310:Q310"/>
    <mergeCell ref="D311:E311"/>
    <mergeCell ref="H311:I311"/>
    <mergeCell ref="L311:M311"/>
    <mergeCell ref="P311:Q311"/>
    <mergeCell ref="F313:H313"/>
    <mergeCell ref="I313:J313"/>
    <mergeCell ref="P313:R313"/>
    <mergeCell ref="S313:T313"/>
    <mergeCell ref="F314:H314"/>
    <mergeCell ref="I314:K314"/>
    <mergeCell ref="P314:R314"/>
    <mergeCell ref="S314:U314"/>
    <mergeCell ref="B305:C305"/>
    <mergeCell ref="D305:E305"/>
    <mergeCell ref="F305:G305"/>
    <mergeCell ref="H305:I305"/>
    <mergeCell ref="J305:K305"/>
    <mergeCell ref="L305:M305"/>
    <mergeCell ref="N305:O305"/>
    <mergeCell ref="P305:Q305"/>
    <mergeCell ref="R305:S305"/>
    <mergeCell ref="T305:U305"/>
    <mergeCell ref="B306:C306"/>
    <mergeCell ref="D306:E306"/>
    <mergeCell ref="F306:G306"/>
    <mergeCell ref="H306:I306"/>
    <mergeCell ref="J306:K306"/>
    <mergeCell ref="L306:M306"/>
    <mergeCell ref="N306:O306"/>
    <mergeCell ref="P306:Q306"/>
    <mergeCell ref="R306:S306"/>
    <mergeCell ref="T306:U306"/>
    <mergeCell ref="D289:E289"/>
    <mergeCell ref="H289:I289"/>
    <mergeCell ref="L289:M289"/>
    <mergeCell ref="P289:Q289"/>
    <mergeCell ref="F291:H291"/>
    <mergeCell ref="I291:J291"/>
    <mergeCell ref="P291:R291"/>
    <mergeCell ref="S291:T291"/>
    <mergeCell ref="F292:H292"/>
    <mergeCell ref="I292:K292"/>
    <mergeCell ref="P292:R292"/>
    <mergeCell ref="S292:U292"/>
    <mergeCell ref="D303:E303"/>
    <mergeCell ref="H303:I303"/>
    <mergeCell ref="L303:M303"/>
    <mergeCell ref="P303:Q303"/>
    <mergeCell ref="B304:C304"/>
    <mergeCell ref="D304:E304"/>
    <mergeCell ref="F304:G304"/>
    <mergeCell ref="H304:I304"/>
    <mergeCell ref="J304:K304"/>
    <mergeCell ref="L304:M304"/>
    <mergeCell ref="N304:O304"/>
    <mergeCell ref="P304:Q304"/>
    <mergeCell ref="R304:S304"/>
    <mergeCell ref="T304:U304"/>
    <mergeCell ref="B284:C284"/>
    <mergeCell ref="D284:E284"/>
    <mergeCell ref="F284:G284"/>
    <mergeCell ref="H284:I284"/>
    <mergeCell ref="J284:K284"/>
    <mergeCell ref="L284:M284"/>
    <mergeCell ref="N284:O284"/>
    <mergeCell ref="P284:Q284"/>
    <mergeCell ref="R284:S284"/>
    <mergeCell ref="T284:U284"/>
    <mergeCell ref="B288:C288"/>
    <mergeCell ref="D288:E288"/>
    <mergeCell ref="F288:G288"/>
    <mergeCell ref="H288:I288"/>
    <mergeCell ref="J288:K288"/>
    <mergeCell ref="L288:M288"/>
    <mergeCell ref="N288:O288"/>
    <mergeCell ref="P288:Q288"/>
    <mergeCell ref="D281:E281"/>
    <mergeCell ref="H281:I281"/>
    <mergeCell ref="L281:M281"/>
    <mergeCell ref="P281:Q281"/>
    <mergeCell ref="B282:C282"/>
    <mergeCell ref="D282:E282"/>
    <mergeCell ref="F282:G282"/>
    <mergeCell ref="H282:I282"/>
    <mergeCell ref="J282:K282"/>
    <mergeCell ref="L282:M282"/>
    <mergeCell ref="N282:O282"/>
    <mergeCell ref="P282:Q282"/>
    <mergeCell ref="R282:S282"/>
    <mergeCell ref="T282:U282"/>
    <mergeCell ref="B283:C283"/>
    <mergeCell ref="D283:E283"/>
    <mergeCell ref="F283:G283"/>
    <mergeCell ref="H283:I283"/>
    <mergeCell ref="J283:K283"/>
    <mergeCell ref="L283:M283"/>
    <mergeCell ref="N283:O283"/>
    <mergeCell ref="P283:Q283"/>
    <mergeCell ref="R283:S283"/>
    <mergeCell ref="T283:U283"/>
    <mergeCell ref="B268:C268"/>
    <mergeCell ref="D268:E268"/>
    <mergeCell ref="F268:G268"/>
    <mergeCell ref="H268:I268"/>
    <mergeCell ref="J268:K268"/>
    <mergeCell ref="L268:M268"/>
    <mergeCell ref="N268:O268"/>
    <mergeCell ref="P268:Q268"/>
    <mergeCell ref="D269:E269"/>
    <mergeCell ref="H269:I269"/>
    <mergeCell ref="L269:M269"/>
    <mergeCell ref="P269:Q269"/>
    <mergeCell ref="F271:H271"/>
    <mergeCell ref="I271:J271"/>
    <mergeCell ref="P271:R271"/>
    <mergeCell ref="S271:T271"/>
    <mergeCell ref="F272:H272"/>
    <mergeCell ref="I272:K272"/>
    <mergeCell ref="P272:R272"/>
    <mergeCell ref="S272:U272"/>
    <mergeCell ref="B263:C263"/>
    <mergeCell ref="D263:E263"/>
    <mergeCell ref="F263:G263"/>
    <mergeCell ref="H263:I263"/>
    <mergeCell ref="J263:K263"/>
    <mergeCell ref="L263:M263"/>
    <mergeCell ref="N263:O263"/>
    <mergeCell ref="P263:Q263"/>
    <mergeCell ref="R263:S263"/>
    <mergeCell ref="T263:U263"/>
    <mergeCell ref="B264:C264"/>
    <mergeCell ref="D264:E264"/>
    <mergeCell ref="F264:G264"/>
    <mergeCell ref="H264:I264"/>
    <mergeCell ref="J264:K264"/>
    <mergeCell ref="L264:M264"/>
    <mergeCell ref="N264:O264"/>
    <mergeCell ref="P264:Q264"/>
    <mergeCell ref="R264:S264"/>
    <mergeCell ref="T264:U264"/>
    <mergeCell ref="D247:E247"/>
    <mergeCell ref="H247:I247"/>
    <mergeCell ref="L247:M247"/>
    <mergeCell ref="P247:Q247"/>
    <mergeCell ref="F249:H249"/>
    <mergeCell ref="I249:J249"/>
    <mergeCell ref="P249:R249"/>
    <mergeCell ref="S249:T249"/>
    <mergeCell ref="F250:H250"/>
    <mergeCell ref="I250:K250"/>
    <mergeCell ref="P250:R250"/>
    <mergeCell ref="S250:U250"/>
    <mergeCell ref="D261:E261"/>
    <mergeCell ref="H261:I261"/>
    <mergeCell ref="L261:M261"/>
    <mergeCell ref="P261:Q261"/>
    <mergeCell ref="B262:C262"/>
    <mergeCell ref="D262:E262"/>
    <mergeCell ref="F262:G262"/>
    <mergeCell ref="H262:I262"/>
    <mergeCell ref="J262:K262"/>
    <mergeCell ref="L262:M262"/>
    <mergeCell ref="N262:O262"/>
    <mergeCell ref="P262:Q262"/>
    <mergeCell ref="R262:S262"/>
    <mergeCell ref="T262:U262"/>
    <mergeCell ref="B242:C242"/>
    <mergeCell ref="D242:E242"/>
    <mergeCell ref="F242:G242"/>
    <mergeCell ref="H242:I242"/>
    <mergeCell ref="J242:K242"/>
    <mergeCell ref="L242:M242"/>
    <mergeCell ref="N242:O242"/>
    <mergeCell ref="P242:Q242"/>
    <mergeCell ref="R242:S242"/>
    <mergeCell ref="T242:U242"/>
    <mergeCell ref="B246:C246"/>
    <mergeCell ref="D246:E246"/>
    <mergeCell ref="F246:G246"/>
    <mergeCell ref="H246:I246"/>
    <mergeCell ref="J246:K246"/>
    <mergeCell ref="L246:M246"/>
    <mergeCell ref="N246:O246"/>
    <mergeCell ref="P246:Q246"/>
    <mergeCell ref="D239:E239"/>
    <mergeCell ref="H239:I239"/>
    <mergeCell ref="L239:M239"/>
    <mergeCell ref="P239:Q239"/>
    <mergeCell ref="B240:C240"/>
    <mergeCell ref="D240:E240"/>
    <mergeCell ref="F240:G240"/>
    <mergeCell ref="H240:I240"/>
    <mergeCell ref="J240:K240"/>
    <mergeCell ref="L240:M240"/>
    <mergeCell ref="N240:O240"/>
    <mergeCell ref="P240:Q240"/>
    <mergeCell ref="R240:S240"/>
    <mergeCell ref="T240:U240"/>
    <mergeCell ref="B241:C241"/>
    <mergeCell ref="D241:E241"/>
    <mergeCell ref="F241:G241"/>
    <mergeCell ref="H241:I241"/>
    <mergeCell ref="J241:K241"/>
    <mergeCell ref="L241:M241"/>
    <mergeCell ref="N241:O241"/>
    <mergeCell ref="P241:Q241"/>
    <mergeCell ref="R241:S241"/>
    <mergeCell ref="T241:U241"/>
    <mergeCell ref="B226:C226"/>
    <mergeCell ref="D226:E226"/>
    <mergeCell ref="F226:G226"/>
    <mergeCell ref="H226:I226"/>
    <mergeCell ref="J226:K226"/>
    <mergeCell ref="L226:M226"/>
    <mergeCell ref="N226:O226"/>
    <mergeCell ref="P226:Q226"/>
    <mergeCell ref="D227:E227"/>
    <mergeCell ref="H227:I227"/>
    <mergeCell ref="L227:M227"/>
    <mergeCell ref="P227:Q227"/>
    <mergeCell ref="F229:H229"/>
    <mergeCell ref="I229:J229"/>
    <mergeCell ref="P229:R229"/>
    <mergeCell ref="S229:T229"/>
    <mergeCell ref="F230:H230"/>
    <mergeCell ref="I230:K230"/>
    <mergeCell ref="P230:R230"/>
    <mergeCell ref="S230:U230"/>
    <mergeCell ref="B221:C221"/>
    <mergeCell ref="D221:E221"/>
    <mergeCell ref="F221:G221"/>
    <mergeCell ref="H221:I221"/>
    <mergeCell ref="J221:K221"/>
    <mergeCell ref="L221:M221"/>
    <mergeCell ref="N221:O221"/>
    <mergeCell ref="P221:Q221"/>
    <mergeCell ref="R221:S221"/>
    <mergeCell ref="T221:U221"/>
    <mergeCell ref="B222:C222"/>
    <mergeCell ref="D222:E222"/>
    <mergeCell ref="F222:G222"/>
    <mergeCell ref="H222:I222"/>
    <mergeCell ref="J222:K222"/>
    <mergeCell ref="L222:M222"/>
    <mergeCell ref="N222:O222"/>
    <mergeCell ref="P222:Q222"/>
    <mergeCell ref="R222:S222"/>
    <mergeCell ref="T222:U222"/>
    <mergeCell ref="D205:E205"/>
    <mergeCell ref="H205:I205"/>
    <mergeCell ref="L205:M205"/>
    <mergeCell ref="P205:Q205"/>
    <mergeCell ref="F207:H207"/>
    <mergeCell ref="I207:J207"/>
    <mergeCell ref="P207:R207"/>
    <mergeCell ref="S207:T207"/>
    <mergeCell ref="F208:H208"/>
    <mergeCell ref="I208:K208"/>
    <mergeCell ref="P208:R208"/>
    <mergeCell ref="S208:U208"/>
    <mergeCell ref="D219:E219"/>
    <mergeCell ref="H219:I219"/>
    <mergeCell ref="L219:M219"/>
    <mergeCell ref="P219:Q219"/>
    <mergeCell ref="B220:C220"/>
    <mergeCell ref="D220:E220"/>
    <mergeCell ref="F220:G220"/>
    <mergeCell ref="H220:I220"/>
    <mergeCell ref="J220:K220"/>
    <mergeCell ref="L220:M220"/>
    <mergeCell ref="N220:O220"/>
    <mergeCell ref="P220:Q220"/>
    <mergeCell ref="R220:S220"/>
    <mergeCell ref="T220:U220"/>
    <mergeCell ref="B200:C200"/>
    <mergeCell ref="D200:E200"/>
    <mergeCell ref="F200:G200"/>
    <mergeCell ref="H200:I200"/>
    <mergeCell ref="J200:K200"/>
    <mergeCell ref="L200:M200"/>
    <mergeCell ref="N200:O200"/>
    <mergeCell ref="P200:Q200"/>
    <mergeCell ref="R200:S200"/>
    <mergeCell ref="T200:U200"/>
    <mergeCell ref="B204:C204"/>
    <mergeCell ref="D204:E204"/>
    <mergeCell ref="F204:G204"/>
    <mergeCell ref="H204:I204"/>
    <mergeCell ref="J204:K204"/>
    <mergeCell ref="L204:M204"/>
    <mergeCell ref="N204:O204"/>
    <mergeCell ref="P204:Q204"/>
    <mergeCell ref="D197:E197"/>
    <mergeCell ref="H197:I197"/>
    <mergeCell ref="L197:M197"/>
    <mergeCell ref="P197:Q197"/>
    <mergeCell ref="B198:C198"/>
    <mergeCell ref="D198:E198"/>
    <mergeCell ref="F198:G198"/>
    <mergeCell ref="H198:I198"/>
    <mergeCell ref="J198:K198"/>
    <mergeCell ref="L198:M198"/>
    <mergeCell ref="N198:O198"/>
    <mergeCell ref="P198:Q198"/>
    <mergeCell ref="R198:S198"/>
    <mergeCell ref="T198:U198"/>
    <mergeCell ref="B199:C199"/>
    <mergeCell ref="D199:E199"/>
    <mergeCell ref="F199:G199"/>
    <mergeCell ref="H199:I199"/>
    <mergeCell ref="J199:K199"/>
    <mergeCell ref="L199:M199"/>
    <mergeCell ref="N199:O199"/>
    <mergeCell ref="P199:Q199"/>
    <mergeCell ref="R199:S199"/>
    <mergeCell ref="T199:U199"/>
    <mergeCell ref="B184:C184"/>
    <mergeCell ref="D184:E184"/>
    <mergeCell ref="F184:G184"/>
    <mergeCell ref="H184:I184"/>
    <mergeCell ref="J184:K184"/>
    <mergeCell ref="L184:M184"/>
    <mergeCell ref="N184:O184"/>
    <mergeCell ref="P184:Q184"/>
    <mergeCell ref="D185:E185"/>
    <mergeCell ref="H185:I185"/>
    <mergeCell ref="L185:M185"/>
    <mergeCell ref="P185:Q185"/>
    <mergeCell ref="F187:H187"/>
    <mergeCell ref="I187:J187"/>
    <mergeCell ref="P187:R187"/>
    <mergeCell ref="S187:T187"/>
    <mergeCell ref="F188:H188"/>
    <mergeCell ref="I188:K188"/>
    <mergeCell ref="P188:R188"/>
    <mergeCell ref="S188:U188"/>
    <mergeCell ref="B179:C179"/>
    <mergeCell ref="D179:E179"/>
    <mergeCell ref="F179:G179"/>
    <mergeCell ref="H179:I179"/>
    <mergeCell ref="J179:K179"/>
    <mergeCell ref="L179:M179"/>
    <mergeCell ref="N179:O179"/>
    <mergeCell ref="P179:Q179"/>
    <mergeCell ref="R179:S179"/>
    <mergeCell ref="T179:U179"/>
    <mergeCell ref="B180:C180"/>
    <mergeCell ref="D180:E180"/>
    <mergeCell ref="F180:G180"/>
    <mergeCell ref="H180:I180"/>
    <mergeCell ref="J180:K180"/>
    <mergeCell ref="L180:M180"/>
    <mergeCell ref="N180:O180"/>
    <mergeCell ref="P180:Q180"/>
    <mergeCell ref="R180:S180"/>
    <mergeCell ref="T180:U180"/>
    <mergeCell ref="D163:E163"/>
    <mergeCell ref="H163:I163"/>
    <mergeCell ref="L163:M163"/>
    <mergeCell ref="P163:Q163"/>
    <mergeCell ref="F165:H165"/>
    <mergeCell ref="I165:J165"/>
    <mergeCell ref="P165:R165"/>
    <mergeCell ref="S165:T165"/>
    <mergeCell ref="F166:H166"/>
    <mergeCell ref="I166:K166"/>
    <mergeCell ref="P166:R166"/>
    <mergeCell ref="S166:U166"/>
    <mergeCell ref="D177:E177"/>
    <mergeCell ref="H177:I177"/>
    <mergeCell ref="L177:M177"/>
    <mergeCell ref="P177:Q177"/>
    <mergeCell ref="B178:C178"/>
    <mergeCell ref="D178:E178"/>
    <mergeCell ref="F178:G178"/>
    <mergeCell ref="H178:I178"/>
    <mergeCell ref="J178:K178"/>
    <mergeCell ref="L178:M178"/>
    <mergeCell ref="N178:O178"/>
    <mergeCell ref="P178:Q178"/>
    <mergeCell ref="R178:S178"/>
    <mergeCell ref="T178:U178"/>
    <mergeCell ref="B158:C158"/>
    <mergeCell ref="D158:E158"/>
    <mergeCell ref="F158:G158"/>
    <mergeCell ref="H158:I158"/>
    <mergeCell ref="J158:K158"/>
    <mergeCell ref="L158:M158"/>
    <mergeCell ref="N158:O158"/>
    <mergeCell ref="P158:Q158"/>
    <mergeCell ref="R158:S158"/>
    <mergeCell ref="T158:U158"/>
    <mergeCell ref="B162:C162"/>
    <mergeCell ref="D162:E162"/>
    <mergeCell ref="F162:G162"/>
    <mergeCell ref="H162:I162"/>
    <mergeCell ref="J162:K162"/>
    <mergeCell ref="L162:M162"/>
    <mergeCell ref="N162:O162"/>
    <mergeCell ref="P162:Q162"/>
    <mergeCell ref="D155:E155"/>
    <mergeCell ref="H155:I155"/>
    <mergeCell ref="L155:M155"/>
    <mergeCell ref="P155:Q155"/>
    <mergeCell ref="B156:C156"/>
    <mergeCell ref="D156:E156"/>
    <mergeCell ref="F156:G156"/>
    <mergeCell ref="H156:I156"/>
    <mergeCell ref="J156:K156"/>
    <mergeCell ref="L156:M156"/>
    <mergeCell ref="N156:O156"/>
    <mergeCell ref="P156:Q156"/>
    <mergeCell ref="R156:S156"/>
    <mergeCell ref="T156:U156"/>
    <mergeCell ref="B157:C157"/>
    <mergeCell ref="D157:E157"/>
    <mergeCell ref="F157:G157"/>
    <mergeCell ref="H157:I157"/>
    <mergeCell ref="J157:K157"/>
    <mergeCell ref="L157:M157"/>
    <mergeCell ref="N157:O157"/>
    <mergeCell ref="P157:Q157"/>
    <mergeCell ref="R157:S157"/>
    <mergeCell ref="T157:U157"/>
    <mergeCell ref="B142:C142"/>
    <mergeCell ref="D142:E142"/>
    <mergeCell ref="F142:G142"/>
    <mergeCell ref="H142:I142"/>
    <mergeCell ref="J142:K142"/>
    <mergeCell ref="L142:M142"/>
    <mergeCell ref="N142:O142"/>
    <mergeCell ref="P142:Q142"/>
    <mergeCell ref="D143:E143"/>
    <mergeCell ref="H143:I143"/>
    <mergeCell ref="L143:M143"/>
    <mergeCell ref="P143:Q143"/>
    <mergeCell ref="F145:H145"/>
    <mergeCell ref="I145:J145"/>
    <mergeCell ref="P145:R145"/>
    <mergeCell ref="S145:T145"/>
    <mergeCell ref="F146:H146"/>
    <mergeCell ref="I146:K146"/>
    <mergeCell ref="P146:R146"/>
    <mergeCell ref="S146:U146"/>
    <mergeCell ref="B137:C137"/>
    <mergeCell ref="D137:E137"/>
    <mergeCell ref="F137:G137"/>
    <mergeCell ref="H137:I137"/>
    <mergeCell ref="J137:K137"/>
    <mergeCell ref="L137:M137"/>
    <mergeCell ref="N137:O137"/>
    <mergeCell ref="P137:Q137"/>
    <mergeCell ref="R137:S137"/>
    <mergeCell ref="T137:U137"/>
    <mergeCell ref="B138:C138"/>
    <mergeCell ref="D138:E138"/>
    <mergeCell ref="F138:G138"/>
    <mergeCell ref="H138:I138"/>
    <mergeCell ref="J138:K138"/>
    <mergeCell ref="L138:M138"/>
    <mergeCell ref="N138:O138"/>
    <mergeCell ref="P138:Q138"/>
    <mergeCell ref="R138:S138"/>
    <mergeCell ref="T138:U138"/>
    <mergeCell ref="D121:E121"/>
    <mergeCell ref="H121:I121"/>
    <mergeCell ref="L121:M121"/>
    <mergeCell ref="P121:Q121"/>
    <mergeCell ref="F123:H123"/>
    <mergeCell ref="I123:J123"/>
    <mergeCell ref="P123:R123"/>
    <mergeCell ref="S123:T123"/>
    <mergeCell ref="F124:H124"/>
    <mergeCell ref="I124:K124"/>
    <mergeCell ref="P124:R124"/>
    <mergeCell ref="S124:U124"/>
    <mergeCell ref="D135:E135"/>
    <mergeCell ref="H135:I135"/>
    <mergeCell ref="L135:M135"/>
    <mergeCell ref="P135:Q135"/>
    <mergeCell ref="B136:C136"/>
    <mergeCell ref="D136:E136"/>
    <mergeCell ref="F136:G136"/>
    <mergeCell ref="H136:I136"/>
    <mergeCell ref="J136:K136"/>
    <mergeCell ref="L136:M136"/>
    <mergeCell ref="N136:O136"/>
    <mergeCell ref="P136:Q136"/>
    <mergeCell ref="R136:S136"/>
    <mergeCell ref="T136:U136"/>
    <mergeCell ref="B116:C116"/>
    <mergeCell ref="D116:E116"/>
    <mergeCell ref="F116:G116"/>
    <mergeCell ref="H116:I116"/>
    <mergeCell ref="J116:K116"/>
    <mergeCell ref="L116:M116"/>
    <mergeCell ref="N116:O116"/>
    <mergeCell ref="P116:Q116"/>
    <mergeCell ref="R116:S116"/>
    <mergeCell ref="T116:U116"/>
    <mergeCell ref="B120:C120"/>
    <mergeCell ref="D120:E120"/>
    <mergeCell ref="F120:G120"/>
    <mergeCell ref="H120:I120"/>
    <mergeCell ref="J120:K120"/>
    <mergeCell ref="L120:M120"/>
    <mergeCell ref="N120:O120"/>
    <mergeCell ref="P120:Q120"/>
    <mergeCell ref="D113:E113"/>
    <mergeCell ref="H113:I113"/>
    <mergeCell ref="L113:M113"/>
    <mergeCell ref="P113:Q113"/>
    <mergeCell ref="B114:C114"/>
    <mergeCell ref="D114:E114"/>
    <mergeCell ref="F114:G114"/>
    <mergeCell ref="H114:I114"/>
    <mergeCell ref="J114:K114"/>
    <mergeCell ref="L114:M114"/>
    <mergeCell ref="N114:O114"/>
    <mergeCell ref="P114:Q114"/>
    <mergeCell ref="R114:S114"/>
    <mergeCell ref="T114:U114"/>
    <mergeCell ref="B115:C115"/>
    <mergeCell ref="D115:E115"/>
    <mergeCell ref="F115:G115"/>
    <mergeCell ref="H115:I115"/>
    <mergeCell ref="J115:K115"/>
    <mergeCell ref="L115:M115"/>
    <mergeCell ref="N115:O115"/>
    <mergeCell ref="P115:Q115"/>
    <mergeCell ref="R115:S115"/>
    <mergeCell ref="T115:U115"/>
    <mergeCell ref="B100:C100"/>
    <mergeCell ref="D100:E100"/>
    <mergeCell ref="F100:G100"/>
    <mergeCell ref="H100:I100"/>
    <mergeCell ref="J100:K100"/>
    <mergeCell ref="L100:M100"/>
    <mergeCell ref="N100:O100"/>
    <mergeCell ref="P100:Q100"/>
    <mergeCell ref="D101:E101"/>
    <mergeCell ref="H101:I101"/>
    <mergeCell ref="L101:M101"/>
    <mergeCell ref="P101:Q101"/>
    <mergeCell ref="F103:H103"/>
    <mergeCell ref="I103:J103"/>
    <mergeCell ref="P103:R103"/>
    <mergeCell ref="S103:T103"/>
    <mergeCell ref="F104:H104"/>
    <mergeCell ref="I104:K104"/>
    <mergeCell ref="P104:R104"/>
    <mergeCell ref="S104:U104"/>
    <mergeCell ref="B95:C95"/>
    <mergeCell ref="D95:E95"/>
    <mergeCell ref="F95:G95"/>
    <mergeCell ref="H95:I95"/>
    <mergeCell ref="J95:K95"/>
    <mergeCell ref="L95:M95"/>
    <mergeCell ref="N95:O95"/>
    <mergeCell ref="P95:Q95"/>
    <mergeCell ref="R95:S95"/>
    <mergeCell ref="T95:U95"/>
    <mergeCell ref="B96:C96"/>
    <mergeCell ref="D96:E96"/>
    <mergeCell ref="F96:G96"/>
    <mergeCell ref="H96:I96"/>
    <mergeCell ref="J96:K96"/>
    <mergeCell ref="L96:M96"/>
    <mergeCell ref="N96:O96"/>
    <mergeCell ref="P96:Q96"/>
    <mergeCell ref="R96:S96"/>
    <mergeCell ref="T96:U96"/>
    <mergeCell ref="D79:E79"/>
    <mergeCell ref="H79:I79"/>
    <mergeCell ref="L79:M79"/>
    <mergeCell ref="P79:Q79"/>
    <mergeCell ref="F81:H81"/>
    <mergeCell ref="I81:J81"/>
    <mergeCell ref="P81:R81"/>
    <mergeCell ref="S81:T81"/>
    <mergeCell ref="F82:H82"/>
    <mergeCell ref="I82:K82"/>
    <mergeCell ref="P82:R82"/>
    <mergeCell ref="S82:U82"/>
    <mergeCell ref="D93:E93"/>
    <mergeCell ref="H93:I93"/>
    <mergeCell ref="L93:M93"/>
    <mergeCell ref="P93:Q93"/>
    <mergeCell ref="B94:C94"/>
    <mergeCell ref="D94:E94"/>
    <mergeCell ref="F94:G94"/>
    <mergeCell ref="H94:I94"/>
    <mergeCell ref="J94:K94"/>
    <mergeCell ref="L94:M94"/>
    <mergeCell ref="N94:O94"/>
    <mergeCell ref="P94:Q94"/>
    <mergeCell ref="R94:S94"/>
    <mergeCell ref="T94:U94"/>
    <mergeCell ref="B74:C74"/>
    <mergeCell ref="D74:E74"/>
    <mergeCell ref="F74:G74"/>
    <mergeCell ref="H74:I74"/>
    <mergeCell ref="J74:K74"/>
    <mergeCell ref="L74:M74"/>
    <mergeCell ref="N74:O74"/>
    <mergeCell ref="P74:Q74"/>
    <mergeCell ref="R74:S74"/>
    <mergeCell ref="T74:U74"/>
    <mergeCell ref="B78:C78"/>
    <mergeCell ref="D78:E78"/>
    <mergeCell ref="F78:G78"/>
    <mergeCell ref="H78:I78"/>
    <mergeCell ref="J78:K78"/>
    <mergeCell ref="L78:M78"/>
    <mergeCell ref="N78:O78"/>
    <mergeCell ref="P78:Q78"/>
    <mergeCell ref="D71:E71"/>
    <mergeCell ref="H71:I71"/>
    <mergeCell ref="L71:M71"/>
    <mergeCell ref="P71:Q71"/>
    <mergeCell ref="B72:C72"/>
    <mergeCell ref="D72:E72"/>
    <mergeCell ref="F72:G72"/>
    <mergeCell ref="H72:I72"/>
    <mergeCell ref="J72:K72"/>
    <mergeCell ref="L72:M72"/>
    <mergeCell ref="N72:O72"/>
    <mergeCell ref="P72:Q72"/>
    <mergeCell ref="R72:S72"/>
    <mergeCell ref="T72:U72"/>
    <mergeCell ref="B73:C73"/>
    <mergeCell ref="D73:E73"/>
    <mergeCell ref="F73:G73"/>
    <mergeCell ref="H73:I73"/>
    <mergeCell ref="J73:K73"/>
    <mergeCell ref="L73:M73"/>
    <mergeCell ref="N73:O73"/>
    <mergeCell ref="P73:Q73"/>
    <mergeCell ref="R73:S73"/>
    <mergeCell ref="T73:U73"/>
    <mergeCell ref="B58:C58"/>
    <mergeCell ref="D58:E58"/>
    <mergeCell ref="F58:G58"/>
    <mergeCell ref="H58:I58"/>
    <mergeCell ref="J58:K58"/>
    <mergeCell ref="L58:M58"/>
    <mergeCell ref="N58:O58"/>
    <mergeCell ref="P58:Q58"/>
    <mergeCell ref="D59:E59"/>
    <mergeCell ref="H59:I59"/>
    <mergeCell ref="L59:M59"/>
    <mergeCell ref="P59:Q59"/>
    <mergeCell ref="F61:H61"/>
    <mergeCell ref="I61:J61"/>
    <mergeCell ref="P61:R61"/>
    <mergeCell ref="F62:H62"/>
    <mergeCell ref="I62:K62"/>
    <mergeCell ref="P62:R62"/>
    <mergeCell ref="T52:U52"/>
    <mergeCell ref="B53:C53"/>
    <mergeCell ref="D53:E53"/>
    <mergeCell ref="F53:G53"/>
    <mergeCell ref="H53:I53"/>
    <mergeCell ref="J53:K53"/>
    <mergeCell ref="L53:M53"/>
    <mergeCell ref="N53:O53"/>
    <mergeCell ref="P53:Q53"/>
    <mergeCell ref="R53:S53"/>
    <mergeCell ref="T53:U53"/>
    <mergeCell ref="B54:C54"/>
    <mergeCell ref="D54:E54"/>
    <mergeCell ref="F54:G54"/>
    <mergeCell ref="H54:I54"/>
    <mergeCell ref="J54:K54"/>
    <mergeCell ref="L54:M54"/>
    <mergeCell ref="N54:O54"/>
    <mergeCell ref="P54:Q54"/>
    <mergeCell ref="R54:S54"/>
    <mergeCell ref="T54:U54"/>
    <mergeCell ref="D37:E37"/>
    <mergeCell ref="H37:I37"/>
    <mergeCell ref="L37:M37"/>
    <mergeCell ref="P37:Q37"/>
    <mergeCell ref="F39:H39"/>
    <mergeCell ref="I39:J39"/>
    <mergeCell ref="P39:R39"/>
    <mergeCell ref="F40:H40"/>
    <mergeCell ref="I40:K40"/>
    <mergeCell ref="P40:R40"/>
    <mergeCell ref="D51:E51"/>
    <mergeCell ref="H51:I51"/>
    <mergeCell ref="L51:M51"/>
    <mergeCell ref="P51:Q51"/>
    <mergeCell ref="B52:C52"/>
    <mergeCell ref="D52:E52"/>
    <mergeCell ref="F52:G52"/>
    <mergeCell ref="H52:I52"/>
    <mergeCell ref="J52:K52"/>
    <mergeCell ref="L52:M52"/>
    <mergeCell ref="N52:O52"/>
    <mergeCell ref="P52:Q52"/>
    <mergeCell ref="R52:S52"/>
    <mergeCell ref="B32:C32"/>
    <mergeCell ref="D32:E32"/>
    <mergeCell ref="F32:G32"/>
    <mergeCell ref="H32:I32"/>
    <mergeCell ref="J32:K32"/>
    <mergeCell ref="L32:M32"/>
    <mergeCell ref="N32:O32"/>
    <mergeCell ref="P32:Q32"/>
    <mergeCell ref="R32:S32"/>
    <mergeCell ref="T32:U32"/>
    <mergeCell ref="B36:C36"/>
    <mergeCell ref="D36:E36"/>
    <mergeCell ref="F36:G36"/>
    <mergeCell ref="H36:I36"/>
    <mergeCell ref="J36:K36"/>
    <mergeCell ref="L36:M36"/>
    <mergeCell ref="N36:O36"/>
    <mergeCell ref="P36:Q36"/>
    <mergeCell ref="R36:U36"/>
    <mergeCell ref="D29:E29"/>
    <mergeCell ref="H29:I29"/>
    <mergeCell ref="L29:M29"/>
    <mergeCell ref="P29:Q29"/>
    <mergeCell ref="B30:C30"/>
    <mergeCell ref="D30:E30"/>
    <mergeCell ref="F30:G30"/>
    <mergeCell ref="H30:I30"/>
    <mergeCell ref="J30:K30"/>
    <mergeCell ref="L30:M30"/>
    <mergeCell ref="N30:O30"/>
    <mergeCell ref="P30:Q30"/>
    <mergeCell ref="R30:S30"/>
    <mergeCell ref="T30:U30"/>
    <mergeCell ref="B31:C31"/>
    <mergeCell ref="D31:E31"/>
    <mergeCell ref="F31:G31"/>
    <mergeCell ref="H31:I31"/>
    <mergeCell ref="J31:K31"/>
    <mergeCell ref="L31:M31"/>
    <mergeCell ref="N31:O31"/>
    <mergeCell ref="P31:Q31"/>
    <mergeCell ref="R31:S31"/>
    <mergeCell ref="T31:U31"/>
    <mergeCell ref="N22:O22"/>
    <mergeCell ref="X22:Y22"/>
    <mergeCell ref="Z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N23:O23"/>
    <mergeCell ref="X23:Y23"/>
    <mergeCell ref="Z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D17:E17"/>
    <mergeCell ref="H17:I17"/>
    <mergeCell ref="L17:M17"/>
    <mergeCell ref="P17:Q17"/>
    <mergeCell ref="F19:H19"/>
    <mergeCell ref="I19:J19"/>
    <mergeCell ref="X19:AQ19"/>
    <mergeCell ref="F20:H20"/>
    <mergeCell ref="X20:AA20"/>
    <mergeCell ref="AB20:AE20"/>
    <mergeCell ref="AF20:AI20"/>
    <mergeCell ref="AJ20:AM20"/>
    <mergeCell ref="AN20:AQ20"/>
    <mergeCell ref="X21:Y21"/>
    <mergeCell ref="Z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L12:AM12"/>
    <mergeCell ref="AN12:AO12"/>
    <mergeCell ref="AP12:AQ12"/>
    <mergeCell ref="X15:AA15"/>
    <mergeCell ref="AB15:AE15"/>
    <mergeCell ref="AF15:AI15"/>
    <mergeCell ref="AJ15:AM15"/>
    <mergeCell ref="AN15:AQ15"/>
    <mergeCell ref="B16:C16"/>
    <mergeCell ref="D16:E16"/>
    <mergeCell ref="F16:G16"/>
    <mergeCell ref="H16:I16"/>
    <mergeCell ref="J16:K16"/>
    <mergeCell ref="L16:M16"/>
    <mergeCell ref="N16:O16"/>
    <mergeCell ref="P16:Q16"/>
    <mergeCell ref="R16:U16"/>
    <mergeCell ref="X16:AA16"/>
    <mergeCell ref="AB16:AE16"/>
    <mergeCell ref="AF16:AI16"/>
    <mergeCell ref="AJ16:AM16"/>
    <mergeCell ref="AN16:AQ16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  <mergeCell ref="X12:Y12"/>
    <mergeCell ref="Z12:AA12"/>
    <mergeCell ref="AB12:AC12"/>
    <mergeCell ref="AD12:AE12"/>
    <mergeCell ref="AF12:AG12"/>
    <mergeCell ref="AH12:AI12"/>
    <mergeCell ref="AJ12:AK12"/>
    <mergeCell ref="AN10:AO10"/>
    <mergeCell ref="AP10:AQ10"/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X11:AA11"/>
    <mergeCell ref="AB11:AE11"/>
    <mergeCell ref="AF11:AI11"/>
    <mergeCell ref="AJ11:AM11"/>
    <mergeCell ref="AN11:AQ11"/>
    <mergeCell ref="N2:O2"/>
    <mergeCell ref="AK2:AL2"/>
    <mergeCell ref="N3:O3"/>
    <mergeCell ref="AK3:AL3"/>
    <mergeCell ref="D9:E9"/>
    <mergeCell ref="H9:I9"/>
    <mergeCell ref="L9:M9"/>
    <mergeCell ref="P9:Q9"/>
    <mergeCell ref="X9:AA9"/>
    <mergeCell ref="AB9:AE9"/>
    <mergeCell ref="AF9:AI9"/>
    <mergeCell ref="AJ9:AM9"/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X10:Y10"/>
    <mergeCell ref="Z10:AA10"/>
    <mergeCell ref="AB10:AC10"/>
    <mergeCell ref="AD10:AE10"/>
    <mergeCell ref="AF10:AG10"/>
    <mergeCell ref="AH10:AI10"/>
    <mergeCell ref="AJ10:AK10"/>
    <mergeCell ref="AL10:AM10"/>
  </mergeCells>
  <pageMargins left="0.98425196850393704" right="0.39370078740157483" top="0.39370078740157483" bottom="2.5590551181102366" header="0.31496062992125984" footer="0.31496062992125984"/>
  <pageSetup paperSize="9" orientation="portrait" useFirstPageNumber="1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R673"/>
  <sheetViews>
    <sheetView view="pageLayout" zoomScale="115" zoomScaleNormal="100" workbookViewId="0"/>
  </sheetViews>
  <sheetFormatPr defaultColWidth="9.140625" defaultRowHeight="15" x14ac:dyDescent="0.25"/>
  <cols>
    <col min="1" max="1" width="3.7109375" customWidth="1"/>
    <col min="2" max="2" width="10" customWidth="1"/>
    <col min="3" max="3" width="20" customWidth="1"/>
    <col min="4" max="4" width="12.85546875" style="1" customWidth="1"/>
    <col min="5" max="5" width="35.5703125" style="1" customWidth="1"/>
    <col min="6" max="6" width="15.140625" customWidth="1"/>
    <col min="7" max="7" width="20" customWidth="1"/>
    <col min="8" max="8" width="15.140625" style="1" customWidth="1"/>
    <col min="9" max="9" width="12.85546875" style="1" customWidth="1"/>
    <col min="10" max="10" width="10.42578125" customWidth="1"/>
    <col min="11" max="11" width="20" customWidth="1"/>
    <col min="12" max="13" width="12.85546875" style="1" customWidth="1"/>
    <col min="14" max="14" width="10" customWidth="1"/>
    <col min="15" max="15" width="20" customWidth="1"/>
    <col min="16" max="17" width="14" style="1" customWidth="1"/>
    <col min="18" max="21" width="14" customWidth="1"/>
    <col min="22" max="23" width="3.7109375" customWidth="1"/>
    <col min="24" max="27" width="16.42578125" customWidth="1"/>
    <col min="28" max="28" width="35.5703125" customWidth="1"/>
    <col min="29" max="31" width="16.42578125" customWidth="1"/>
    <col min="32" max="37" width="10" customWidth="1"/>
    <col min="38" max="38" width="20" customWidth="1"/>
    <col min="39" max="43" width="10" customWidth="1"/>
    <col min="44" max="44" width="3.7109375" customWidth="1"/>
  </cols>
  <sheetData>
    <row r="1" spans="1:44" x14ac:dyDescent="0.25">
      <c r="A1" s="41"/>
      <c r="B1" s="41"/>
      <c r="C1" s="41"/>
      <c r="D1" s="42"/>
      <c r="E1" s="43"/>
      <c r="F1" s="41"/>
      <c r="G1" s="41"/>
      <c r="H1" s="42"/>
      <c r="I1" s="42"/>
      <c r="J1" s="41"/>
      <c r="K1" s="41"/>
      <c r="L1" s="42"/>
      <c r="M1" s="42"/>
      <c r="N1" s="41"/>
      <c r="O1" s="41"/>
      <c r="P1" s="42"/>
      <c r="Q1" s="42"/>
      <c r="R1" s="41"/>
      <c r="S1" s="41"/>
      <c r="T1" s="41"/>
      <c r="U1" s="41"/>
      <c r="V1" s="41"/>
      <c r="W1" s="41"/>
      <c r="X1" s="41"/>
      <c r="Y1" s="41"/>
      <c r="Z1" s="42"/>
      <c r="AA1" s="43"/>
      <c r="AB1" s="41"/>
      <c r="AC1" s="41"/>
      <c r="AD1" s="42"/>
      <c r="AE1" s="42"/>
      <c r="AF1" s="41"/>
      <c r="AG1" s="41"/>
      <c r="AH1" s="42"/>
      <c r="AI1" s="42"/>
      <c r="AJ1" s="41"/>
      <c r="AK1" s="41"/>
      <c r="AL1" s="42"/>
      <c r="AM1" s="42"/>
      <c r="AN1" s="41"/>
      <c r="AO1" s="41"/>
      <c r="AP1" s="41"/>
      <c r="AQ1" s="41"/>
      <c r="AR1" s="41"/>
    </row>
    <row r="2" spans="1:44" ht="15.6" customHeight="1" x14ac:dyDescent="0.3">
      <c r="A2" s="3"/>
      <c r="B2" s="3"/>
      <c r="C2" s="3"/>
      <c r="D2" s="4"/>
      <c r="E2" s="6" t="s">
        <v>1</v>
      </c>
      <c r="F2" s="3"/>
      <c r="G2" s="7"/>
      <c r="H2" s="8"/>
      <c r="I2" s="8"/>
      <c r="J2" s="7"/>
      <c r="K2" s="7"/>
      <c r="L2" s="8"/>
      <c r="M2" s="9" t="s">
        <v>2</v>
      </c>
      <c r="N2" s="66" t="s">
        <v>97</v>
      </c>
      <c r="O2" s="67"/>
      <c r="P2" s="4"/>
      <c r="Q2" s="4"/>
      <c r="R2" s="3"/>
      <c r="S2" s="3"/>
      <c r="T2" s="3"/>
      <c r="U2" s="3"/>
      <c r="V2" s="3"/>
      <c r="W2" s="3"/>
      <c r="X2" s="3"/>
      <c r="Y2" s="3"/>
      <c r="Z2" s="3"/>
      <c r="AA2" s="3"/>
      <c r="AB2" s="10" t="s">
        <v>1</v>
      </c>
      <c r="AC2" s="3"/>
      <c r="AD2" s="7"/>
      <c r="AE2" s="7"/>
      <c r="AF2" s="7"/>
      <c r="AG2" s="7"/>
      <c r="AH2" s="7"/>
      <c r="AI2" s="7"/>
      <c r="AJ2" s="11" t="s">
        <v>2</v>
      </c>
      <c r="AK2" s="68" t="s">
        <v>97</v>
      </c>
      <c r="AL2" s="68"/>
      <c r="AM2" s="3"/>
      <c r="AN2" s="3"/>
      <c r="AO2" s="3"/>
      <c r="AP2" s="3"/>
      <c r="AQ2" s="3"/>
      <c r="AR2" s="3"/>
    </row>
    <row r="3" spans="1:44" ht="15.6" customHeight="1" x14ac:dyDescent="0.3">
      <c r="A3" s="3"/>
      <c r="B3" s="3"/>
      <c r="C3" s="3"/>
      <c r="D3" s="4"/>
      <c r="E3" s="6" t="s">
        <v>4</v>
      </c>
      <c r="F3" s="3"/>
      <c r="G3" s="3"/>
      <c r="H3" s="4"/>
      <c r="I3" s="4"/>
      <c r="J3" s="13"/>
      <c r="K3" s="13"/>
      <c r="L3" s="14"/>
      <c r="M3" s="9" t="s">
        <v>5</v>
      </c>
      <c r="N3" s="69" t="str">
        <f>N2&amp;".3"</f>
        <v>1.1.3</v>
      </c>
      <c r="O3" s="69"/>
      <c r="P3" s="4"/>
      <c r="Q3" s="4"/>
      <c r="R3" s="3"/>
      <c r="S3" s="3"/>
      <c r="T3" s="3"/>
      <c r="U3" s="3"/>
      <c r="V3" s="3"/>
      <c r="W3" s="3"/>
      <c r="X3" s="3"/>
      <c r="Y3" s="3"/>
      <c r="Z3" s="3"/>
      <c r="AA3" s="3"/>
      <c r="AB3" s="10" t="s">
        <v>4</v>
      </c>
      <c r="AC3" s="3"/>
      <c r="AD3" s="3"/>
      <c r="AE3" s="3"/>
      <c r="AF3" s="3"/>
      <c r="AG3" s="13"/>
      <c r="AH3" s="13"/>
      <c r="AI3" s="13"/>
      <c r="AJ3" s="11" t="s">
        <v>5</v>
      </c>
      <c r="AK3" s="70" t="str">
        <f>AK2&amp;".3"</f>
        <v>1.1.3</v>
      </c>
      <c r="AL3" s="70"/>
      <c r="AM3" s="3"/>
      <c r="AN3" s="3"/>
      <c r="AO3" s="3"/>
      <c r="AP3" s="3"/>
      <c r="AQ3" s="3"/>
      <c r="AR3" s="3"/>
    </row>
    <row r="4" spans="1:44" ht="15.6" customHeight="1" x14ac:dyDescent="0.3">
      <c r="A4" s="3"/>
      <c r="B4" s="3"/>
      <c r="C4" s="3"/>
      <c r="D4" s="4"/>
      <c r="E4" s="4" t="s">
        <v>7</v>
      </c>
      <c r="F4" s="3"/>
      <c r="G4" s="3"/>
      <c r="H4" s="8"/>
      <c r="I4" s="8"/>
      <c r="J4" s="7"/>
      <c r="K4" s="7"/>
      <c r="L4" s="8"/>
      <c r="M4" s="16" t="s">
        <v>5</v>
      </c>
      <c r="N4" s="17">
        <v>1</v>
      </c>
      <c r="O4" s="3"/>
      <c r="P4" s="4"/>
      <c r="Q4" s="4"/>
      <c r="R4" s="3"/>
      <c r="S4" s="3"/>
      <c r="T4" s="3"/>
      <c r="U4" s="3"/>
      <c r="V4" s="3"/>
      <c r="W4" s="3"/>
      <c r="X4" s="3"/>
      <c r="Y4" s="3"/>
      <c r="Z4" s="3"/>
      <c r="AA4" s="3"/>
      <c r="AB4" s="3" t="s">
        <v>113</v>
      </c>
      <c r="AC4" s="3"/>
      <c r="AD4" s="3"/>
      <c r="AE4" s="7"/>
      <c r="AF4" s="7"/>
      <c r="AG4" s="7"/>
      <c r="AH4" s="7"/>
      <c r="AI4" s="7"/>
      <c r="AJ4" s="18" t="s">
        <v>5</v>
      </c>
      <c r="AK4" s="17">
        <v>1</v>
      </c>
      <c r="AL4" s="3"/>
      <c r="AM4" s="3"/>
      <c r="AN4" s="3"/>
      <c r="AO4" s="3"/>
      <c r="AP4" s="3"/>
      <c r="AQ4" s="3"/>
      <c r="AR4" s="3"/>
    </row>
    <row r="5" spans="1:44" ht="15.6" customHeight="1" x14ac:dyDescent="0.3">
      <c r="A5" s="3"/>
      <c r="B5" s="3"/>
      <c r="C5" s="3"/>
      <c r="D5" s="4"/>
      <c r="E5" s="4" t="s">
        <v>8</v>
      </c>
      <c r="F5" s="3"/>
      <c r="G5" s="3"/>
      <c r="H5" s="4"/>
      <c r="I5" s="4"/>
      <c r="J5" s="3"/>
      <c r="K5" s="3"/>
      <c r="L5" s="14"/>
      <c r="M5" s="16" t="s">
        <v>99</v>
      </c>
      <c r="N5" s="17" t="str">
        <f>"-"&amp;N2&amp;".5"</f>
        <v>-1.1.5</v>
      </c>
      <c r="O5" s="19"/>
      <c r="P5" s="4"/>
      <c r="Q5" s="4"/>
      <c r="R5" s="3"/>
      <c r="S5" s="3"/>
      <c r="T5" s="3"/>
      <c r="U5" s="3"/>
      <c r="V5" s="3"/>
      <c r="W5" s="3"/>
      <c r="X5" s="3"/>
      <c r="Y5" s="3"/>
      <c r="Z5" s="3"/>
      <c r="AA5" s="3"/>
      <c r="AB5" s="3" t="s">
        <v>8</v>
      </c>
      <c r="AC5" s="3"/>
      <c r="AD5" s="3"/>
      <c r="AE5" s="3"/>
      <c r="AF5" s="3"/>
      <c r="AG5" s="3"/>
      <c r="AH5" s="3"/>
      <c r="AI5" s="13"/>
      <c r="AJ5" s="18" t="s">
        <v>99</v>
      </c>
      <c r="AK5" s="17" t="str">
        <f>"-"&amp;AK2&amp;".6"</f>
        <v>-1.1.6</v>
      </c>
      <c r="AL5" s="20"/>
      <c r="AM5" s="3"/>
      <c r="AN5" s="3"/>
      <c r="AO5" s="3"/>
      <c r="AP5" s="3"/>
      <c r="AQ5" s="3"/>
      <c r="AR5" s="3"/>
    </row>
    <row r="6" spans="1:44" ht="15.6" customHeight="1" x14ac:dyDescent="0.3">
      <c r="A6" s="3"/>
      <c r="B6" s="3"/>
      <c r="C6" s="3"/>
      <c r="D6" s="4"/>
      <c r="E6" s="21" t="s">
        <v>10</v>
      </c>
      <c r="F6" s="3"/>
      <c r="G6" s="3"/>
      <c r="H6" s="4"/>
      <c r="I6" s="8"/>
      <c r="J6" s="7"/>
      <c r="K6" s="7"/>
      <c r="L6" s="8"/>
      <c r="M6" s="16" t="s">
        <v>5</v>
      </c>
      <c r="N6" s="22">
        <v>1</v>
      </c>
      <c r="O6" s="3"/>
      <c r="P6" s="4"/>
      <c r="Q6" s="4"/>
      <c r="R6" s="3"/>
      <c r="S6" s="3"/>
      <c r="T6" s="3"/>
      <c r="U6" s="3"/>
      <c r="V6" s="3"/>
      <c r="W6" s="3"/>
      <c r="X6" s="3"/>
      <c r="Y6" s="3"/>
      <c r="Z6" s="3"/>
      <c r="AA6" s="3"/>
      <c r="AB6" s="44" t="s">
        <v>10</v>
      </c>
      <c r="AC6" s="3"/>
      <c r="AD6" s="3"/>
      <c r="AE6" s="3"/>
      <c r="AF6" s="7"/>
      <c r="AG6" s="7"/>
      <c r="AH6" s="7"/>
      <c r="AI6" s="7"/>
      <c r="AJ6" s="18" t="s">
        <v>5</v>
      </c>
      <c r="AK6" s="17">
        <v>18</v>
      </c>
      <c r="AL6" s="3"/>
      <c r="AM6" s="3"/>
      <c r="AN6" s="3"/>
      <c r="AO6" s="3"/>
      <c r="AP6" s="3"/>
      <c r="AQ6" s="3"/>
      <c r="AR6" s="3"/>
    </row>
    <row r="7" spans="1:44" ht="15.6" customHeight="1" x14ac:dyDescent="0.25">
      <c r="A7" s="3"/>
      <c r="B7" s="3"/>
      <c r="C7" s="3"/>
      <c r="D7" s="4"/>
      <c r="E7" s="4"/>
      <c r="F7" s="3"/>
      <c r="G7" s="3"/>
      <c r="H7" s="4"/>
      <c r="I7" s="4"/>
      <c r="J7" s="3"/>
      <c r="K7" s="3"/>
      <c r="L7" s="4"/>
      <c r="M7" s="4"/>
      <c r="N7" s="3"/>
      <c r="O7" s="3"/>
      <c r="P7" s="4"/>
      <c r="Q7" s="4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23"/>
      <c r="AL7" s="3"/>
      <c r="AM7" s="3"/>
      <c r="AN7" s="3"/>
      <c r="AO7" s="3"/>
      <c r="AP7" s="3"/>
      <c r="AQ7" s="3"/>
      <c r="AR7" s="3"/>
    </row>
    <row r="8" spans="1:44" ht="15.6" customHeight="1" x14ac:dyDescent="0.25">
      <c r="A8" s="24"/>
      <c r="B8" s="25"/>
      <c r="C8" s="25"/>
      <c r="D8" s="26"/>
      <c r="E8" s="26"/>
      <c r="F8" s="25"/>
      <c r="G8" s="25"/>
      <c r="H8" s="26"/>
      <c r="I8" s="26"/>
      <c r="J8" s="25"/>
      <c r="K8" s="25"/>
      <c r="L8" s="26"/>
      <c r="M8" s="26"/>
      <c r="N8" s="25"/>
      <c r="O8" s="25"/>
      <c r="P8" s="26"/>
      <c r="Q8" s="26"/>
      <c r="R8" s="25"/>
      <c r="S8" s="25"/>
      <c r="T8" s="25"/>
      <c r="U8" s="25"/>
      <c r="V8" s="45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23"/>
      <c r="AL8" s="3"/>
      <c r="AM8" s="3"/>
      <c r="AN8" s="3"/>
      <c r="AO8" s="3"/>
      <c r="AP8" s="3"/>
      <c r="AQ8" s="3"/>
      <c r="AR8" s="3"/>
    </row>
    <row r="9" spans="1:44" ht="15.6" customHeight="1" x14ac:dyDescent="0.25">
      <c r="A9" s="27"/>
      <c r="B9" s="28"/>
      <c r="C9" s="28"/>
      <c r="D9" s="71">
        <v>1</v>
      </c>
      <c r="E9" s="72"/>
      <c r="F9" s="28"/>
      <c r="G9" s="28"/>
      <c r="H9" s="71">
        <v>2</v>
      </c>
      <c r="I9" s="72"/>
      <c r="J9" s="28"/>
      <c r="K9" s="28"/>
      <c r="L9" s="71">
        <v>3</v>
      </c>
      <c r="M9" s="72"/>
      <c r="N9" s="28"/>
      <c r="O9" s="28"/>
      <c r="P9" s="71">
        <v>4</v>
      </c>
      <c r="Q9" s="72"/>
      <c r="R9" s="28"/>
      <c r="S9" s="28"/>
      <c r="T9" s="28"/>
      <c r="U9" s="28"/>
      <c r="V9" s="46"/>
      <c r="W9" s="3"/>
      <c r="X9" s="88">
        <v>1</v>
      </c>
      <c r="Y9" s="89"/>
      <c r="Z9" s="89"/>
      <c r="AA9" s="90"/>
      <c r="AB9" s="88">
        <v>2</v>
      </c>
      <c r="AC9" s="89"/>
      <c r="AD9" s="89"/>
      <c r="AE9" s="90"/>
      <c r="AF9" s="88">
        <v>3</v>
      </c>
      <c r="AG9" s="89"/>
      <c r="AH9" s="89"/>
      <c r="AI9" s="90"/>
      <c r="AJ9" s="88">
        <v>4</v>
      </c>
      <c r="AK9" s="89"/>
      <c r="AL9" s="89"/>
      <c r="AM9" s="90"/>
      <c r="AN9" s="47"/>
      <c r="AO9" s="47"/>
      <c r="AP9" s="28"/>
      <c r="AQ9" s="28"/>
    </row>
    <row r="10" spans="1:44" ht="15.6" customHeight="1" x14ac:dyDescent="0.25">
      <c r="A10" s="27"/>
      <c r="B10" s="74" t="s">
        <v>11</v>
      </c>
      <c r="C10" s="74"/>
      <c r="D10" s="71" t="s">
        <v>12</v>
      </c>
      <c r="E10" s="72"/>
      <c r="F10" s="74" t="s">
        <v>11</v>
      </c>
      <c r="G10" s="74"/>
      <c r="H10" s="71" t="s">
        <v>12</v>
      </c>
      <c r="I10" s="72"/>
      <c r="J10" s="74" t="s">
        <v>11</v>
      </c>
      <c r="K10" s="74"/>
      <c r="L10" s="71" t="s">
        <v>12</v>
      </c>
      <c r="M10" s="72"/>
      <c r="N10" s="74" t="s">
        <v>11</v>
      </c>
      <c r="O10" s="74"/>
      <c r="P10" s="71" t="s">
        <v>12</v>
      </c>
      <c r="Q10" s="72"/>
      <c r="R10" s="74"/>
      <c r="S10" s="74"/>
      <c r="T10" s="74"/>
      <c r="U10" s="74"/>
      <c r="V10" s="48"/>
      <c r="W10" s="3"/>
      <c r="X10" s="91" t="s">
        <v>100</v>
      </c>
      <c r="Y10" s="91"/>
      <c r="Z10" s="88" t="s">
        <v>101</v>
      </c>
      <c r="AA10" s="90"/>
      <c r="AB10" s="92" t="s">
        <v>102</v>
      </c>
      <c r="AC10" s="92"/>
      <c r="AD10" s="88" t="s">
        <v>101</v>
      </c>
      <c r="AE10" s="90"/>
      <c r="AF10" s="91">
        <v>485</v>
      </c>
      <c r="AG10" s="91"/>
      <c r="AH10" s="88" t="s">
        <v>101</v>
      </c>
      <c r="AI10" s="90"/>
      <c r="AJ10" s="91">
        <v>485</v>
      </c>
      <c r="AK10" s="91"/>
      <c r="AL10" s="88" t="s">
        <v>101</v>
      </c>
      <c r="AM10" s="90"/>
      <c r="AN10" s="91"/>
      <c r="AO10" s="91"/>
      <c r="AP10" s="74"/>
      <c r="AQ10" s="74"/>
    </row>
    <row r="11" spans="1:44" ht="15.6" customHeight="1" x14ac:dyDescent="0.25">
      <c r="A11" s="27"/>
      <c r="B11" s="76"/>
      <c r="C11" s="76"/>
      <c r="D11" s="77"/>
      <c r="E11" s="77"/>
      <c r="F11" s="76"/>
      <c r="G11" s="76"/>
      <c r="H11" s="77"/>
      <c r="I11" s="77"/>
      <c r="J11" s="76"/>
      <c r="K11" s="76"/>
      <c r="L11" s="77"/>
      <c r="M11" s="77"/>
      <c r="N11" s="76"/>
      <c r="O11" s="76"/>
      <c r="P11" s="77"/>
      <c r="Q11" s="77"/>
      <c r="R11" s="76"/>
      <c r="S11" s="76"/>
      <c r="T11" s="76"/>
      <c r="U11" s="76"/>
      <c r="V11" s="48"/>
      <c r="W11" s="3"/>
      <c r="X11" s="88" t="s">
        <v>103</v>
      </c>
      <c r="Y11" s="89"/>
      <c r="Z11" s="89"/>
      <c r="AA11" s="90"/>
      <c r="AB11" s="88" t="s">
        <v>104</v>
      </c>
      <c r="AC11" s="89"/>
      <c r="AD11" s="89"/>
      <c r="AE11" s="90"/>
      <c r="AF11" s="88" t="s">
        <v>105</v>
      </c>
      <c r="AG11" s="89"/>
      <c r="AH11" s="89"/>
      <c r="AI11" s="90"/>
      <c r="AJ11" s="88"/>
      <c r="AK11" s="89"/>
      <c r="AL11" s="89"/>
      <c r="AM11" s="90"/>
      <c r="AN11" s="88"/>
      <c r="AO11" s="89"/>
      <c r="AP11" s="89"/>
      <c r="AQ11" s="90"/>
    </row>
    <row r="12" spans="1:44" ht="15.6" customHeight="1" x14ac:dyDescent="0.25">
      <c r="A12" s="27"/>
      <c r="B12" s="74">
        <v>0</v>
      </c>
      <c r="C12" s="74"/>
      <c r="D12" s="78">
        <v>1</v>
      </c>
      <c r="E12" s="78"/>
      <c r="F12" s="74">
        <v>2</v>
      </c>
      <c r="G12" s="74"/>
      <c r="H12" s="78">
        <v>3</v>
      </c>
      <c r="I12" s="78"/>
      <c r="J12" s="74">
        <v>4</v>
      </c>
      <c r="K12" s="74"/>
      <c r="L12" s="78">
        <v>5</v>
      </c>
      <c r="M12" s="78"/>
      <c r="N12" s="74">
        <v>6</v>
      </c>
      <c r="O12" s="74"/>
      <c r="P12" s="78">
        <v>7</v>
      </c>
      <c r="Q12" s="78"/>
      <c r="R12" s="74">
        <v>8</v>
      </c>
      <c r="S12" s="74"/>
      <c r="T12" s="74">
        <v>9</v>
      </c>
      <c r="U12" s="74"/>
      <c r="V12" s="49"/>
      <c r="W12" s="3"/>
      <c r="X12" s="91">
        <v>0</v>
      </c>
      <c r="Y12" s="91"/>
      <c r="Z12" s="91">
        <v>1</v>
      </c>
      <c r="AA12" s="91"/>
      <c r="AB12" s="91">
        <v>2</v>
      </c>
      <c r="AC12" s="91"/>
      <c r="AD12" s="91">
        <v>3</v>
      </c>
      <c r="AE12" s="91"/>
      <c r="AF12" s="91">
        <v>4</v>
      </c>
      <c r="AG12" s="91"/>
      <c r="AH12" s="91">
        <v>5</v>
      </c>
      <c r="AI12" s="91"/>
      <c r="AJ12" s="91">
        <v>6</v>
      </c>
      <c r="AK12" s="91"/>
      <c r="AL12" s="91">
        <v>7</v>
      </c>
      <c r="AM12" s="91"/>
      <c r="AN12" s="91">
        <v>8</v>
      </c>
      <c r="AO12" s="91"/>
      <c r="AP12" s="74">
        <v>9</v>
      </c>
      <c r="AQ12" s="74"/>
    </row>
    <row r="13" spans="1:44" ht="15.6" customHeight="1" x14ac:dyDescent="0.25">
      <c r="A13" s="27"/>
      <c r="B13" s="28" t="s">
        <v>13</v>
      </c>
      <c r="C13" s="28" t="s">
        <v>14</v>
      </c>
      <c r="D13" s="31" t="s">
        <v>15</v>
      </c>
      <c r="E13" s="31" t="s">
        <v>16</v>
      </c>
      <c r="F13" s="28" t="s">
        <v>13</v>
      </c>
      <c r="G13" s="28" t="s">
        <v>14</v>
      </c>
      <c r="H13" s="31" t="s">
        <v>15</v>
      </c>
      <c r="I13" s="31" t="s">
        <v>16</v>
      </c>
      <c r="J13" s="28" t="s">
        <v>13</v>
      </c>
      <c r="K13" s="28" t="s">
        <v>14</v>
      </c>
      <c r="L13" s="31" t="s">
        <v>15</v>
      </c>
      <c r="M13" s="31" t="s">
        <v>16</v>
      </c>
      <c r="N13" s="28" t="s">
        <v>13</v>
      </c>
      <c r="O13" s="28" t="s">
        <v>14</v>
      </c>
      <c r="P13" s="31" t="s">
        <v>15</v>
      </c>
      <c r="Q13" s="31" t="s">
        <v>16</v>
      </c>
      <c r="R13" s="28" t="s">
        <v>13</v>
      </c>
      <c r="S13" s="28" t="s">
        <v>14</v>
      </c>
      <c r="T13" s="28" t="s">
        <v>15</v>
      </c>
      <c r="U13" s="28" t="s">
        <v>16</v>
      </c>
      <c r="V13" s="49"/>
      <c r="W13" s="3"/>
      <c r="X13" s="47">
        <v>1</v>
      </c>
      <c r="Y13" s="47">
        <v>2</v>
      </c>
      <c r="Z13" s="47">
        <v>5</v>
      </c>
      <c r="AA13" s="47"/>
      <c r="AB13" s="47">
        <v>1</v>
      </c>
      <c r="AC13" s="47">
        <v>2</v>
      </c>
      <c r="AD13" s="47">
        <v>5</v>
      </c>
      <c r="AE13" s="47"/>
      <c r="AF13" s="47">
        <v>1</v>
      </c>
      <c r="AG13" s="47">
        <v>2</v>
      </c>
      <c r="AH13" s="47">
        <v>5</v>
      </c>
      <c r="AI13" s="47"/>
      <c r="AJ13" s="47">
        <v>1</v>
      </c>
      <c r="AK13" s="47">
        <v>2</v>
      </c>
      <c r="AL13" s="47">
        <v>5</v>
      </c>
      <c r="AM13" s="47"/>
      <c r="AN13" s="47"/>
      <c r="AO13" s="47"/>
      <c r="AP13" s="28"/>
      <c r="AQ13" s="28"/>
    </row>
    <row r="14" spans="1:44" ht="15.6" customHeight="1" x14ac:dyDescent="0.25">
      <c r="A14" s="33"/>
      <c r="B14" s="34"/>
      <c r="C14" s="34"/>
      <c r="D14" s="35"/>
      <c r="E14" s="36"/>
      <c r="F14" s="34"/>
      <c r="G14" s="34"/>
      <c r="H14" s="35"/>
      <c r="I14" s="36"/>
      <c r="J14" s="34"/>
      <c r="K14" s="34"/>
      <c r="L14" s="35"/>
      <c r="M14" s="36"/>
      <c r="N14" s="34"/>
      <c r="O14" s="34"/>
      <c r="P14" s="35"/>
      <c r="Q14" s="36"/>
      <c r="R14" s="34"/>
      <c r="S14" s="34"/>
      <c r="T14" s="34"/>
      <c r="U14" s="34"/>
      <c r="V14" s="50"/>
      <c r="W14" s="3"/>
      <c r="X14" s="51"/>
      <c r="Y14" s="51"/>
      <c r="Z14" s="51"/>
      <c r="AA14" s="51"/>
      <c r="AB14" s="34"/>
      <c r="AC14" s="34"/>
      <c r="AD14" s="34"/>
      <c r="AE14" s="52"/>
      <c r="AF14" s="34"/>
      <c r="AG14" s="34"/>
      <c r="AH14" s="34"/>
      <c r="AI14" s="52"/>
      <c r="AJ14" s="34"/>
      <c r="AK14" s="53"/>
      <c r="AL14" s="34"/>
      <c r="AM14" s="52"/>
      <c r="AN14" s="34"/>
      <c r="AO14" s="34"/>
      <c r="AP14" s="34"/>
      <c r="AQ14" s="34"/>
    </row>
    <row r="15" spans="1:44" ht="15.6" customHeight="1" x14ac:dyDescent="0.25">
      <c r="A15" s="3"/>
      <c r="B15" s="30"/>
      <c r="C15" s="30"/>
      <c r="D15" s="54"/>
      <c r="E15" s="5"/>
      <c r="F15" s="30"/>
      <c r="G15" s="30"/>
      <c r="H15" s="54"/>
      <c r="I15" s="5"/>
      <c r="J15" s="30"/>
      <c r="K15" s="30"/>
      <c r="L15" s="54"/>
      <c r="M15" s="5"/>
      <c r="N15" s="30"/>
      <c r="O15" s="30"/>
      <c r="P15" s="54"/>
      <c r="Q15" s="5"/>
      <c r="R15" s="30"/>
      <c r="S15" s="30"/>
      <c r="T15" s="30"/>
      <c r="U15" s="30"/>
      <c r="V15" s="32"/>
      <c r="W15" s="55"/>
      <c r="X15" s="93" t="s">
        <v>106</v>
      </c>
      <c r="Y15" s="94"/>
      <c r="Z15" s="94"/>
      <c r="AA15" s="94"/>
      <c r="AB15" s="93" t="s">
        <v>106</v>
      </c>
      <c r="AC15" s="94"/>
      <c r="AD15" s="94"/>
      <c r="AE15" s="94"/>
      <c r="AF15" s="93"/>
      <c r="AG15" s="94"/>
      <c r="AH15" s="94"/>
      <c r="AI15" s="94"/>
      <c r="AJ15" s="93"/>
      <c r="AK15" s="94"/>
      <c r="AL15" s="94"/>
      <c r="AM15" s="94"/>
      <c r="AN15" s="93"/>
      <c r="AO15" s="94"/>
      <c r="AP15" s="94"/>
      <c r="AQ15" s="94"/>
    </row>
    <row r="16" spans="1:44" ht="15.6" customHeight="1" x14ac:dyDescent="0.25">
      <c r="A16" s="3"/>
      <c r="B16" s="95"/>
      <c r="C16" s="96"/>
      <c r="D16" s="97"/>
      <c r="E16" s="98"/>
      <c r="F16" s="95"/>
      <c r="G16" s="96"/>
      <c r="H16" s="97"/>
      <c r="I16" s="98"/>
      <c r="J16" s="95"/>
      <c r="K16" s="96"/>
      <c r="L16" s="97"/>
      <c r="M16" s="98"/>
      <c r="N16" s="95"/>
      <c r="O16" s="96"/>
      <c r="P16" s="97"/>
      <c r="Q16" s="98"/>
      <c r="R16" s="76"/>
      <c r="S16" s="76"/>
      <c r="T16" s="76"/>
      <c r="U16" s="76"/>
      <c r="V16" s="32"/>
      <c r="W16" s="55"/>
      <c r="X16" s="99" t="s">
        <v>107</v>
      </c>
      <c r="Y16" s="100"/>
      <c r="Z16" s="100"/>
      <c r="AA16" s="100"/>
      <c r="AB16" s="99" t="s">
        <v>107</v>
      </c>
      <c r="AC16" s="100"/>
      <c r="AD16" s="100"/>
      <c r="AE16" s="100"/>
      <c r="AF16" s="99"/>
      <c r="AG16" s="100"/>
      <c r="AH16" s="100"/>
      <c r="AI16" s="100"/>
      <c r="AJ16" s="99"/>
      <c r="AK16" s="100"/>
      <c r="AL16" s="100"/>
      <c r="AM16" s="100"/>
      <c r="AN16" s="99"/>
      <c r="AO16" s="100"/>
      <c r="AP16" s="100"/>
      <c r="AQ16" s="100"/>
    </row>
    <row r="17" spans="1:44" ht="15.6" customHeight="1" x14ac:dyDescent="0.25">
      <c r="A17" s="3"/>
      <c r="B17" s="40" t="str">
        <f>IF(D16&lt;1,"","пом.")</f>
        <v/>
      </c>
      <c r="C17" s="40"/>
      <c r="D17" s="85"/>
      <c r="E17" s="86"/>
      <c r="F17" s="40" t="str">
        <f>IF(H16&lt;1,"","пом.")</f>
        <v/>
      </c>
      <c r="G17" s="40"/>
      <c r="H17" s="85"/>
      <c r="I17" s="86"/>
      <c r="J17" s="40" t="str">
        <f>IF(L16&lt;1,"","пом.")</f>
        <v/>
      </c>
      <c r="K17" s="40"/>
      <c r="L17" s="85"/>
      <c r="M17" s="86"/>
      <c r="N17" s="40" t="str">
        <f>IF(P16&lt;1,"","пом.")</f>
        <v/>
      </c>
      <c r="O17" s="40"/>
      <c r="P17" s="85"/>
      <c r="Q17" s="86"/>
      <c r="R17" s="30"/>
      <c r="S17" s="30"/>
      <c r="T17" s="30"/>
      <c r="U17" s="30"/>
      <c r="V17" s="32"/>
      <c r="W17" s="55"/>
      <c r="X17" s="41"/>
      <c r="Y17" s="41"/>
      <c r="Z17" s="41"/>
      <c r="AA17" s="41"/>
      <c r="AB17" s="56"/>
      <c r="AC17" s="41"/>
      <c r="AD17" s="41"/>
      <c r="AE17" s="41"/>
      <c r="AF17" s="41"/>
      <c r="AG17" s="41"/>
      <c r="AH17" s="41"/>
      <c r="AI17" s="41"/>
      <c r="AJ17" s="41"/>
      <c r="AK17" s="57"/>
      <c r="AL17" s="41"/>
      <c r="AM17" s="41"/>
      <c r="AN17" s="41"/>
      <c r="AO17" s="41"/>
      <c r="AP17" s="41"/>
      <c r="AQ17" s="41"/>
    </row>
    <row r="18" spans="1:44" ht="15.6" customHeight="1" x14ac:dyDescent="0.25">
      <c r="A18" s="3"/>
      <c r="B18" s="3"/>
      <c r="C18" s="3"/>
      <c r="D18" s="4"/>
      <c r="E18" s="4"/>
      <c r="F18" s="3"/>
      <c r="G18" s="3"/>
      <c r="H18" s="4"/>
      <c r="I18" s="4"/>
      <c r="J18" s="3"/>
      <c r="K18" s="3"/>
      <c r="L18" s="4"/>
      <c r="M18" s="4"/>
      <c r="N18" s="3"/>
      <c r="O18" s="3"/>
      <c r="P18" s="4"/>
      <c r="Q18" s="4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</row>
    <row r="19" spans="1:44" ht="15.6" customHeight="1" x14ac:dyDescent="0.25">
      <c r="A19" s="3"/>
      <c r="B19" s="3"/>
      <c r="C19" s="3"/>
      <c r="D19" s="4"/>
      <c r="E19" s="5" t="s">
        <v>30</v>
      </c>
      <c r="F19" s="87" t="s">
        <v>31</v>
      </c>
      <c r="G19" s="87"/>
      <c r="H19" s="87"/>
      <c r="I19" s="87" t="s">
        <v>32</v>
      </c>
      <c r="J19" s="87"/>
      <c r="K19" s="3"/>
      <c r="L19" s="4"/>
      <c r="M19" s="4"/>
      <c r="N19" s="3"/>
      <c r="O19" s="30" t="s">
        <v>33</v>
      </c>
      <c r="P19" s="4" t="s">
        <v>34</v>
      </c>
      <c r="Q19" s="4"/>
      <c r="R19" s="3"/>
      <c r="S19" s="3" t="s">
        <v>35</v>
      </c>
      <c r="T19" s="3"/>
      <c r="U19" s="3"/>
      <c r="V19" s="3"/>
      <c r="W19" s="3"/>
      <c r="X19" s="101" t="s">
        <v>108</v>
      </c>
      <c r="Y19" s="102"/>
      <c r="Z19" s="102"/>
      <c r="AA19" s="102"/>
      <c r="AB19" s="102"/>
      <c r="AC19" s="102"/>
      <c r="AD19" s="102"/>
      <c r="AE19" s="102"/>
      <c r="AF19" s="102"/>
      <c r="AG19" s="102"/>
      <c r="AH19" s="102"/>
      <c r="AI19" s="102"/>
      <c r="AJ19" s="102"/>
      <c r="AK19" s="102"/>
      <c r="AL19" s="102"/>
      <c r="AM19" s="102"/>
      <c r="AN19" s="102"/>
      <c r="AO19" s="102"/>
      <c r="AP19" s="102"/>
      <c r="AQ19" s="103"/>
      <c r="AR19" s="3"/>
    </row>
    <row r="20" spans="1:44" ht="15.6" customHeight="1" x14ac:dyDescent="0.25">
      <c r="A20" s="3"/>
      <c r="B20" s="3"/>
      <c r="C20" s="3"/>
      <c r="D20" s="4"/>
      <c r="E20" s="5" t="s">
        <v>36</v>
      </c>
      <c r="F20" s="87" t="s">
        <v>37</v>
      </c>
      <c r="G20" s="87"/>
      <c r="H20" s="87"/>
      <c r="I20" s="4" t="s">
        <v>38</v>
      </c>
      <c r="J20" s="3"/>
      <c r="K20" s="3"/>
      <c r="L20" s="4"/>
      <c r="M20" s="4"/>
      <c r="N20" s="3"/>
      <c r="O20" s="30" t="s">
        <v>39</v>
      </c>
      <c r="P20" s="4" t="s">
        <v>34</v>
      </c>
      <c r="Q20" s="4"/>
      <c r="R20" s="3"/>
      <c r="S20" s="3" t="s">
        <v>40</v>
      </c>
      <c r="T20" s="3"/>
      <c r="U20" s="3"/>
      <c r="V20" s="3"/>
      <c r="W20" s="3"/>
      <c r="X20" s="104" t="s">
        <v>103</v>
      </c>
      <c r="Y20" s="105"/>
      <c r="Z20" s="105"/>
      <c r="AA20" s="106"/>
      <c r="AB20" s="104" t="s">
        <v>104</v>
      </c>
      <c r="AC20" s="105"/>
      <c r="AD20" s="105"/>
      <c r="AE20" s="106"/>
      <c r="AF20" s="104" t="s">
        <v>105</v>
      </c>
      <c r="AG20" s="105"/>
      <c r="AH20" s="105"/>
      <c r="AI20" s="106"/>
      <c r="AJ20" s="104" t="s">
        <v>110</v>
      </c>
      <c r="AK20" s="105"/>
      <c r="AL20" s="105"/>
      <c r="AM20" s="106"/>
      <c r="AN20" s="104"/>
      <c r="AO20" s="105"/>
      <c r="AP20" s="105"/>
      <c r="AQ20" s="106"/>
      <c r="AR20" s="3"/>
    </row>
    <row r="21" spans="1:44" ht="15.6" customHeight="1" x14ac:dyDescent="0.25">
      <c r="A21" s="41"/>
      <c r="B21" s="41"/>
      <c r="C21" s="41"/>
      <c r="D21" s="42"/>
      <c r="E21" s="43"/>
      <c r="F21" s="41"/>
      <c r="G21" s="41"/>
      <c r="H21" s="42"/>
      <c r="I21" s="42"/>
      <c r="J21" s="41"/>
      <c r="K21" s="41"/>
      <c r="L21" s="42"/>
      <c r="M21" s="42"/>
      <c r="N21" s="41"/>
      <c r="O21" s="41"/>
      <c r="P21" s="42"/>
      <c r="Q21" s="42"/>
      <c r="R21" s="41"/>
      <c r="S21" s="41"/>
      <c r="T21" s="41"/>
      <c r="U21" s="41"/>
      <c r="V21" s="41"/>
      <c r="W21" s="3"/>
      <c r="X21" s="107" t="s">
        <v>111</v>
      </c>
      <c r="Y21" s="108"/>
      <c r="Z21" s="108" t="s">
        <v>112</v>
      </c>
      <c r="AA21" s="109"/>
      <c r="AB21" s="107" t="s">
        <v>111</v>
      </c>
      <c r="AC21" s="108"/>
      <c r="AD21" s="108" t="s">
        <v>112</v>
      </c>
      <c r="AE21" s="109"/>
      <c r="AF21" s="107" t="s">
        <v>111</v>
      </c>
      <c r="AG21" s="108"/>
      <c r="AH21" s="108" t="s">
        <v>112</v>
      </c>
      <c r="AI21" s="109"/>
      <c r="AJ21" s="107" t="s">
        <v>111</v>
      </c>
      <c r="AK21" s="108"/>
      <c r="AL21" s="108" t="s">
        <v>112</v>
      </c>
      <c r="AM21" s="109"/>
      <c r="AN21" s="107"/>
      <c r="AO21" s="108"/>
      <c r="AP21" s="108"/>
      <c r="AQ21" s="109"/>
      <c r="AR21" s="3"/>
    </row>
    <row r="22" spans="1:44" ht="15.6" customHeight="1" x14ac:dyDescent="0.3">
      <c r="A22" s="3"/>
      <c r="B22" s="3"/>
      <c r="C22" s="3"/>
      <c r="D22" s="4"/>
      <c r="E22" s="6" t="s">
        <v>1</v>
      </c>
      <c r="F22" s="3"/>
      <c r="G22" s="7"/>
      <c r="H22" s="8"/>
      <c r="I22" s="8"/>
      <c r="J22" s="7"/>
      <c r="K22" s="7"/>
      <c r="L22" s="8"/>
      <c r="M22" s="9" t="s">
        <v>2</v>
      </c>
      <c r="N22" s="68" t="str">
        <f>N2</f>
        <v>1.1</v>
      </c>
      <c r="O22" s="68"/>
      <c r="P22" s="4"/>
      <c r="Q22" s="4"/>
      <c r="R22" s="3"/>
      <c r="S22" s="3"/>
      <c r="T22" s="3"/>
      <c r="U22" s="3"/>
      <c r="V22" s="3"/>
      <c r="W22" s="3"/>
      <c r="X22" s="110" t="s">
        <v>100</v>
      </c>
      <c r="Y22" s="91"/>
      <c r="Z22" s="108">
        <v>1</v>
      </c>
      <c r="AA22" s="109"/>
      <c r="AB22" s="111" t="s">
        <v>102</v>
      </c>
      <c r="AC22" s="92"/>
      <c r="AD22" s="108">
        <v>1</v>
      </c>
      <c r="AE22" s="109"/>
      <c r="AF22" s="107"/>
      <c r="AG22" s="108"/>
      <c r="AH22" s="108"/>
      <c r="AI22" s="109"/>
      <c r="AJ22" s="107"/>
      <c r="AK22" s="108"/>
      <c r="AL22" s="108"/>
      <c r="AM22" s="109"/>
      <c r="AN22" s="107"/>
      <c r="AO22" s="108"/>
      <c r="AP22" s="108"/>
      <c r="AQ22" s="109"/>
      <c r="AR22" s="3"/>
    </row>
    <row r="23" spans="1:44" ht="15.6" customHeight="1" x14ac:dyDescent="0.3">
      <c r="A23" s="3"/>
      <c r="B23" s="3"/>
      <c r="C23" s="3"/>
      <c r="D23" s="4"/>
      <c r="E23" s="6" t="s">
        <v>4</v>
      </c>
      <c r="F23" s="3"/>
      <c r="G23" s="3"/>
      <c r="H23" s="4"/>
      <c r="I23" s="4"/>
      <c r="J23" s="13"/>
      <c r="K23" s="13"/>
      <c r="L23" s="14"/>
      <c r="M23" s="9" t="s">
        <v>5</v>
      </c>
      <c r="N23" s="70" t="str">
        <f>N3</f>
        <v>1.1.3</v>
      </c>
      <c r="O23" s="70"/>
      <c r="P23" s="4"/>
      <c r="Q23" s="4"/>
      <c r="R23" s="3"/>
      <c r="S23" s="3"/>
      <c r="T23" s="3"/>
      <c r="U23" s="3"/>
      <c r="V23" s="3"/>
      <c r="W23" s="3"/>
      <c r="X23" s="112"/>
      <c r="Y23" s="113"/>
      <c r="Z23" s="113"/>
      <c r="AA23" s="114"/>
      <c r="AB23" s="115" t="s">
        <v>102</v>
      </c>
      <c r="AC23" s="116"/>
      <c r="AD23" s="113">
        <v>2</v>
      </c>
      <c r="AE23" s="114"/>
      <c r="AF23" s="112"/>
      <c r="AG23" s="113"/>
      <c r="AH23" s="113"/>
      <c r="AI23" s="114"/>
      <c r="AJ23" s="112"/>
      <c r="AK23" s="113"/>
      <c r="AL23" s="113"/>
      <c r="AM23" s="114"/>
      <c r="AN23" s="112"/>
      <c r="AO23" s="113"/>
      <c r="AP23" s="113"/>
      <c r="AQ23" s="114"/>
      <c r="AR23" s="3"/>
    </row>
    <row r="24" spans="1:44" ht="15.6" customHeight="1" x14ac:dyDescent="0.3">
      <c r="A24" s="3"/>
      <c r="B24" s="3"/>
      <c r="C24" s="3"/>
      <c r="D24" s="4"/>
      <c r="E24" s="4" t="s">
        <v>7</v>
      </c>
      <c r="F24" s="3"/>
      <c r="G24" s="3"/>
      <c r="H24" s="8"/>
      <c r="I24" s="8"/>
      <c r="J24" s="7"/>
      <c r="K24" s="7"/>
      <c r="L24" s="8"/>
      <c r="M24" s="16" t="s">
        <v>5</v>
      </c>
      <c r="N24" s="17">
        <f>N4</f>
        <v>1</v>
      </c>
      <c r="O24" s="3"/>
      <c r="P24" s="4"/>
      <c r="Q24" s="4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</row>
    <row r="25" spans="1:44" ht="15.6" customHeight="1" x14ac:dyDescent="0.3">
      <c r="A25" s="3"/>
      <c r="B25" s="3"/>
      <c r="C25" s="3"/>
      <c r="D25" s="4"/>
      <c r="E25" s="4" t="s">
        <v>8</v>
      </c>
      <c r="F25" s="3"/>
      <c r="G25" s="3"/>
      <c r="H25" s="4"/>
      <c r="I25" s="4"/>
      <c r="J25" s="3"/>
      <c r="K25" s="3"/>
      <c r="L25" s="14"/>
      <c r="M25" s="16" t="s">
        <v>99</v>
      </c>
      <c r="N25" s="17" t="str">
        <f>IF(N5="-"&amp;N2&amp;".5",IF(N6=15,"-"&amp;N2&amp;".6","-"&amp;N2&amp;".5"),N5)</f>
        <v>-1.1.5</v>
      </c>
      <c r="O25" s="19"/>
      <c r="P25" s="4"/>
      <c r="Q25" s="4"/>
      <c r="R25" s="3"/>
      <c r="S25" s="3"/>
      <c r="T25" s="3"/>
      <c r="U25" s="3"/>
      <c r="V25" s="3"/>
      <c r="W25" s="41"/>
      <c r="X25" s="41"/>
      <c r="Y25" s="41"/>
      <c r="Z25" s="42"/>
      <c r="AA25" s="43"/>
      <c r="AB25" s="41"/>
      <c r="AC25" s="41"/>
      <c r="AD25" s="42"/>
      <c r="AE25" s="42"/>
      <c r="AF25" s="41"/>
      <c r="AG25" s="41"/>
      <c r="AH25" s="42"/>
      <c r="AI25" s="42"/>
      <c r="AJ25" s="41"/>
      <c r="AK25" s="41"/>
      <c r="AL25" s="42"/>
      <c r="AM25" s="42"/>
      <c r="AN25" s="41"/>
      <c r="AO25" s="41"/>
      <c r="AP25" s="41"/>
      <c r="AQ25" s="41"/>
      <c r="AR25" s="41"/>
    </row>
    <row r="26" spans="1:44" ht="15.6" customHeight="1" x14ac:dyDescent="0.3">
      <c r="A26" s="3"/>
      <c r="B26" s="3"/>
      <c r="C26" s="3"/>
      <c r="D26" s="4"/>
      <c r="E26" s="21" t="s">
        <v>10</v>
      </c>
      <c r="F26" s="3"/>
      <c r="G26" s="3"/>
      <c r="H26" s="4"/>
      <c r="I26" s="8"/>
      <c r="J26" s="7"/>
      <c r="K26" s="7"/>
      <c r="L26" s="8"/>
      <c r="M26" s="16" t="s">
        <v>5</v>
      </c>
      <c r="N26" s="17">
        <f>IF(N25="-"&amp;N2&amp;".5",N6+1,1)</f>
        <v>2</v>
      </c>
      <c r="O26" s="3"/>
      <c r="P26" s="4"/>
      <c r="Q26" s="4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</row>
    <row r="27" spans="1:44" ht="7.15" customHeight="1" x14ac:dyDescent="0.25">
      <c r="A27" s="3"/>
      <c r="B27" s="3"/>
      <c r="C27" s="3"/>
      <c r="D27" s="4"/>
      <c r="E27" s="4"/>
      <c r="F27" s="3"/>
      <c r="G27" s="3"/>
      <c r="H27" s="4"/>
      <c r="I27" s="4"/>
      <c r="J27" s="3"/>
      <c r="K27" s="3"/>
      <c r="L27" s="4"/>
      <c r="M27" s="4"/>
      <c r="N27" s="3"/>
      <c r="O27" s="3"/>
      <c r="P27" s="4"/>
      <c r="Q27" s="4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</row>
    <row r="28" spans="1:44" ht="15.6" customHeight="1" x14ac:dyDescent="0.25">
      <c r="A28" s="24"/>
      <c r="B28" s="25"/>
      <c r="C28" s="25"/>
      <c r="D28" s="26"/>
      <c r="E28" s="26"/>
      <c r="F28" s="25"/>
      <c r="G28" s="25"/>
      <c r="H28" s="26"/>
      <c r="I28" s="26"/>
      <c r="J28" s="25"/>
      <c r="K28" s="25"/>
      <c r="L28" s="26"/>
      <c r="M28" s="26"/>
      <c r="N28" s="25"/>
      <c r="O28" s="25"/>
      <c r="P28" s="26"/>
      <c r="Q28" s="26"/>
      <c r="R28" s="25"/>
      <c r="S28" s="25"/>
      <c r="T28" s="25"/>
      <c r="U28" s="25"/>
      <c r="V28" s="45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</row>
    <row r="29" spans="1:44" ht="15.6" customHeight="1" x14ac:dyDescent="0.25">
      <c r="A29" s="27"/>
      <c r="B29" s="28"/>
      <c r="C29" s="28"/>
      <c r="D29" s="71">
        <v>1</v>
      </c>
      <c r="E29" s="72"/>
      <c r="F29" s="28"/>
      <c r="G29" s="28"/>
      <c r="H29" s="71">
        <v>2</v>
      </c>
      <c r="I29" s="72"/>
      <c r="J29" s="28"/>
      <c r="K29" s="28"/>
      <c r="L29" s="71">
        <v>3</v>
      </c>
      <c r="M29" s="72"/>
      <c r="N29" s="28"/>
      <c r="O29" s="28"/>
      <c r="P29" s="71">
        <v>4</v>
      </c>
      <c r="Q29" s="72"/>
      <c r="R29" s="28"/>
      <c r="S29" s="28"/>
      <c r="T29" s="28"/>
      <c r="U29" s="28"/>
      <c r="V29" s="46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</row>
    <row r="30" spans="1:44" ht="15.6" customHeight="1" x14ac:dyDescent="0.25">
      <c r="A30" s="27"/>
      <c r="B30" s="74" t="s">
        <v>11</v>
      </c>
      <c r="C30" s="74"/>
      <c r="D30" s="71" t="s">
        <v>12</v>
      </c>
      <c r="E30" s="72"/>
      <c r="F30" s="74" t="s">
        <v>11</v>
      </c>
      <c r="G30" s="74"/>
      <c r="H30" s="71" t="s">
        <v>12</v>
      </c>
      <c r="I30" s="72"/>
      <c r="J30" s="74" t="s">
        <v>11</v>
      </c>
      <c r="K30" s="74"/>
      <c r="L30" s="71" t="s">
        <v>12</v>
      </c>
      <c r="M30" s="72"/>
      <c r="N30" s="74" t="s">
        <v>11</v>
      </c>
      <c r="O30" s="74"/>
      <c r="P30" s="71" t="s">
        <v>12</v>
      </c>
      <c r="Q30" s="72"/>
      <c r="R30" s="74"/>
      <c r="S30" s="74"/>
      <c r="T30" s="74"/>
      <c r="U30" s="74"/>
      <c r="V30" s="48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</row>
    <row r="31" spans="1:44" ht="15.6" customHeight="1" x14ac:dyDescent="0.25">
      <c r="A31" s="27"/>
      <c r="B31" s="76"/>
      <c r="C31" s="76"/>
      <c r="D31" s="77"/>
      <c r="E31" s="77"/>
      <c r="F31" s="76"/>
      <c r="G31" s="76"/>
      <c r="H31" s="77"/>
      <c r="I31" s="77"/>
      <c r="J31" s="76"/>
      <c r="K31" s="76"/>
      <c r="L31" s="77"/>
      <c r="M31" s="77"/>
      <c r="N31" s="76"/>
      <c r="O31" s="76"/>
      <c r="P31" s="77"/>
      <c r="Q31" s="77"/>
      <c r="R31" s="76"/>
      <c r="S31" s="76"/>
      <c r="T31" s="76"/>
      <c r="U31" s="76"/>
      <c r="V31" s="48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</row>
    <row r="32" spans="1:44" ht="15.6" customHeight="1" x14ac:dyDescent="0.25">
      <c r="A32" s="27"/>
      <c r="B32" s="74">
        <v>0</v>
      </c>
      <c r="C32" s="74"/>
      <c r="D32" s="78">
        <v>1</v>
      </c>
      <c r="E32" s="78"/>
      <c r="F32" s="74">
        <v>2</v>
      </c>
      <c r="G32" s="74"/>
      <c r="H32" s="78">
        <v>3</v>
      </c>
      <c r="I32" s="78"/>
      <c r="J32" s="74">
        <v>4</v>
      </c>
      <c r="K32" s="74"/>
      <c r="L32" s="78">
        <v>5</v>
      </c>
      <c r="M32" s="78"/>
      <c r="N32" s="74">
        <v>6</v>
      </c>
      <c r="O32" s="74"/>
      <c r="P32" s="78">
        <v>7</v>
      </c>
      <c r="Q32" s="78"/>
      <c r="R32" s="74">
        <v>8</v>
      </c>
      <c r="S32" s="74"/>
      <c r="T32" s="74">
        <v>9</v>
      </c>
      <c r="U32" s="74"/>
      <c r="V32" s="49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</row>
    <row r="33" spans="1:44" ht="15.6" customHeight="1" x14ac:dyDescent="0.25">
      <c r="A33" s="27"/>
      <c r="B33" s="28" t="s">
        <v>13</v>
      </c>
      <c r="C33" s="28" t="s">
        <v>14</v>
      </c>
      <c r="D33" s="31" t="s">
        <v>15</v>
      </c>
      <c r="E33" s="31" t="s">
        <v>16</v>
      </c>
      <c r="F33" s="28" t="s">
        <v>13</v>
      </c>
      <c r="G33" s="28" t="s">
        <v>14</v>
      </c>
      <c r="H33" s="31" t="s">
        <v>15</v>
      </c>
      <c r="I33" s="31" t="s">
        <v>16</v>
      </c>
      <c r="J33" s="28" t="s">
        <v>13</v>
      </c>
      <c r="K33" s="28" t="s">
        <v>14</v>
      </c>
      <c r="L33" s="31" t="s">
        <v>15</v>
      </c>
      <c r="M33" s="31" t="s">
        <v>16</v>
      </c>
      <c r="N33" s="28" t="s">
        <v>13</v>
      </c>
      <c r="O33" s="28" t="s">
        <v>14</v>
      </c>
      <c r="P33" s="31" t="s">
        <v>15</v>
      </c>
      <c r="Q33" s="31" t="s">
        <v>16</v>
      </c>
      <c r="R33" s="28" t="s">
        <v>13</v>
      </c>
      <c r="S33" s="28" t="s">
        <v>14</v>
      </c>
      <c r="T33" s="28" t="s">
        <v>15</v>
      </c>
      <c r="U33" s="28" t="s">
        <v>16</v>
      </c>
      <c r="V33" s="49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</row>
    <row r="34" spans="1:44" ht="15.6" customHeight="1" x14ac:dyDescent="0.25">
      <c r="A34" s="33"/>
      <c r="B34" s="34"/>
      <c r="C34" s="34"/>
      <c r="D34" s="35"/>
      <c r="E34" s="36"/>
      <c r="F34" s="34"/>
      <c r="G34" s="34"/>
      <c r="H34" s="35"/>
      <c r="I34" s="36"/>
      <c r="J34" s="34"/>
      <c r="K34" s="34"/>
      <c r="L34" s="35"/>
      <c r="M34" s="36"/>
      <c r="N34" s="34"/>
      <c r="O34" s="34"/>
      <c r="P34" s="35"/>
      <c r="Q34" s="36"/>
      <c r="R34" s="34"/>
      <c r="S34" s="34"/>
      <c r="T34" s="34"/>
      <c r="U34" s="34"/>
      <c r="V34" s="50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</row>
    <row r="35" spans="1:44" ht="7.15" customHeight="1" x14ac:dyDescent="0.25">
      <c r="A35" s="3"/>
      <c r="B35" s="30"/>
      <c r="C35" s="30"/>
      <c r="D35" s="54"/>
      <c r="E35" s="5"/>
      <c r="F35" s="30"/>
      <c r="G35" s="30"/>
      <c r="H35" s="54"/>
      <c r="I35" s="5"/>
      <c r="J35" s="30"/>
      <c r="K35" s="30"/>
      <c r="L35" s="54"/>
      <c r="M35" s="5"/>
      <c r="N35" s="30"/>
      <c r="O35" s="30"/>
      <c r="P35" s="54"/>
      <c r="Q35" s="5"/>
      <c r="R35" s="30"/>
      <c r="S35" s="30"/>
      <c r="T35" s="30"/>
      <c r="U35" s="30"/>
      <c r="V35" s="32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</row>
    <row r="36" spans="1:44" ht="15.6" customHeight="1" x14ac:dyDescent="0.25">
      <c r="A36" s="3"/>
      <c r="B36" s="95"/>
      <c r="C36" s="96"/>
      <c r="D36" s="97"/>
      <c r="E36" s="98"/>
      <c r="F36" s="95"/>
      <c r="G36" s="96"/>
      <c r="H36" s="97"/>
      <c r="I36" s="98"/>
      <c r="J36" s="95"/>
      <c r="K36" s="96"/>
      <c r="L36" s="97"/>
      <c r="M36" s="98"/>
      <c r="N36" s="95"/>
      <c r="O36" s="96"/>
      <c r="P36" s="97"/>
      <c r="Q36" s="98"/>
      <c r="R36" s="76"/>
      <c r="S36" s="76"/>
      <c r="T36" s="76"/>
      <c r="U36" s="76"/>
      <c r="V36" s="32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</row>
    <row r="37" spans="1:44" ht="15.6" customHeight="1" x14ac:dyDescent="0.25">
      <c r="A37" s="3"/>
      <c r="B37" s="40" t="str">
        <f>IF(D36&lt;1,"","пом.")</f>
        <v/>
      </c>
      <c r="C37" s="40"/>
      <c r="D37" s="85"/>
      <c r="E37" s="86"/>
      <c r="F37" s="40" t="str">
        <f>IF(H36&lt;1,"","пом.")</f>
        <v/>
      </c>
      <c r="G37" s="40"/>
      <c r="H37" s="85"/>
      <c r="I37" s="86"/>
      <c r="J37" s="40" t="str">
        <f>IF(L36&lt;1,"","пом.")</f>
        <v/>
      </c>
      <c r="K37" s="40"/>
      <c r="L37" s="85"/>
      <c r="M37" s="86"/>
      <c r="N37" s="40" t="str">
        <f>IF(P36&lt;1,"","пом.")</f>
        <v/>
      </c>
      <c r="O37" s="40"/>
      <c r="P37" s="85"/>
      <c r="Q37" s="86"/>
      <c r="R37" s="30"/>
      <c r="S37" s="30"/>
      <c r="T37" s="30"/>
      <c r="U37" s="30"/>
      <c r="V37" s="32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</row>
    <row r="38" spans="1:44" ht="4.9000000000000004" customHeight="1" x14ac:dyDescent="0.25">
      <c r="A38" s="3"/>
      <c r="B38" s="3"/>
      <c r="C38" s="3"/>
      <c r="D38" s="4"/>
      <c r="E38" s="4"/>
      <c r="F38" s="3"/>
      <c r="G38" s="3"/>
      <c r="H38" s="4"/>
      <c r="I38" s="4"/>
      <c r="J38" s="3"/>
      <c r="K38" s="3"/>
      <c r="L38" s="4"/>
      <c r="M38" s="4"/>
      <c r="N38" s="3"/>
      <c r="O38" s="3"/>
      <c r="P38" s="4"/>
      <c r="Q38" s="4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</row>
    <row r="39" spans="1:44" ht="15.6" customHeight="1" x14ac:dyDescent="0.25">
      <c r="A39" s="3"/>
      <c r="B39" s="3"/>
      <c r="C39" s="3"/>
      <c r="D39" s="4"/>
      <c r="E39" s="5" t="s">
        <v>30</v>
      </c>
      <c r="F39" s="87" t="s">
        <v>31</v>
      </c>
      <c r="G39" s="87"/>
      <c r="H39" s="87"/>
      <c r="I39" s="117" t="s">
        <v>32</v>
      </c>
      <c r="J39" s="117"/>
      <c r="K39" s="58"/>
      <c r="L39" s="4"/>
      <c r="M39" s="4"/>
      <c r="N39" s="3"/>
      <c r="O39" s="30" t="s">
        <v>33</v>
      </c>
      <c r="P39" s="87" t="s">
        <v>34</v>
      </c>
      <c r="Q39" s="87"/>
      <c r="R39" s="87"/>
      <c r="S39" s="3" t="s">
        <v>35</v>
      </c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</row>
    <row r="40" spans="1:44" ht="15.6" customHeight="1" x14ac:dyDescent="0.25">
      <c r="A40" s="3"/>
      <c r="B40" s="3"/>
      <c r="C40" s="3"/>
      <c r="D40" s="4"/>
      <c r="E40" s="5" t="s">
        <v>36</v>
      </c>
      <c r="F40" s="87" t="s">
        <v>37</v>
      </c>
      <c r="G40" s="87"/>
      <c r="H40" s="87"/>
      <c r="I40" s="117" t="s">
        <v>38</v>
      </c>
      <c r="J40" s="117"/>
      <c r="K40" s="117"/>
      <c r="L40" s="4"/>
      <c r="M40" s="4"/>
      <c r="N40" s="3"/>
      <c r="O40" s="30" t="s">
        <v>39</v>
      </c>
      <c r="P40" s="87" t="s">
        <v>34</v>
      </c>
      <c r="Q40" s="87"/>
      <c r="R40" s="87"/>
      <c r="S40" s="3" t="s">
        <v>40</v>
      </c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</row>
    <row r="41" spans="1:44" ht="6.6" customHeight="1" x14ac:dyDescent="0.25">
      <c r="A41" s="3"/>
      <c r="B41" s="3"/>
      <c r="C41" s="3"/>
      <c r="D41" s="4"/>
      <c r="E41" s="4"/>
      <c r="F41" s="3"/>
      <c r="G41" s="3"/>
      <c r="H41" s="4"/>
      <c r="I41" s="4"/>
      <c r="J41" s="3"/>
      <c r="K41" s="3"/>
      <c r="L41" s="4"/>
      <c r="M41" s="4"/>
      <c r="N41" s="3"/>
      <c r="O41" s="3"/>
      <c r="P41" s="4"/>
      <c r="Q41" s="4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</row>
    <row r="42" spans="1:44" ht="15.6" customHeight="1" x14ac:dyDescent="0.25">
      <c r="A42" s="41"/>
      <c r="B42" s="41"/>
      <c r="C42" s="41"/>
      <c r="D42" s="42"/>
      <c r="E42" s="43"/>
      <c r="F42" s="41"/>
      <c r="G42" s="41"/>
      <c r="H42" s="42"/>
      <c r="I42" s="42"/>
      <c r="J42" s="41"/>
      <c r="K42" s="41"/>
      <c r="L42" s="42"/>
      <c r="M42" s="42"/>
      <c r="N42" s="41"/>
      <c r="O42" s="41"/>
      <c r="P42" s="42"/>
      <c r="Q42" s="42"/>
      <c r="R42" s="41"/>
      <c r="S42" s="41"/>
      <c r="T42" s="41"/>
      <c r="U42" s="41"/>
      <c r="V42" s="41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</row>
    <row r="43" spans="1:44" ht="15.6" customHeight="1" x14ac:dyDescent="0.25">
      <c r="A43" s="41"/>
      <c r="B43" s="41"/>
      <c r="C43" s="41"/>
      <c r="D43" s="42"/>
      <c r="E43" s="43"/>
      <c r="F43" s="41"/>
      <c r="G43" s="41"/>
      <c r="H43" s="42"/>
      <c r="I43" s="42"/>
      <c r="J43" s="41"/>
      <c r="K43" s="41"/>
      <c r="L43" s="42"/>
      <c r="M43" s="42"/>
      <c r="N43" s="41"/>
      <c r="O43" s="41"/>
      <c r="P43" s="42"/>
      <c r="Q43" s="42"/>
      <c r="R43" s="41"/>
      <c r="S43" s="41"/>
      <c r="T43" s="41"/>
      <c r="U43" s="41"/>
      <c r="V43" s="41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</row>
    <row r="44" spans="1:44" ht="15.6" customHeight="1" x14ac:dyDescent="0.3">
      <c r="A44" s="3"/>
      <c r="B44" s="3"/>
      <c r="C44" s="3"/>
      <c r="D44" s="4"/>
      <c r="E44" s="6" t="s">
        <v>1</v>
      </c>
      <c r="F44" s="3"/>
      <c r="G44" s="7"/>
      <c r="H44" s="8"/>
      <c r="I44" s="8"/>
      <c r="J44" s="7"/>
      <c r="K44" s="7"/>
      <c r="L44" s="8"/>
      <c r="M44" s="9" t="s">
        <v>2</v>
      </c>
      <c r="N44" s="12" t="str">
        <f>N22</f>
        <v>1.1</v>
      </c>
      <c r="O44" s="12"/>
      <c r="P44" s="4"/>
      <c r="Q44" s="4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</row>
    <row r="45" spans="1:44" ht="15.6" customHeight="1" x14ac:dyDescent="0.3">
      <c r="A45" s="3"/>
      <c r="B45" s="3"/>
      <c r="C45" s="3"/>
      <c r="D45" s="4"/>
      <c r="E45" s="6" t="s">
        <v>4</v>
      </c>
      <c r="F45" s="3"/>
      <c r="G45" s="3"/>
      <c r="H45" s="4"/>
      <c r="I45" s="4"/>
      <c r="J45" s="13"/>
      <c r="K45" s="13"/>
      <c r="L45" s="14"/>
      <c r="M45" s="9" t="s">
        <v>5</v>
      </c>
      <c r="N45" s="15" t="str">
        <f>N44&amp;".3"</f>
        <v>1.1.3</v>
      </c>
      <c r="O45" s="15"/>
      <c r="P45" s="4"/>
      <c r="Q45" s="4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</row>
    <row r="46" spans="1:44" ht="15.6" customHeight="1" x14ac:dyDescent="0.3">
      <c r="A46" s="3"/>
      <c r="B46" s="3"/>
      <c r="C46" s="3"/>
      <c r="D46" s="4"/>
      <c r="E46" s="4" t="s">
        <v>7</v>
      </c>
      <c r="F46" s="3"/>
      <c r="G46" s="3"/>
      <c r="H46" s="8"/>
      <c r="I46" s="8"/>
      <c r="J46" s="7"/>
      <c r="K46" s="7"/>
      <c r="L46" s="8"/>
      <c r="M46" s="16" t="s">
        <v>5</v>
      </c>
      <c r="N46" s="17">
        <f>N24+1</f>
        <v>2</v>
      </c>
      <c r="O46" s="3"/>
      <c r="P46" s="4"/>
      <c r="Q46" s="4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</row>
    <row r="47" spans="1:44" ht="15.6" customHeight="1" x14ac:dyDescent="0.3">
      <c r="A47" s="3"/>
      <c r="B47" s="3"/>
      <c r="C47" s="3"/>
      <c r="D47" s="4"/>
      <c r="E47" s="4" t="s">
        <v>8</v>
      </c>
      <c r="F47" s="3"/>
      <c r="G47" s="3"/>
      <c r="H47" s="4"/>
      <c r="I47" s="4"/>
      <c r="J47" s="3"/>
      <c r="K47" s="3"/>
      <c r="L47" s="14"/>
      <c r="M47" s="16" t="s">
        <v>99</v>
      </c>
      <c r="N47" s="17" t="str">
        <f>IF(N25="-"&amp;N2&amp;".5",IF(N26=15,"-"&amp;N2&amp;".6","-"&amp;N2&amp;".5"),N25)</f>
        <v>-1.1.5</v>
      </c>
      <c r="O47" s="3"/>
      <c r="P47" s="4"/>
      <c r="Q47" s="4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</row>
    <row r="48" spans="1:44" ht="15.6" customHeight="1" x14ac:dyDescent="0.3">
      <c r="A48" s="3"/>
      <c r="B48" s="3"/>
      <c r="C48" s="3"/>
      <c r="D48" s="4"/>
      <c r="E48" s="21" t="s">
        <v>10</v>
      </c>
      <c r="F48" s="3"/>
      <c r="G48" s="3"/>
      <c r="H48" s="4"/>
      <c r="I48" s="8"/>
      <c r="J48" s="7"/>
      <c r="K48" s="7"/>
      <c r="L48" s="8"/>
      <c r="M48" s="16" t="s">
        <v>5</v>
      </c>
      <c r="N48" s="17">
        <f>IF(N47="-"&amp;N2&amp;".5",N26+1,IF(N25="-"&amp;N2&amp;".5",1,N26+1))</f>
        <v>3</v>
      </c>
      <c r="O48" s="3"/>
      <c r="P48" s="4"/>
      <c r="Q48" s="4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</row>
    <row r="49" spans="1:44" ht="15.6" customHeight="1" x14ac:dyDescent="0.25">
      <c r="A49" s="3"/>
      <c r="B49" s="3"/>
      <c r="C49" s="3"/>
      <c r="D49" s="4"/>
      <c r="E49" s="4"/>
      <c r="F49" s="3"/>
      <c r="G49" s="3"/>
      <c r="H49" s="4"/>
      <c r="I49" s="4"/>
      <c r="J49" s="3"/>
      <c r="K49" s="3"/>
      <c r="L49" s="4"/>
      <c r="M49" s="4"/>
      <c r="N49" s="3"/>
      <c r="O49" s="3"/>
      <c r="P49" s="4"/>
      <c r="Q49" s="4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</row>
    <row r="50" spans="1:44" ht="15.6" customHeight="1" x14ac:dyDescent="0.25">
      <c r="A50" s="24"/>
      <c r="B50" s="25"/>
      <c r="C50" s="25"/>
      <c r="D50" s="26"/>
      <c r="E50" s="26"/>
      <c r="F50" s="25"/>
      <c r="G50" s="25"/>
      <c r="H50" s="26"/>
      <c r="I50" s="26"/>
      <c r="J50" s="25"/>
      <c r="K50" s="25"/>
      <c r="L50" s="26"/>
      <c r="M50" s="26"/>
      <c r="N50" s="25"/>
      <c r="O50" s="25"/>
      <c r="P50" s="26"/>
      <c r="Q50" s="26"/>
      <c r="R50" s="25"/>
      <c r="S50" s="25"/>
      <c r="T50" s="25"/>
      <c r="U50" s="25"/>
      <c r="V50" s="45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</row>
    <row r="51" spans="1:44" ht="15.6" customHeight="1" x14ac:dyDescent="0.25">
      <c r="A51" s="27"/>
      <c r="B51" s="28"/>
      <c r="C51" s="28"/>
      <c r="D51" s="71">
        <v>1</v>
      </c>
      <c r="E51" s="72"/>
      <c r="F51" s="28"/>
      <c r="G51" s="28"/>
      <c r="H51" s="71">
        <v>2</v>
      </c>
      <c r="I51" s="72"/>
      <c r="J51" s="28"/>
      <c r="K51" s="28"/>
      <c r="L51" s="71">
        <v>3</v>
      </c>
      <c r="M51" s="72"/>
      <c r="N51" s="28"/>
      <c r="O51" s="28"/>
      <c r="P51" s="71">
        <v>4</v>
      </c>
      <c r="Q51" s="72"/>
      <c r="R51" s="28"/>
      <c r="S51" s="28"/>
      <c r="T51" s="28"/>
      <c r="U51" s="28"/>
      <c r="V51" s="46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</row>
    <row r="52" spans="1:44" ht="15.6" customHeight="1" x14ac:dyDescent="0.25">
      <c r="A52" s="27"/>
      <c r="B52" s="74" t="s">
        <v>11</v>
      </c>
      <c r="C52" s="74"/>
      <c r="D52" s="71" t="s">
        <v>12</v>
      </c>
      <c r="E52" s="72"/>
      <c r="F52" s="74" t="s">
        <v>11</v>
      </c>
      <c r="G52" s="74"/>
      <c r="H52" s="71" t="s">
        <v>12</v>
      </c>
      <c r="I52" s="72"/>
      <c r="J52" s="74" t="s">
        <v>11</v>
      </c>
      <c r="K52" s="74"/>
      <c r="L52" s="71" t="s">
        <v>12</v>
      </c>
      <c r="M52" s="72"/>
      <c r="N52" s="74" t="s">
        <v>11</v>
      </c>
      <c r="O52" s="74"/>
      <c r="P52" s="71" t="s">
        <v>12</v>
      </c>
      <c r="Q52" s="72"/>
      <c r="R52" s="74"/>
      <c r="S52" s="74"/>
      <c r="T52" s="74"/>
      <c r="U52" s="74"/>
      <c r="V52" s="48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</row>
    <row r="53" spans="1:44" ht="15.6" customHeight="1" x14ac:dyDescent="0.25">
      <c r="A53" s="27"/>
      <c r="B53" s="76"/>
      <c r="C53" s="76"/>
      <c r="D53" s="77"/>
      <c r="E53" s="77"/>
      <c r="F53" s="76"/>
      <c r="G53" s="76"/>
      <c r="H53" s="77"/>
      <c r="I53" s="77"/>
      <c r="J53" s="76"/>
      <c r="K53" s="76"/>
      <c r="L53" s="77"/>
      <c r="M53" s="77"/>
      <c r="N53" s="76"/>
      <c r="O53" s="76"/>
      <c r="P53" s="77"/>
      <c r="Q53" s="77"/>
      <c r="R53" s="76"/>
      <c r="S53" s="76"/>
      <c r="T53" s="76"/>
      <c r="U53" s="76"/>
      <c r="V53" s="48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</row>
    <row r="54" spans="1:44" ht="15.6" customHeight="1" x14ac:dyDescent="0.25">
      <c r="A54" s="27"/>
      <c r="B54" s="74">
        <v>0</v>
      </c>
      <c r="C54" s="74"/>
      <c r="D54" s="78">
        <v>1</v>
      </c>
      <c r="E54" s="78"/>
      <c r="F54" s="74">
        <v>2</v>
      </c>
      <c r="G54" s="74"/>
      <c r="H54" s="78">
        <v>3</v>
      </c>
      <c r="I54" s="78"/>
      <c r="J54" s="74">
        <v>4</v>
      </c>
      <c r="K54" s="74"/>
      <c r="L54" s="78">
        <v>5</v>
      </c>
      <c r="M54" s="78"/>
      <c r="N54" s="74">
        <v>6</v>
      </c>
      <c r="O54" s="74"/>
      <c r="P54" s="78">
        <v>7</v>
      </c>
      <c r="Q54" s="78"/>
      <c r="R54" s="74">
        <v>8</v>
      </c>
      <c r="S54" s="74"/>
      <c r="T54" s="74">
        <v>9</v>
      </c>
      <c r="U54" s="74"/>
      <c r="V54" s="49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</row>
    <row r="55" spans="1:44" ht="15.6" customHeight="1" x14ac:dyDescent="0.25">
      <c r="A55" s="27"/>
      <c r="B55" s="28" t="s">
        <v>13</v>
      </c>
      <c r="C55" s="28" t="s">
        <v>14</v>
      </c>
      <c r="D55" s="31" t="s">
        <v>15</v>
      </c>
      <c r="E55" s="31" t="s">
        <v>16</v>
      </c>
      <c r="F55" s="28" t="s">
        <v>13</v>
      </c>
      <c r="G55" s="28" t="s">
        <v>14</v>
      </c>
      <c r="H55" s="31" t="s">
        <v>15</v>
      </c>
      <c r="I55" s="31" t="s">
        <v>16</v>
      </c>
      <c r="J55" s="28" t="s">
        <v>13</v>
      </c>
      <c r="K55" s="28" t="s">
        <v>14</v>
      </c>
      <c r="L55" s="31" t="s">
        <v>15</v>
      </c>
      <c r="M55" s="31" t="s">
        <v>16</v>
      </c>
      <c r="N55" s="28" t="s">
        <v>13</v>
      </c>
      <c r="O55" s="28" t="s">
        <v>14</v>
      </c>
      <c r="P55" s="31" t="s">
        <v>15</v>
      </c>
      <c r="Q55" s="31" t="s">
        <v>16</v>
      </c>
      <c r="R55" s="28" t="s">
        <v>13</v>
      </c>
      <c r="S55" s="28" t="s">
        <v>14</v>
      </c>
      <c r="T55" s="28" t="s">
        <v>15</v>
      </c>
      <c r="U55" s="28" t="s">
        <v>16</v>
      </c>
      <c r="V55" s="49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</row>
    <row r="56" spans="1:44" ht="15.6" customHeight="1" x14ac:dyDescent="0.25">
      <c r="A56" s="33"/>
      <c r="B56" s="34"/>
      <c r="C56" s="34"/>
      <c r="D56" s="35"/>
      <c r="E56" s="36"/>
      <c r="F56" s="34"/>
      <c r="G56" s="34"/>
      <c r="H56" s="35"/>
      <c r="I56" s="36"/>
      <c r="J56" s="34"/>
      <c r="K56" s="34"/>
      <c r="L56" s="35"/>
      <c r="M56" s="36"/>
      <c r="N56" s="34"/>
      <c r="O56" s="34"/>
      <c r="P56" s="35"/>
      <c r="Q56" s="36"/>
      <c r="R56" s="34"/>
      <c r="S56" s="34"/>
      <c r="T56" s="34"/>
      <c r="U56" s="34"/>
      <c r="V56" s="50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</row>
    <row r="57" spans="1:44" ht="15.6" customHeight="1" x14ac:dyDescent="0.25">
      <c r="A57" s="3"/>
      <c r="B57" s="30"/>
      <c r="C57" s="30"/>
      <c r="D57" s="54"/>
      <c r="E57" s="5"/>
      <c r="F57" s="30"/>
      <c r="G57" s="30"/>
      <c r="H57" s="54"/>
      <c r="I57" s="5"/>
      <c r="J57" s="30"/>
      <c r="K57" s="30"/>
      <c r="L57" s="54"/>
      <c r="M57" s="5"/>
      <c r="N57" s="30"/>
      <c r="O57" s="30"/>
      <c r="P57" s="54"/>
      <c r="Q57" s="5"/>
      <c r="R57" s="30"/>
      <c r="S57" s="30"/>
      <c r="T57" s="30"/>
      <c r="U57" s="30"/>
      <c r="V57" s="32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</row>
    <row r="58" spans="1:44" ht="15.6" customHeight="1" x14ac:dyDescent="0.25">
      <c r="A58" s="3"/>
      <c r="B58" s="95"/>
      <c r="C58" s="96"/>
      <c r="D58" s="97"/>
      <c r="E58" s="98"/>
      <c r="F58" s="95"/>
      <c r="G58" s="96"/>
      <c r="H58" s="97"/>
      <c r="I58" s="98"/>
      <c r="J58" s="95"/>
      <c r="K58" s="96"/>
      <c r="L58" s="97"/>
      <c r="M58" s="98"/>
      <c r="N58" s="95"/>
      <c r="O58" s="96"/>
      <c r="P58" s="97"/>
      <c r="Q58" s="98"/>
      <c r="R58" s="30"/>
      <c r="S58" s="30"/>
      <c r="T58" s="30"/>
      <c r="U58" s="30"/>
      <c r="V58" s="32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</row>
    <row r="59" spans="1:44" ht="15.6" customHeight="1" x14ac:dyDescent="0.25">
      <c r="A59" s="3"/>
      <c r="B59" s="40" t="str">
        <f>IF(D58&lt;1,"","пом.")</f>
        <v/>
      </c>
      <c r="C59" s="40"/>
      <c r="D59" s="85"/>
      <c r="E59" s="86"/>
      <c r="F59" s="40" t="str">
        <f>IF(H58&lt;1,"","пом.")</f>
        <v/>
      </c>
      <c r="G59" s="40"/>
      <c r="H59" s="85"/>
      <c r="I59" s="86"/>
      <c r="J59" s="40" t="str">
        <f>IF(L58&lt;1,"","пом.")</f>
        <v/>
      </c>
      <c r="K59" s="40"/>
      <c r="L59" s="85"/>
      <c r="M59" s="86"/>
      <c r="N59" s="40" t="str">
        <f>IF(P58&lt;1,"","пом.")</f>
        <v/>
      </c>
      <c r="O59" s="40"/>
      <c r="P59" s="85"/>
      <c r="Q59" s="86"/>
      <c r="R59" s="30"/>
      <c r="S59" s="30"/>
      <c r="T59" s="30"/>
      <c r="U59" s="30"/>
      <c r="V59" s="32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</row>
    <row r="60" spans="1:44" ht="15.6" customHeight="1" x14ac:dyDescent="0.25">
      <c r="A60" s="3"/>
      <c r="B60" s="3"/>
      <c r="C60" s="3"/>
      <c r="D60" s="4"/>
      <c r="E60" s="4"/>
      <c r="F60" s="3"/>
      <c r="G60" s="3"/>
      <c r="H60" s="4"/>
      <c r="I60" s="4"/>
      <c r="J60" s="3"/>
      <c r="K60" s="3"/>
      <c r="L60" s="4"/>
      <c r="M60" s="4"/>
      <c r="N60" s="3"/>
      <c r="O60" s="3"/>
      <c r="P60" s="4"/>
      <c r="Q60" s="4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</row>
    <row r="61" spans="1:44" ht="15.6" customHeight="1" x14ac:dyDescent="0.25">
      <c r="A61" s="3"/>
      <c r="B61" s="3"/>
      <c r="C61" s="3"/>
      <c r="D61" s="4"/>
      <c r="E61" s="5" t="s">
        <v>30</v>
      </c>
      <c r="F61" s="87" t="s">
        <v>31</v>
      </c>
      <c r="G61" s="87"/>
      <c r="H61" s="87"/>
      <c r="I61" s="117" t="s">
        <v>32</v>
      </c>
      <c r="J61" s="117"/>
      <c r="K61" s="58"/>
      <c r="L61" s="4"/>
      <c r="M61" s="4"/>
      <c r="N61" s="3"/>
      <c r="O61" s="30" t="s">
        <v>33</v>
      </c>
      <c r="P61" s="87" t="s">
        <v>34</v>
      </c>
      <c r="Q61" s="87"/>
      <c r="R61" s="87"/>
      <c r="S61" s="3" t="s">
        <v>35</v>
      </c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</row>
    <row r="62" spans="1:44" ht="15.6" customHeight="1" x14ac:dyDescent="0.25">
      <c r="A62" s="3"/>
      <c r="B62" s="3"/>
      <c r="C62" s="3"/>
      <c r="D62" s="4"/>
      <c r="E62" s="5" t="s">
        <v>36</v>
      </c>
      <c r="F62" s="87" t="s">
        <v>37</v>
      </c>
      <c r="G62" s="87"/>
      <c r="H62" s="87"/>
      <c r="I62" s="117" t="s">
        <v>38</v>
      </c>
      <c r="J62" s="117"/>
      <c r="K62" s="117"/>
      <c r="L62" s="4"/>
      <c r="M62" s="4"/>
      <c r="N62" s="3"/>
      <c r="O62" s="30" t="s">
        <v>39</v>
      </c>
      <c r="P62" s="87" t="s">
        <v>34</v>
      </c>
      <c r="Q62" s="87"/>
      <c r="R62" s="87"/>
      <c r="S62" s="3" t="s">
        <v>40</v>
      </c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</row>
    <row r="63" spans="1:44" ht="15.6" customHeight="1" x14ac:dyDescent="0.25">
      <c r="A63" s="41"/>
      <c r="B63" s="41"/>
      <c r="C63" s="41"/>
      <c r="D63" s="42"/>
      <c r="E63" s="43"/>
      <c r="F63" s="41"/>
      <c r="G63" s="41"/>
      <c r="H63" s="42"/>
      <c r="I63" s="42"/>
      <c r="J63" s="41"/>
      <c r="K63" s="41"/>
      <c r="L63" s="42"/>
      <c r="M63" s="42"/>
      <c r="N63" s="41"/>
      <c r="O63" s="41"/>
      <c r="P63" s="42"/>
      <c r="Q63" s="42"/>
      <c r="R63" s="41"/>
      <c r="S63" s="41"/>
      <c r="T63" s="41"/>
      <c r="U63" s="41"/>
      <c r="V63" s="41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</row>
    <row r="64" spans="1:44" ht="15.6" customHeight="1" x14ac:dyDescent="0.3">
      <c r="A64" s="3"/>
      <c r="B64" s="3"/>
      <c r="C64" s="3"/>
      <c r="D64" s="4"/>
      <c r="E64" s="6" t="s">
        <v>1</v>
      </c>
      <c r="F64" s="3"/>
      <c r="G64" s="7"/>
      <c r="H64" s="8"/>
      <c r="I64" s="8"/>
      <c r="J64" s="7"/>
      <c r="K64" s="7"/>
      <c r="L64" s="8"/>
      <c r="M64" s="9" t="s">
        <v>2</v>
      </c>
      <c r="N64" s="12" t="str">
        <f>N44</f>
        <v>1.1</v>
      </c>
      <c r="O64" s="12"/>
      <c r="P64" s="4"/>
      <c r="Q64" s="4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</row>
    <row r="65" spans="1:44" ht="15.6" customHeight="1" x14ac:dyDescent="0.3">
      <c r="A65" s="3"/>
      <c r="B65" s="3"/>
      <c r="C65" s="3"/>
      <c r="D65" s="4"/>
      <c r="E65" s="6" t="s">
        <v>4</v>
      </c>
      <c r="F65" s="3"/>
      <c r="G65" s="3"/>
      <c r="H65" s="4"/>
      <c r="I65" s="4"/>
      <c r="J65" s="13"/>
      <c r="K65" s="13"/>
      <c r="L65" s="14"/>
      <c r="M65" s="9" t="s">
        <v>5</v>
      </c>
      <c r="N65" s="15" t="str">
        <f>N45</f>
        <v>1.1.3</v>
      </c>
      <c r="O65" s="15"/>
      <c r="P65" s="4"/>
      <c r="Q65" s="4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</row>
    <row r="66" spans="1:44" ht="15.6" customHeight="1" x14ac:dyDescent="0.3">
      <c r="A66" s="3"/>
      <c r="B66" s="3"/>
      <c r="C66" s="3"/>
      <c r="D66" s="4"/>
      <c r="E66" s="4" t="s">
        <v>7</v>
      </c>
      <c r="F66" s="3"/>
      <c r="G66" s="3"/>
      <c r="H66" s="8"/>
      <c r="I66" s="8"/>
      <c r="J66" s="7"/>
      <c r="K66" s="7"/>
      <c r="L66" s="8"/>
      <c r="M66" s="16" t="s">
        <v>5</v>
      </c>
      <c r="N66" s="17">
        <f>N46</f>
        <v>2</v>
      </c>
      <c r="O66" s="3"/>
      <c r="P66" s="4"/>
      <c r="Q66" s="4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</row>
    <row r="67" spans="1:44" ht="15.6" customHeight="1" x14ac:dyDescent="0.3">
      <c r="A67" s="3"/>
      <c r="B67" s="3"/>
      <c r="C67" s="3"/>
      <c r="D67" s="4"/>
      <c r="E67" s="4" t="s">
        <v>8</v>
      </c>
      <c r="F67" s="3"/>
      <c r="G67" s="3"/>
      <c r="H67" s="4"/>
      <c r="I67" s="4"/>
      <c r="J67" s="3"/>
      <c r="K67" s="3"/>
      <c r="L67" s="14"/>
      <c r="M67" s="16" t="s">
        <v>99</v>
      </c>
      <c r="N67" s="17" t="str">
        <f>IF(N47="-"&amp;N44&amp;".5",IF(N48=15,"-"&amp;N44&amp;".6","-"&amp;N44&amp;".5"),N47)</f>
        <v>-1.1.5</v>
      </c>
      <c r="O67" s="19"/>
      <c r="P67" s="4"/>
      <c r="Q67" s="4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</row>
    <row r="68" spans="1:44" ht="15.6" customHeight="1" x14ac:dyDescent="0.3">
      <c r="A68" s="3"/>
      <c r="B68" s="3"/>
      <c r="C68" s="3"/>
      <c r="D68" s="4"/>
      <c r="E68" s="21" t="s">
        <v>10</v>
      </c>
      <c r="F68" s="3"/>
      <c r="G68" s="3"/>
      <c r="H68" s="4"/>
      <c r="I68" s="8"/>
      <c r="J68" s="7"/>
      <c r="K68" s="7"/>
      <c r="L68" s="8"/>
      <c r="M68" s="16" t="s">
        <v>5</v>
      </c>
      <c r="N68" s="17">
        <f>IF(N67="-"&amp;N2&amp;".5",N48+1,IF(N47="-"&amp;N2&amp;".5",1,N48+1))</f>
        <v>4</v>
      </c>
      <c r="O68" s="3"/>
      <c r="P68" s="4"/>
      <c r="Q68" s="4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</row>
    <row r="69" spans="1:44" ht="6.6" customHeight="1" x14ac:dyDescent="0.25">
      <c r="A69" s="3"/>
      <c r="B69" s="3"/>
      <c r="C69" s="3"/>
      <c r="D69" s="4"/>
      <c r="E69" s="4"/>
      <c r="F69" s="3"/>
      <c r="G69" s="3"/>
      <c r="H69" s="4"/>
      <c r="I69" s="4"/>
      <c r="J69" s="3"/>
      <c r="K69" s="3"/>
      <c r="L69" s="4"/>
      <c r="M69" s="4"/>
      <c r="N69" s="3"/>
      <c r="O69" s="3"/>
      <c r="P69" s="4"/>
      <c r="Q69" s="4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</row>
    <row r="70" spans="1:44" ht="15.6" customHeight="1" x14ac:dyDescent="0.25">
      <c r="A70" s="24"/>
      <c r="B70" s="25"/>
      <c r="C70" s="25"/>
      <c r="D70" s="26"/>
      <c r="E70" s="26"/>
      <c r="F70" s="25"/>
      <c r="G70" s="25"/>
      <c r="H70" s="26"/>
      <c r="I70" s="26"/>
      <c r="J70" s="25"/>
      <c r="K70" s="25"/>
      <c r="L70" s="26"/>
      <c r="M70" s="26"/>
      <c r="N70" s="25"/>
      <c r="O70" s="25"/>
      <c r="P70" s="26"/>
      <c r="Q70" s="26"/>
      <c r="R70" s="25"/>
      <c r="S70" s="25"/>
      <c r="T70" s="25"/>
      <c r="U70" s="25"/>
      <c r="V70" s="45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</row>
    <row r="71" spans="1:44" ht="15.6" customHeight="1" x14ac:dyDescent="0.25">
      <c r="A71" s="27"/>
      <c r="B71" s="28"/>
      <c r="C71" s="28"/>
      <c r="D71" s="71">
        <v>1</v>
      </c>
      <c r="E71" s="72"/>
      <c r="F71" s="28"/>
      <c r="G71" s="28"/>
      <c r="H71" s="71">
        <v>2</v>
      </c>
      <c r="I71" s="72"/>
      <c r="J71" s="28"/>
      <c r="K71" s="28"/>
      <c r="L71" s="71">
        <v>3</v>
      </c>
      <c r="M71" s="72"/>
      <c r="N71" s="28"/>
      <c r="O71" s="28"/>
      <c r="P71" s="71">
        <v>4</v>
      </c>
      <c r="Q71" s="72"/>
      <c r="R71" s="28"/>
      <c r="S71" s="28"/>
      <c r="T71" s="28"/>
      <c r="U71" s="28"/>
      <c r="V71" s="46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</row>
    <row r="72" spans="1:44" ht="15.6" customHeight="1" x14ac:dyDescent="0.25">
      <c r="A72" s="27"/>
      <c r="B72" s="74" t="s">
        <v>11</v>
      </c>
      <c r="C72" s="74"/>
      <c r="D72" s="71" t="s">
        <v>12</v>
      </c>
      <c r="E72" s="72"/>
      <c r="F72" s="74" t="s">
        <v>11</v>
      </c>
      <c r="G72" s="74"/>
      <c r="H72" s="71" t="s">
        <v>12</v>
      </c>
      <c r="I72" s="72"/>
      <c r="J72" s="74" t="s">
        <v>11</v>
      </c>
      <c r="K72" s="74"/>
      <c r="L72" s="71" t="s">
        <v>12</v>
      </c>
      <c r="M72" s="72"/>
      <c r="N72" s="74" t="s">
        <v>11</v>
      </c>
      <c r="O72" s="74"/>
      <c r="P72" s="71" t="s">
        <v>12</v>
      </c>
      <c r="Q72" s="72"/>
      <c r="R72" s="74"/>
      <c r="S72" s="74"/>
      <c r="T72" s="74"/>
      <c r="U72" s="74"/>
      <c r="V72" s="48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</row>
    <row r="73" spans="1:44" ht="15.6" customHeight="1" x14ac:dyDescent="0.25">
      <c r="A73" s="27"/>
      <c r="B73" s="76"/>
      <c r="C73" s="76"/>
      <c r="D73" s="77"/>
      <c r="E73" s="77"/>
      <c r="F73" s="76"/>
      <c r="G73" s="76"/>
      <c r="H73" s="77"/>
      <c r="I73" s="77"/>
      <c r="J73" s="76"/>
      <c r="K73" s="76"/>
      <c r="L73" s="77"/>
      <c r="M73" s="77"/>
      <c r="N73" s="76"/>
      <c r="O73" s="76"/>
      <c r="P73" s="77"/>
      <c r="Q73" s="77"/>
      <c r="R73" s="76"/>
      <c r="S73" s="76"/>
      <c r="T73" s="76"/>
      <c r="U73" s="76"/>
      <c r="V73" s="48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</row>
    <row r="74" spans="1:44" ht="15.6" customHeight="1" x14ac:dyDescent="0.25">
      <c r="A74" s="27"/>
      <c r="B74" s="74">
        <v>0</v>
      </c>
      <c r="C74" s="74"/>
      <c r="D74" s="78">
        <v>1</v>
      </c>
      <c r="E74" s="78"/>
      <c r="F74" s="74">
        <v>2</v>
      </c>
      <c r="G74" s="74"/>
      <c r="H74" s="78">
        <v>3</v>
      </c>
      <c r="I74" s="78"/>
      <c r="J74" s="74">
        <v>4</v>
      </c>
      <c r="K74" s="74"/>
      <c r="L74" s="78">
        <v>5</v>
      </c>
      <c r="M74" s="78"/>
      <c r="N74" s="74">
        <v>6</v>
      </c>
      <c r="O74" s="74"/>
      <c r="P74" s="78">
        <v>7</v>
      </c>
      <c r="Q74" s="78"/>
      <c r="R74" s="74">
        <v>8</v>
      </c>
      <c r="S74" s="74"/>
      <c r="T74" s="74">
        <v>9</v>
      </c>
      <c r="U74" s="74"/>
      <c r="V74" s="49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</row>
    <row r="75" spans="1:44" ht="15.6" customHeight="1" x14ac:dyDescent="0.25">
      <c r="A75" s="27"/>
      <c r="B75" s="28" t="s">
        <v>13</v>
      </c>
      <c r="C75" s="28" t="s">
        <v>14</v>
      </c>
      <c r="D75" s="31" t="s">
        <v>15</v>
      </c>
      <c r="E75" s="31" t="s">
        <v>16</v>
      </c>
      <c r="F75" s="28" t="s">
        <v>13</v>
      </c>
      <c r="G75" s="28" t="s">
        <v>14</v>
      </c>
      <c r="H75" s="31" t="s">
        <v>15</v>
      </c>
      <c r="I75" s="31" t="s">
        <v>16</v>
      </c>
      <c r="J75" s="28" t="s">
        <v>13</v>
      </c>
      <c r="K75" s="28" t="s">
        <v>14</v>
      </c>
      <c r="L75" s="31" t="s">
        <v>15</v>
      </c>
      <c r="M75" s="31" t="s">
        <v>16</v>
      </c>
      <c r="N75" s="28" t="s">
        <v>13</v>
      </c>
      <c r="O75" s="28" t="s">
        <v>14</v>
      </c>
      <c r="P75" s="31" t="s">
        <v>15</v>
      </c>
      <c r="Q75" s="31" t="s">
        <v>16</v>
      </c>
      <c r="R75" s="28" t="s">
        <v>13</v>
      </c>
      <c r="S75" s="28" t="s">
        <v>14</v>
      </c>
      <c r="T75" s="28" t="s">
        <v>15</v>
      </c>
      <c r="U75" s="28" t="s">
        <v>16</v>
      </c>
      <c r="V75" s="49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</row>
    <row r="76" spans="1:44" ht="15.6" customHeight="1" x14ac:dyDescent="0.25">
      <c r="A76" s="33"/>
      <c r="B76" s="34"/>
      <c r="C76" s="34"/>
      <c r="D76" s="35"/>
      <c r="E76" s="36"/>
      <c r="F76" s="34"/>
      <c r="G76" s="34"/>
      <c r="H76" s="35"/>
      <c r="I76" s="36"/>
      <c r="J76" s="34"/>
      <c r="K76" s="34"/>
      <c r="L76" s="35"/>
      <c r="M76" s="36"/>
      <c r="N76" s="34"/>
      <c r="O76" s="34"/>
      <c r="P76" s="35"/>
      <c r="Q76" s="36"/>
      <c r="R76" s="34"/>
      <c r="S76" s="34"/>
      <c r="T76" s="34"/>
      <c r="U76" s="34"/>
      <c r="V76" s="50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</row>
    <row r="77" spans="1:44" ht="6.6" customHeight="1" x14ac:dyDescent="0.25">
      <c r="A77" s="3"/>
      <c r="B77" s="30"/>
      <c r="C77" s="30"/>
      <c r="D77" s="54"/>
      <c r="E77" s="5"/>
      <c r="F77" s="30"/>
      <c r="G77" s="30"/>
      <c r="H77" s="54"/>
      <c r="I77" s="5"/>
      <c r="J77" s="30"/>
      <c r="K77" s="30"/>
      <c r="L77" s="54"/>
      <c r="M77" s="5"/>
      <c r="N77" s="30"/>
      <c r="O77" s="30"/>
      <c r="P77" s="54"/>
      <c r="Q77" s="5"/>
      <c r="R77" s="30"/>
      <c r="S77" s="30"/>
      <c r="T77" s="30"/>
      <c r="U77" s="30"/>
      <c r="V77" s="32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</row>
    <row r="78" spans="1:44" ht="15.6" customHeight="1" x14ac:dyDescent="0.25">
      <c r="A78" s="3"/>
      <c r="B78" s="95"/>
      <c r="C78" s="96"/>
      <c r="D78" s="97"/>
      <c r="E78" s="98"/>
      <c r="F78" s="95"/>
      <c r="G78" s="96"/>
      <c r="H78" s="97"/>
      <c r="I78" s="98"/>
      <c r="J78" s="95"/>
      <c r="K78" s="96"/>
      <c r="L78" s="97"/>
      <c r="M78" s="98"/>
      <c r="N78" s="95"/>
      <c r="O78" s="96"/>
      <c r="P78" s="97"/>
      <c r="Q78" s="98"/>
      <c r="R78" s="30"/>
      <c r="S78" s="30"/>
      <c r="T78" s="30"/>
      <c r="U78" s="30"/>
      <c r="V78" s="32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</row>
    <row r="79" spans="1:44" ht="15.6" customHeight="1" x14ac:dyDescent="0.25">
      <c r="A79" s="3"/>
      <c r="B79" s="40" t="str">
        <f>IF(D78&lt;1,"","пом.")</f>
        <v/>
      </c>
      <c r="C79" s="40"/>
      <c r="D79" s="85"/>
      <c r="E79" s="86"/>
      <c r="F79" s="40" t="str">
        <f>IF(H78&lt;1,"","пом.")</f>
        <v/>
      </c>
      <c r="G79" s="40"/>
      <c r="H79" s="85"/>
      <c r="I79" s="86"/>
      <c r="J79" s="40" t="str">
        <f>IF(L78&lt;1,"","пом.")</f>
        <v/>
      </c>
      <c r="K79" s="40"/>
      <c r="L79" s="85"/>
      <c r="M79" s="86"/>
      <c r="N79" s="40" t="str">
        <f>IF(P78&lt;1,"","пом.")</f>
        <v/>
      </c>
      <c r="O79" s="40"/>
      <c r="P79" s="85"/>
      <c r="Q79" s="86"/>
      <c r="R79" s="30"/>
      <c r="S79" s="30"/>
      <c r="T79" s="30"/>
      <c r="U79" s="30"/>
      <c r="V79" s="32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</row>
    <row r="80" spans="1:44" ht="7.15" customHeight="1" x14ac:dyDescent="0.25">
      <c r="A80" s="3"/>
      <c r="B80" s="3"/>
      <c r="C80" s="3"/>
      <c r="D80" s="4"/>
      <c r="E80" s="4"/>
      <c r="F80" s="3"/>
      <c r="G80" s="3"/>
      <c r="H80" s="4"/>
      <c r="I80" s="4"/>
      <c r="J80" s="3"/>
      <c r="K80" s="3"/>
      <c r="L80" s="4"/>
      <c r="M80" s="4"/>
      <c r="N80" s="3"/>
      <c r="O80" s="3"/>
      <c r="P80" s="4"/>
      <c r="Q80" s="4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</row>
    <row r="81" spans="1:44" ht="15.6" customHeight="1" x14ac:dyDescent="0.25">
      <c r="A81" s="3"/>
      <c r="B81" s="3"/>
      <c r="C81" s="3"/>
      <c r="D81" s="4"/>
      <c r="E81" s="5" t="s">
        <v>30</v>
      </c>
      <c r="F81" s="87" t="s">
        <v>31</v>
      </c>
      <c r="G81" s="87"/>
      <c r="H81" s="87"/>
      <c r="I81" s="117" t="s">
        <v>32</v>
      </c>
      <c r="J81" s="117"/>
      <c r="K81" s="58"/>
      <c r="L81" s="4"/>
      <c r="M81" s="4"/>
      <c r="N81" s="3"/>
      <c r="O81" s="30" t="s">
        <v>33</v>
      </c>
      <c r="P81" s="87" t="s">
        <v>34</v>
      </c>
      <c r="Q81" s="87"/>
      <c r="R81" s="87"/>
      <c r="S81" s="117" t="s">
        <v>35</v>
      </c>
      <c r="T81" s="117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</row>
    <row r="82" spans="1:44" ht="15.6" customHeight="1" x14ac:dyDescent="0.25">
      <c r="A82" s="3"/>
      <c r="B82" s="3"/>
      <c r="C82" s="3"/>
      <c r="D82" s="4"/>
      <c r="E82" s="5" t="s">
        <v>36</v>
      </c>
      <c r="F82" s="87" t="s">
        <v>37</v>
      </c>
      <c r="G82" s="87"/>
      <c r="H82" s="87"/>
      <c r="I82" s="117" t="s">
        <v>38</v>
      </c>
      <c r="J82" s="117"/>
      <c r="K82" s="117"/>
      <c r="L82" s="4"/>
      <c r="M82" s="4"/>
      <c r="N82" s="3"/>
      <c r="O82" s="30" t="s">
        <v>39</v>
      </c>
      <c r="P82" s="87" t="s">
        <v>34</v>
      </c>
      <c r="Q82" s="87"/>
      <c r="R82" s="87"/>
      <c r="S82" s="118" t="s">
        <v>40</v>
      </c>
      <c r="T82" s="118"/>
      <c r="U82" s="118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</row>
    <row r="83" spans="1:44" ht="15.6" customHeight="1" x14ac:dyDescent="0.25">
      <c r="A83" s="41"/>
      <c r="B83" s="41"/>
      <c r="C83" s="41"/>
      <c r="D83" s="42"/>
      <c r="E83" s="43"/>
      <c r="F83" s="41"/>
      <c r="G83" s="41"/>
      <c r="H83" s="42"/>
      <c r="I83" s="42"/>
      <c r="J83" s="41"/>
      <c r="K83" s="41"/>
      <c r="L83" s="42"/>
      <c r="M83" s="42"/>
      <c r="N83" s="41"/>
      <c r="O83" s="41"/>
      <c r="P83" s="42"/>
      <c r="Q83" s="42"/>
      <c r="R83" s="41"/>
      <c r="S83" s="41"/>
      <c r="T83" s="41"/>
      <c r="U83" s="41"/>
      <c r="V83" s="41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</row>
    <row r="84" spans="1:44" ht="15.6" customHeight="1" x14ac:dyDescent="0.25">
      <c r="A84" s="41"/>
      <c r="B84" s="41"/>
      <c r="C84" s="41"/>
      <c r="D84" s="42"/>
      <c r="E84" s="43"/>
      <c r="F84" s="41"/>
      <c r="G84" s="41"/>
      <c r="H84" s="42"/>
      <c r="I84" s="42"/>
      <c r="J84" s="41"/>
      <c r="K84" s="41"/>
      <c r="L84" s="42"/>
      <c r="M84" s="42"/>
      <c r="N84" s="41"/>
      <c r="O84" s="41"/>
      <c r="P84" s="42"/>
      <c r="Q84" s="42"/>
      <c r="R84" s="41"/>
      <c r="S84" s="41"/>
      <c r="T84" s="41"/>
      <c r="U84" s="41"/>
      <c r="V84" s="41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</row>
    <row r="85" spans="1:44" ht="15.6" hidden="1" customHeight="1" x14ac:dyDescent="0.25">
      <c r="A85" s="3"/>
      <c r="B85" s="3"/>
      <c r="C85" s="3"/>
      <c r="D85" s="4"/>
      <c r="E85" s="4"/>
      <c r="F85" s="3"/>
      <c r="G85" s="3"/>
      <c r="H85" s="4"/>
      <c r="I85" s="4"/>
      <c r="J85" s="3"/>
      <c r="K85" s="3"/>
      <c r="L85" s="4"/>
      <c r="M85" s="4"/>
      <c r="N85" s="3"/>
      <c r="O85" s="3"/>
      <c r="P85" s="4"/>
      <c r="Q85" s="4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</row>
    <row r="86" spans="1:44" ht="15.6" customHeight="1" x14ac:dyDescent="0.3">
      <c r="A86" s="3"/>
      <c r="B86" s="3"/>
      <c r="C86" s="3"/>
      <c r="D86" s="4"/>
      <c r="E86" s="6" t="s">
        <v>1</v>
      </c>
      <c r="F86" s="3"/>
      <c r="G86" s="7"/>
      <c r="H86" s="8"/>
      <c r="I86" s="8"/>
      <c r="J86" s="7"/>
      <c r="K86" s="7"/>
      <c r="L86" s="8"/>
      <c r="M86" s="9" t="s">
        <v>2</v>
      </c>
      <c r="N86" s="12" t="str">
        <f>N64</f>
        <v>1.1</v>
      </c>
      <c r="O86" s="12"/>
      <c r="P86" s="4"/>
      <c r="Q86" s="4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</row>
    <row r="87" spans="1:44" ht="15.6" customHeight="1" x14ac:dyDescent="0.3">
      <c r="A87" s="3"/>
      <c r="B87" s="3"/>
      <c r="C87" s="3"/>
      <c r="D87" s="4"/>
      <c r="E87" s="6" t="s">
        <v>4</v>
      </c>
      <c r="F87" s="3"/>
      <c r="G87" s="3"/>
      <c r="H87" s="4"/>
      <c r="I87" s="4"/>
      <c r="J87" s="13"/>
      <c r="K87" s="13"/>
      <c r="L87" s="14"/>
      <c r="M87" s="9" t="s">
        <v>5</v>
      </c>
      <c r="N87" s="15" t="str">
        <f>N86&amp;".3"</f>
        <v>1.1.3</v>
      </c>
      <c r="O87" s="15"/>
      <c r="P87" s="4"/>
      <c r="Q87" s="4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</row>
    <row r="88" spans="1:44" ht="15.6" customHeight="1" x14ac:dyDescent="0.3">
      <c r="A88" s="3"/>
      <c r="B88" s="3"/>
      <c r="C88" s="3"/>
      <c r="D88" s="4"/>
      <c r="E88" s="4" t="s">
        <v>7</v>
      </c>
      <c r="F88" s="3"/>
      <c r="G88" s="3"/>
      <c r="H88" s="8"/>
      <c r="I88" s="8"/>
      <c r="J88" s="7"/>
      <c r="K88" s="7"/>
      <c r="L88" s="8"/>
      <c r="M88" s="16" t="s">
        <v>5</v>
      </c>
      <c r="N88" s="17">
        <f>N66+1</f>
        <v>3</v>
      </c>
      <c r="O88" s="3"/>
      <c r="P88" s="4"/>
      <c r="Q88" s="4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</row>
    <row r="89" spans="1:44" ht="15.6" customHeight="1" x14ac:dyDescent="0.3">
      <c r="A89" s="3"/>
      <c r="B89" s="3"/>
      <c r="C89" s="3"/>
      <c r="D89" s="4"/>
      <c r="E89" s="4" t="s">
        <v>8</v>
      </c>
      <c r="F89" s="3"/>
      <c r="G89" s="3"/>
      <c r="H89" s="4"/>
      <c r="I89" s="4"/>
      <c r="J89" s="3"/>
      <c r="K89" s="3"/>
      <c r="L89" s="14"/>
      <c r="M89" s="16" t="s">
        <v>99</v>
      </c>
      <c r="N89" s="17" t="str">
        <f>IF(N67="-"&amp;N44&amp;".5",IF(N68=15,"-"&amp;N44&amp;".6","-"&amp;N44&amp;".5"),N67)</f>
        <v>-1.1.5</v>
      </c>
      <c r="O89" s="3"/>
      <c r="P89" s="4"/>
      <c r="Q89" s="4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</row>
    <row r="90" spans="1:44" ht="15.6" customHeight="1" x14ac:dyDescent="0.3">
      <c r="A90" s="3"/>
      <c r="B90" s="3"/>
      <c r="C90" s="3"/>
      <c r="D90" s="4"/>
      <c r="E90" s="21" t="s">
        <v>10</v>
      </c>
      <c r="F90" s="3"/>
      <c r="G90" s="3"/>
      <c r="H90" s="4"/>
      <c r="I90" s="8"/>
      <c r="J90" s="7"/>
      <c r="K90" s="7"/>
      <c r="L90" s="8"/>
      <c r="M90" s="16" t="s">
        <v>5</v>
      </c>
      <c r="N90" s="17">
        <f>IF(N89="-"&amp;N44&amp;".5",N68+1,IF(N67="-"&amp;N44&amp;".5",1,N68+1))</f>
        <v>5</v>
      </c>
      <c r="O90" s="3"/>
      <c r="P90" s="4"/>
      <c r="Q90" s="4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</row>
    <row r="91" spans="1:44" ht="15.6" customHeight="1" x14ac:dyDescent="0.25">
      <c r="A91" s="3"/>
      <c r="B91" s="3"/>
      <c r="C91" s="3"/>
      <c r="D91" s="4"/>
      <c r="E91" s="4"/>
      <c r="F91" s="3"/>
      <c r="G91" s="3"/>
      <c r="H91" s="4"/>
      <c r="I91" s="4"/>
      <c r="J91" s="3"/>
      <c r="K91" s="3"/>
      <c r="L91" s="4"/>
      <c r="M91" s="4"/>
      <c r="N91" s="3"/>
      <c r="O91" s="3"/>
      <c r="P91" s="4"/>
      <c r="Q91" s="4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</row>
    <row r="92" spans="1:44" ht="15.6" customHeight="1" x14ac:dyDescent="0.25">
      <c r="A92" s="24"/>
      <c r="B92" s="25"/>
      <c r="C92" s="25"/>
      <c r="D92" s="26"/>
      <c r="E92" s="26"/>
      <c r="F92" s="25"/>
      <c r="G92" s="25"/>
      <c r="H92" s="26"/>
      <c r="I92" s="26"/>
      <c r="J92" s="25"/>
      <c r="K92" s="25"/>
      <c r="L92" s="26"/>
      <c r="M92" s="26"/>
      <c r="N92" s="25"/>
      <c r="O92" s="25"/>
      <c r="P92" s="26"/>
      <c r="Q92" s="26"/>
      <c r="R92" s="25"/>
      <c r="S92" s="25"/>
      <c r="T92" s="25"/>
      <c r="U92" s="25"/>
      <c r="V92" s="45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</row>
    <row r="93" spans="1:44" ht="15.6" customHeight="1" x14ac:dyDescent="0.25">
      <c r="A93" s="27"/>
      <c r="B93" s="28"/>
      <c r="C93" s="28"/>
      <c r="D93" s="71">
        <v>1</v>
      </c>
      <c r="E93" s="72"/>
      <c r="F93" s="28"/>
      <c r="G93" s="28"/>
      <c r="H93" s="71">
        <v>2</v>
      </c>
      <c r="I93" s="72"/>
      <c r="J93" s="28"/>
      <c r="K93" s="28"/>
      <c r="L93" s="71">
        <v>3</v>
      </c>
      <c r="M93" s="72"/>
      <c r="N93" s="28"/>
      <c r="O93" s="28"/>
      <c r="P93" s="71">
        <v>4</v>
      </c>
      <c r="Q93" s="72"/>
      <c r="R93" s="28"/>
      <c r="S93" s="28"/>
      <c r="T93" s="28"/>
      <c r="U93" s="28"/>
      <c r="V93" s="46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</row>
    <row r="94" spans="1:44" ht="15.6" customHeight="1" x14ac:dyDescent="0.25">
      <c r="A94" s="27"/>
      <c r="B94" s="74" t="s">
        <v>11</v>
      </c>
      <c r="C94" s="74"/>
      <c r="D94" s="71" t="s">
        <v>12</v>
      </c>
      <c r="E94" s="72"/>
      <c r="F94" s="74" t="s">
        <v>11</v>
      </c>
      <c r="G94" s="74"/>
      <c r="H94" s="71" t="s">
        <v>12</v>
      </c>
      <c r="I94" s="72"/>
      <c r="J94" s="74" t="s">
        <v>11</v>
      </c>
      <c r="K94" s="74"/>
      <c r="L94" s="71" t="s">
        <v>12</v>
      </c>
      <c r="M94" s="72"/>
      <c r="N94" s="74" t="s">
        <v>11</v>
      </c>
      <c r="O94" s="74"/>
      <c r="P94" s="71" t="s">
        <v>12</v>
      </c>
      <c r="Q94" s="72"/>
      <c r="R94" s="74"/>
      <c r="S94" s="74"/>
      <c r="T94" s="74"/>
      <c r="U94" s="74"/>
      <c r="V94" s="48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</row>
    <row r="95" spans="1:44" ht="15.6" customHeight="1" x14ac:dyDescent="0.25">
      <c r="A95" s="27"/>
      <c r="B95" s="76"/>
      <c r="C95" s="76"/>
      <c r="D95" s="77"/>
      <c r="E95" s="77"/>
      <c r="F95" s="76"/>
      <c r="G95" s="76"/>
      <c r="H95" s="77"/>
      <c r="I95" s="77"/>
      <c r="J95" s="76"/>
      <c r="K95" s="76"/>
      <c r="L95" s="77"/>
      <c r="M95" s="77"/>
      <c r="N95" s="76"/>
      <c r="O95" s="76"/>
      <c r="P95" s="77"/>
      <c r="Q95" s="77"/>
      <c r="R95" s="76"/>
      <c r="S95" s="76"/>
      <c r="T95" s="76"/>
      <c r="U95" s="76"/>
      <c r="V95" s="48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</row>
    <row r="96" spans="1:44" ht="15.6" customHeight="1" x14ac:dyDescent="0.25">
      <c r="A96" s="27"/>
      <c r="B96" s="74">
        <v>0</v>
      </c>
      <c r="C96" s="74"/>
      <c r="D96" s="78">
        <v>1</v>
      </c>
      <c r="E96" s="78"/>
      <c r="F96" s="74">
        <v>2</v>
      </c>
      <c r="G96" s="74"/>
      <c r="H96" s="78">
        <v>3</v>
      </c>
      <c r="I96" s="78"/>
      <c r="J96" s="74">
        <v>4</v>
      </c>
      <c r="K96" s="74"/>
      <c r="L96" s="78">
        <v>5</v>
      </c>
      <c r="M96" s="78"/>
      <c r="N96" s="74">
        <v>6</v>
      </c>
      <c r="O96" s="74"/>
      <c r="P96" s="78">
        <v>7</v>
      </c>
      <c r="Q96" s="78"/>
      <c r="R96" s="74">
        <v>8</v>
      </c>
      <c r="S96" s="74"/>
      <c r="T96" s="74">
        <v>9</v>
      </c>
      <c r="U96" s="74"/>
      <c r="V96" s="49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</row>
    <row r="97" spans="1:44" ht="15.6" customHeight="1" x14ac:dyDescent="0.25">
      <c r="A97" s="27"/>
      <c r="B97" s="28" t="s">
        <v>13</v>
      </c>
      <c r="C97" s="28" t="s">
        <v>14</v>
      </c>
      <c r="D97" s="31" t="s">
        <v>15</v>
      </c>
      <c r="E97" s="31" t="s">
        <v>16</v>
      </c>
      <c r="F97" s="28" t="s">
        <v>13</v>
      </c>
      <c r="G97" s="28" t="s">
        <v>14</v>
      </c>
      <c r="H97" s="31" t="s">
        <v>15</v>
      </c>
      <c r="I97" s="31" t="s">
        <v>16</v>
      </c>
      <c r="J97" s="28" t="s">
        <v>13</v>
      </c>
      <c r="K97" s="28" t="s">
        <v>14</v>
      </c>
      <c r="L97" s="31" t="s">
        <v>15</v>
      </c>
      <c r="M97" s="31" t="s">
        <v>16</v>
      </c>
      <c r="N97" s="28" t="s">
        <v>13</v>
      </c>
      <c r="O97" s="28" t="s">
        <v>14</v>
      </c>
      <c r="P97" s="31" t="s">
        <v>15</v>
      </c>
      <c r="Q97" s="31" t="s">
        <v>16</v>
      </c>
      <c r="R97" s="28" t="s">
        <v>13</v>
      </c>
      <c r="S97" s="28" t="s">
        <v>14</v>
      </c>
      <c r="T97" s="28" t="s">
        <v>15</v>
      </c>
      <c r="U97" s="28" t="s">
        <v>16</v>
      </c>
      <c r="V97" s="49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</row>
    <row r="98" spans="1:44" ht="15.6" customHeight="1" x14ac:dyDescent="0.25">
      <c r="A98" s="33"/>
      <c r="B98" s="34"/>
      <c r="C98" s="34"/>
      <c r="D98" s="35"/>
      <c r="E98" s="36"/>
      <c r="F98" s="34"/>
      <c r="G98" s="34"/>
      <c r="H98" s="35"/>
      <c r="I98" s="36"/>
      <c r="J98" s="34"/>
      <c r="K98" s="34"/>
      <c r="L98" s="35"/>
      <c r="M98" s="36"/>
      <c r="N98" s="34"/>
      <c r="O98" s="34"/>
      <c r="P98" s="35"/>
      <c r="Q98" s="36"/>
      <c r="R98" s="34"/>
      <c r="S98" s="34"/>
      <c r="T98" s="34"/>
      <c r="U98" s="34"/>
      <c r="V98" s="50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</row>
    <row r="99" spans="1:44" ht="15.6" customHeight="1" x14ac:dyDescent="0.25">
      <c r="A99" s="3"/>
      <c r="B99" s="30"/>
      <c r="C99" s="30"/>
      <c r="D99" s="54"/>
      <c r="E99" s="5"/>
      <c r="F99" s="30"/>
      <c r="G99" s="30"/>
      <c r="H99" s="54"/>
      <c r="I99" s="5"/>
      <c r="J99" s="30"/>
      <c r="K99" s="30"/>
      <c r="L99" s="54"/>
      <c r="M99" s="5"/>
      <c r="N99" s="30"/>
      <c r="O99" s="30"/>
      <c r="P99" s="54"/>
      <c r="Q99" s="5"/>
      <c r="R99" s="30"/>
      <c r="S99" s="30"/>
      <c r="T99" s="30"/>
      <c r="U99" s="30"/>
      <c r="V99" s="32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</row>
    <row r="100" spans="1:44" ht="15.6" customHeight="1" x14ac:dyDescent="0.25">
      <c r="A100" s="3"/>
      <c r="B100" s="95"/>
      <c r="C100" s="96"/>
      <c r="D100" s="97"/>
      <c r="E100" s="98"/>
      <c r="F100" s="95"/>
      <c r="G100" s="96"/>
      <c r="H100" s="97"/>
      <c r="I100" s="98"/>
      <c r="J100" s="95"/>
      <c r="K100" s="96"/>
      <c r="L100" s="97"/>
      <c r="M100" s="98"/>
      <c r="N100" s="95"/>
      <c r="O100" s="96"/>
      <c r="P100" s="97"/>
      <c r="Q100" s="98"/>
      <c r="R100" s="30"/>
      <c r="S100" s="30"/>
      <c r="T100" s="30"/>
      <c r="U100" s="30"/>
      <c r="V100" s="32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</row>
    <row r="101" spans="1:44" ht="15.6" customHeight="1" x14ac:dyDescent="0.25">
      <c r="A101" s="3"/>
      <c r="B101" s="40" t="str">
        <f>IF(D100&lt;1,"","пом.")</f>
        <v/>
      </c>
      <c r="C101" s="40"/>
      <c r="D101" s="85"/>
      <c r="E101" s="86"/>
      <c r="F101" s="40" t="str">
        <f>IF(H100&lt;1,"","пом.")</f>
        <v/>
      </c>
      <c r="G101" s="40"/>
      <c r="H101" s="85"/>
      <c r="I101" s="86"/>
      <c r="J101" s="40" t="str">
        <f>IF(L100&lt;1,"","пом.")</f>
        <v/>
      </c>
      <c r="K101" s="40"/>
      <c r="L101" s="85"/>
      <c r="M101" s="86"/>
      <c r="N101" s="40" t="str">
        <f>IF(P100&lt;1,"","пом.")</f>
        <v/>
      </c>
      <c r="O101" s="40"/>
      <c r="P101" s="85"/>
      <c r="Q101" s="86"/>
      <c r="R101" s="30"/>
      <c r="S101" s="30"/>
      <c r="T101" s="30"/>
      <c r="U101" s="30"/>
      <c r="V101" s="32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</row>
    <row r="102" spans="1:44" ht="15.6" customHeight="1" x14ac:dyDescent="0.25">
      <c r="A102" s="3"/>
      <c r="B102" s="3"/>
      <c r="C102" s="3"/>
      <c r="D102" s="4"/>
      <c r="E102" s="4"/>
      <c r="F102" s="3"/>
      <c r="G102" s="3"/>
      <c r="H102" s="4"/>
      <c r="I102" s="4"/>
      <c r="J102" s="3"/>
      <c r="K102" s="3"/>
      <c r="L102" s="4"/>
      <c r="M102" s="4"/>
      <c r="N102" s="3"/>
      <c r="O102" s="3"/>
      <c r="P102" s="4"/>
      <c r="Q102" s="4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</row>
    <row r="103" spans="1:44" ht="15.6" customHeight="1" x14ac:dyDescent="0.25">
      <c r="A103" s="3"/>
      <c r="B103" s="3"/>
      <c r="C103" s="3"/>
      <c r="D103" s="4"/>
      <c r="E103" s="5" t="s">
        <v>30</v>
      </c>
      <c r="F103" s="87" t="s">
        <v>31</v>
      </c>
      <c r="G103" s="87"/>
      <c r="H103" s="87"/>
      <c r="I103" s="117" t="s">
        <v>32</v>
      </c>
      <c r="J103" s="117"/>
      <c r="K103" s="58"/>
      <c r="L103" s="4"/>
      <c r="M103" s="4"/>
      <c r="N103" s="3"/>
      <c r="O103" s="30" t="s">
        <v>33</v>
      </c>
      <c r="P103" s="87" t="s">
        <v>34</v>
      </c>
      <c r="Q103" s="87"/>
      <c r="R103" s="87"/>
      <c r="S103" s="117" t="s">
        <v>35</v>
      </c>
      <c r="T103" s="117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</row>
    <row r="104" spans="1:44" ht="15.6" customHeight="1" x14ac:dyDescent="0.25">
      <c r="A104" s="3"/>
      <c r="B104" s="3"/>
      <c r="C104" s="3"/>
      <c r="D104" s="4"/>
      <c r="E104" s="5" t="s">
        <v>36</v>
      </c>
      <c r="F104" s="87" t="s">
        <v>37</v>
      </c>
      <c r="G104" s="87"/>
      <c r="H104" s="87"/>
      <c r="I104" s="117" t="s">
        <v>38</v>
      </c>
      <c r="J104" s="117"/>
      <c r="K104" s="117"/>
      <c r="L104" s="4"/>
      <c r="M104" s="4"/>
      <c r="N104" s="3"/>
      <c r="O104" s="30" t="s">
        <v>39</v>
      </c>
      <c r="P104" s="87" t="s">
        <v>34</v>
      </c>
      <c r="Q104" s="87"/>
      <c r="R104" s="87"/>
      <c r="S104" s="118" t="s">
        <v>40</v>
      </c>
      <c r="T104" s="118"/>
      <c r="U104" s="118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</row>
    <row r="105" spans="1:44" ht="15.6" customHeight="1" x14ac:dyDescent="0.25">
      <c r="A105" s="41"/>
      <c r="B105" s="41"/>
      <c r="C105" s="41"/>
      <c r="D105" s="42"/>
      <c r="E105" s="43"/>
      <c r="F105" s="41"/>
      <c r="G105" s="41"/>
      <c r="H105" s="42"/>
      <c r="I105" s="42"/>
      <c r="J105" s="41"/>
      <c r="K105" s="41"/>
      <c r="L105" s="42"/>
      <c r="M105" s="42"/>
      <c r="N105" s="41"/>
      <c r="O105" s="41"/>
      <c r="P105" s="42"/>
      <c r="Q105" s="42"/>
      <c r="R105" s="41"/>
      <c r="S105" s="41"/>
      <c r="T105" s="41"/>
      <c r="U105" s="41"/>
      <c r="V105" s="41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</row>
    <row r="106" spans="1:44" ht="15.6" customHeight="1" x14ac:dyDescent="0.3">
      <c r="A106" s="3"/>
      <c r="B106" s="3"/>
      <c r="C106" s="3"/>
      <c r="D106" s="4"/>
      <c r="E106" s="6" t="s">
        <v>1</v>
      </c>
      <c r="F106" s="3"/>
      <c r="G106" s="7"/>
      <c r="H106" s="8"/>
      <c r="I106" s="8"/>
      <c r="J106" s="7"/>
      <c r="K106" s="7"/>
      <c r="L106" s="8"/>
      <c r="M106" s="9" t="s">
        <v>2</v>
      </c>
      <c r="N106" s="12" t="str">
        <f>N86</f>
        <v>1.1</v>
      </c>
      <c r="O106" s="12"/>
      <c r="P106" s="4"/>
      <c r="Q106" s="4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</row>
    <row r="107" spans="1:44" ht="15.6" customHeight="1" x14ac:dyDescent="0.3">
      <c r="A107" s="3"/>
      <c r="B107" s="3"/>
      <c r="C107" s="3"/>
      <c r="D107" s="4"/>
      <c r="E107" s="6" t="s">
        <v>4</v>
      </c>
      <c r="F107" s="3"/>
      <c r="G107" s="3"/>
      <c r="H107" s="4"/>
      <c r="I107" s="4"/>
      <c r="J107" s="13"/>
      <c r="K107" s="13"/>
      <c r="L107" s="14"/>
      <c r="M107" s="9" t="s">
        <v>5</v>
      </c>
      <c r="N107" s="15" t="str">
        <f>N87</f>
        <v>1.1.3</v>
      </c>
      <c r="O107" s="15"/>
      <c r="P107" s="4"/>
      <c r="Q107" s="4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</row>
    <row r="108" spans="1:44" ht="15.6" customHeight="1" x14ac:dyDescent="0.3">
      <c r="A108" s="3"/>
      <c r="B108" s="3"/>
      <c r="C108" s="3"/>
      <c r="D108" s="4"/>
      <c r="E108" s="4" t="s">
        <v>7</v>
      </c>
      <c r="F108" s="3"/>
      <c r="G108" s="3"/>
      <c r="H108" s="8"/>
      <c r="I108" s="8"/>
      <c r="J108" s="7"/>
      <c r="K108" s="7"/>
      <c r="L108" s="8"/>
      <c r="M108" s="16" t="s">
        <v>5</v>
      </c>
      <c r="N108" s="17">
        <f>N88</f>
        <v>3</v>
      </c>
      <c r="O108" s="3"/>
      <c r="P108" s="4"/>
      <c r="Q108" s="4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</row>
    <row r="109" spans="1:44" ht="15.6" customHeight="1" x14ac:dyDescent="0.3">
      <c r="A109" s="3"/>
      <c r="B109" s="3"/>
      <c r="C109" s="3"/>
      <c r="D109" s="4"/>
      <c r="E109" s="4" t="s">
        <v>8</v>
      </c>
      <c r="F109" s="3"/>
      <c r="G109" s="3"/>
      <c r="H109" s="4"/>
      <c r="I109" s="4"/>
      <c r="J109" s="3"/>
      <c r="K109" s="3"/>
      <c r="L109" s="14"/>
      <c r="M109" s="16" t="s">
        <v>99</v>
      </c>
      <c r="N109" s="17" t="str">
        <f>IF(N89="-"&amp;N86&amp;".5",IF(N90=15,"-"&amp;N86&amp;".6","-"&amp;N86&amp;".5"),N89)</f>
        <v>-1.1.5</v>
      </c>
      <c r="O109" s="19"/>
      <c r="P109" s="4"/>
      <c r="Q109" s="4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</row>
    <row r="110" spans="1:44" ht="15.6" customHeight="1" x14ac:dyDescent="0.3">
      <c r="A110" s="3"/>
      <c r="B110" s="3"/>
      <c r="C110" s="3"/>
      <c r="D110" s="4"/>
      <c r="E110" s="21" t="s">
        <v>10</v>
      </c>
      <c r="F110" s="3"/>
      <c r="G110" s="3"/>
      <c r="H110" s="4"/>
      <c r="I110" s="8"/>
      <c r="J110" s="7"/>
      <c r="K110" s="7"/>
      <c r="L110" s="8"/>
      <c r="M110" s="16" t="s">
        <v>5</v>
      </c>
      <c r="N110" s="17">
        <f>IF(N109="-"&amp;N44&amp;".5",N90+1,IF(N89="-"&amp;N44&amp;".5",1,N90+1))</f>
        <v>6</v>
      </c>
      <c r="O110" s="3"/>
      <c r="P110" s="4"/>
      <c r="Q110" s="4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</row>
    <row r="111" spans="1:44" ht="9" customHeight="1" x14ac:dyDescent="0.25">
      <c r="A111" s="3"/>
      <c r="B111" s="3"/>
      <c r="C111" s="3"/>
      <c r="D111" s="4"/>
      <c r="E111" s="4"/>
      <c r="F111" s="3"/>
      <c r="G111" s="3"/>
      <c r="H111" s="4"/>
      <c r="I111" s="4"/>
      <c r="J111" s="3"/>
      <c r="K111" s="3"/>
      <c r="L111" s="4"/>
      <c r="M111" s="4"/>
      <c r="N111" s="3"/>
      <c r="O111" s="3"/>
      <c r="P111" s="4"/>
      <c r="Q111" s="4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</row>
    <row r="112" spans="1:44" ht="15.6" customHeight="1" x14ac:dyDescent="0.25">
      <c r="A112" s="24"/>
      <c r="B112" s="25"/>
      <c r="C112" s="25"/>
      <c r="D112" s="26"/>
      <c r="E112" s="26"/>
      <c r="F112" s="25"/>
      <c r="G112" s="25"/>
      <c r="H112" s="26"/>
      <c r="I112" s="26"/>
      <c r="J112" s="25"/>
      <c r="K112" s="25"/>
      <c r="L112" s="26"/>
      <c r="M112" s="26"/>
      <c r="N112" s="25"/>
      <c r="O112" s="25"/>
      <c r="P112" s="26"/>
      <c r="Q112" s="26"/>
      <c r="R112" s="25"/>
      <c r="S112" s="25"/>
      <c r="T112" s="25"/>
      <c r="U112" s="25"/>
      <c r="V112" s="45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</row>
    <row r="113" spans="1:44" ht="15.6" customHeight="1" x14ac:dyDescent="0.25">
      <c r="A113" s="27"/>
      <c r="B113" s="28"/>
      <c r="C113" s="28"/>
      <c r="D113" s="71">
        <v>1</v>
      </c>
      <c r="E113" s="72"/>
      <c r="F113" s="28"/>
      <c r="G113" s="28"/>
      <c r="H113" s="71">
        <v>2</v>
      </c>
      <c r="I113" s="72"/>
      <c r="J113" s="28"/>
      <c r="K113" s="28"/>
      <c r="L113" s="71">
        <v>3</v>
      </c>
      <c r="M113" s="72"/>
      <c r="N113" s="28"/>
      <c r="O113" s="28"/>
      <c r="P113" s="71">
        <v>4</v>
      </c>
      <c r="Q113" s="72"/>
      <c r="R113" s="28"/>
      <c r="S113" s="28"/>
      <c r="T113" s="28"/>
      <c r="U113" s="28"/>
      <c r="V113" s="46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</row>
    <row r="114" spans="1:44" ht="15.6" customHeight="1" x14ac:dyDescent="0.25">
      <c r="A114" s="27"/>
      <c r="B114" s="74" t="s">
        <v>11</v>
      </c>
      <c r="C114" s="74"/>
      <c r="D114" s="71" t="s">
        <v>12</v>
      </c>
      <c r="E114" s="72"/>
      <c r="F114" s="74" t="s">
        <v>11</v>
      </c>
      <c r="G114" s="74"/>
      <c r="H114" s="71" t="s">
        <v>12</v>
      </c>
      <c r="I114" s="72"/>
      <c r="J114" s="74" t="s">
        <v>11</v>
      </c>
      <c r="K114" s="74"/>
      <c r="L114" s="71" t="s">
        <v>12</v>
      </c>
      <c r="M114" s="72"/>
      <c r="N114" s="74" t="s">
        <v>11</v>
      </c>
      <c r="O114" s="74"/>
      <c r="P114" s="71" t="s">
        <v>12</v>
      </c>
      <c r="Q114" s="72"/>
      <c r="R114" s="74"/>
      <c r="S114" s="74"/>
      <c r="T114" s="74"/>
      <c r="U114" s="74"/>
      <c r="V114" s="48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</row>
    <row r="115" spans="1:44" ht="15.6" customHeight="1" x14ac:dyDescent="0.25">
      <c r="A115" s="27"/>
      <c r="B115" s="76"/>
      <c r="C115" s="76"/>
      <c r="D115" s="77"/>
      <c r="E115" s="77"/>
      <c r="F115" s="76"/>
      <c r="G115" s="76"/>
      <c r="H115" s="77"/>
      <c r="I115" s="77"/>
      <c r="J115" s="76"/>
      <c r="K115" s="76"/>
      <c r="L115" s="77"/>
      <c r="M115" s="77"/>
      <c r="N115" s="76"/>
      <c r="O115" s="76"/>
      <c r="P115" s="77"/>
      <c r="Q115" s="77"/>
      <c r="R115" s="76"/>
      <c r="S115" s="76"/>
      <c r="T115" s="76"/>
      <c r="U115" s="76"/>
      <c r="V115" s="48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</row>
    <row r="116" spans="1:44" ht="15.6" customHeight="1" x14ac:dyDescent="0.25">
      <c r="A116" s="27"/>
      <c r="B116" s="74">
        <v>0</v>
      </c>
      <c r="C116" s="74"/>
      <c r="D116" s="78">
        <v>1</v>
      </c>
      <c r="E116" s="78"/>
      <c r="F116" s="74">
        <v>2</v>
      </c>
      <c r="G116" s="74"/>
      <c r="H116" s="78">
        <v>3</v>
      </c>
      <c r="I116" s="78"/>
      <c r="J116" s="74">
        <v>4</v>
      </c>
      <c r="K116" s="74"/>
      <c r="L116" s="78">
        <v>5</v>
      </c>
      <c r="M116" s="78"/>
      <c r="N116" s="74">
        <v>6</v>
      </c>
      <c r="O116" s="74"/>
      <c r="P116" s="78">
        <v>7</v>
      </c>
      <c r="Q116" s="78"/>
      <c r="R116" s="74">
        <v>8</v>
      </c>
      <c r="S116" s="74"/>
      <c r="T116" s="74">
        <v>9</v>
      </c>
      <c r="U116" s="74"/>
      <c r="V116" s="49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</row>
    <row r="117" spans="1:44" ht="15.6" customHeight="1" x14ac:dyDescent="0.25">
      <c r="A117" s="27"/>
      <c r="B117" s="28" t="s">
        <v>13</v>
      </c>
      <c r="C117" s="28" t="s">
        <v>14</v>
      </c>
      <c r="D117" s="31" t="s">
        <v>15</v>
      </c>
      <c r="E117" s="31" t="s">
        <v>16</v>
      </c>
      <c r="F117" s="28" t="s">
        <v>13</v>
      </c>
      <c r="G117" s="28" t="s">
        <v>14</v>
      </c>
      <c r="H117" s="31" t="s">
        <v>15</v>
      </c>
      <c r="I117" s="31" t="s">
        <v>16</v>
      </c>
      <c r="J117" s="28" t="s">
        <v>13</v>
      </c>
      <c r="K117" s="28" t="s">
        <v>14</v>
      </c>
      <c r="L117" s="31" t="s">
        <v>15</v>
      </c>
      <c r="M117" s="31" t="s">
        <v>16</v>
      </c>
      <c r="N117" s="28" t="s">
        <v>13</v>
      </c>
      <c r="O117" s="28" t="s">
        <v>14</v>
      </c>
      <c r="P117" s="31" t="s">
        <v>15</v>
      </c>
      <c r="Q117" s="31" t="s">
        <v>16</v>
      </c>
      <c r="R117" s="28" t="s">
        <v>13</v>
      </c>
      <c r="S117" s="28" t="s">
        <v>14</v>
      </c>
      <c r="T117" s="28" t="s">
        <v>15</v>
      </c>
      <c r="U117" s="28" t="s">
        <v>16</v>
      </c>
      <c r="V117" s="49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</row>
    <row r="118" spans="1:44" ht="15.6" customHeight="1" x14ac:dyDescent="0.25">
      <c r="A118" s="33"/>
      <c r="B118" s="34"/>
      <c r="C118" s="34"/>
      <c r="D118" s="35"/>
      <c r="E118" s="36"/>
      <c r="F118" s="34"/>
      <c r="G118" s="34"/>
      <c r="H118" s="35"/>
      <c r="I118" s="36"/>
      <c r="J118" s="34"/>
      <c r="K118" s="34"/>
      <c r="L118" s="35"/>
      <c r="M118" s="36"/>
      <c r="N118" s="34"/>
      <c r="O118" s="34"/>
      <c r="P118" s="35"/>
      <c r="Q118" s="36"/>
      <c r="R118" s="34"/>
      <c r="S118" s="34"/>
      <c r="T118" s="34"/>
      <c r="U118" s="34"/>
      <c r="V118" s="50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</row>
    <row r="119" spans="1:44" ht="9" customHeight="1" x14ac:dyDescent="0.25">
      <c r="A119" s="3"/>
      <c r="B119" s="30"/>
      <c r="C119" s="30"/>
      <c r="D119" s="54"/>
      <c r="E119" s="5"/>
      <c r="F119" s="30"/>
      <c r="G119" s="30"/>
      <c r="H119" s="54"/>
      <c r="I119" s="5"/>
      <c r="J119" s="30"/>
      <c r="K119" s="30"/>
      <c r="L119" s="54"/>
      <c r="M119" s="5"/>
      <c r="N119" s="30"/>
      <c r="O119" s="30"/>
      <c r="P119" s="54"/>
      <c r="Q119" s="5"/>
      <c r="R119" s="30"/>
      <c r="S119" s="30"/>
      <c r="T119" s="30"/>
      <c r="U119" s="30"/>
      <c r="V119" s="32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</row>
    <row r="120" spans="1:44" ht="15.6" customHeight="1" x14ac:dyDescent="0.25">
      <c r="A120" s="3"/>
      <c r="B120" s="95"/>
      <c r="C120" s="96"/>
      <c r="D120" s="97"/>
      <c r="E120" s="98"/>
      <c r="F120" s="95"/>
      <c r="G120" s="96"/>
      <c r="H120" s="97"/>
      <c r="I120" s="98"/>
      <c r="J120" s="95"/>
      <c r="K120" s="96"/>
      <c r="L120" s="97"/>
      <c r="M120" s="98"/>
      <c r="N120" s="95"/>
      <c r="O120" s="96"/>
      <c r="P120" s="97"/>
      <c r="Q120" s="98"/>
      <c r="R120" s="30"/>
      <c r="S120" s="30"/>
      <c r="T120" s="30"/>
      <c r="U120" s="30"/>
      <c r="V120" s="32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</row>
    <row r="121" spans="1:44" ht="15.6" customHeight="1" x14ac:dyDescent="0.25">
      <c r="A121" s="3"/>
      <c r="B121" s="40" t="str">
        <f>IF(D120&lt;1,"","пом.")</f>
        <v/>
      </c>
      <c r="C121" s="40"/>
      <c r="D121" s="85"/>
      <c r="E121" s="86"/>
      <c r="F121" s="40" t="str">
        <f>IF(H120&lt;1,"","пом.")</f>
        <v/>
      </c>
      <c r="G121" s="40"/>
      <c r="H121" s="85"/>
      <c r="I121" s="86"/>
      <c r="J121" s="40" t="str">
        <f>IF(L120&lt;1,"","пом.")</f>
        <v/>
      </c>
      <c r="K121" s="40"/>
      <c r="L121" s="85"/>
      <c r="M121" s="86"/>
      <c r="N121" s="40" t="str">
        <f>IF(P120&lt;1,"","пом.")</f>
        <v/>
      </c>
      <c r="O121" s="40"/>
      <c r="P121" s="85"/>
      <c r="Q121" s="86"/>
      <c r="R121" s="30"/>
      <c r="S121" s="30"/>
      <c r="T121" s="30"/>
      <c r="U121" s="30"/>
      <c r="V121" s="32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</row>
    <row r="122" spans="1:44" ht="7.15" customHeight="1" x14ac:dyDescent="0.25">
      <c r="A122" s="3"/>
      <c r="B122" s="3"/>
      <c r="C122" s="3"/>
      <c r="D122" s="4"/>
      <c r="E122" s="4"/>
      <c r="F122" s="3"/>
      <c r="G122" s="3"/>
      <c r="H122" s="4"/>
      <c r="I122" s="4"/>
      <c r="J122" s="3"/>
      <c r="K122" s="3"/>
      <c r="L122" s="4"/>
      <c r="M122" s="4"/>
      <c r="N122" s="3"/>
      <c r="O122" s="3"/>
      <c r="P122" s="4"/>
      <c r="Q122" s="4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</row>
    <row r="123" spans="1:44" ht="15.6" customHeight="1" x14ac:dyDescent="0.25">
      <c r="A123" s="3"/>
      <c r="B123" s="3"/>
      <c r="C123" s="3"/>
      <c r="D123" s="4"/>
      <c r="E123" s="5" t="s">
        <v>30</v>
      </c>
      <c r="F123" s="87" t="s">
        <v>31</v>
      </c>
      <c r="G123" s="87"/>
      <c r="H123" s="87"/>
      <c r="I123" s="117" t="s">
        <v>32</v>
      </c>
      <c r="J123" s="117"/>
      <c r="K123" s="58"/>
      <c r="L123" s="4"/>
      <c r="M123" s="4"/>
      <c r="N123" s="3"/>
      <c r="O123" s="30" t="s">
        <v>33</v>
      </c>
      <c r="P123" s="87" t="s">
        <v>34</v>
      </c>
      <c r="Q123" s="87"/>
      <c r="R123" s="87"/>
      <c r="S123" s="117" t="s">
        <v>35</v>
      </c>
      <c r="T123" s="117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</row>
    <row r="124" spans="1:44" ht="15.6" customHeight="1" x14ac:dyDescent="0.25">
      <c r="A124" s="3"/>
      <c r="B124" s="3"/>
      <c r="C124" s="3"/>
      <c r="D124" s="4"/>
      <c r="E124" s="5" t="s">
        <v>36</v>
      </c>
      <c r="F124" s="87" t="s">
        <v>37</v>
      </c>
      <c r="G124" s="87"/>
      <c r="H124" s="87"/>
      <c r="I124" s="117" t="s">
        <v>38</v>
      </c>
      <c r="J124" s="117"/>
      <c r="K124" s="117"/>
      <c r="L124" s="4"/>
      <c r="M124" s="4"/>
      <c r="N124" s="3"/>
      <c r="O124" s="30" t="s">
        <v>39</v>
      </c>
      <c r="P124" s="87" t="s">
        <v>34</v>
      </c>
      <c r="Q124" s="87"/>
      <c r="R124" s="87"/>
      <c r="S124" s="118" t="s">
        <v>40</v>
      </c>
      <c r="T124" s="118"/>
      <c r="U124" s="118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</row>
    <row r="125" spans="1:44" ht="15.6" customHeight="1" x14ac:dyDescent="0.25">
      <c r="A125" s="41"/>
      <c r="B125" s="41"/>
      <c r="C125" s="41"/>
      <c r="D125" s="42"/>
      <c r="E125" s="43"/>
      <c r="F125" s="41"/>
      <c r="G125" s="41"/>
      <c r="H125" s="42"/>
      <c r="I125" s="42"/>
      <c r="J125" s="41"/>
      <c r="K125" s="41"/>
      <c r="L125" s="42"/>
      <c r="M125" s="42"/>
      <c r="N125" s="41"/>
      <c r="O125" s="41"/>
      <c r="P125" s="42"/>
      <c r="Q125" s="42"/>
      <c r="R125" s="41"/>
      <c r="S125" s="41"/>
      <c r="T125" s="41"/>
      <c r="U125" s="41"/>
      <c r="V125" s="41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</row>
    <row r="126" spans="1:44" ht="15.6" customHeight="1" x14ac:dyDescent="0.25">
      <c r="A126" s="41"/>
      <c r="B126" s="41"/>
      <c r="C126" s="41"/>
      <c r="D126" s="42"/>
      <c r="E126" s="43"/>
      <c r="F126" s="41"/>
      <c r="G126" s="41"/>
      <c r="H126" s="42"/>
      <c r="I126" s="42"/>
      <c r="J126" s="41"/>
      <c r="K126" s="41"/>
      <c r="L126" s="42"/>
      <c r="M126" s="42"/>
      <c r="N126" s="41"/>
      <c r="O126" s="41"/>
      <c r="P126" s="42"/>
      <c r="Q126" s="42"/>
      <c r="R126" s="41"/>
      <c r="S126" s="41"/>
      <c r="T126" s="41"/>
      <c r="U126" s="41"/>
      <c r="V126" s="41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</row>
    <row r="127" spans="1:44" ht="15.6" hidden="1" customHeight="1" x14ac:dyDescent="0.25">
      <c r="A127" s="3"/>
      <c r="B127" s="3"/>
      <c r="C127" s="3"/>
      <c r="D127" s="4"/>
      <c r="E127" s="4"/>
      <c r="F127" s="3"/>
      <c r="G127" s="3"/>
      <c r="H127" s="4"/>
      <c r="I127" s="4"/>
      <c r="J127" s="3"/>
      <c r="K127" s="3"/>
      <c r="L127" s="4"/>
      <c r="M127" s="4"/>
      <c r="N127" s="3"/>
      <c r="O127" s="3"/>
      <c r="P127" s="4"/>
      <c r="Q127" s="4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</row>
    <row r="128" spans="1:44" ht="15.6" customHeight="1" x14ac:dyDescent="0.3">
      <c r="A128" s="3"/>
      <c r="B128" s="3"/>
      <c r="C128" s="3"/>
      <c r="D128" s="4"/>
      <c r="E128" s="6" t="s">
        <v>1</v>
      </c>
      <c r="F128" s="3"/>
      <c r="G128" s="7"/>
      <c r="H128" s="8"/>
      <c r="I128" s="8"/>
      <c r="J128" s="7"/>
      <c r="K128" s="7"/>
      <c r="L128" s="8"/>
      <c r="M128" s="9" t="s">
        <v>2</v>
      </c>
      <c r="N128" s="12" t="str">
        <f>N106</f>
        <v>1.1</v>
      </c>
      <c r="O128" s="12"/>
      <c r="P128" s="4"/>
      <c r="Q128" s="4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</row>
    <row r="129" spans="1:44" ht="15.6" customHeight="1" x14ac:dyDescent="0.3">
      <c r="A129" s="3"/>
      <c r="B129" s="3"/>
      <c r="C129" s="3"/>
      <c r="D129" s="4"/>
      <c r="E129" s="6" t="s">
        <v>4</v>
      </c>
      <c r="F129" s="3"/>
      <c r="G129" s="3"/>
      <c r="H129" s="4"/>
      <c r="I129" s="4"/>
      <c r="J129" s="13"/>
      <c r="K129" s="13"/>
      <c r="L129" s="14"/>
      <c r="M129" s="9" t="s">
        <v>5</v>
      </c>
      <c r="N129" s="15" t="str">
        <f>N128&amp;".3"</f>
        <v>1.1.3</v>
      </c>
      <c r="O129" s="15"/>
      <c r="P129" s="4"/>
      <c r="Q129" s="4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</row>
    <row r="130" spans="1:44" ht="15.6" customHeight="1" x14ac:dyDescent="0.3">
      <c r="A130" s="3"/>
      <c r="B130" s="3"/>
      <c r="C130" s="3"/>
      <c r="D130" s="4"/>
      <c r="E130" s="4" t="s">
        <v>7</v>
      </c>
      <c r="F130" s="3"/>
      <c r="G130" s="3"/>
      <c r="H130" s="8"/>
      <c r="I130" s="8"/>
      <c r="J130" s="7"/>
      <c r="K130" s="7"/>
      <c r="L130" s="8"/>
      <c r="M130" s="16" t="s">
        <v>5</v>
      </c>
      <c r="N130" s="17">
        <f>N108+1</f>
        <v>4</v>
      </c>
      <c r="O130" s="3"/>
      <c r="P130" s="4"/>
      <c r="Q130" s="4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</row>
    <row r="131" spans="1:44" ht="15.6" customHeight="1" x14ac:dyDescent="0.3">
      <c r="A131" s="3"/>
      <c r="B131" s="3"/>
      <c r="C131" s="3"/>
      <c r="D131" s="4"/>
      <c r="E131" s="4" t="s">
        <v>8</v>
      </c>
      <c r="F131" s="3"/>
      <c r="G131" s="3"/>
      <c r="H131" s="4"/>
      <c r="I131" s="4"/>
      <c r="J131" s="3"/>
      <c r="K131" s="3"/>
      <c r="L131" s="14"/>
      <c r="M131" s="16" t="s">
        <v>99</v>
      </c>
      <c r="N131" s="17" t="str">
        <f>IF(N109="-"&amp;N86&amp;".5",IF(N110=15,"-"&amp;N86&amp;".6","-"&amp;N86&amp;".5"),N109)</f>
        <v>-1.1.5</v>
      </c>
      <c r="O131" s="3"/>
      <c r="P131" s="4"/>
      <c r="Q131" s="4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</row>
    <row r="132" spans="1:44" ht="15.6" customHeight="1" x14ac:dyDescent="0.3">
      <c r="A132" s="3"/>
      <c r="B132" s="3"/>
      <c r="C132" s="3"/>
      <c r="D132" s="4"/>
      <c r="E132" s="21" t="s">
        <v>10</v>
      </c>
      <c r="F132" s="3"/>
      <c r="G132" s="3"/>
      <c r="H132" s="4"/>
      <c r="I132" s="8"/>
      <c r="J132" s="7"/>
      <c r="K132" s="7"/>
      <c r="L132" s="8"/>
      <c r="M132" s="16" t="s">
        <v>5</v>
      </c>
      <c r="N132" s="17">
        <f>IF(N131="-"&amp;N86&amp;".5",N110+1,IF(N109="-"&amp;N86&amp;".5",1,N110+1))</f>
        <v>7</v>
      </c>
      <c r="O132" s="3"/>
      <c r="P132" s="4"/>
      <c r="Q132" s="4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</row>
    <row r="133" spans="1:44" ht="15.6" customHeight="1" x14ac:dyDescent="0.25">
      <c r="A133" s="3"/>
      <c r="B133" s="3"/>
      <c r="C133" s="3"/>
      <c r="D133" s="4"/>
      <c r="E133" s="4"/>
      <c r="F133" s="3"/>
      <c r="G133" s="3"/>
      <c r="H133" s="4"/>
      <c r="I133" s="4"/>
      <c r="J133" s="3"/>
      <c r="K133" s="3"/>
      <c r="L133" s="4"/>
      <c r="M133" s="4"/>
      <c r="N133" s="3"/>
      <c r="O133" s="3"/>
      <c r="P133" s="4"/>
      <c r="Q133" s="4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</row>
    <row r="134" spans="1:44" ht="15.6" customHeight="1" x14ac:dyDescent="0.25">
      <c r="A134" s="24"/>
      <c r="B134" s="25"/>
      <c r="C134" s="25"/>
      <c r="D134" s="26"/>
      <c r="E134" s="26"/>
      <c r="F134" s="25"/>
      <c r="G134" s="25"/>
      <c r="H134" s="26"/>
      <c r="I134" s="26"/>
      <c r="J134" s="25"/>
      <c r="K134" s="25"/>
      <c r="L134" s="26"/>
      <c r="M134" s="26"/>
      <c r="N134" s="25"/>
      <c r="O134" s="25"/>
      <c r="P134" s="26"/>
      <c r="Q134" s="26"/>
      <c r="R134" s="25"/>
      <c r="S134" s="25"/>
      <c r="T134" s="25"/>
      <c r="U134" s="25"/>
      <c r="V134" s="45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</row>
    <row r="135" spans="1:44" ht="15.6" customHeight="1" x14ac:dyDescent="0.25">
      <c r="A135" s="27"/>
      <c r="B135" s="28"/>
      <c r="C135" s="28"/>
      <c r="D135" s="71">
        <v>1</v>
      </c>
      <c r="E135" s="72"/>
      <c r="F135" s="28"/>
      <c r="G135" s="28"/>
      <c r="H135" s="71">
        <v>2</v>
      </c>
      <c r="I135" s="72"/>
      <c r="J135" s="28"/>
      <c r="K135" s="28"/>
      <c r="L135" s="71">
        <v>3</v>
      </c>
      <c r="M135" s="72"/>
      <c r="N135" s="28"/>
      <c r="O135" s="28"/>
      <c r="P135" s="71">
        <v>4</v>
      </c>
      <c r="Q135" s="72"/>
      <c r="R135" s="28"/>
      <c r="S135" s="28"/>
      <c r="T135" s="28"/>
      <c r="U135" s="28"/>
      <c r="V135" s="46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</row>
    <row r="136" spans="1:44" ht="15.6" customHeight="1" x14ac:dyDescent="0.25">
      <c r="A136" s="27"/>
      <c r="B136" s="74" t="s">
        <v>11</v>
      </c>
      <c r="C136" s="74"/>
      <c r="D136" s="71" t="s">
        <v>12</v>
      </c>
      <c r="E136" s="72"/>
      <c r="F136" s="74" t="s">
        <v>11</v>
      </c>
      <c r="G136" s="74"/>
      <c r="H136" s="71" t="s">
        <v>12</v>
      </c>
      <c r="I136" s="72"/>
      <c r="J136" s="74" t="s">
        <v>11</v>
      </c>
      <c r="K136" s="74"/>
      <c r="L136" s="71" t="s">
        <v>12</v>
      </c>
      <c r="M136" s="72"/>
      <c r="N136" s="74" t="s">
        <v>11</v>
      </c>
      <c r="O136" s="74"/>
      <c r="P136" s="71" t="s">
        <v>12</v>
      </c>
      <c r="Q136" s="72"/>
      <c r="R136" s="74"/>
      <c r="S136" s="74"/>
      <c r="T136" s="74"/>
      <c r="U136" s="74"/>
      <c r="V136" s="48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</row>
    <row r="137" spans="1:44" ht="15.6" customHeight="1" x14ac:dyDescent="0.25">
      <c r="A137" s="27"/>
      <c r="B137" s="76"/>
      <c r="C137" s="76"/>
      <c r="D137" s="77"/>
      <c r="E137" s="77"/>
      <c r="F137" s="76"/>
      <c r="G137" s="76"/>
      <c r="H137" s="77"/>
      <c r="I137" s="77"/>
      <c r="J137" s="76"/>
      <c r="K137" s="76"/>
      <c r="L137" s="77"/>
      <c r="M137" s="77"/>
      <c r="N137" s="76"/>
      <c r="O137" s="76"/>
      <c r="P137" s="77"/>
      <c r="Q137" s="77"/>
      <c r="R137" s="76"/>
      <c r="S137" s="76"/>
      <c r="T137" s="76"/>
      <c r="U137" s="76"/>
      <c r="V137" s="48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</row>
    <row r="138" spans="1:44" ht="15.6" customHeight="1" x14ac:dyDescent="0.25">
      <c r="A138" s="27"/>
      <c r="B138" s="74">
        <v>0</v>
      </c>
      <c r="C138" s="74"/>
      <c r="D138" s="78">
        <v>1</v>
      </c>
      <c r="E138" s="78"/>
      <c r="F138" s="74">
        <v>2</v>
      </c>
      <c r="G138" s="74"/>
      <c r="H138" s="78">
        <v>3</v>
      </c>
      <c r="I138" s="78"/>
      <c r="J138" s="74">
        <v>4</v>
      </c>
      <c r="K138" s="74"/>
      <c r="L138" s="78">
        <v>5</v>
      </c>
      <c r="M138" s="78"/>
      <c r="N138" s="74">
        <v>6</v>
      </c>
      <c r="O138" s="74"/>
      <c r="P138" s="78">
        <v>7</v>
      </c>
      <c r="Q138" s="78"/>
      <c r="R138" s="74">
        <v>8</v>
      </c>
      <c r="S138" s="74"/>
      <c r="T138" s="74">
        <v>9</v>
      </c>
      <c r="U138" s="74"/>
      <c r="V138" s="49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</row>
    <row r="139" spans="1:44" ht="15.6" customHeight="1" x14ac:dyDescent="0.25">
      <c r="A139" s="27"/>
      <c r="B139" s="28" t="s">
        <v>13</v>
      </c>
      <c r="C139" s="28" t="s">
        <v>14</v>
      </c>
      <c r="D139" s="31" t="s">
        <v>15</v>
      </c>
      <c r="E139" s="31" t="s">
        <v>16</v>
      </c>
      <c r="F139" s="28" t="s">
        <v>13</v>
      </c>
      <c r="G139" s="28" t="s">
        <v>14</v>
      </c>
      <c r="H139" s="31" t="s">
        <v>15</v>
      </c>
      <c r="I139" s="31" t="s">
        <v>16</v>
      </c>
      <c r="J139" s="28" t="s">
        <v>13</v>
      </c>
      <c r="K139" s="28" t="s">
        <v>14</v>
      </c>
      <c r="L139" s="31" t="s">
        <v>15</v>
      </c>
      <c r="M139" s="31" t="s">
        <v>16</v>
      </c>
      <c r="N139" s="28" t="s">
        <v>13</v>
      </c>
      <c r="O139" s="28" t="s">
        <v>14</v>
      </c>
      <c r="P139" s="31" t="s">
        <v>15</v>
      </c>
      <c r="Q139" s="31" t="s">
        <v>16</v>
      </c>
      <c r="R139" s="28" t="s">
        <v>13</v>
      </c>
      <c r="S139" s="28" t="s">
        <v>14</v>
      </c>
      <c r="T139" s="28" t="s">
        <v>15</v>
      </c>
      <c r="U139" s="28" t="s">
        <v>16</v>
      </c>
      <c r="V139" s="49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</row>
    <row r="140" spans="1:44" ht="15.6" customHeight="1" x14ac:dyDescent="0.25">
      <c r="A140" s="33"/>
      <c r="B140" s="34"/>
      <c r="C140" s="34"/>
      <c r="D140" s="35"/>
      <c r="E140" s="36"/>
      <c r="F140" s="34"/>
      <c r="G140" s="34"/>
      <c r="H140" s="35"/>
      <c r="I140" s="36"/>
      <c r="J140" s="34"/>
      <c r="K140" s="34"/>
      <c r="L140" s="35"/>
      <c r="M140" s="36"/>
      <c r="N140" s="34"/>
      <c r="O140" s="34"/>
      <c r="P140" s="35"/>
      <c r="Q140" s="36"/>
      <c r="R140" s="34"/>
      <c r="S140" s="34"/>
      <c r="T140" s="34"/>
      <c r="U140" s="34"/>
      <c r="V140" s="50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</row>
    <row r="141" spans="1:44" ht="15.6" customHeight="1" x14ac:dyDescent="0.25">
      <c r="A141" s="3"/>
      <c r="B141" s="30"/>
      <c r="C141" s="30"/>
      <c r="D141" s="54"/>
      <c r="E141" s="5"/>
      <c r="F141" s="30"/>
      <c r="G141" s="30"/>
      <c r="H141" s="54"/>
      <c r="I141" s="5"/>
      <c r="J141" s="30"/>
      <c r="K141" s="30"/>
      <c r="L141" s="54"/>
      <c r="M141" s="5"/>
      <c r="N141" s="30"/>
      <c r="O141" s="30"/>
      <c r="P141" s="54"/>
      <c r="Q141" s="5"/>
      <c r="R141" s="30"/>
      <c r="S141" s="30"/>
      <c r="T141" s="30"/>
      <c r="U141" s="30"/>
      <c r="V141" s="32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</row>
    <row r="142" spans="1:44" ht="15.6" customHeight="1" x14ac:dyDescent="0.25">
      <c r="A142" s="3"/>
      <c r="B142" s="95"/>
      <c r="C142" s="96"/>
      <c r="D142" s="97"/>
      <c r="E142" s="98"/>
      <c r="F142" s="95"/>
      <c r="G142" s="96"/>
      <c r="H142" s="97"/>
      <c r="I142" s="98"/>
      <c r="J142" s="95"/>
      <c r="K142" s="96"/>
      <c r="L142" s="97"/>
      <c r="M142" s="98"/>
      <c r="N142" s="95"/>
      <c r="O142" s="96"/>
      <c r="P142" s="97"/>
      <c r="Q142" s="98"/>
      <c r="R142" s="30"/>
      <c r="S142" s="30"/>
      <c r="T142" s="30"/>
      <c r="U142" s="30"/>
      <c r="V142" s="32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</row>
    <row r="143" spans="1:44" ht="15.6" customHeight="1" x14ac:dyDescent="0.25">
      <c r="A143" s="3"/>
      <c r="B143" s="40" t="str">
        <f>IF(D142&lt;1,"","пом.")</f>
        <v/>
      </c>
      <c r="C143" s="40"/>
      <c r="D143" s="85"/>
      <c r="E143" s="86"/>
      <c r="F143" s="40" t="str">
        <f>IF(H142&lt;1,"","пом.")</f>
        <v/>
      </c>
      <c r="G143" s="40"/>
      <c r="H143" s="85"/>
      <c r="I143" s="86"/>
      <c r="J143" s="40" t="str">
        <f>IF(L142&lt;1,"","пом.")</f>
        <v/>
      </c>
      <c r="K143" s="40"/>
      <c r="L143" s="85"/>
      <c r="M143" s="86"/>
      <c r="N143" s="40" t="str">
        <f>IF(P142&lt;1,"","пом.")</f>
        <v/>
      </c>
      <c r="O143" s="40"/>
      <c r="P143" s="85"/>
      <c r="Q143" s="86"/>
      <c r="R143" s="30"/>
      <c r="S143" s="30"/>
      <c r="T143" s="30"/>
      <c r="U143" s="30"/>
      <c r="V143" s="32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</row>
    <row r="144" spans="1:44" ht="15.6" customHeight="1" x14ac:dyDescent="0.25">
      <c r="A144" s="3"/>
      <c r="B144" s="3"/>
      <c r="C144" s="3"/>
      <c r="D144" s="4"/>
      <c r="E144" s="4"/>
      <c r="F144" s="3"/>
      <c r="G144" s="3"/>
      <c r="H144" s="4"/>
      <c r="I144" s="4"/>
      <c r="J144" s="3"/>
      <c r="K144" s="3"/>
      <c r="L144" s="4"/>
      <c r="M144" s="4"/>
      <c r="N144" s="3"/>
      <c r="O144" s="3"/>
      <c r="P144" s="4"/>
      <c r="Q144" s="4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</row>
    <row r="145" spans="1:44" ht="15.6" customHeight="1" x14ac:dyDescent="0.25">
      <c r="A145" s="3"/>
      <c r="B145" s="3"/>
      <c r="C145" s="3"/>
      <c r="D145" s="4"/>
      <c r="E145" s="5" t="s">
        <v>30</v>
      </c>
      <c r="F145" s="87" t="s">
        <v>31</v>
      </c>
      <c r="G145" s="87"/>
      <c r="H145" s="87"/>
      <c r="I145" s="117" t="s">
        <v>32</v>
      </c>
      <c r="J145" s="117"/>
      <c r="K145" s="58"/>
      <c r="L145" s="4"/>
      <c r="M145" s="4"/>
      <c r="N145" s="3"/>
      <c r="O145" s="30" t="s">
        <v>33</v>
      </c>
      <c r="P145" s="87" t="s">
        <v>34</v>
      </c>
      <c r="Q145" s="87"/>
      <c r="R145" s="87"/>
      <c r="S145" s="117" t="s">
        <v>35</v>
      </c>
      <c r="T145" s="117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</row>
    <row r="146" spans="1:44" ht="15.6" customHeight="1" x14ac:dyDescent="0.25">
      <c r="A146" s="3"/>
      <c r="B146" s="3"/>
      <c r="C146" s="3"/>
      <c r="D146" s="4"/>
      <c r="E146" s="5" t="s">
        <v>36</v>
      </c>
      <c r="F146" s="87" t="s">
        <v>37</v>
      </c>
      <c r="G146" s="87"/>
      <c r="H146" s="87"/>
      <c r="I146" s="117" t="s">
        <v>38</v>
      </c>
      <c r="J146" s="117"/>
      <c r="K146" s="117"/>
      <c r="L146" s="4"/>
      <c r="M146" s="4"/>
      <c r="N146" s="3"/>
      <c r="O146" s="30" t="s">
        <v>39</v>
      </c>
      <c r="P146" s="87" t="s">
        <v>34</v>
      </c>
      <c r="Q146" s="87"/>
      <c r="R146" s="87"/>
      <c r="S146" s="118" t="s">
        <v>40</v>
      </c>
      <c r="T146" s="118"/>
      <c r="U146" s="118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</row>
    <row r="147" spans="1:44" ht="15.6" customHeight="1" x14ac:dyDescent="0.25">
      <c r="A147" s="41"/>
      <c r="B147" s="41"/>
      <c r="C147" s="41"/>
      <c r="D147" s="42"/>
      <c r="E147" s="43"/>
      <c r="F147" s="41"/>
      <c r="G147" s="41"/>
      <c r="H147" s="42"/>
      <c r="I147" s="42"/>
      <c r="J147" s="41"/>
      <c r="K147" s="41"/>
      <c r="L147" s="42"/>
      <c r="M147" s="42"/>
      <c r="N147" s="41"/>
      <c r="O147" s="41"/>
      <c r="P147" s="42"/>
      <c r="Q147" s="42"/>
      <c r="R147" s="41"/>
      <c r="S147" s="41"/>
      <c r="T147" s="41"/>
      <c r="U147" s="41"/>
      <c r="V147" s="41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</row>
    <row r="148" spans="1:44" ht="15.6" customHeight="1" x14ac:dyDescent="0.3">
      <c r="A148" s="3"/>
      <c r="B148" s="3"/>
      <c r="C148" s="3"/>
      <c r="D148" s="4"/>
      <c r="E148" s="6" t="s">
        <v>1</v>
      </c>
      <c r="F148" s="3"/>
      <c r="G148" s="7"/>
      <c r="H148" s="8"/>
      <c r="I148" s="8"/>
      <c r="J148" s="7"/>
      <c r="K148" s="7"/>
      <c r="L148" s="8"/>
      <c r="M148" s="9" t="s">
        <v>2</v>
      </c>
      <c r="N148" s="12" t="str">
        <f>N128</f>
        <v>1.1</v>
      </c>
      <c r="O148" s="12"/>
      <c r="P148" s="4"/>
      <c r="Q148" s="4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</row>
    <row r="149" spans="1:44" ht="15.6" customHeight="1" x14ac:dyDescent="0.3">
      <c r="A149" s="3"/>
      <c r="B149" s="3"/>
      <c r="C149" s="3"/>
      <c r="D149" s="4"/>
      <c r="E149" s="6" t="s">
        <v>4</v>
      </c>
      <c r="F149" s="3"/>
      <c r="G149" s="3"/>
      <c r="H149" s="4"/>
      <c r="I149" s="4"/>
      <c r="J149" s="13"/>
      <c r="K149" s="13"/>
      <c r="L149" s="14"/>
      <c r="M149" s="9" t="s">
        <v>5</v>
      </c>
      <c r="N149" s="15" t="str">
        <f>N129</f>
        <v>1.1.3</v>
      </c>
      <c r="O149" s="15"/>
      <c r="P149" s="4"/>
      <c r="Q149" s="4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</row>
    <row r="150" spans="1:44" ht="15.6" customHeight="1" x14ac:dyDescent="0.3">
      <c r="A150" s="3"/>
      <c r="B150" s="3"/>
      <c r="C150" s="3"/>
      <c r="D150" s="4"/>
      <c r="E150" s="4" t="s">
        <v>7</v>
      </c>
      <c r="F150" s="3"/>
      <c r="G150" s="3"/>
      <c r="H150" s="8"/>
      <c r="I150" s="8"/>
      <c r="J150" s="7"/>
      <c r="K150" s="7"/>
      <c r="L150" s="8"/>
      <c r="M150" s="16" t="s">
        <v>5</v>
      </c>
      <c r="N150" s="17">
        <f>N130</f>
        <v>4</v>
      </c>
      <c r="O150" s="3"/>
      <c r="P150" s="4"/>
      <c r="Q150" s="4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</row>
    <row r="151" spans="1:44" ht="15.6" customHeight="1" x14ac:dyDescent="0.3">
      <c r="A151" s="3"/>
      <c r="B151" s="3"/>
      <c r="C151" s="3"/>
      <c r="D151" s="4"/>
      <c r="E151" s="4" t="s">
        <v>8</v>
      </c>
      <c r="F151" s="3"/>
      <c r="G151" s="3"/>
      <c r="H151" s="4"/>
      <c r="I151" s="4"/>
      <c r="J151" s="3"/>
      <c r="K151" s="3"/>
      <c r="L151" s="14"/>
      <c r="M151" s="16" t="s">
        <v>99</v>
      </c>
      <c r="N151" s="17" t="str">
        <f>IF(N131="-"&amp;N128&amp;".5",IF(N132=15,"-"&amp;N128&amp;".6","-"&amp;N128&amp;".5"),N131)</f>
        <v>-1.1.5</v>
      </c>
      <c r="O151" s="19"/>
      <c r="P151" s="4"/>
      <c r="Q151" s="4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</row>
    <row r="152" spans="1:44" ht="15.6" customHeight="1" x14ac:dyDescent="0.3">
      <c r="A152" s="3"/>
      <c r="B152" s="3"/>
      <c r="C152" s="3"/>
      <c r="D152" s="4"/>
      <c r="E152" s="21" t="s">
        <v>10</v>
      </c>
      <c r="F152" s="3"/>
      <c r="G152" s="3"/>
      <c r="H152" s="4"/>
      <c r="I152" s="8"/>
      <c r="J152" s="7"/>
      <c r="K152" s="7"/>
      <c r="L152" s="8"/>
      <c r="M152" s="16" t="s">
        <v>5</v>
      </c>
      <c r="N152" s="17">
        <f>IF(N151="-"&amp;N86&amp;".5",N132+1,IF(N131="-"&amp;N86&amp;".5",1,N132+1))</f>
        <v>8</v>
      </c>
      <c r="O152" s="3"/>
      <c r="P152" s="4"/>
      <c r="Q152" s="4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</row>
    <row r="153" spans="1:44" ht="7.9" customHeight="1" x14ac:dyDescent="0.25">
      <c r="A153" s="3"/>
      <c r="B153" s="3"/>
      <c r="C153" s="3"/>
      <c r="D153" s="4"/>
      <c r="E153" s="4"/>
      <c r="F153" s="3"/>
      <c r="G153" s="3"/>
      <c r="H153" s="4"/>
      <c r="I153" s="4"/>
      <c r="J153" s="3"/>
      <c r="K153" s="3"/>
      <c r="L153" s="4"/>
      <c r="M153" s="4"/>
      <c r="N153" s="3"/>
      <c r="O153" s="3"/>
      <c r="P153" s="4"/>
      <c r="Q153" s="4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</row>
    <row r="154" spans="1:44" ht="15.6" customHeight="1" x14ac:dyDescent="0.25">
      <c r="A154" s="24"/>
      <c r="B154" s="25"/>
      <c r="C154" s="25"/>
      <c r="D154" s="26"/>
      <c r="E154" s="26"/>
      <c r="F154" s="25"/>
      <c r="G154" s="25"/>
      <c r="H154" s="26"/>
      <c r="I154" s="26"/>
      <c r="J154" s="25"/>
      <c r="K154" s="25"/>
      <c r="L154" s="26"/>
      <c r="M154" s="26"/>
      <c r="N154" s="25"/>
      <c r="O154" s="25"/>
      <c r="P154" s="26"/>
      <c r="Q154" s="26"/>
      <c r="R154" s="25"/>
      <c r="S154" s="25"/>
      <c r="T154" s="25"/>
      <c r="U154" s="25"/>
      <c r="V154" s="45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</row>
    <row r="155" spans="1:44" ht="15.6" customHeight="1" x14ac:dyDescent="0.25">
      <c r="A155" s="27"/>
      <c r="B155" s="28"/>
      <c r="C155" s="28"/>
      <c r="D155" s="71">
        <v>1</v>
      </c>
      <c r="E155" s="72"/>
      <c r="F155" s="28"/>
      <c r="G155" s="28"/>
      <c r="H155" s="71">
        <v>2</v>
      </c>
      <c r="I155" s="72"/>
      <c r="J155" s="28"/>
      <c r="K155" s="28"/>
      <c r="L155" s="71">
        <v>3</v>
      </c>
      <c r="M155" s="72"/>
      <c r="N155" s="28"/>
      <c r="O155" s="28"/>
      <c r="P155" s="71">
        <v>4</v>
      </c>
      <c r="Q155" s="72"/>
      <c r="R155" s="28"/>
      <c r="S155" s="28"/>
      <c r="T155" s="28"/>
      <c r="U155" s="28"/>
      <c r="V155" s="46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</row>
    <row r="156" spans="1:44" ht="15.6" customHeight="1" x14ac:dyDescent="0.25">
      <c r="A156" s="27"/>
      <c r="B156" s="74" t="s">
        <v>11</v>
      </c>
      <c r="C156" s="74"/>
      <c r="D156" s="71" t="s">
        <v>12</v>
      </c>
      <c r="E156" s="72"/>
      <c r="F156" s="74" t="s">
        <v>11</v>
      </c>
      <c r="G156" s="74"/>
      <c r="H156" s="71" t="s">
        <v>12</v>
      </c>
      <c r="I156" s="72"/>
      <c r="J156" s="74" t="s">
        <v>11</v>
      </c>
      <c r="K156" s="74"/>
      <c r="L156" s="71" t="s">
        <v>12</v>
      </c>
      <c r="M156" s="72"/>
      <c r="N156" s="74" t="s">
        <v>11</v>
      </c>
      <c r="O156" s="74"/>
      <c r="P156" s="71" t="s">
        <v>12</v>
      </c>
      <c r="Q156" s="72"/>
      <c r="R156" s="74"/>
      <c r="S156" s="74"/>
      <c r="T156" s="74"/>
      <c r="U156" s="74"/>
      <c r="V156" s="48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</row>
    <row r="157" spans="1:44" ht="15.6" customHeight="1" x14ac:dyDescent="0.25">
      <c r="A157" s="27"/>
      <c r="B157" s="76"/>
      <c r="C157" s="76"/>
      <c r="D157" s="77"/>
      <c r="E157" s="77"/>
      <c r="F157" s="76"/>
      <c r="G157" s="76"/>
      <c r="H157" s="77"/>
      <c r="I157" s="77"/>
      <c r="J157" s="76"/>
      <c r="K157" s="76"/>
      <c r="L157" s="77"/>
      <c r="M157" s="77"/>
      <c r="N157" s="76"/>
      <c r="O157" s="76"/>
      <c r="P157" s="77"/>
      <c r="Q157" s="77"/>
      <c r="R157" s="76"/>
      <c r="S157" s="76"/>
      <c r="T157" s="76"/>
      <c r="U157" s="76"/>
      <c r="V157" s="48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</row>
    <row r="158" spans="1:44" ht="15.6" customHeight="1" x14ac:dyDescent="0.25">
      <c r="A158" s="27"/>
      <c r="B158" s="74">
        <v>0</v>
      </c>
      <c r="C158" s="74"/>
      <c r="D158" s="78">
        <v>1</v>
      </c>
      <c r="E158" s="78"/>
      <c r="F158" s="74">
        <v>2</v>
      </c>
      <c r="G158" s="74"/>
      <c r="H158" s="78">
        <v>3</v>
      </c>
      <c r="I158" s="78"/>
      <c r="J158" s="74">
        <v>4</v>
      </c>
      <c r="K158" s="74"/>
      <c r="L158" s="78">
        <v>5</v>
      </c>
      <c r="M158" s="78"/>
      <c r="N158" s="74">
        <v>6</v>
      </c>
      <c r="O158" s="74"/>
      <c r="P158" s="78">
        <v>7</v>
      </c>
      <c r="Q158" s="78"/>
      <c r="R158" s="74">
        <v>8</v>
      </c>
      <c r="S158" s="74"/>
      <c r="T158" s="74">
        <v>9</v>
      </c>
      <c r="U158" s="74"/>
      <c r="V158" s="49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</row>
    <row r="159" spans="1:44" ht="15.6" customHeight="1" x14ac:dyDescent="0.25">
      <c r="A159" s="27"/>
      <c r="B159" s="28" t="s">
        <v>13</v>
      </c>
      <c r="C159" s="28" t="s">
        <v>14</v>
      </c>
      <c r="D159" s="31" t="s">
        <v>15</v>
      </c>
      <c r="E159" s="31" t="s">
        <v>16</v>
      </c>
      <c r="F159" s="28" t="s">
        <v>13</v>
      </c>
      <c r="G159" s="28" t="s">
        <v>14</v>
      </c>
      <c r="H159" s="31" t="s">
        <v>15</v>
      </c>
      <c r="I159" s="31" t="s">
        <v>16</v>
      </c>
      <c r="J159" s="28" t="s">
        <v>13</v>
      </c>
      <c r="K159" s="28" t="s">
        <v>14</v>
      </c>
      <c r="L159" s="31" t="s">
        <v>15</v>
      </c>
      <c r="M159" s="31" t="s">
        <v>16</v>
      </c>
      <c r="N159" s="28" t="s">
        <v>13</v>
      </c>
      <c r="O159" s="28" t="s">
        <v>14</v>
      </c>
      <c r="P159" s="31" t="s">
        <v>15</v>
      </c>
      <c r="Q159" s="31" t="s">
        <v>16</v>
      </c>
      <c r="R159" s="28" t="s">
        <v>13</v>
      </c>
      <c r="S159" s="28" t="s">
        <v>14</v>
      </c>
      <c r="T159" s="28" t="s">
        <v>15</v>
      </c>
      <c r="U159" s="28" t="s">
        <v>16</v>
      </c>
      <c r="V159" s="49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</row>
    <row r="160" spans="1:44" ht="15.6" customHeight="1" x14ac:dyDescent="0.25">
      <c r="A160" s="33"/>
      <c r="B160" s="34"/>
      <c r="C160" s="34"/>
      <c r="D160" s="35"/>
      <c r="E160" s="36"/>
      <c r="F160" s="34"/>
      <c r="G160" s="34"/>
      <c r="H160" s="35"/>
      <c r="I160" s="36"/>
      <c r="J160" s="34"/>
      <c r="K160" s="34"/>
      <c r="L160" s="35"/>
      <c r="M160" s="36"/>
      <c r="N160" s="34"/>
      <c r="O160" s="34"/>
      <c r="P160" s="35"/>
      <c r="Q160" s="36"/>
      <c r="R160" s="34"/>
      <c r="S160" s="34"/>
      <c r="T160" s="34"/>
      <c r="U160" s="34"/>
      <c r="V160" s="50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</row>
    <row r="161" spans="1:44" ht="6" customHeight="1" x14ac:dyDescent="0.25">
      <c r="A161" s="3"/>
      <c r="B161" s="30"/>
      <c r="C161" s="30"/>
      <c r="D161" s="54"/>
      <c r="E161" s="5"/>
      <c r="F161" s="30"/>
      <c r="G161" s="30"/>
      <c r="H161" s="54"/>
      <c r="I161" s="5"/>
      <c r="J161" s="30"/>
      <c r="K161" s="30"/>
      <c r="L161" s="54"/>
      <c r="M161" s="5"/>
      <c r="N161" s="30"/>
      <c r="O161" s="30"/>
      <c r="P161" s="54"/>
      <c r="Q161" s="5"/>
      <c r="R161" s="30"/>
      <c r="S161" s="30"/>
      <c r="T161" s="30"/>
      <c r="U161" s="30"/>
      <c r="V161" s="32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</row>
    <row r="162" spans="1:44" ht="15.6" customHeight="1" x14ac:dyDescent="0.25">
      <c r="A162" s="3"/>
      <c r="B162" s="95"/>
      <c r="C162" s="96"/>
      <c r="D162" s="97"/>
      <c r="E162" s="98"/>
      <c r="F162" s="95"/>
      <c r="G162" s="96"/>
      <c r="H162" s="97"/>
      <c r="I162" s="98"/>
      <c r="J162" s="95"/>
      <c r="K162" s="96"/>
      <c r="L162" s="97"/>
      <c r="M162" s="98"/>
      <c r="N162" s="95"/>
      <c r="O162" s="96"/>
      <c r="P162" s="97"/>
      <c r="Q162" s="98"/>
      <c r="R162" s="30"/>
      <c r="S162" s="30"/>
      <c r="T162" s="30"/>
      <c r="U162" s="30"/>
      <c r="V162" s="32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</row>
    <row r="163" spans="1:44" ht="15.6" customHeight="1" x14ac:dyDescent="0.25">
      <c r="A163" s="3"/>
      <c r="B163" s="40" t="str">
        <f>IF(D162&lt;1,"","пом.")</f>
        <v/>
      </c>
      <c r="C163" s="40"/>
      <c r="D163" s="85"/>
      <c r="E163" s="86"/>
      <c r="F163" s="40" t="str">
        <f>IF(H162&lt;1,"","пом.")</f>
        <v/>
      </c>
      <c r="G163" s="40"/>
      <c r="H163" s="85"/>
      <c r="I163" s="86"/>
      <c r="J163" s="40" t="str">
        <f>IF(L162&lt;1,"","пом.")</f>
        <v/>
      </c>
      <c r="K163" s="40"/>
      <c r="L163" s="85"/>
      <c r="M163" s="86"/>
      <c r="N163" s="40" t="str">
        <f>IF(P162&lt;1,"","пом.")</f>
        <v/>
      </c>
      <c r="O163" s="40"/>
      <c r="P163" s="85"/>
      <c r="Q163" s="86"/>
      <c r="R163" s="30"/>
      <c r="S163" s="30"/>
      <c r="T163" s="30"/>
      <c r="U163" s="30"/>
      <c r="V163" s="32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</row>
    <row r="164" spans="1:44" ht="9" customHeight="1" x14ac:dyDescent="0.25">
      <c r="A164" s="3"/>
      <c r="B164" s="3"/>
      <c r="C164" s="3"/>
      <c r="D164" s="4"/>
      <c r="E164" s="4"/>
      <c r="F164" s="3"/>
      <c r="G164" s="3"/>
      <c r="H164" s="4"/>
      <c r="I164" s="4"/>
      <c r="J164" s="3"/>
      <c r="K164" s="3"/>
      <c r="L164" s="4"/>
      <c r="M164" s="4"/>
      <c r="N164" s="3"/>
      <c r="O164" s="3"/>
      <c r="P164" s="4"/>
      <c r="Q164" s="4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</row>
    <row r="165" spans="1:44" ht="15.6" customHeight="1" x14ac:dyDescent="0.25">
      <c r="A165" s="3"/>
      <c r="B165" s="3"/>
      <c r="C165" s="3"/>
      <c r="D165" s="4"/>
      <c r="E165" s="5" t="s">
        <v>30</v>
      </c>
      <c r="F165" s="87" t="s">
        <v>31</v>
      </c>
      <c r="G165" s="87"/>
      <c r="H165" s="87"/>
      <c r="I165" s="117" t="s">
        <v>32</v>
      </c>
      <c r="J165" s="117"/>
      <c r="K165" s="58"/>
      <c r="L165" s="4"/>
      <c r="M165" s="4"/>
      <c r="N165" s="3"/>
      <c r="O165" s="30" t="s">
        <v>33</v>
      </c>
      <c r="P165" s="87" t="s">
        <v>34</v>
      </c>
      <c r="Q165" s="87"/>
      <c r="R165" s="87"/>
      <c r="S165" s="117" t="s">
        <v>35</v>
      </c>
      <c r="T165" s="117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</row>
    <row r="166" spans="1:44" ht="15.6" customHeight="1" x14ac:dyDescent="0.25">
      <c r="A166" s="3"/>
      <c r="B166" s="3"/>
      <c r="C166" s="3"/>
      <c r="D166" s="4"/>
      <c r="E166" s="5" t="s">
        <v>36</v>
      </c>
      <c r="F166" s="87" t="s">
        <v>37</v>
      </c>
      <c r="G166" s="87"/>
      <c r="H166" s="87"/>
      <c r="I166" s="117" t="s">
        <v>38</v>
      </c>
      <c r="J166" s="117"/>
      <c r="K166" s="117"/>
      <c r="L166" s="4"/>
      <c r="M166" s="4"/>
      <c r="N166" s="3"/>
      <c r="O166" s="30" t="s">
        <v>39</v>
      </c>
      <c r="P166" s="87" t="s">
        <v>34</v>
      </c>
      <c r="Q166" s="87"/>
      <c r="R166" s="87"/>
      <c r="S166" s="118" t="s">
        <v>40</v>
      </c>
      <c r="T166" s="118"/>
      <c r="U166" s="118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</row>
    <row r="167" spans="1:44" ht="15.6" customHeight="1" x14ac:dyDescent="0.25">
      <c r="A167" s="41"/>
      <c r="B167" s="41"/>
      <c r="C167" s="41"/>
      <c r="D167" s="42"/>
      <c r="E167" s="43"/>
      <c r="F167" s="41"/>
      <c r="G167" s="41"/>
      <c r="H167" s="42"/>
      <c r="I167" s="42"/>
      <c r="J167" s="41"/>
      <c r="K167" s="41"/>
      <c r="L167" s="42"/>
      <c r="M167" s="42"/>
      <c r="N167" s="41"/>
      <c r="O167" s="41"/>
      <c r="P167" s="42"/>
      <c r="Q167" s="42"/>
      <c r="R167" s="41"/>
      <c r="S167" s="41"/>
      <c r="T167" s="41"/>
      <c r="U167" s="41"/>
      <c r="V167" s="41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</row>
    <row r="168" spans="1:44" ht="15.6" customHeight="1" x14ac:dyDescent="0.25">
      <c r="A168" s="41"/>
      <c r="B168" s="41"/>
      <c r="C168" s="41"/>
      <c r="D168" s="42"/>
      <c r="E168" s="43"/>
      <c r="F168" s="41"/>
      <c r="G168" s="41"/>
      <c r="H168" s="42"/>
      <c r="I168" s="42"/>
      <c r="J168" s="41"/>
      <c r="K168" s="41"/>
      <c r="L168" s="42"/>
      <c r="M168" s="42"/>
      <c r="N168" s="41"/>
      <c r="O168" s="41"/>
      <c r="P168" s="42"/>
      <c r="Q168" s="42"/>
      <c r="R168" s="41"/>
      <c r="S168" s="41"/>
      <c r="T168" s="41"/>
      <c r="U168" s="41"/>
      <c r="V168" s="41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</row>
    <row r="169" spans="1:44" ht="15.6" hidden="1" customHeight="1" x14ac:dyDescent="0.25">
      <c r="A169" s="3"/>
      <c r="B169" s="3"/>
      <c r="C169" s="3"/>
      <c r="D169" s="4"/>
      <c r="E169" s="4"/>
      <c r="F169" s="3"/>
      <c r="G169" s="3"/>
      <c r="H169" s="4"/>
      <c r="I169" s="4"/>
      <c r="J169" s="3"/>
      <c r="K169" s="3"/>
      <c r="L169" s="4"/>
      <c r="M169" s="4"/>
      <c r="N169" s="3"/>
      <c r="O169" s="3"/>
      <c r="P169" s="4"/>
      <c r="Q169" s="4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</row>
    <row r="170" spans="1:44" ht="15.6" customHeight="1" x14ac:dyDescent="0.3">
      <c r="A170" s="3"/>
      <c r="B170" s="3"/>
      <c r="C170" s="3"/>
      <c r="D170" s="4"/>
      <c r="E170" s="6" t="s">
        <v>1</v>
      </c>
      <c r="F170" s="3"/>
      <c r="G170" s="7"/>
      <c r="H170" s="8"/>
      <c r="I170" s="8"/>
      <c r="J170" s="7"/>
      <c r="K170" s="7"/>
      <c r="L170" s="8"/>
      <c r="M170" s="9" t="s">
        <v>2</v>
      </c>
      <c r="N170" s="12" t="str">
        <f>N148</f>
        <v>1.1</v>
      </c>
      <c r="O170" s="12"/>
      <c r="P170" s="4"/>
      <c r="Q170" s="4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</row>
    <row r="171" spans="1:44" ht="15.6" customHeight="1" x14ac:dyDescent="0.3">
      <c r="A171" s="3"/>
      <c r="B171" s="3"/>
      <c r="C171" s="3"/>
      <c r="D171" s="4"/>
      <c r="E171" s="6" t="s">
        <v>4</v>
      </c>
      <c r="F171" s="3"/>
      <c r="G171" s="3"/>
      <c r="H171" s="4"/>
      <c r="I171" s="4"/>
      <c r="J171" s="13"/>
      <c r="K171" s="13"/>
      <c r="L171" s="14"/>
      <c r="M171" s="9" t="s">
        <v>5</v>
      </c>
      <c r="N171" s="15" t="str">
        <f>N170&amp;".3"</f>
        <v>1.1.3</v>
      </c>
      <c r="O171" s="15"/>
      <c r="P171" s="4"/>
      <c r="Q171" s="4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</row>
    <row r="172" spans="1:44" ht="15.6" customHeight="1" x14ac:dyDescent="0.3">
      <c r="A172" s="3"/>
      <c r="B172" s="3"/>
      <c r="C172" s="3"/>
      <c r="D172" s="4"/>
      <c r="E172" s="4" t="s">
        <v>7</v>
      </c>
      <c r="F172" s="3"/>
      <c r="G172" s="3"/>
      <c r="H172" s="8"/>
      <c r="I172" s="8"/>
      <c r="J172" s="7"/>
      <c r="K172" s="7"/>
      <c r="L172" s="8"/>
      <c r="M172" s="16" t="s">
        <v>5</v>
      </c>
      <c r="N172" s="17">
        <f>N150+1</f>
        <v>5</v>
      </c>
      <c r="O172" s="3"/>
      <c r="P172" s="4"/>
      <c r="Q172" s="4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</row>
    <row r="173" spans="1:44" ht="15.6" customHeight="1" x14ac:dyDescent="0.3">
      <c r="A173" s="3"/>
      <c r="B173" s="3"/>
      <c r="C173" s="3"/>
      <c r="D173" s="4"/>
      <c r="E173" s="4" t="s">
        <v>8</v>
      </c>
      <c r="F173" s="3"/>
      <c r="G173" s="3"/>
      <c r="H173" s="4"/>
      <c r="I173" s="4"/>
      <c r="J173" s="3"/>
      <c r="K173" s="3"/>
      <c r="L173" s="14"/>
      <c r="M173" s="16" t="s">
        <v>99</v>
      </c>
      <c r="N173" s="17" t="str">
        <f>IF(N151="-"&amp;N128&amp;".5",IF(N152=15,"-"&amp;N128&amp;".6","-"&amp;N128&amp;".5"),N151)</f>
        <v>-1.1.5</v>
      </c>
      <c r="O173" s="3"/>
      <c r="P173" s="4"/>
      <c r="Q173" s="4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</row>
    <row r="174" spans="1:44" ht="15.6" customHeight="1" x14ac:dyDescent="0.3">
      <c r="A174" s="3"/>
      <c r="B174" s="3"/>
      <c r="C174" s="3"/>
      <c r="D174" s="4"/>
      <c r="E174" s="21" t="s">
        <v>10</v>
      </c>
      <c r="F174" s="3"/>
      <c r="G174" s="3"/>
      <c r="H174" s="4"/>
      <c r="I174" s="8"/>
      <c r="J174" s="7"/>
      <c r="K174" s="7"/>
      <c r="L174" s="8"/>
      <c r="M174" s="16" t="s">
        <v>5</v>
      </c>
      <c r="N174" s="17">
        <f>IF(N173="-"&amp;N128&amp;".5",N152+1,IF(N151="-"&amp;N128&amp;".5",1,N152+1))</f>
        <v>9</v>
      </c>
      <c r="O174" s="3"/>
      <c r="P174" s="4"/>
      <c r="Q174" s="4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</row>
    <row r="175" spans="1:44" ht="15.6" customHeight="1" x14ac:dyDescent="0.25">
      <c r="A175" s="3"/>
      <c r="B175" s="3"/>
      <c r="C175" s="3"/>
      <c r="D175" s="4"/>
      <c r="E175" s="4"/>
      <c r="F175" s="3"/>
      <c r="G175" s="3"/>
      <c r="H175" s="4"/>
      <c r="I175" s="4"/>
      <c r="J175" s="3"/>
      <c r="K175" s="3"/>
      <c r="L175" s="4"/>
      <c r="M175" s="4"/>
      <c r="N175" s="3"/>
      <c r="O175" s="3"/>
      <c r="P175" s="4"/>
      <c r="Q175" s="4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</row>
    <row r="176" spans="1:44" ht="15.6" customHeight="1" x14ac:dyDescent="0.25">
      <c r="A176" s="24"/>
      <c r="B176" s="25"/>
      <c r="C176" s="25"/>
      <c r="D176" s="26"/>
      <c r="E176" s="26"/>
      <c r="F176" s="25"/>
      <c r="G176" s="25"/>
      <c r="H176" s="26"/>
      <c r="I176" s="26"/>
      <c r="J176" s="25"/>
      <c r="K176" s="25"/>
      <c r="L176" s="26"/>
      <c r="M176" s="26"/>
      <c r="N176" s="25"/>
      <c r="O176" s="25"/>
      <c r="P176" s="26"/>
      <c r="Q176" s="26"/>
      <c r="R176" s="25"/>
      <c r="S176" s="25"/>
      <c r="T176" s="25"/>
      <c r="U176" s="25"/>
      <c r="V176" s="45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</row>
    <row r="177" spans="1:44" ht="15.6" customHeight="1" x14ac:dyDescent="0.25">
      <c r="A177" s="27"/>
      <c r="B177" s="28"/>
      <c r="C177" s="28"/>
      <c r="D177" s="71">
        <v>1</v>
      </c>
      <c r="E177" s="72"/>
      <c r="F177" s="28"/>
      <c r="G177" s="28"/>
      <c r="H177" s="71">
        <v>2</v>
      </c>
      <c r="I177" s="72"/>
      <c r="J177" s="28"/>
      <c r="K177" s="28"/>
      <c r="L177" s="71">
        <v>3</v>
      </c>
      <c r="M177" s="72"/>
      <c r="N177" s="28"/>
      <c r="O177" s="28"/>
      <c r="P177" s="71">
        <v>4</v>
      </c>
      <c r="Q177" s="72"/>
      <c r="R177" s="28"/>
      <c r="S177" s="28"/>
      <c r="T177" s="28"/>
      <c r="U177" s="28"/>
      <c r="V177" s="46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</row>
    <row r="178" spans="1:44" ht="15.6" customHeight="1" x14ac:dyDescent="0.25">
      <c r="A178" s="27"/>
      <c r="B178" s="74" t="s">
        <v>11</v>
      </c>
      <c r="C178" s="74"/>
      <c r="D178" s="71" t="s">
        <v>12</v>
      </c>
      <c r="E178" s="72"/>
      <c r="F178" s="74" t="s">
        <v>11</v>
      </c>
      <c r="G178" s="74"/>
      <c r="H178" s="71" t="s">
        <v>12</v>
      </c>
      <c r="I178" s="72"/>
      <c r="J178" s="74" t="s">
        <v>11</v>
      </c>
      <c r="K178" s="74"/>
      <c r="L178" s="71" t="s">
        <v>12</v>
      </c>
      <c r="M178" s="72"/>
      <c r="N178" s="74" t="s">
        <v>11</v>
      </c>
      <c r="O178" s="74"/>
      <c r="P178" s="71" t="s">
        <v>12</v>
      </c>
      <c r="Q178" s="72"/>
      <c r="R178" s="74"/>
      <c r="S178" s="74"/>
      <c r="T178" s="74"/>
      <c r="U178" s="74"/>
      <c r="V178" s="48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</row>
    <row r="179" spans="1:44" ht="15.6" customHeight="1" x14ac:dyDescent="0.25">
      <c r="A179" s="27"/>
      <c r="B179" s="76"/>
      <c r="C179" s="76"/>
      <c r="D179" s="77"/>
      <c r="E179" s="77"/>
      <c r="F179" s="76"/>
      <c r="G179" s="76"/>
      <c r="H179" s="77"/>
      <c r="I179" s="77"/>
      <c r="J179" s="76"/>
      <c r="K179" s="76"/>
      <c r="L179" s="77"/>
      <c r="M179" s="77"/>
      <c r="N179" s="76"/>
      <c r="O179" s="76"/>
      <c r="P179" s="77"/>
      <c r="Q179" s="77"/>
      <c r="R179" s="76"/>
      <c r="S179" s="76"/>
      <c r="T179" s="76"/>
      <c r="U179" s="76"/>
      <c r="V179" s="48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</row>
    <row r="180" spans="1:44" ht="15.6" customHeight="1" x14ac:dyDescent="0.25">
      <c r="A180" s="27"/>
      <c r="B180" s="74">
        <v>0</v>
      </c>
      <c r="C180" s="74"/>
      <c r="D180" s="78">
        <v>1</v>
      </c>
      <c r="E180" s="78"/>
      <c r="F180" s="74">
        <v>2</v>
      </c>
      <c r="G180" s="74"/>
      <c r="H180" s="78">
        <v>3</v>
      </c>
      <c r="I180" s="78"/>
      <c r="J180" s="74">
        <v>4</v>
      </c>
      <c r="K180" s="74"/>
      <c r="L180" s="78">
        <v>5</v>
      </c>
      <c r="M180" s="78"/>
      <c r="N180" s="74">
        <v>6</v>
      </c>
      <c r="O180" s="74"/>
      <c r="P180" s="78">
        <v>7</v>
      </c>
      <c r="Q180" s="78"/>
      <c r="R180" s="74">
        <v>8</v>
      </c>
      <c r="S180" s="74"/>
      <c r="T180" s="74">
        <v>9</v>
      </c>
      <c r="U180" s="74"/>
      <c r="V180" s="49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</row>
    <row r="181" spans="1:44" ht="15.6" customHeight="1" x14ac:dyDescent="0.25">
      <c r="A181" s="27"/>
      <c r="B181" s="28" t="s">
        <v>13</v>
      </c>
      <c r="C181" s="28" t="s">
        <v>14</v>
      </c>
      <c r="D181" s="31" t="s">
        <v>15</v>
      </c>
      <c r="E181" s="31" t="s">
        <v>16</v>
      </c>
      <c r="F181" s="28" t="s">
        <v>13</v>
      </c>
      <c r="G181" s="28" t="s">
        <v>14</v>
      </c>
      <c r="H181" s="31" t="s">
        <v>15</v>
      </c>
      <c r="I181" s="31" t="s">
        <v>16</v>
      </c>
      <c r="J181" s="28" t="s">
        <v>13</v>
      </c>
      <c r="K181" s="28" t="s">
        <v>14</v>
      </c>
      <c r="L181" s="31" t="s">
        <v>15</v>
      </c>
      <c r="M181" s="31" t="s">
        <v>16</v>
      </c>
      <c r="N181" s="28" t="s">
        <v>13</v>
      </c>
      <c r="O181" s="28" t="s">
        <v>14</v>
      </c>
      <c r="P181" s="31" t="s">
        <v>15</v>
      </c>
      <c r="Q181" s="31" t="s">
        <v>16</v>
      </c>
      <c r="R181" s="28" t="s">
        <v>13</v>
      </c>
      <c r="S181" s="28" t="s">
        <v>14</v>
      </c>
      <c r="T181" s="28" t="s">
        <v>15</v>
      </c>
      <c r="U181" s="28" t="s">
        <v>16</v>
      </c>
      <c r="V181" s="49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</row>
    <row r="182" spans="1:44" ht="15.6" customHeight="1" x14ac:dyDescent="0.25">
      <c r="A182" s="33"/>
      <c r="B182" s="34"/>
      <c r="C182" s="34"/>
      <c r="D182" s="35"/>
      <c r="E182" s="36"/>
      <c r="F182" s="34"/>
      <c r="G182" s="34"/>
      <c r="H182" s="35"/>
      <c r="I182" s="36"/>
      <c r="J182" s="34"/>
      <c r="K182" s="34"/>
      <c r="L182" s="35"/>
      <c r="M182" s="36"/>
      <c r="N182" s="34"/>
      <c r="O182" s="34"/>
      <c r="P182" s="35"/>
      <c r="Q182" s="36"/>
      <c r="R182" s="34"/>
      <c r="S182" s="34"/>
      <c r="T182" s="34"/>
      <c r="U182" s="34"/>
      <c r="V182" s="50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</row>
    <row r="183" spans="1:44" ht="15.6" customHeight="1" x14ac:dyDescent="0.25">
      <c r="A183" s="3"/>
      <c r="B183" s="30"/>
      <c r="C183" s="30"/>
      <c r="D183" s="54"/>
      <c r="E183" s="5"/>
      <c r="F183" s="30"/>
      <c r="G183" s="30"/>
      <c r="H183" s="54"/>
      <c r="I183" s="5"/>
      <c r="J183" s="30"/>
      <c r="K183" s="30"/>
      <c r="L183" s="54"/>
      <c r="M183" s="5"/>
      <c r="N183" s="30"/>
      <c r="O183" s="30"/>
      <c r="P183" s="54"/>
      <c r="Q183" s="5"/>
      <c r="R183" s="30"/>
      <c r="S183" s="30"/>
      <c r="T183" s="30"/>
      <c r="U183" s="30"/>
      <c r="V183" s="32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</row>
    <row r="184" spans="1:44" ht="15.6" customHeight="1" x14ac:dyDescent="0.25">
      <c r="A184" s="3"/>
      <c r="B184" s="95"/>
      <c r="C184" s="96"/>
      <c r="D184" s="97"/>
      <c r="E184" s="98"/>
      <c r="F184" s="95"/>
      <c r="G184" s="96"/>
      <c r="H184" s="97"/>
      <c r="I184" s="98"/>
      <c r="J184" s="95"/>
      <c r="K184" s="96"/>
      <c r="L184" s="97"/>
      <c r="M184" s="98"/>
      <c r="N184" s="95"/>
      <c r="O184" s="96"/>
      <c r="P184" s="97"/>
      <c r="Q184" s="98"/>
      <c r="R184" s="30"/>
      <c r="S184" s="30"/>
      <c r="T184" s="30"/>
      <c r="U184" s="30"/>
      <c r="V184" s="32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</row>
    <row r="185" spans="1:44" ht="15.6" customHeight="1" x14ac:dyDescent="0.25">
      <c r="A185" s="3"/>
      <c r="B185" s="40" t="str">
        <f>IF(D184&lt;1,"","пом.")</f>
        <v/>
      </c>
      <c r="C185" s="40"/>
      <c r="D185" s="85"/>
      <c r="E185" s="86"/>
      <c r="F185" s="40" t="str">
        <f>IF(H184&lt;1,"","пом.")</f>
        <v/>
      </c>
      <c r="G185" s="40"/>
      <c r="H185" s="85"/>
      <c r="I185" s="86"/>
      <c r="J185" s="40" t="str">
        <f>IF(L184&lt;1,"","пом.")</f>
        <v/>
      </c>
      <c r="K185" s="40"/>
      <c r="L185" s="85"/>
      <c r="M185" s="86"/>
      <c r="N185" s="40" t="str">
        <f>IF(P184&lt;1,"","пом.")</f>
        <v/>
      </c>
      <c r="O185" s="40"/>
      <c r="P185" s="85"/>
      <c r="Q185" s="86"/>
      <c r="R185" s="30"/>
      <c r="S185" s="30"/>
      <c r="T185" s="30"/>
      <c r="U185" s="30"/>
      <c r="V185" s="32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</row>
    <row r="186" spans="1:44" ht="15.6" customHeight="1" x14ac:dyDescent="0.25">
      <c r="A186" s="3"/>
      <c r="B186" s="3"/>
      <c r="C186" s="3"/>
      <c r="D186" s="4"/>
      <c r="E186" s="4"/>
      <c r="F186" s="3"/>
      <c r="G186" s="3"/>
      <c r="H186" s="4"/>
      <c r="I186" s="4"/>
      <c r="J186" s="3"/>
      <c r="K186" s="3"/>
      <c r="L186" s="4"/>
      <c r="M186" s="4"/>
      <c r="N186" s="3"/>
      <c r="O186" s="3"/>
      <c r="P186" s="4"/>
      <c r="Q186" s="4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</row>
    <row r="187" spans="1:44" ht="15.6" customHeight="1" x14ac:dyDescent="0.25">
      <c r="A187" s="3"/>
      <c r="B187" s="3"/>
      <c r="C187" s="3"/>
      <c r="D187" s="4"/>
      <c r="E187" s="5" t="s">
        <v>30</v>
      </c>
      <c r="F187" s="87" t="s">
        <v>31</v>
      </c>
      <c r="G187" s="87"/>
      <c r="H187" s="87"/>
      <c r="I187" s="117" t="s">
        <v>32</v>
      </c>
      <c r="J187" s="117"/>
      <c r="K187" s="58"/>
      <c r="L187" s="4"/>
      <c r="M187" s="4"/>
      <c r="N187" s="3"/>
      <c r="O187" s="30" t="s">
        <v>33</v>
      </c>
      <c r="P187" s="87" t="s">
        <v>34</v>
      </c>
      <c r="Q187" s="87"/>
      <c r="R187" s="87"/>
      <c r="S187" s="117" t="s">
        <v>35</v>
      </c>
      <c r="T187" s="117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</row>
    <row r="188" spans="1:44" ht="15.6" customHeight="1" x14ac:dyDescent="0.25">
      <c r="A188" s="3"/>
      <c r="B188" s="3"/>
      <c r="C188" s="3"/>
      <c r="D188" s="4"/>
      <c r="E188" s="5" t="s">
        <v>36</v>
      </c>
      <c r="F188" s="87" t="s">
        <v>37</v>
      </c>
      <c r="G188" s="87"/>
      <c r="H188" s="87"/>
      <c r="I188" s="117" t="s">
        <v>38</v>
      </c>
      <c r="J188" s="117"/>
      <c r="K188" s="117"/>
      <c r="L188" s="4"/>
      <c r="M188" s="4"/>
      <c r="N188" s="3"/>
      <c r="O188" s="30" t="s">
        <v>39</v>
      </c>
      <c r="P188" s="87" t="s">
        <v>34</v>
      </c>
      <c r="Q188" s="87"/>
      <c r="R188" s="87"/>
      <c r="S188" s="118" t="s">
        <v>40</v>
      </c>
      <c r="T188" s="118"/>
      <c r="U188" s="118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</row>
    <row r="189" spans="1:44" ht="15.6" customHeight="1" x14ac:dyDescent="0.25">
      <c r="A189" s="41"/>
      <c r="B189" s="41"/>
      <c r="C189" s="41"/>
      <c r="D189" s="42"/>
      <c r="E189" s="43"/>
      <c r="F189" s="41"/>
      <c r="G189" s="41"/>
      <c r="H189" s="42"/>
      <c r="I189" s="42"/>
      <c r="J189" s="41"/>
      <c r="K189" s="41"/>
      <c r="L189" s="42"/>
      <c r="M189" s="42"/>
      <c r="N189" s="41"/>
      <c r="O189" s="41"/>
      <c r="P189" s="42"/>
      <c r="Q189" s="42"/>
      <c r="R189" s="41"/>
      <c r="S189" s="41"/>
      <c r="T189" s="41"/>
      <c r="U189" s="41"/>
      <c r="V189" s="41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</row>
    <row r="190" spans="1:44" ht="15.6" customHeight="1" x14ac:dyDescent="0.3">
      <c r="A190" s="3"/>
      <c r="B190" s="3"/>
      <c r="C190" s="3"/>
      <c r="D190" s="4"/>
      <c r="E190" s="6" t="s">
        <v>1</v>
      </c>
      <c r="F190" s="3"/>
      <c r="G190" s="7"/>
      <c r="H190" s="8"/>
      <c r="I190" s="8"/>
      <c r="J190" s="7"/>
      <c r="K190" s="7"/>
      <c r="L190" s="8"/>
      <c r="M190" s="9" t="s">
        <v>2</v>
      </c>
      <c r="N190" s="12" t="str">
        <f>N170</f>
        <v>1.1</v>
      </c>
      <c r="O190" s="12"/>
      <c r="P190" s="4"/>
      <c r="Q190" s="4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</row>
    <row r="191" spans="1:44" ht="15.6" customHeight="1" x14ac:dyDescent="0.3">
      <c r="A191" s="3"/>
      <c r="B191" s="3"/>
      <c r="C191" s="3"/>
      <c r="D191" s="4"/>
      <c r="E191" s="6" t="s">
        <v>4</v>
      </c>
      <c r="F191" s="3"/>
      <c r="G191" s="3"/>
      <c r="H191" s="4"/>
      <c r="I191" s="4"/>
      <c r="J191" s="13"/>
      <c r="K191" s="13"/>
      <c r="L191" s="14"/>
      <c r="M191" s="9" t="s">
        <v>5</v>
      </c>
      <c r="N191" s="15" t="str">
        <f>N171</f>
        <v>1.1.3</v>
      </c>
      <c r="O191" s="15"/>
      <c r="P191" s="4"/>
      <c r="Q191" s="4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</row>
    <row r="192" spans="1:44" ht="15.6" customHeight="1" x14ac:dyDescent="0.3">
      <c r="A192" s="3"/>
      <c r="B192" s="3"/>
      <c r="C192" s="3"/>
      <c r="D192" s="4"/>
      <c r="E192" s="4" t="s">
        <v>7</v>
      </c>
      <c r="F192" s="3"/>
      <c r="G192" s="3"/>
      <c r="H192" s="8"/>
      <c r="I192" s="8"/>
      <c r="J192" s="7"/>
      <c r="K192" s="7"/>
      <c r="L192" s="8"/>
      <c r="M192" s="16" t="s">
        <v>5</v>
      </c>
      <c r="N192" s="17">
        <f>N172</f>
        <v>5</v>
      </c>
      <c r="O192" s="3"/>
      <c r="P192" s="4"/>
      <c r="Q192" s="4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</row>
    <row r="193" spans="1:44" ht="15.6" customHeight="1" x14ac:dyDescent="0.3">
      <c r="A193" s="3"/>
      <c r="B193" s="3"/>
      <c r="C193" s="3"/>
      <c r="D193" s="4"/>
      <c r="E193" s="4" t="s">
        <v>8</v>
      </c>
      <c r="F193" s="3"/>
      <c r="G193" s="3"/>
      <c r="H193" s="4"/>
      <c r="I193" s="4"/>
      <c r="J193" s="3"/>
      <c r="K193" s="3"/>
      <c r="L193" s="14"/>
      <c r="M193" s="16" t="s">
        <v>99</v>
      </c>
      <c r="N193" s="17" t="str">
        <f>IF(N173="-"&amp;N170&amp;".5",IF(N174=15,"-"&amp;N170&amp;".6","-"&amp;N170&amp;".5"),N173)</f>
        <v>-1.1.5</v>
      </c>
      <c r="O193" s="19"/>
      <c r="P193" s="4"/>
      <c r="Q193" s="4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</row>
    <row r="194" spans="1:44" ht="15.6" customHeight="1" x14ac:dyDescent="0.3">
      <c r="A194" s="3"/>
      <c r="B194" s="3"/>
      <c r="C194" s="3"/>
      <c r="D194" s="4"/>
      <c r="E194" s="21" t="s">
        <v>10</v>
      </c>
      <c r="F194" s="3"/>
      <c r="G194" s="3"/>
      <c r="H194" s="4"/>
      <c r="I194" s="8"/>
      <c r="J194" s="7"/>
      <c r="K194" s="7"/>
      <c r="L194" s="8"/>
      <c r="M194" s="16" t="s">
        <v>5</v>
      </c>
      <c r="N194" s="17">
        <f>IF(N193="-"&amp;N128&amp;".5",N174+1,IF(N173="-"&amp;N128&amp;".5",1,N174+1))</f>
        <v>10</v>
      </c>
      <c r="O194" s="3"/>
      <c r="P194" s="4"/>
      <c r="Q194" s="4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</row>
    <row r="195" spans="1:44" ht="9.6" customHeight="1" x14ac:dyDescent="0.25">
      <c r="A195" s="3"/>
      <c r="B195" s="3"/>
      <c r="C195" s="3"/>
      <c r="D195" s="4"/>
      <c r="E195" s="4"/>
      <c r="F195" s="3"/>
      <c r="G195" s="3"/>
      <c r="H195" s="4"/>
      <c r="I195" s="4"/>
      <c r="J195" s="3"/>
      <c r="K195" s="3"/>
      <c r="L195" s="4"/>
      <c r="M195" s="4"/>
      <c r="N195" s="3"/>
      <c r="O195" s="3"/>
      <c r="P195" s="4"/>
      <c r="Q195" s="4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</row>
    <row r="196" spans="1:44" ht="15.6" customHeight="1" x14ac:dyDescent="0.25">
      <c r="A196" s="24"/>
      <c r="B196" s="25"/>
      <c r="C196" s="25"/>
      <c r="D196" s="26"/>
      <c r="E196" s="26"/>
      <c r="F196" s="25"/>
      <c r="G196" s="25"/>
      <c r="H196" s="26"/>
      <c r="I196" s="26"/>
      <c r="J196" s="25"/>
      <c r="K196" s="25"/>
      <c r="L196" s="26"/>
      <c r="M196" s="26"/>
      <c r="N196" s="25"/>
      <c r="O196" s="25"/>
      <c r="P196" s="26"/>
      <c r="Q196" s="26"/>
      <c r="R196" s="25"/>
      <c r="S196" s="25"/>
      <c r="T196" s="25"/>
      <c r="U196" s="25"/>
      <c r="V196" s="45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</row>
    <row r="197" spans="1:44" ht="15.6" customHeight="1" x14ac:dyDescent="0.25">
      <c r="A197" s="27"/>
      <c r="B197" s="28"/>
      <c r="C197" s="28"/>
      <c r="D197" s="71">
        <v>1</v>
      </c>
      <c r="E197" s="72"/>
      <c r="F197" s="28"/>
      <c r="G197" s="28"/>
      <c r="H197" s="71">
        <v>2</v>
      </c>
      <c r="I197" s="72"/>
      <c r="J197" s="28"/>
      <c r="K197" s="28"/>
      <c r="L197" s="71">
        <v>3</v>
      </c>
      <c r="M197" s="72"/>
      <c r="N197" s="28"/>
      <c r="O197" s="28"/>
      <c r="P197" s="71">
        <v>4</v>
      </c>
      <c r="Q197" s="72"/>
      <c r="R197" s="28"/>
      <c r="S197" s="28"/>
      <c r="T197" s="28"/>
      <c r="U197" s="28"/>
      <c r="V197" s="46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</row>
    <row r="198" spans="1:44" ht="15.6" customHeight="1" x14ac:dyDescent="0.25">
      <c r="A198" s="27"/>
      <c r="B198" s="74" t="s">
        <v>11</v>
      </c>
      <c r="C198" s="74"/>
      <c r="D198" s="71" t="s">
        <v>12</v>
      </c>
      <c r="E198" s="72"/>
      <c r="F198" s="74" t="s">
        <v>11</v>
      </c>
      <c r="G198" s="74"/>
      <c r="H198" s="71" t="s">
        <v>12</v>
      </c>
      <c r="I198" s="72"/>
      <c r="J198" s="74" t="s">
        <v>11</v>
      </c>
      <c r="K198" s="74"/>
      <c r="L198" s="71" t="s">
        <v>12</v>
      </c>
      <c r="M198" s="72"/>
      <c r="N198" s="74" t="s">
        <v>11</v>
      </c>
      <c r="O198" s="74"/>
      <c r="P198" s="71" t="s">
        <v>12</v>
      </c>
      <c r="Q198" s="72"/>
      <c r="R198" s="74"/>
      <c r="S198" s="74"/>
      <c r="T198" s="74"/>
      <c r="U198" s="74"/>
      <c r="V198" s="48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</row>
    <row r="199" spans="1:44" ht="15.6" customHeight="1" x14ac:dyDescent="0.25">
      <c r="A199" s="27"/>
      <c r="B199" s="76"/>
      <c r="C199" s="76"/>
      <c r="D199" s="77"/>
      <c r="E199" s="77"/>
      <c r="F199" s="76"/>
      <c r="G199" s="76"/>
      <c r="H199" s="77"/>
      <c r="I199" s="77"/>
      <c r="J199" s="76"/>
      <c r="K199" s="76"/>
      <c r="L199" s="77"/>
      <c r="M199" s="77"/>
      <c r="N199" s="76"/>
      <c r="O199" s="76"/>
      <c r="P199" s="77"/>
      <c r="Q199" s="77"/>
      <c r="R199" s="76"/>
      <c r="S199" s="76"/>
      <c r="T199" s="76"/>
      <c r="U199" s="76"/>
      <c r="V199" s="48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</row>
    <row r="200" spans="1:44" ht="15.6" customHeight="1" x14ac:dyDescent="0.25">
      <c r="A200" s="27"/>
      <c r="B200" s="74">
        <v>0</v>
      </c>
      <c r="C200" s="74"/>
      <c r="D200" s="78">
        <v>1</v>
      </c>
      <c r="E200" s="78"/>
      <c r="F200" s="74">
        <v>2</v>
      </c>
      <c r="G200" s="74"/>
      <c r="H200" s="78">
        <v>3</v>
      </c>
      <c r="I200" s="78"/>
      <c r="J200" s="74">
        <v>4</v>
      </c>
      <c r="K200" s="74"/>
      <c r="L200" s="78">
        <v>5</v>
      </c>
      <c r="M200" s="78"/>
      <c r="N200" s="74">
        <v>6</v>
      </c>
      <c r="O200" s="74"/>
      <c r="P200" s="78">
        <v>7</v>
      </c>
      <c r="Q200" s="78"/>
      <c r="R200" s="74">
        <v>8</v>
      </c>
      <c r="S200" s="74"/>
      <c r="T200" s="74">
        <v>9</v>
      </c>
      <c r="U200" s="74"/>
      <c r="V200" s="49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</row>
    <row r="201" spans="1:44" ht="15.6" customHeight="1" x14ac:dyDescent="0.25">
      <c r="A201" s="27"/>
      <c r="B201" s="28" t="s">
        <v>13</v>
      </c>
      <c r="C201" s="28" t="s">
        <v>14</v>
      </c>
      <c r="D201" s="31" t="s">
        <v>15</v>
      </c>
      <c r="E201" s="31" t="s">
        <v>16</v>
      </c>
      <c r="F201" s="28" t="s">
        <v>13</v>
      </c>
      <c r="G201" s="28" t="s">
        <v>14</v>
      </c>
      <c r="H201" s="31" t="s">
        <v>15</v>
      </c>
      <c r="I201" s="31" t="s">
        <v>16</v>
      </c>
      <c r="J201" s="28" t="s">
        <v>13</v>
      </c>
      <c r="K201" s="28" t="s">
        <v>14</v>
      </c>
      <c r="L201" s="31" t="s">
        <v>15</v>
      </c>
      <c r="M201" s="31" t="s">
        <v>16</v>
      </c>
      <c r="N201" s="28" t="s">
        <v>13</v>
      </c>
      <c r="O201" s="28" t="s">
        <v>14</v>
      </c>
      <c r="P201" s="31" t="s">
        <v>15</v>
      </c>
      <c r="Q201" s="31" t="s">
        <v>16</v>
      </c>
      <c r="R201" s="28" t="s">
        <v>13</v>
      </c>
      <c r="S201" s="28" t="s">
        <v>14</v>
      </c>
      <c r="T201" s="28" t="s">
        <v>15</v>
      </c>
      <c r="U201" s="28" t="s">
        <v>16</v>
      </c>
      <c r="V201" s="49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</row>
    <row r="202" spans="1:44" ht="15.6" customHeight="1" x14ac:dyDescent="0.25">
      <c r="A202" s="33"/>
      <c r="B202" s="34"/>
      <c r="C202" s="34"/>
      <c r="D202" s="35"/>
      <c r="E202" s="36"/>
      <c r="F202" s="34"/>
      <c r="G202" s="34"/>
      <c r="H202" s="35"/>
      <c r="I202" s="36"/>
      <c r="J202" s="34"/>
      <c r="K202" s="34"/>
      <c r="L202" s="35"/>
      <c r="M202" s="36"/>
      <c r="N202" s="34"/>
      <c r="O202" s="34"/>
      <c r="P202" s="35"/>
      <c r="Q202" s="36"/>
      <c r="R202" s="34"/>
      <c r="S202" s="34"/>
      <c r="T202" s="34"/>
      <c r="U202" s="34"/>
      <c r="V202" s="50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</row>
    <row r="203" spans="1:44" ht="6" customHeight="1" x14ac:dyDescent="0.25">
      <c r="A203" s="3"/>
      <c r="B203" s="30"/>
      <c r="C203" s="30"/>
      <c r="D203" s="54"/>
      <c r="E203" s="5"/>
      <c r="F203" s="30"/>
      <c r="G203" s="30"/>
      <c r="H203" s="54"/>
      <c r="I203" s="5"/>
      <c r="J203" s="30"/>
      <c r="K203" s="30"/>
      <c r="L203" s="54"/>
      <c r="M203" s="5"/>
      <c r="N203" s="30"/>
      <c r="O203" s="30"/>
      <c r="P203" s="54"/>
      <c r="Q203" s="5"/>
      <c r="R203" s="30"/>
      <c r="S203" s="30"/>
      <c r="T203" s="30"/>
      <c r="U203" s="30"/>
      <c r="V203" s="32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</row>
    <row r="204" spans="1:44" ht="15.6" customHeight="1" x14ac:dyDescent="0.25">
      <c r="A204" s="3"/>
      <c r="B204" s="95"/>
      <c r="C204" s="96"/>
      <c r="D204" s="97"/>
      <c r="E204" s="98"/>
      <c r="F204" s="95"/>
      <c r="G204" s="96"/>
      <c r="H204" s="97"/>
      <c r="I204" s="98"/>
      <c r="J204" s="95"/>
      <c r="K204" s="96"/>
      <c r="L204" s="97"/>
      <c r="M204" s="98"/>
      <c r="N204" s="95"/>
      <c r="O204" s="96"/>
      <c r="P204" s="97"/>
      <c r="Q204" s="98"/>
      <c r="R204" s="30"/>
      <c r="S204" s="30"/>
      <c r="T204" s="30"/>
      <c r="U204" s="30"/>
      <c r="V204" s="32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</row>
    <row r="205" spans="1:44" ht="15.6" customHeight="1" x14ac:dyDescent="0.25">
      <c r="A205" s="3"/>
      <c r="B205" s="40" t="str">
        <f>IF(D204&lt;1,"","пом.")</f>
        <v/>
      </c>
      <c r="C205" s="40"/>
      <c r="D205" s="85"/>
      <c r="E205" s="86"/>
      <c r="F205" s="40" t="str">
        <f>IF(H204&lt;1,"","пом.")</f>
        <v/>
      </c>
      <c r="G205" s="40"/>
      <c r="H205" s="85"/>
      <c r="I205" s="86"/>
      <c r="J205" s="40" t="str">
        <f>IF(L204&lt;1,"","пом.")</f>
        <v/>
      </c>
      <c r="K205" s="40"/>
      <c r="L205" s="85"/>
      <c r="M205" s="86"/>
      <c r="N205" s="40" t="str">
        <f>IF(P204&lt;1,"","пом.")</f>
        <v/>
      </c>
      <c r="O205" s="40"/>
      <c r="P205" s="85"/>
      <c r="Q205" s="86"/>
      <c r="R205" s="30"/>
      <c r="S205" s="30"/>
      <c r="T205" s="30"/>
      <c r="U205" s="30"/>
      <c r="V205" s="32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</row>
    <row r="206" spans="1:44" ht="6.6" customHeight="1" x14ac:dyDescent="0.25">
      <c r="A206" s="3"/>
      <c r="B206" s="3"/>
      <c r="C206" s="3"/>
      <c r="D206" s="4"/>
      <c r="E206" s="4"/>
      <c r="F206" s="3"/>
      <c r="G206" s="3"/>
      <c r="H206" s="4"/>
      <c r="I206" s="4"/>
      <c r="J206" s="3"/>
      <c r="K206" s="3"/>
      <c r="L206" s="4"/>
      <c r="M206" s="4"/>
      <c r="N206" s="3"/>
      <c r="O206" s="3"/>
      <c r="P206" s="4"/>
      <c r="Q206" s="4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</row>
    <row r="207" spans="1:44" ht="15.6" customHeight="1" x14ac:dyDescent="0.25">
      <c r="A207" s="3"/>
      <c r="B207" s="3"/>
      <c r="C207" s="3"/>
      <c r="D207" s="4"/>
      <c r="E207" s="5" t="s">
        <v>30</v>
      </c>
      <c r="F207" s="87" t="s">
        <v>31</v>
      </c>
      <c r="G207" s="87"/>
      <c r="H207" s="87"/>
      <c r="I207" s="117" t="s">
        <v>32</v>
      </c>
      <c r="J207" s="117"/>
      <c r="K207" s="58"/>
      <c r="L207" s="4"/>
      <c r="M207" s="4"/>
      <c r="N207" s="3"/>
      <c r="O207" s="30" t="s">
        <v>33</v>
      </c>
      <c r="P207" s="87" t="s">
        <v>34</v>
      </c>
      <c r="Q207" s="87"/>
      <c r="R207" s="87"/>
      <c r="S207" s="117" t="s">
        <v>35</v>
      </c>
      <c r="T207" s="117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</row>
    <row r="208" spans="1:44" ht="15.6" customHeight="1" x14ac:dyDescent="0.25">
      <c r="A208" s="3"/>
      <c r="B208" s="3"/>
      <c r="C208" s="3"/>
      <c r="D208" s="4"/>
      <c r="E208" s="5" t="s">
        <v>36</v>
      </c>
      <c r="F208" s="87" t="s">
        <v>37</v>
      </c>
      <c r="G208" s="87"/>
      <c r="H208" s="87"/>
      <c r="I208" s="117" t="s">
        <v>38</v>
      </c>
      <c r="J208" s="117"/>
      <c r="K208" s="117"/>
      <c r="L208" s="4"/>
      <c r="M208" s="4"/>
      <c r="N208" s="3"/>
      <c r="O208" s="30" t="s">
        <v>39</v>
      </c>
      <c r="P208" s="87" t="s">
        <v>34</v>
      </c>
      <c r="Q208" s="87"/>
      <c r="R208" s="87"/>
      <c r="S208" s="118" t="s">
        <v>40</v>
      </c>
      <c r="T208" s="118"/>
      <c r="U208" s="118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</row>
    <row r="209" spans="1:44" ht="15.6" customHeight="1" x14ac:dyDescent="0.25">
      <c r="A209" s="41"/>
      <c r="B209" s="41"/>
      <c r="C209" s="41"/>
      <c r="D209" s="42"/>
      <c r="E209" s="43"/>
      <c r="F209" s="41"/>
      <c r="G209" s="41"/>
      <c r="H209" s="42"/>
      <c r="I209" s="42"/>
      <c r="J209" s="41"/>
      <c r="K209" s="41"/>
      <c r="L209" s="42"/>
      <c r="M209" s="42"/>
      <c r="N209" s="41"/>
      <c r="O209" s="41"/>
      <c r="P209" s="42"/>
      <c r="Q209" s="42"/>
      <c r="R209" s="41"/>
      <c r="S209" s="41"/>
      <c r="T209" s="41"/>
      <c r="U209" s="41"/>
      <c r="V209" s="41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</row>
    <row r="210" spans="1:44" ht="15.6" customHeight="1" x14ac:dyDescent="0.25">
      <c r="A210" s="41"/>
      <c r="B210" s="41"/>
      <c r="C210" s="41"/>
      <c r="D210" s="42"/>
      <c r="E210" s="43"/>
      <c r="F210" s="41"/>
      <c r="G210" s="41"/>
      <c r="H210" s="42"/>
      <c r="I210" s="42"/>
      <c r="J210" s="41"/>
      <c r="K210" s="41"/>
      <c r="L210" s="42"/>
      <c r="M210" s="42"/>
      <c r="N210" s="41"/>
      <c r="O210" s="41"/>
      <c r="P210" s="42"/>
      <c r="Q210" s="42"/>
      <c r="R210" s="41"/>
      <c r="S210" s="41"/>
      <c r="T210" s="41"/>
      <c r="U210" s="41"/>
      <c r="V210" s="41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</row>
    <row r="211" spans="1:44" ht="15.6" hidden="1" customHeight="1" x14ac:dyDescent="0.25">
      <c r="A211" s="3"/>
      <c r="B211" s="3"/>
      <c r="C211" s="3"/>
      <c r="D211" s="4"/>
      <c r="E211" s="4"/>
      <c r="F211" s="3"/>
      <c r="G211" s="3"/>
      <c r="H211" s="4"/>
      <c r="I211" s="4"/>
      <c r="J211" s="3"/>
      <c r="K211" s="3"/>
      <c r="L211" s="4"/>
      <c r="M211" s="4"/>
      <c r="N211" s="3"/>
      <c r="O211" s="3"/>
      <c r="P211" s="4"/>
      <c r="Q211" s="4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</row>
    <row r="212" spans="1:44" ht="15.6" customHeight="1" x14ac:dyDescent="0.3">
      <c r="A212" s="3"/>
      <c r="B212" s="3"/>
      <c r="C212" s="3"/>
      <c r="D212" s="4"/>
      <c r="E212" s="6" t="s">
        <v>1</v>
      </c>
      <c r="F212" s="3"/>
      <c r="G212" s="7"/>
      <c r="H212" s="8"/>
      <c r="I212" s="8"/>
      <c r="J212" s="7"/>
      <c r="K212" s="7"/>
      <c r="L212" s="8"/>
      <c r="M212" s="9" t="s">
        <v>2</v>
      </c>
      <c r="N212" s="12" t="str">
        <f>N190</f>
        <v>1.1</v>
      </c>
      <c r="O212" s="12"/>
      <c r="P212" s="4"/>
      <c r="Q212" s="4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</row>
    <row r="213" spans="1:44" ht="15.6" customHeight="1" x14ac:dyDescent="0.3">
      <c r="A213" s="3"/>
      <c r="B213" s="3"/>
      <c r="C213" s="3"/>
      <c r="D213" s="4"/>
      <c r="E213" s="6" t="s">
        <v>4</v>
      </c>
      <c r="F213" s="3"/>
      <c r="G213" s="3"/>
      <c r="H213" s="4"/>
      <c r="I213" s="4"/>
      <c r="J213" s="13"/>
      <c r="K213" s="13"/>
      <c r="L213" s="14"/>
      <c r="M213" s="9" t="s">
        <v>5</v>
      </c>
      <c r="N213" s="15" t="str">
        <f>N212&amp;".3"</f>
        <v>1.1.3</v>
      </c>
      <c r="O213" s="15"/>
      <c r="P213" s="4"/>
      <c r="Q213" s="4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</row>
    <row r="214" spans="1:44" ht="15.6" customHeight="1" x14ac:dyDescent="0.3">
      <c r="A214" s="3"/>
      <c r="B214" s="3"/>
      <c r="C214" s="3"/>
      <c r="D214" s="4"/>
      <c r="E214" s="4" t="s">
        <v>7</v>
      </c>
      <c r="F214" s="3"/>
      <c r="G214" s="3"/>
      <c r="H214" s="8"/>
      <c r="I214" s="8"/>
      <c r="J214" s="7"/>
      <c r="K214" s="7"/>
      <c r="L214" s="8"/>
      <c r="M214" s="16" t="s">
        <v>5</v>
      </c>
      <c r="N214" s="17">
        <f>N192+1</f>
        <v>6</v>
      </c>
      <c r="O214" s="3"/>
      <c r="P214" s="4"/>
      <c r="Q214" s="4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</row>
    <row r="215" spans="1:44" ht="15.6" customHeight="1" x14ac:dyDescent="0.3">
      <c r="A215" s="3"/>
      <c r="B215" s="3"/>
      <c r="C215" s="3"/>
      <c r="D215" s="4"/>
      <c r="E215" s="4" t="s">
        <v>8</v>
      </c>
      <c r="F215" s="3"/>
      <c r="G215" s="3"/>
      <c r="H215" s="4"/>
      <c r="I215" s="4"/>
      <c r="J215" s="3"/>
      <c r="K215" s="3"/>
      <c r="L215" s="14"/>
      <c r="M215" s="16" t="s">
        <v>99</v>
      </c>
      <c r="N215" s="17" t="str">
        <f>IF(N193="-"&amp;N170&amp;".5",IF(N194=15,"-"&amp;N170&amp;".6","-"&amp;N170&amp;".5"),N193)</f>
        <v>-1.1.5</v>
      </c>
      <c r="O215" s="3"/>
      <c r="P215" s="4"/>
      <c r="Q215" s="4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</row>
    <row r="216" spans="1:44" ht="15.6" customHeight="1" x14ac:dyDescent="0.3">
      <c r="A216" s="3"/>
      <c r="B216" s="3"/>
      <c r="C216" s="3"/>
      <c r="D216" s="4"/>
      <c r="E216" s="21" t="s">
        <v>10</v>
      </c>
      <c r="F216" s="3"/>
      <c r="G216" s="3"/>
      <c r="H216" s="4"/>
      <c r="I216" s="8"/>
      <c r="J216" s="7"/>
      <c r="K216" s="7"/>
      <c r="L216" s="8"/>
      <c r="M216" s="16" t="s">
        <v>5</v>
      </c>
      <c r="N216" s="17">
        <f>IF(N215="-"&amp;N170&amp;".5",N194+1,IF(N193="-"&amp;N170&amp;".5",1,N194+1))</f>
        <v>11</v>
      </c>
      <c r="O216" s="3"/>
      <c r="P216" s="4"/>
      <c r="Q216" s="4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</row>
    <row r="217" spans="1:44" ht="15.6" customHeight="1" x14ac:dyDescent="0.25">
      <c r="A217" s="3"/>
      <c r="B217" s="3"/>
      <c r="C217" s="3"/>
      <c r="D217" s="4"/>
      <c r="E217" s="4"/>
      <c r="F217" s="3"/>
      <c r="G217" s="3"/>
      <c r="H217" s="4"/>
      <c r="I217" s="4"/>
      <c r="J217" s="3"/>
      <c r="K217" s="3"/>
      <c r="L217" s="4"/>
      <c r="M217" s="4"/>
      <c r="N217" s="3"/>
      <c r="O217" s="3"/>
      <c r="P217" s="4"/>
      <c r="Q217" s="4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</row>
    <row r="218" spans="1:44" ht="15.6" customHeight="1" x14ac:dyDescent="0.25">
      <c r="A218" s="24"/>
      <c r="B218" s="25"/>
      <c r="C218" s="25"/>
      <c r="D218" s="26"/>
      <c r="E218" s="26"/>
      <c r="F218" s="25"/>
      <c r="G218" s="25"/>
      <c r="H218" s="26"/>
      <c r="I218" s="26"/>
      <c r="J218" s="25"/>
      <c r="K218" s="25"/>
      <c r="L218" s="26"/>
      <c r="M218" s="26"/>
      <c r="N218" s="25"/>
      <c r="O218" s="25"/>
      <c r="P218" s="26"/>
      <c r="Q218" s="26"/>
      <c r="R218" s="25"/>
      <c r="S218" s="25"/>
      <c r="T218" s="25"/>
      <c r="U218" s="25"/>
      <c r="V218" s="45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</row>
    <row r="219" spans="1:44" ht="15.6" customHeight="1" x14ac:dyDescent="0.25">
      <c r="A219" s="27"/>
      <c r="B219" s="28"/>
      <c r="C219" s="28"/>
      <c r="D219" s="71">
        <v>1</v>
      </c>
      <c r="E219" s="72"/>
      <c r="F219" s="28"/>
      <c r="G219" s="28"/>
      <c r="H219" s="71">
        <v>2</v>
      </c>
      <c r="I219" s="72"/>
      <c r="J219" s="28"/>
      <c r="K219" s="28"/>
      <c r="L219" s="71">
        <v>3</v>
      </c>
      <c r="M219" s="72"/>
      <c r="N219" s="28"/>
      <c r="O219" s="28"/>
      <c r="P219" s="71">
        <v>4</v>
      </c>
      <c r="Q219" s="72"/>
      <c r="R219" s="28"/>
      <c r="S219" s="28"/>
      <c r="T219" s="28"/>
      <c r="U219" s="28"/>
      <c r="V219" s="46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</row>
    <row r="220" spans="1:44" ht="15.6" customHeight="1" x14ac:dyDescent="0.25">
      <c r="A220" s="27"/>
      <c r="B220" s="74" t="s">
        <v>11</v>
      </c>
      <c r="C220" s="74"/>
      <c r="D220" s="71" t="s">
        <v>12</v>
      </c>
      <c r="E220" s="72"/>
      <c r="F220" s="74" t="s">
        <v>11</v>
      </c>
      <c r="G220" s="74"/>
      <c r="H220" s="71" t="s">
        <v>12</v>
      </c>
      <c r="I220" s="72"/>
      <c r="J220" s="74" t="s">
        <v>11</v>
      </c>
      <c r="K220" s="74"/>
      <c r="L220" s="71" t="s">
        <v>12</v>
      </c>
      <c r="M220" s="72"/>
      <c r="N220" s="74" t="s">
        <v>11</v>
      </c>
      <c r="O220" s="74"/>
      <c r="P220" s="71" t="s">
        <v>12</v>
      </c>
      <c r="Q220" s="72"/>
      <c r="R220" s="74"/>
      <c r="S220" s="74"/>
      <c r="T220" s="74"/>
      <c r="U220" s="74"/>
      <c r="V220" s="48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</row>
    <row r="221" spans="1:44" ht="15.6" customHeight="1" x14ac:dyDescent="0.25">
      <c r="A221" s="27"/>
      <c r="B221" s="76"/>
      <c r="C221" s="76"/>
      <c r="D221" s="77"/>
      <c r="E221" s="77"/>
      <c r="F221" s="76"/>
      <c r="G221" s="76"/>
      <c r="H221" s="77"/>
      <c r="I221" s="77"/>
      <c r="J221" s="76"/>
      <c r="K221" s="76"/>
      <c r="L221" s="77"/>
      <c r="M221" s="77"/>
      <c r="N221" s="76"/>
      <c r="O221" s="76"/>
      <c r="P221" s="77"/>
      <c r="Q221" s="77"/>
      <c r="R221" s="76"/>
      <c r="S221" s="76"/>
      <c r="T221" s="76"/>
      <c r="U221" s="76"/>
      <c r="V221" s="48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</row>
    <row r="222" spans="1:44" ht="15.6" customHeight="1" x14ac:dyDescent="0.25">
      <c r="A222" s="27"/>
      <c r="B222" s="74">
        <v>0</v>
      </c>
      <c r="C222" s="74"/>
      <c r="D222" s="78">
        <v>1</v>
      </c>
      <c r="E222" s="78"/>
      <c r="F222" s="74">
        <v>2</v>
      </c>
      <c r="G222" s="74"/>
      <c r="H222" s="78">
        <v>3</v>
      </c>
      <c r="I222" s="78"/>
      <c r="J222" s="74">
        <v>4</v>
      </c>
      <c r="K222" s="74"/>
      <c r="L222" s="78">
        <v>5</v>
      </c>
      <c r="M222" s="78"/>
      <c r="N222" s="74">
        <v>6</v>
      </c>
      <c r="O222" s="74"/>
      <c r="P222" s="78">
        <v>7</v>
      </c>
      <c r="Q222" s="78"/>
      <c r="R222" s="74">
        <v>8</v>
      </c>
      <c r="S222" s="74"/>
      <c r="T222" s="74">
        <v>9</v>
      </c>
      <c r="U222" s="74"/>
      <c r="V222" s="49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</row>
    <row r="223" spans="1:44" ht="15.6" customHeight="1" x14ac:dyDescent="0.25">
      <c r="A223" s="27"/>
      <c r="B223" s="28" t="s">
        <v>13</v>
      </c>
      <c r="C223" s="28" t="s">
        <v>14</v>
      </c>
      <c r="D223" s="31" t="s">
        <v>15</v>
      </c>
      <c r="E223" s="31" t="s">
        <v>16</v>
      </c>
      <c r="F223" s="28" t="s">
        <v>13</v>
      </c>
      <c r="G223" s="28" t="s">
        <v>14</v>
      </c>
      <c r="H223" s="31" t="s">
        <v>15</v>
      </c>
      <c r="I223" s="31" t="s">
        <v>16</v>
      </c>
      <c r="J223" s="28" t="s">
        <v>13</v>
      </c>
      <c r="K223" s="28" t="s">
        <v>14</v>
      </c>
      <c r="L223" s="31" t="s">
        <v>15</v>
      </c>
      <c r="M223" s="31" t="s">
        <v>16</v>
      </c>
      <c r="N223" s="28" t="s">
        <v>13</v>
      </c>
      <c r="O223" s="28" t="s">
        <v>14</v>
      </c>
      <c r="P223" s="31" t="s">
        <v>15</v>
      </c>
      <c r="Q223" s="31" t="s">
        <v>16</v>
      </c>
      <c r="R223" s="28" t="s">
        <v>13</v>
      </c>
      <c r="S223" s="28" t="s">
        <v>14</v>
      </c>
      <c r="T223" s="28" t="s">
        <v>15</v>
      </c>
      <c r="U223" s="28" t="s">
        <v>16</v>
      </c>
      <c r="V223" s="49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</row>
    <row r="224" spans="1:44" ht="15.6" customHeight="1" x14ac:dyDescent="0.25">
      <c r="A224" s="33"/>
      <c r="B224" s="34"/>
      <c r="C224" s="34"/>
      <c r="D224" s="35"/>
      <c r="E224" s="36"/>
      <c r="F224" s="34"/>
      <c r="G224" s="34"/>
      <c r="H224" s="35"/>
      <c r="I224" s="36"/>
      <c r="J224" s="34"/>
      <c r="K224" s="34"/>
      <c r="L224" s="35"/>
      <c r="M224" s="36"/>
      <c r="N224" s="34"/>
      <c r="O224" s="34"/>
      <c r="P224" s="35"/>
      <c r="Q224" s="36"/>
      <c r="R224" s="34"/>
      <c r="S224" s="34"/>
      <c r="T224" s="34"/>
      <c r="U224" s="34"/>
      <c r="V224" s="50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</row>
    <row r="225" spans="1:44" ht="15.6" customHeight="1" x14ac:dyDescent="0.25">
      <c r="A225" s="3"/>
      <c r="B225" s="30"/>
      <c r="C225" s="30"/>
      <c r="D225" s="54"/>
      <c r="E225" s="5"/>
      <c r="F225" s="30"/>
      <c r="G225" s="30"/>
      <c r="H225" s="54"/>
      <c r="I225" s="5"/>
      <c r="J225" s="30"/>
      <c r="K225" s="30"/>
      <c r="L225" s="54"/>
      <c r="M225" s="5"/>
      <c r="N225" s="30"/>
      <c r="O225" s="30"/>
      <c r="P225" s="54"/>
      <c r="Q225" s="5"/>
      <c r="R225" s="30"/>
      <c r="S225" s="30"/>
      <c r="T225" s="30"/>
      <c r="U225" s="30"/>
      <c r="V225" s="32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</row>
    <row r="226" spans="1:44" ht="15.6" customHeight="1" x14ac:dyDescent="0.25">
      <c r="A226" s="3"/>
      <c r="B226" s="95"/>
      <c r="C226" s="96"/>
      <c r="D226" s="97"/>
      <c r="E226" s="98"/>
      <c r="F226" s="95"/>
      <c r="G226" s="96"/>
      <c r="H226" s="97"/>
      <c r="I226" s="98"/>
      <c r="J226" s="95"/>
      <c r="K226" s="96"/>
      <c r="L226" s="97"/>
      <c r="M226" s="98"/>
      <c r="N226" s="95"/>
      <c r="O226" s="96"/>
      <c r="P226" s="97"/>
      <c r="Q226" s="98"/>
      <c r="R226" s="30"/>
      <c r="S226" s="30"/>
      <c r="T226" s="30"/>
      <c r="U226" s="30"/>
      <c r="V226" s="32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</row>
    <row r="227" spans="1:44" ht="15.6" customHeight="1" x14ac:dyDescent="0.25">
      <c r="A227" s="3"/>
      <c r="B227" s="40" t="str">
        <f>IF(D226&lt;1,"","пом.")</f>
        <v/>
      </c>
      <c r="C227" s="40"/>
      <c r="D227" s="85"/>
      <c r="E227" s="86"/>
      <c r="F227" s="40" t="str">
        <f>IF(H226&lt;1,"","пом.")</f>
        <v/>
      </c>
      <c r="G227" s="40"/>
      <c r="H227" s="85"/>
      <c r="I227" s="86"/>
      <c r="J227" s="40" t="str">
        <f>IF(L226&lt;1,"","пом.")</f>
        <v/>
      </c>
      <c r="K227" s="40"/>
      <c r="L227" s="85"/>
      <c r="M227" s="86"/>
      <c r="N227" s="40" t="str">
        <f>IF(P226&lt;1,"","пом.")</f>
        <v/>
      </c>
      <c r="O227" s="40"/>
      <c r="P227" s="85"/>
      <c r="Q227" s="86"/>
      <c r="R227" s="30"/>
      <c r="S227" s="30"/>
      <c r="T227" s="30"/>
      <c r="U227" s="30"/>
      <c r="V227" s="32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</row>
    <row r="228" spans="1:44" ht="15.6" customHeight="1" x14ac:dyDescent="0.25">
      <c r="A228" s="3"/>
      <c r="B228" s="3"/>
      <c r="C228" s="3"/>
      <c r="D228" s="4"/>
      <c r="E228" s="4"/>
      <c r="F228" s="3"/>
      <c r="G228" s="3"/>
      <c r="H228" s="4"/>
      <c r="I228" s="4"/>
      <c r="J228" s="3"/>
      <c r="K228" s="3"/>
      <c r="L228" s="4"/>
      <c r="M228" s="4"/>
      <c r="N228" s="3"/>
      <c r="O228" s="3"/>
      <c r="P228" s="4"/>
      <c r="Q228" s="4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</row>
    <row r="229" spans="1:44" ht="15.6" customHeight="1" x14ac:dyDescent="0.25">
      <c r="A229" s="3"/>
      <c r="B229" s="3"/>
      <c r="C229" s="3"/>
      <c r="D229" s="4"/>
      <c r="E229" s="5" t="s">
        <v>30</v>
      </c>
      <c r="F229" s="87" t="s">
        <v>31</v>
      </c>
      <c r="G229" s="87"/>
      <c r="H229" s="87"/>
      <c r="I229" s="117" t="s">
        <v>32</v>
      </c>
      <c r="J229" s="117"/>
      <c r="K229" s="58"/>
      <c r="L229" s="4"/>
      <c r="M229" s="4"/>
      <c r="N229" s="3"/>
      <c r="O229" s="30" t="s">
        <v>33</v>
      </c>
      <c r="P229" s="87" t="s">
        <v>34</v>
      </c>
      <c r="Q229" s="87"/>
      <c r="R229" s="87"/>
      <c r="S229" s="117" t="s">
        <v>35</v>
      </c>
      <c r="T229" s="117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</row>
    <row r="230" spans="1:44" ht="15.6" customHeight="1" x14ac:dyDescent="0.25">
      <c r="A230" s="3"/>
      <c r="B230" s="3"/>
      <c r="C230" s="3"/>
      <c r="D230" s="4"/>
      <c r="E230" s="5" t="s">
        <v>36</v>
      </c>
      <c r="F230" s="87" t="s">
        <v>37</v>
      </c>
      <c r="G230" s="87"/>
      <c r="H230" s="87"/>
      <c r="I230" s="117" t="s">
        <v>38</v>
      </c>
      <c r="J230" s="117"/>
      <c r="K230" s="117"/>
      <c r="L230" s="4"/>
      <c r="M230" s="4"/>
      <c r="N230" s="3"/>
      <c r="O230" s="30" t="s">
        <v>39</v>
      </c>
      <c r="P230" s="87" t="s">
        <v>34</v>
      </c>
      <c r="Q230" s="87"/>
      <c r="R230" s="87"/>
      <c r="S230" s="118" t="s">
        <v>40</v>
      </c>
      <c r="T230" s="118"/>
      <c r="U230" s="118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</row>
    <row r="231" spans="1:44" ht="15.6" customHeight="1" x14ac:dyDescent="0.25">
      <c r="A231" s="41"/>
      <c r="B231" s="41"/>
      <c r="C231" s="41"/>
      <c r="D231" s="42"/>
      <c r="E231" s="43"/>
      <c r="F231" s="41"/>
      <c r="G231" s="41"/>
      <c r="H231" s="42"/>
      <c r="I231" s="42"/>
      <c r="J231" s="41"/>
      <c r="K231" s="41"/>
      <c r="L231" s="42"/>
      <c r="M231" s="42"/>
      <c r="N231" s="41"/>
      <c r="O231" s="41"/>
      <c r="P231" s="42"/>
      <c r="Q231" s="42"/>
      <c r="R231" s="41"/>
      <c r="S231" s="41"/>
      <c r="T231" s="41"/>
      <c r="U231" s="41"/>
      <c r="V231" s="41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</row>
    <row r="232" spans="1:44" ht="15.6" customHeight="1" x14ac:dyDescent="0.3">
      <c r="A232" s="3"/>
      <c r="B232" s="3"/>
      <c r="C232" s="3"/>
      <c r="D232" s="4"/>
      <c r="E232" s="6" t="s">
        <v>1</v>
      </c>
      <c r="F232" s="3"/>
      <c r="G232" s="7"/>
      <c r="H232" s="8"/>
      <c r="I232" s="8"/>
      <c r="J232" s="7"/>
      <c r="K232" s="7"/>
      <c r="L232" s="8"/>
      <c r="M232" s="9" t="s">
        <v>2</v>
      </c>
      <c r="N232" s="12" t="str">
        <f>N212</f>
        <v>1.1</v>
      </c>
      <c r="O232" s="12"/>
      <c r="P232" s="4"/>
      <c r="Q232" s="4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</row>
    <row r="233" spans="1:44" ht="15.6" customHeight="1" x14ac:dyDescent="0.3">
      <c r="A233" s="3"/>
      <c r="B233" s="3"/>
      <c r="C233" s="3"/>
      <c r="D233" s="4"/>
      <c r="E233" s="6" t="s">
        <v>4</v>
      </c>
      <c r="F233" s="3"/>
      <c r="G233" s="3"/>
      <c r="H233" s="4"/>
      <c r="I233" s="4"/>
      <c r="J233" s="13"/>
      <c r="K233" s="13"/>
      <c r="L233" s="14"/>
      <c r="M233" s="9" t="s">
        <v>5</v>
      </c>
      <c r="N233" s="15" t="str">
        <f>N213</f>
        <v>1.1.3</v>
      </c>
      <c r="O233" s="15"/>
      <c r="P233" s="4"/>
      <c r="Q233" s="4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</row>
    <row r="234" spans="1:44" ht="15.6" customHeight="1" x14ac:dyDescent="0.3">
      <c r="A234" s="3"/>
      <c r="B234" s="3"/>
      <c r="C234" s="3"/>
      <c r="D234" s="4"/>
      <c r="E234" s="4" t="s">
        <v>7</v>
      </c>
      <c r="F234" s="3"/>
      <c r="G234" s="3"/>
      <c r="H234" s="8"/>
      <c r="I234" s="8"/>
      <c r="J234" s="7"/>
      <c r="K234" s="7"/>
      <c r="L234" s="8"/>
      <c r="M234" s="16" t="s">
        <v>5</v>
      </c>
      <c r="N234" s="17">
        <f>N214</f>
        <v>6</v>
      </c>
      <c r="O234" s="3"/>
      <c r="P234" s="4"/>
      <c r="Q234" s="4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</row>
    <row r="235" spans="1:44" ht="15.6" customHeight="1" x14ac:dyDescent="0.3">
      <c r="A235" s="3"/>
      <c r="B235" s="3"/>
      <c r="C235" s="3"/>
      <c r="D235" s="4"/>
      <c r="E235" s="4" t="s">
        <v>8</v>
      </c>
      <c r="F235" s="3"/>
      <c r="G235" s="3"/>
      <c r="H235" s="4"/>
      <c r="I235" s="4"/>
      <c r="J235" s="3"/>
      <c r="K235" s="3"/>
      <c r="L235" s="14"/>
      <c r="M235" s="16" t="s">
        <v>99</v>
      </c>
      <c r="N235" s="17" t="str">
        <f>IF(N215="-"&amp;N212&amp;".5",IF(N216=15,"-"&amp;N212&amp;".6","-"&amp;N212&amp;".5"),N215)</f>
        <v>-1.1.5</v>
      </c>
      <c r="O235" s="19"/>
      <c r="P235" s="4"/>
      <c r="Q235" s="4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</row>
    <row r="236" spans="1:44" ht="15.6" customHeight="1" x14ac:dyDescent="0.3">
      <c r="A236" s="3"/>
      <c r="B236" s="3"/>
      <c r="C236" s="3"/>
      <c r="D236" s="4"/>
      <c r="E236" s="21" t="s">
        <v>10</v>
      </c>
      <c r="F236" s="3"/>
      <c r="G236" s="3"/>
      <c r="H236" s="4"/>
      <c r="I236" s="8"/>
      <c r="J236" s="7"/>
      <c r="K236" s="7"/>
      <c r="L236" s="8"/>
      <c r="M236" s="16" t="s">
        <v>5</v>
      </c>
      <c r="N236" s="17">
        <f>IF(N235="-"&amp;N170&amp;".5",N216+1,IF(N215="-"&amp;N170&amp;".5",1,N216+1))</f>
        <v>12</v>
      </c>
      <c r="O236" s="3"/>
      <c r="P236" s="4"/>
      <c r="Q236" s="4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</row>
    <row r="237" spans="1:44" ht="7.9" customHeight="1" x14ac:dyDescent="0.25">
      <c r="A237" s="3"/>
      <c r="B237" s="3"/>
      <c r="C237" s="3"/>
      <c r="D237" s="4"/>
      <c r="E237" s="4"/>
      <c r="F237" s="3"/>
      <c r="G237" s="3"/>
      <c r="H237" s="4"/>
      <c r="I237" s="4"/>
      <c r="J237" s="3"/>
      <c r="K237" s="3"/>
      <c r="L237" s="4"/>
      <c r="M237" s="4"/>
      <c r="N237" s="3"/>
      <c r="O237" s="3"/>
      <c r="P237" s="4"/>
      <c r="Q237" s="4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</row>
    <row r="238" spans="1:44" ht="15.6" customHeight="1" x14ac:dyDescent="0.25">
      <c r="A238" s="24"/>
      <c r="B238" s="25"/>
      <c r="C238" s="25"/>
      <c r="D238" s="26"/>
      <c r="E238" s="26"/>
      <c r="F238" s="25"/>
      <c r="G238" s="25"/>
      <c r="H238" s="26"/>
      <c r="I238" s="26"/>
      <c r="J238" s="25"/>
      <c r="K238" s="25"/>
      <c r="L238" s="26"/>
      <c r="M238" s="26"/>
      <c r="N238" s="25"/>
      <c r="O238" s="25"/>
      <c r="P238" s="26"/>
      <c r="Q238" s="26"/>
      <c r="R238" s="25"/>
      <c r="S238" s="25"/>
      <c r="T238" s="25"/>
      <c r="U238" s="25"/>
      <c r="V238" s="45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</row>
    <row r="239" spans="1:44" ht="15.6" customHeight="1" x14ac:dyDescent="0.25">
      <c r="A239" s="27"/>
      <c r="B239" s="28"/>
      <c r="C239" s="28"/>
      <c r="D239" s="71">
        <v>1</v>
      </c>
      <c r="E239" s="72"/>
      <c r="F239" s="28"/>
      <c r="G239" s="28"/>
      <c r="H239" s="71">
        <v>2</v>
      </c>
      <c r="I239" s="72"/>
      <c r="J239" s="28"/>
      <c r="K239" s="28"/>
      <c r="L239" s="71">
        <v>3</v>
      </c>
      <c r="M239" s="72"/>
      <c r="N239" s="28"/>
      <c r="O239" s="28"/>
      <c r="P239" s="71">
        <v>4</v>
      </c>
      <c r="Q239" s="72"/>
      <c r="R239" s="28"/>
      <c r="S239" s="28"/>
      <c r="T239" s="28"/>
      <c r="U239" s="28"/>
      <c r="V239" s="46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</row>
    <row r="240" spans="1:44" ht="15.6" customHeight="1" x14ac:dyDescent="0.25">
      <c r="A240" s="27"/>
      <c r="B240" s="74" t="s">
        <v>11</v>
      </c>
      <c r="C240" s="74"/>
      <c r="D240" s="71" t="s">
        <v>12</v>
      </c>
      <c r="E240" s="72"/>
      <c r="F240" s="74" t="s">
        <v>11</v>
      </c>
      <c r="G240" s="74"/>
      <c r="H240" s="71" t="s">
        <v>12</v>
      </c>
      <c r="I240" s="72"/>
      <c r="J240" s="74" t="s">
        <v>11</v>
      </c>
      <c r="K240" s="74"/>
      <c r="L240" s="71" t="s">
        <v>12</v>
      </c>
      <c r="M240" s="72"/>
      <c r="N240" s="74" t="s">
        <v>11</v>
      </c>
      <c r="O240" s="74"/>
      <c r="P240" s="71" t="s">
        <v>12</v>
      </c>
      <c r="Q240" s="72"/>
      <c r="R240" s="74"/>
      <c r="S240" s="74"/>
      <c r="T240" s="74"/>
      <c r="U240" s="74"/>
      <c r="V240" s="48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</row>
    <row r="241" spans="1:44" ht="15.6" customHeight="1" x14ac:dyDescent="0.25">
      <c r="A241" s="27"/>
      <c r="B241" s="76"/>
      <c r="C241" s="76"/>
      <c r="D241" s="77"/>
      <c r="E241" s="77"/>
      <c r="F241" s="76"/>
      <c r="G241" s="76"/>
      <c r="H241" s="77"/>
      <c r="I241" s="77"/>
      <c r="J241" s="76"/>
      <c r="K241" s="76"/>
      <c r="L241" s="77"/>
      <c r="M241" s="77"/>
      <c r="N241" s="76"/>
      <c r="O241" s="76"/>
      <c r="P241" s="77"/>
      <c r="Q241" s="77"/>
      <c r="R241" s="76"/>
      <c r="S241" s="76"/>
      <c r="T241" s="76"/>
      <c r="U241" s="76"/>
      <c r="V241" s="48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</row>
    <row r="242" spans="1:44" ht="15.6" customHeight="1" x14ac:dyDescent="0.25">
      <c r="A242" s="27"/>
      <c r="B242" s="74">
        <v>0</v>
      </c>
      <c r="C242" s="74"/>
      <c r="D242" s="78">
        <v>1</v>
      </c>
      <c r="E242" s="78"/>
      <c r="F242" s="74">
        <v>2</v>
      </c>
      <c r="G242" s="74"/>
      <c r="H242" s="78">
        <v>3</v>
      </c>
      <c r="I242" s="78"/>
      <c r="J242" s="74">
        <v>4</v>
      </c>
      <c r="K242" s="74"/>
      <c r="L242" s="78">
        <v>5</v>
      </c>
      <c r="M242" s="78"/>
      <c r="N242" s="74">
        <v>6</v>
      </c>
      <c r="O242" s="74"/>
      <c r="P242" s="78">
        <v>7</v>
      </c>
      <c r="Q242" s="78"/>
      <c r="R242" s="74">
        <v>8</v>
      </c>
      <c r="S242" s="74"/>
      <c r="T242" s="74">
        <v>9</v>
      </c>
      <c r="U242" s="74"/>
      <c r="V242" s="49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</row>
    <row r="243" spans="1:44" ht="15.6" customHeight="1" x14ac:dyDescent="0.25">
      <c r="A243" s="27"/>
      <c r="B243" s="28" t="s">
        <v>13</v>
      </c>
      <c r="C243" s="28" t="s">
        <v>14</v>
      </c>
      <c r="D243" s="31" t="s">
        <v>15</v>
      </c>
      <c r="E243" s="31" t="s">
        <v>16</v>
      </c>
      <c r="F243" s="28" t="s">
        <v>13</v>
      </c>
      <c r="G243" s="28" t="s">
        <v>14</v>
      </c>
      <c r="H243" s="31" t="s">
        <v>15</v>
      </c>
      <c r="I243" s="31" t="s">
        <v>16</v>
      </c>
      <c r="J243" s="28" t="s">
        <v>13</v>
      </c>
      <c r="K243" s="28" t="s">
        <v>14</v>
      </c>
      <c r="L243" s="31" t="s">
        <v>15</v>
      </c>
      <c r="M243" s="31" t="s">
        <v>16</v>
      </c>
      <c r="N243" s="28" t="s">
        <v>13</v>
      </c>
      <c r="O243" s="28" t="s">
        <v>14</v>
      </c>
      <c r="P243" s="31" t="s">
        <v>15</v>
      </c>
      <c r="Q243" s="31" t="s">
        <v>16</v>
      </c>
      <c r="R243" s="28" t="s">
        <v>13</v>
      </c>
      <c r="S243" s="28" t="s">
        <v>14</v>
      </c>
      <c r="T243" s="28" t="s">
        <v>15</v>
      </c>
      <c r="U243" s="28" t="s">
        <v>16</v>
      </c>
      <c r="V243" s="49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</row>
    <row r="244" spans="1:44" ht="15.6" customHeight="1" x14ac:dyDescent="0.25">
      <c r="A244" s="33"/>
      <c r="B244" s="34"/>
      <c r="C244" s="34"/>
      <c r="D244" s="35"/>
      <c r="E244" s="36"/>
      <c r="F244" s="34"/>
      <c r="G244" s="34"/>
      <c r="H244" s="35"/>
      <c r="I244" s="36"/>
      <c r="J244" s="34"/>
      <c r="K244" s="34"/>
      <c r="L244" s="35"/>
      <c r="M244" s="36"/>
      <c r="N244" s="34"/>
      <c r="O244" s="34"/>
      <c r="P244" s="35"/>
      <c r="Q244" s="36"/>
      <c r="R244" s="34"/>
      <c r="S244" s="34"/>
      <c r="T244" s="34"/>
      <c r="U244" s="34"/>
      <c r="V244" s="50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</row>
    <row r="245" spans="1:44" ht="9" customHeight="1" x14ac:dyDescent="0.25">
      <c r="A245" s="3"/>
      <c r="B245" s="30"/>
      <c r="C245" s="30"/>
      <c r="D245" s="54"/>
      <c r="E245" s="5"/>
      <c r="F245" s="30"/>
      <c r="G245" s="30"/>
      <c r="H245" s="54"/>
      <c r="I245" s="5"/>
      <c r="J245" s="30"/>
      <c r="K245" s="30"/>
      <c r="L245" s="54"/>
      <c r="M245" s="5"/>
      <c r="N245" s="30"/>
      <c r="O245" s="30"/>
      <c r="P245" s="54"/>
      <c r="Q245" s="5"/>
      <c r="R245" s="30"/>
      <c r="S245" s="30"/>
      <c r="T245" s="30"/>
      <c r="U245" s="30"/>
      <c r="V245" s="32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</row>
    <row r="246" spans="1:44" ht="15.6" customHeight="1" x14ac:dyDescent="0.25">
      <c r="A246" s="3"/>
      <c r="B246" s="95"/>
      <c r="C246" s="96"/>
      <c r="D246" s="97"/>
      <c r="E246" s="98"/>
      <c r="F246" s="95"/>
      <c r="G246" s="96"/>
      <c r="H246" s="97"/>
      <c r="I246" s="98"/>
      <c r="J246" s="95"/>
      <c r="K246" s="96"/>
      <c r="L246" s="97"/>
      <c r="M246" s="98"/>
      <c r="N246" s="95"/>
      <c r="O246" s="96"/>
      <c r="P246" s="97"/>
      <c r="Q246" s="98"/>
      <c r="R246" s="30"/>
      <c r="S246" s="30"/>
      <c r="T246" s="30"/>
      <c r="U246" s="30"/>
      <c r="V246" s="32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</row>
    <row r="247" spans="1:44" ht="15.6" customHeight="1" x14ac:dyDescent="0.25">
      <c r="A247" s="3"/>
      <c r="B247" s="40" t="str">
        <f>IF(D246&lt;1,"","пом.")</f>
        <v/>
      </c>
      <c r="C247" s="40"/>
      <c r="D247" s="85"/>
      <c r="E247" s="86"/>
      <c r="F247" s="40" t="str">
        <f>IF(H246&lt;1,"","пом.")</f>
        <v/>
      </c>
      <c r="G247" s="40"/>
      <c r="H247" s="85"/>
      <c r="I247" s="86"/>
      <c r="J247" s="40" t="str">
        <f>IF(L246&lt;1,"","пом.")</f>
        <v/>
      </c>
      <c r="K247" s="40"/>
      <c r="L247" s="85"/>
      <c r="M247" s="86"/>
      <c r="N247" s="40" t="str">
        <f>IF(P246&lt;1,"","пом.")</f>
        <v/>
      </c>
      <c r="O247" s="40"/>
      <c r="P247" s="85"/>
      <c r="Q247" s="86"/>
      <c r="R247" s="30"/>
      <c r="S247" s="30"/>
      <c r="T247" s="30"/>
      <c r="U247" s="30"/>
      <c r="V247" s="32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</row>
    <row r="248" spans="1:44" ht="6.6" customHeight="1" x14ac:dyDescent="0.25">
      <c r="A248" s="3"/>
      <c r="B248" s="3"/>
      <c r="C248" s="3"/>
      <c r="D248" s="4"/>
      <c r="E248" s="4"/>
      <c r="F248" s="3"/>
      <c r="G248" s="3"/>
      <c r="H248" s="4"/>
      <c r="I248" s="4"/>
      <c r="J248" s="3"/>
      <c r="K248" s="3"/>
      <c r="L248" s="4"/>
      <c r="M248" s="4"/>
      <c r="N248" s="3"/>
      <c r="O248" s="3"/>
      <c r="P248" s="4"/>
      <c r="Q248" s="4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</row>
    <row r="249" spans="1:44" ht="15.6" customHeight="1" x14ac:dyDescent="0.25">
      <c r="A249" s="3"/>
      <c r="B249" s="3"/>
      <c r="C249" s="3"/>
      <c r="D249" s="4"/>
      <c r="E249" s="5" t="s">
        <v>30</v>
      </c>
      <c r="F249" s="87" t="s">
        <v>31</v>
      </c>
      <c r="G249" s="87"/>
      <c r="H249" s="87"/>
      <c r="I249" s="117" t="s">
        <v>32</v>
      </c>
      <c r="J249" s="117"/>
      <c r="K249" s="58"/>
      <c r="L249" s="4"/>
      <c r="M249" s="4"/>
      <c r="N249" s="3"/>
      <c r="O249" s="30" t="s">
        <v>33</v>
      </c>
      <c r="P249" s="87" t="s">
        <v>34</v>
      </c>
      <c r="Q249" s="87"/>
      <c r="R249" s="87"/>
      <c r="S249" s="117" t="s">
        <v>35</v>
      </c>
      <c r="T249" s="117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</row>
    <row r="250" spans="1:44" ht="15.6" customHeight="1" x14ac:dyDescent="0.25">
      <c r="A250" s="3"/>
      <c r="B250" s="3"/>
      <c r="C250" s="3"/>
      <c r="D250" s="4"/>
      <c r="E250" s="5" t="s">
        <v>36</v>
      </c>
      <c r="F250" s="87" t="s">
        <v>37</v>
      </c>
      <c r="G250" s="87"/>
      <c r="H250" s="87"/>
      <c r="I250" s="117" t="s">
        <v>38</v>
      </c>
      <c r="J250" s="117"/>
      <c r="K250" s="117"/>
      <c r="L250" s="4"/>
      <c r="M250" s="4"/>
      <c r="N250" s="3"/>
      <c r="O250" s="30" t="s">
        <v>39</v>
      </c>
      <c r="P250" s="87" t="s">
        <v>34</v>
      </c>
      <c r="Q250" s="87"/>
      <c r="R250" s="87"/>
      <c r="S250" s="118" t="s">
        <v>40</v>
      </c>
      <c r="T250" s="118"/>
      <c r="U250" s="118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</row>
    <row r="251" spans="1:44" ht="15.6" customHeight="1" x14ac:dyDescent="0.25">
      <c r="A251" s="41"/>
      <c r="B251" s="41"/>
      <c r="C251" s="41"/>
      <c r="D251" s="42"/>
      <c r="E251" s="43"/>
      <c r="F251" s="41"/>
      <c r="G251" s="41"/>
      <c r="H251" s="42"/>
      <c r="I251" s="42"/>
      <c r="J251" s="41"/>
      <c r="K251" s="41"/>
      <c r="L251" s="42"/>
      <c r="M251" s="42"/>
      <c r="N251" s="41"/>
      <c r="O251" s="41"/>
      <c r="P251" s="42"/>
      <c r="Q251" s="42"/>
      <c r="R251" s="41"/>
      <c r="S251" s="41"/>
      <c r="T251" s="41"/>
      <c r="U251" s="41"/>
      <c r="V251" s="41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</row>
    <row r="252" spans="1:44" ht="15.6" customHeight="1" x14ac:dyDescent="0.25">
      <c r="A252" s="41"/>
      <c r="B252" s="41"/>
      <c r="C252" s="41"/>
      <c r="D252" s="42"/>
      <c r="E252" s="43"/>
      <c r="F252" s="41"/>
      <c r="G252" s="41"/>
      <c r="H252" s="42"/>
      <c r="I252" s="42"/>
      <c r="J252" s="41"/>
      <c r="K252" s="41"/>
      <c r="L252" s="42"/>
      <c r="M252" s="42"/>
      <c r="N252" s="41"/>
      <c r="O252" s="41"/>
      <c r="P252" s="42"/>
      <c r="Q252" s="42"/>
      <c r="R252" s="41"/>
      <c r="S252" s="41"/>
      <c r="T252" s="41"/>
      <c r="U252" s="41"/>
      <c r="V252" s="41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</row>
    <row r="253" spans="1:44" ht="15.6" hidden="1" customHeight="1" x14ac:dyDescent="0.25">
      <c r="A253" s="3"/>
      <c r="B253" s="3"/>
      <c r="C253" s="3"/>
      <c r="D253" s="4"/>
      <c r="E253" s="4"/>
      <c r="F253" s="3"/>
      <c r="G253" s="3"/>
      <c r="H253" s="4"/>
      <c r="I253" s="4"/>
      <c r="J253" s="3"/>
      <c r="K253" s="3"/>
      <c r="L253" s="4"/>
      <c r="M253" s="4"/>
      <c r="N253" s="3"/>
      <c r="O253" s="3"/>
      <c r="P253" s="4"/>
      <c r="Q253" s="4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</row>
    <row r="254" spans="1:44" ht="15.6" customHeight="1" x14ac:dyDescent="0.3">
      <c r="A254" s="3"/>
      <c r="B254" s="3"/>
      <c r="C254" s="3"/>
      <c r="D254" s="4"/>
      <c r="E254" s="6" t="s">
        <v>1</v>
      </c>
      <c r="F254" s="3"/>
      <c r="G254" s="7"/>
      <c r="H254" s="8"/>
      <c r="I254" s="8"/>
      <c r="J254" s="7"/>
      <c r="K254" s="7"/>
      <c r="L254" s="8"/>
      <c r="M254" s="9" t="s">
        <v>2</v>
      </c>
      <c r="N254" s="12" t="str">
        <f>N232</f>
        <v>1.1</v>
      </c>
      <c r="O254" s="12"/>
      <c r="P254" s="4"/>
      <c r="Q254" s="4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</row>
    <row r="255" spans="1:44" ht="15.6" customHeight="1" x14ac:dyDescent="0.3">
      <c r="A255" s="3"/>
      <c r="B255" s="3"/>
      <c r="C255" s="3"/>
      <c r="D255" s="4"/>
      <c r="E255" s="6" t="s">
        <v>4</v>
      </c>
      <c r="F255" s="3"/>
      <c r="G255" s="3"/>
      <c r="H255" s="4"/>
      <c r="I255" s="4"/>
      <c r="J255" s="13"/>
      <c r="K255" s="13"/>
      <c r="L255" s="14"/>
      <c r="M255" s="9" t="s">
        <v>5</v>
      </c>
      <c r="N255" s="15" t="str">
        <f>N254&amp;".3"</f>
        <v>1.1.3</v>
      </c>
      <c r="O255" s="15"/>
      <c r="P255" s="4"/>
      <c r="Q255" s="4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</row>
    <row r="256" spans="1:44" ht="15.6" customHeight="1" x14ac:dyDescent="0.3">
      <c r="A256" s="3"/>
      <c r="B256" s="3"/>
      <c r="C256" s="3"/>
      <c r="D256" s="4"/>
      <c r="E256" s="4" t="s">
        <v>7</v>
      </c>
      <c r="F256" s="3"/>
      <c r="G256" s="3"/>
      <c r="H256" s="8"/>
      <c r="I256" s="8"/>
      <c r="J256" s="7"/>
      <c r="K256" s="7"/>
      <c r="L256" s="8"/>
      <c r="M256" s="16" t="s">
        <v>5</v>
      </c>
      <c r="N256" s="17">
        <f>N234+1</f>
        <v>7</v>
      </c>
      <c r="O256" s="3"/>
      <c r="P256" s="4"/>
      <c r="Q256" s="4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</row>
    <row r="257" spans="1:44" ht="15.6" customHeight="1" x14ac:dyDescent="0.3">
      <c r="A257" s="3"/>
      <c r="B257" s="3"/>
      <c r="C257" s="3"/>
      <c r="D257" s="4"/>
      <c r="E257" s="4" t="s">
        <v>8</v>
      </c>
      <c r="F257" s="3"/>
      <c r="G257" s="3"/>
      <c r="H257" s="4"/>
      <c r="I257" s="4"/>
      <c r="J257" s="3"/>
      <c r="K257" s="3"/>
      <c r="L257" s="14"/>
      <c r="M257" s="16" t="s">
        <v>99</v>
      </c>
      <c r="N257" s="17" t="str">
        <f>IF(N235="-"&amp;N212&amp;".5",IF(N236=15,"-"&amp;N212&amp;".6","-"&amp;N212&amp;".5"),N235)</f>
        <v>-1.1.5</v>
      </c>
      <c r="O257" s="3"/>
      <c r="P257" s="4"/>
      <c r="Q257" s="4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</row>
    <row r="258" spans="1:44" ht="15.6" customHeight="1" x14ac:dyDescent="0.3">
      <c r="A258" s="3"/>
      <c r="B258" s="3"/>
      <c r="C258" s="3"/>
      <c r="D258" s="4"/>
      <c r="E258" s="21" t="s">
        <v>10</v>
      </c>
      <c r="F258" s="3"/>
      <c r="G258" s="3"/>
      <c r="H258" s="4"/>
      <c r="I258" s="8"/>
      <c r="J258" s="7"/>
      <c r="K258" s="7"/>
      <c r="L258" s="8"/>
      <c r="M258" s="16" t="s">
        <v>5</v>
      </c>
      <c r="N258" s="17">
        <f>IF(N257="-"&amp;N212&amp;".5",N236+1,IF(N235="-"&amp;N212&amp;".5",1,N236+1))</f>
        <v>13</v>
      </c>
      <c r="O258" s="3"/>
      <c r="P258" s="4"/>
      <c r="Q258" s="4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</row>
    <row r="259" spans="1:44" ht="15.6" customHeight="1" x14ac:dyDescent="0.25">
      <c r="A259" s="3"/>
      <c r="B259" s="3"/>
      <c r="C259" s="3"/>
      <c r="D259" s="4"/>
      <c r="E259" s="4"/>
      <c r="F259" s="3"/>
      <c r="G259" s="3"/>
      <c r="H259" s="4"/>
      <c r="I259" s="4"/>
      <c r="J259" s="3"/>
      <c r="K259" s="3"/>
      <c r="L259" s="4"/>
      <c r="M259" s="4"/>
      <c r="N259" s="3"/>
      <c r="O259" s="3"/>
      <c r="P259" s="4"/>
      <c r="Q259" s="4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</row>
    <row r="260" spans="1:44" ht="15.6" customHeight="1" x14ac:dyDescent="0.25">
      <c r="A260" s="24"/>
      <c r="B260" s="25"/>
      <c r="C260" s="25"/>
      <c r="D260" s="26"/>
      <c r="E260" s="26"/>
      <c r="F260" s="25"/>
      <c r="G260" s="25"/>
      <c r="H260" s="26"/>
      <c r="I260" s="26"/>
      <c r="J260" s="25"/>
      <c r="K260" s="25"/>
      <c r="L260" s="26"/>
      <c r="M260" s="26"/>
      <c r="N260" s="25"/>
      <c r="O260" s="25"/>
      <c r="P260" s="26"/>
      <c r="Q260" s="26"/>
      <c r="R260" s="25"/>
      <c r="S260" s="25"/>
      <c r="T260" s="25"/>
      <c r="U260" s="25"/>
      <c r="V260" s="45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</row>
    <row r="261" spans="1:44" ht="15.6" customHeight="1" x14ac:dyDescent="0.25">
      <c r="A261" s="27"/>
      <c r="B261" s="28"/>
      <c r="C261" s="28"/>
      <c r="D261" s="71">
        <v>1</v>
      </c>
      <c r="E261" s="72"/>
      <c r="F261" s="28"/>
      <c r="G261" s="28"/>
      <c r="H261" s="71">
        <v>2</v>
      </c>
      <c r="I261" s="72"/>
      <c r="J261" s="28"/>
      <c r="K261" s="28"/>
      <c r="L261" s="71">
        <v>3</v>
      </c>
      <c r="M261" s="72"/>
      <c r="N261" s="28"/>
      <c r="O261" s="28"/>
      <c r="P261" s="71">
        <v>4</v>
      </c>
      <c r="Q261" s="72"/>
      <c r="R261" s="28"/>
      <c r="S261" s="28"/>
      <c r="T261" s="28"/>
      <c r="U261" s="28"/>
      <c r="V261" s="46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</row>
    <row r="262" spans="1:44" ht="15.6" customHeight="1" x14ac:dyDescent="0.25">
      <c r="A262" s="27"/>
      <c r="B262" s="74" t="s">
        <v>11</v>
      </c>
      <c r="C262" s="74"/>
      <c r="D262" s="71" t="s">
        <v>12</v>
      </c>
      <c r="E262" s="72"/>
      <c r="F262" s="74" t="s">
        <v>11</v>
      </c>
      <c r="G262" s="74"/>
      <c r="H262" s="71" t="s">
        <v>12</v>
      </c>
      <c r="I262" s="72"/>
      <c r="J262" s="74" t="s">
        <v>11</v>
      </c>
      <c r="K262" s="74"/>
      <c r="L262" s="71" t="s">
        <v>12</v>
      </c>
      <c r="M262" s="72"/>
      <c r="N262" s="74" t="s">
        <v>11</v>
      </c>
      <c r="O262" s="74"/>
      <c r="P262" s="71" t="s">
        <v>12</v>
      </c>
      <c r="Q262" s="72"/>
      <c r="R262" s="74"/>
      <c r="S262" s="74"/>
      <c r="T262" s="74"/>
      <c r="U262" s="74"/>
      <c r="V262" s="48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</row>
    <row r="263" spans="1:44" ht="15.6" customHeight="1" x14ac:dyDescent="0.25">
      <c r="A263" s="27"/>
      <c r="B263" s="76"/>
      <c r="C263" s="76"/>
      <c r="D263" s="77"/>
      <c r="E263" s="77"/>
      <c r="F263" s="76"/>
      <c r="G263" s="76"/>
      <c r="H263" s="77"/>
      <c r="I263" s="77"/>
      <c r="J263" s="76"/>
      <c r="K263" s="76"/>
      <c r="L263" s="77"/>
      <c r="M263" s="77"/>
      <c r="N263" s="76"/>
      <c r="O263" s="76"/>
      <c r="P263" s="77"/>
      <c r="Q263" s="77"/>
      <c r="R263" s="76"/>
      <c r="S263" s="76"/>
      <c r="T263" s="76"/>
      <c r="U263" s="76"/>
      <c r="V263" s="48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</row>
    <row r="264" spans="1:44" ht="15.6" customHeight="1" x14ac:dyDescent="0.25">
      <c r="A264" s="27"/>
      <c r="B264" s="74">
        <v>0</v>
      </c>
      <c r="C264" s="74"/>
      <c r="D264" s="78">
        <v>1</v>
      </c>
      <c r="E264" s="78"/>
      <c r="F264" s="74">
        <v>2</v>
      </c>
      <c r="G264" s="74"/>
      <c r="H264" s="78">
        <v>3</v>
      </c>
      <c r="I264" s="78"/>
      <c r="J264" s="74">
        <v>4</v>
      </c>
      <c r="K264" s="74"/>
      <c r="L264" s="78">
        <v>5</v>
      </c>
      <c r="M264" s="78"/>
      <c r="N264" s="74">
        <v>6</v>
      </c>
      <c r="O264" s="74"/>
      <c r="P264" s="78">
        <v>7</v>
      </c>
      <c r="Q264" s="78"/>
      <c r="R264" s="74">
        <v>8</v>
      </c>
      <c r="S264" s="74"/>
      <c r="T264" s="74">
        <v>9</v>
      </c>
      <c r="U264" s="74"/>
      <c r="V264" s="49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</row>
    <row r="265" spans="1:44" ht="15.6" customHeight="1" x14ac:dyDescent="0.25">
      <c r="A265" s="27"/>
      <c r="B265" s="28" t="s">
        <v>13</v>
      </c>
      <c r="C265" s="28" t="s">
        <v>14</v>
      </c>
      <c r="D265" s="31" t="s">
        <v>15</v>
      </c>
      <c r="E265" s="31" t="s">
        <v>16</v>
      </c>
      <c r="F265" s="28" t="s">
        <v>13</v>
      </c>
      <c r="G265" s="28" t="s">
        <v>14</v>
      </c>
      <c r="H265" s="31" t="s">
        <v>15</v>
      </c>
      <c r="I265" s="31" t="s">
        <v>16</v>
      </c>
      <c r="J265" s="28" t="s">
        <v>13</v>
      </c>
      <c r="K265" s="28" t="s">
        <v>14</v>
      </c>
      <c r="L265" s="31" t="s">
        <v>15</v>
      </c>
      <c r="M265" s="31" t="s">
        <v>16</v>
      </c>
      <c r="N265" s="28" t="s">
        <v>13</v>
      </c>
      <c r="O265" s="28" t="s">
        <v>14</v>
      </c>
      <c r="P265" s="31" t="s">
        <v>15</v>
      </c>
      <c r="Q265" s="31" t="s">
        <v>16</v>
      </c>
      <c r="R265" s="28" t="s">
        <v>13</v>
      </c>
      <c r="S265" s="28" t="s">
        <v>14</v>
      </c>
      <c r="T265" s="28" t="s">
        <v>15</v>
      </c>
      <c r="U265" s="28" t="s">
        <v>16</v>
      </c>
      <c r="V265" s="49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</row>
    <row r="266" spans="1:44" ht="15.6" customHeight="1" x14ac:dyDescent="0.25">
      <c r="A266" s="33"/>
      <c r="B266" s="34"/>
      <c r="C266" s="34"/>
      <c r="D266" s="35"/>
      <c r="E266" s="36"/>
      <c r="F266" s="34"/>
      <c r="G266" s="34"/>
      <c r="H266" s="35"/>
      <c r="I266" s="36"/>
      <c r="J266" s="34"/>
      <c r="K266" s="34"/>
      <c r="L266" s="35"/>
      <c r="M266" s="36"/>
      <c r="N266" s="34"/>
      <c r="O266" s="34"/>
      <c r="P266" s="35"/>
      <c r="Q266" s="36"/>
      <c r="R266" s="34"/>
      <c r="S266" s="34"/>
      <c r="T266" s="34"/>
      <c r="U266" s="34"/>
      <c r="V266" s="50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</row>
    <row r="267" spans="1:44" ht="15.6" customHeight="1" x14ac:dyDescent="0.25">
      <c r="A267" s="3"/>
      <c r="B267" s="30"/>
      <c r="C267" s="30"/>
      <c r="D267" s="54"/>
      <c r="E267" s="5"/>
      <c r="F267" s="30"/>
      <c r="G267" s="30"/>
      <c r="H267" s="54"/>
      <c r="I267" s="5"/>
      <c r="J267" s="30"/>
      <c r="K267" s="30"/>
      <c r="L267" s="54"/>
      <c r="M267" s="5"/>
      <c r="N267" s="30"/>
      <c r="O267" s="30"/>
      <c r="P267" s="54"/>
      <c r="Q267" s="5"/>
      <c r="R267" s="30"/>
      <c r="S267" s="30"/>
      <c r="T267" s="30"/>
      <c r="U267" s="30"/>
      <c r="V267" s="32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</row>
    <row r="268" spans="1:44" ht="15.6" customHeight="1" x14ac:dyDescent="0.25">
      <c r="A268" s="3"/>
      <c r="B268" s="95"/>
      <c r="C268" s="96"/>
      <c r="D268" s="97"/>
      <c r="E268" s="98"/>
      <c r="F268" s="95"/>
      <c r="G268" s="96"/>
      <c r="H268" s="97"/>
      <c r="I268" s="98"/>
      <c r="J268" s="95"/>
      <c r="K268" s="96"/>
      <c r="L268" s="97"/>
      <c r="M268" s="98"/>
      <c r="N268" s="95"/>
      <c r="O268" s="96"/>
      <c r="P268" s="97"/>
      <c r="Q268" s="98"/>
      <c r="R268" s="30"/>
      <c r="S268" s="30"/>
      <c r="T268" s="30"/>
      <c r="U268" s="30"/>
      <c r="V268" s="32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</row>
    <row r="269" spans="1:44" ht="15.6" customHeight="1" x14ac:dyDescent="0.25">
      <c r="A269" s="3"/>
      <c r="B269" s="40" t="str">
        <f>IF(D268&lt;1,"","пом.")</f>
        <v/>
      </c>
      <c r="C269" s="40"/>
      <c r="D269" s="85"/>
      <c r="E269" s="86"/>
      <c r="F269" s="40" t="str">
        <f>IF(H268&lt;1,"","пом.")</f>
        <v/>
      </c>
      <c r="G269" s="40"/>
      <c r="H269" s="85"/>
      <c r="I269" s="86"/>
      <c r="J269" s="40" t="str">
        <f>IF(L268&lt;1,"","пом.")</f>
        <v/>
      </c>
      <c r="K269" s="40"/>
      <c r="L269" s="85"/>
      <c r="M269" s="86"/>
      <c r="N269" s="40" t="str">
        <f>IF(P268&lt;1,"","пом.")</f>
        <v/>
      </c>
      <c r="O269" s="40"/>
      <c r="P269" s="85"/>
      <c r="Q269" s="86"/>
      <c r="R269" s="30"/>
      <c r="S269" s="30"/>
      <c r="T269" s="30"/>
      <c r="U269" s="30"/>
      <c r="V269" s="32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</row>
    <row r="270" spans="1:44" ht="15.6" customHeight="1" x14ac:dyDescent="0.25">
      <c r="A270" s="3"/>
      <c r="B270" s="3"/>
      <c r="C270" s="3"/>
      <c r="D270" s="4"/>
      <c r="E270" s="4"/>
      <c r="F270" s="3"/>
      <c r="G270" s="3"/>
      <c r="H270" s="4"/>
      <c r="I270" s="4"/>
      <c r="J270" s="3"/>
      <c r="K270" s="3"/>
      <c r="L270" s="4"/>
      <c r="M270" s="4"/>
      <c r="N270" s="3"/>
      <c r="O270" s="3"/>
      <c r="P270" s="4"/>
      <c r="Q270" s="4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</row>
    <row r="271" spans="1:44" ht="15.6" customHeight="1" x14ac:dyDescent="0.25">
      <c r="A271" s="3"/>
      <c r="B271" s="3"/>
      <c r="C271" s="3"/>
      <c r="D271" s="4"/>
      <c r="E271" s="5" t="s">
        <v>30</v>
      </c>
      <c r="F271" s="87" t="s">
        <v>31</v>
      </c>
      <c r="G271" s="87"/>
      <c r="H271" s="87"/>
      <c r="I271" s="117" t="s">
        <v>32</v>
      </c>
      <c r="J271" s="117"/>
      <c r="K271" s="58"/>
      <c r="L271" s="4"/>
      <c r="M271" s="4"/>
      <c r="N271" s="3"/>
      <c r="O271" s="30" t="s">
        <v>33</v>
      </c>
      <c r="P271" s="87" t="s">
        <v>34</v>
      </c>
      <c r="Q271" s="87"/>
      <c r="R271" s="87"/>
      <c r="S271" s="117" t="s">
        <v>35</v>
      </c>
      <c r="T271" s="117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</row>
    <row r="272" spans="1:44" ht="15.6" customHeight="1" x14ac:dyDescent="0.25">
      <c r="A272" s="3"/>
      <c r="B272" s="3"/>
      <c r="C272" s="3"/>
      <c r="D272" s="4"/>
      <c r="E272" s="5" t="s">
        <v>36</v>
      </c>
      <c r="F272" s="87" t="s">
        <v>37</v>
      </c>
      <c r="G272" s="87"/>
      <c r="H272" s="87"/>
      <c r="I272" s="117" t="s">
        <v>38</v>
      </c>
      <c r="J272" s="117"/>
      <c r="K272" s="117"/>
      <c r="L272" s="4"/>
      <c r="M272" s="4"/>
      <c r="N272" s="3"/>
      <c r="O272" s="30" t="s">
        <v>39</v>
      </c>
      <c r="P272" s="87" t="s">
        <v>34</v>
      </c>
      <c r="Q272" s="87"/>
      <c r="R272" s="87"/>
      <c r="S272" s="118" t="s">
        <v>40</v>
      </c>
      <c r="T272" s="118"/>
      <c r="U272" s="118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</row>
    <row r="273" spans="1:44" ht="15.6" customHeight="1" x14ac:dyDescent="0.25">
      <c r="A273" s="41"/>
      <c r="B273" s="41"/>
      <c r="C273" s="41"/>
      <c r="D273" s="42"/>
      <c r="E273" s="43"/>
      <c r="F273" s="41"/>
      <c r="G273" s="41"/>
      <c r="H273" s="42"/>
      <c r="I273" s="42"/>
      <c r="J273" s="41"/>
      <c r="K273" s="41"/>
      <c r="L273" s="42"/>
      <c r="M273" s="42"/>
      <c r="N273" s="41"/>
      <c r="O273" s="41"/>
      <c r="P273" s="42"/>
      <c r="Q273" s="42"/>
      <c r="R273" s="41"/>
      <c r="S273" s="41"/>
      <c r="T273" s="41"/>
      <c r="U273" s="41"/>
      <c r="V273" s="41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</row>
    <row r="274" spans="1:44" ht="15.6" customHeight="1" x14ac:dyDescent="0.3">
      <c r="A274" s="3"/>
      <c r="B274" s="3"/>
      <c r="C274" s="3"/>
      <c r="D274" s="4"/>
      <c r="E274" s="6" t="s">
        <v>1</v>
      </c>
      <c r="F274" s="3"/>
      <c r="G274" s="7"/>
      <c r="H274" s="8"/>
      <c r="I274" s="8"/>
      <c r="J274" s="7"/>
      <c r="K274" s="7"/>
      <c r="L274" s="8"/>
      <c r="M274" s="9" t="s">
        <v>2</v>
      </c>
      <c r="N274" s="12" t="str">
        <f>N254</f>
        <v>1.1</v>
      </c>
      <c r="O274" s="12"/>
      <c r="P274" s="4"/>
      <c r="Q274" s="4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</row>
    <row r="275" spans="1:44" ht="15.6" customHeight="1" x14ac:dyDescent="0.3">
      <c r="A275" s="3"/>
      <c r="B275" s="3"/>
      <c r="C275" s="3"/>
      <c r="D275" s="4"/>
      <c r="E275" s="6" t="s">
        <v>4</v>
      </c>
      <c r="F275" s="3"/>
      <c r="G275" s="3"/>
      <c r="H275" s="4"/>
      <c r="I275" s="4"/>
      <c r="J275" s="13"/>
      <c r="K275" s="13"/>
      <c r="L275" s="14"/>
      <c r="M275" s="9" t="s">
        <v>5</v>
      </c>
      <c r="N275" s="15" t="str">
        <f>N255</f>
        <v>1.1.3</v>
      </c>
      <c r="O275" s="15"/>
      <c r="P275" s="4"/>
      <c r="Q275" s="4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</row>
    <row r="276" spans="1:44" ht="15.6" customHeight="1" x14ac:dyDescent="0.3">
      <c r="A276" s="3"/>
      <c r="B276" s="3"/>
      <c r="C276" s="3"/>
      <c r="D276" s="4"/>
      <c r="E276" s="4" t="s">
        <v>7</v>
      </c>
      <c r="F276" s="3"/>
      <c r="G276" s="3"/>
      <c r="H276" s="8"/>
      <c r="I276" s="8"/>
      <c r="J276" s="7"/>
      <c r="K276" s="7"/>
      <c r="L276" s="8"/>
      <c r="M276" s="16" t="s">
        <v>5</v>
      </c>
      <c r="N276" s="17">
        <f>N256</f>
        <v>7</v>
      </c>
      <c r="O276" s="3"/>
      <c r="P276" s="4"/>
      <c r="Q276" s="4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</row>
    <row r="277" spans="1:44" ht="15.6" customHeight="1" x14ac:dyDescent="0.3">
      <c r="A277" s="3"/>
      <c r="B277" s="3"/>
      <c r="C277" s="3"/>
      <c r="D277" s="4"/>
      <c r="E277" s="4" t="s">
        <v>8</v>
      </c>
      <c r="F277" s="3"/>
      <c r="G277" s="3"/>
      <c r="H277" s="4"/>
      <c r="I277" s="4"/>
      <c r="J277" s="3"/>
      <c r="K277" s="3"/>
      <c r="L277" s="14"/>
      <c r="M277" s="16" t="s">
        <v>99</v>
      </c>
      <c r="N277" s="17" t="str">
        <f>IF(N257="-"&amp;N254&amp;".5",IF(N258=15,"-"&amp;N254&amp;".6","-"&amp;N254&amp;".5"),N257)</f>
        <v>-1.1.5</v>
      </c>
      <c r="O277" s="19"/>
      <c r="P277" s="4"/>
      <c r="Q277" s="4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</row>
    <row r="278" spans="1:44" ht="15.6" customHeight="1" x14ac:dyDescent="0.3">
      <c r="A278" s="3"/>
      <c r="B278" s="3"/>
      <c r="C278" s="3"/>
      <c r="D278" s="4"/>
      <c r="E278" s="21" t="s">
        <v>10</v>
      </c>
      <c r="F278" s="3"/>
      <c r="G278" s="3"/>
      <c r="H278" s="4"/>
      <c r="I278" s="8"/>
      <c r="J278" s="7"/>
      <c r="K278" s="7"/>
      <c r="L278" s="8"/>
      <c r="M278" s="16" t="s">
        <v>5</v>
      </c>
      <c r="N278" s="17">
        <f>IF(N277="-"&amp;N212&amp;".5",N258+1,IF(N257="-"&amp;N212&amp;".5",1,N258+1))</f>
        <v>14</v>
      </c>
      <c r="O278" s="3"/>
      <c r="P278" s="4"/>
      <c r="Q278" s="4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</row>
    <row r="279" spans="1:44" ht="7.9" customHeight="1" x14ac:dyDescent="0.25">
      <c r="A279" s="3"/>
      <c r="B279" s="3"/>
      <c r="C279" s="3"/>
      <c r="D279" s="4"/>
      <c r="E279" s="4"/>
      <c r="F279" s="3"/>
      <c r="G279" s="3"/>
      <c r="H279" s="4"/>
      <c r="I279" s="4"/>
      <c r="J279" s="3"/>
      <c r="K279" s="3"/>
      <c r="L279" s="4"/>
      <c r="M279" s="4"/>
      <c r="N279" s="3"/>
      <c r="O279" s="3"/>
      <c r="P279" s="4"/>
      <c r="Q279" s="4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</row>
    <row r="280" spans="1:44" ht="15.6" customHeight="1" x14ac:dyDescent="0.25">
      <c r="A280" s="24"/>
      <c r="B280" s="25"/>
      <c r="C280" s="25"/>
      <c r="D280" s="26"/>
      <c r="E280" s="26"/>
      <c r="F280" s="25"/>
      <c r="G280" s="25"/>
      <c r="H280" s="26"/>
      <c r="I280" s="26"/>
      <c r="J280" s="25"/>
      <c r="K280" s="25"/>
      <c r="L280" s="26"/>
      <c r="M280" s="26"/>
      <c r="N280" s="25"/>
      <c r="O280" s="25"/>
      <c r="P280" s="26"/>
      <c r="Q280" s="26"/>
      <c r="R280" s="25"/>
      <c r="S280" s="25"/>
      <c r="T280" s="25"/>
      <c r="U280" s="25"/>
      <c r="V280" s="45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</row>
    <row r="281" spans="1:44" ht="15.6" customHeight="1" x14ac:dyDescent="0.25">
      <c r="A281" s="27"/>
      <c r="B281" s="28"/>
      <c r="C281" s="28"/>
      <c r="D281" s="71">
        <v>1</v>
      </c>
      <c r="E281" s="72"/>
      <c r="F281" s="28"/>
      <c r="G281" s="28"/>
      <c r="H281" s="71">
        <v>2</v>
      </c>
      <c r="I281" s="72"/>
      <c r="J281" s="28"/>
      <c r="K281" s="28"/>
      <c r="L281" s="71">
        <v>3</v>
      </c>
      <c r="M281" s="72"/>
      <c r="N281" s="28"/>
      <c r="O281" s="28"/>
      <c r="P281" s="71">
        <v>4</v>
      </c>
      <c r="Q281" s="72"/>
      <c r="R281" s="28"/>
      <c r="S281" s="28"/>
      <c r="T281" s="28"/>
      <c r="U281" s="28"/>
      <c r="V281" s="46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</row>
    <row r="282" spans="1:44" ht="15.6" customHeight="1" x14ac:dyDescent="0.25">
      <c r="A282" s="27"/>
      <c r="B282" s="74" t="s">
        <v>11</v>
      </c>
      <c r="C282" s="74"/>
      <c r="D282" s="71" t="s">
        <v>12</v>
      </c>
      <c r="E282" s="72"/>
      <c r="F282" s="74" t="s">
        <v>11</v>
      </c>
      <c r="G282" s="74"/>
      <c r="H282" s="71" t="s">
        <v>12</v>
      </c>
      <c r="I282" s="72"/>
      <c r="J282" s="74" t="s">
        <v>11</v>
      </c>
      <c r="K282" s="74"/>
      <c r="L282" s="71" t="s">
        <v>12</v>
      </c>
      <c r="M282" s="72"/>
      <c r="N282" s="74" t="s">
        <v>11</v>
      </c>
      <c r="O282" s="74"/>
      <c r="P282" s="71" t="s">
        <v>12</v>
      </c>
      <c r="Q282" s="72"/>
      <c r="R282" s="74"/>
      <c r="S282" s="74"/>
      <c r="T282" s="74"/>
      <c r="U282" s="74"/>
      <c r="V282" s="48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</row>
    <row r="283" spans="1:44" ht="15.6" customHeight="1" x14ac:dyDescent="0.25">
      <c r="A283" s="27"/>
      <c r="B283" s="76"/>
      <c r="C283" s="76"/>
      <c r="D283" s="77"/>
      <c r="E283" s="77"/>
      <c r="F283" s="76"/>
      <c r="G283" s="76"/>
      <c r="H283" s="77"/>
      <c r="I283" s="77"/>
      <c r="J283" s="76"/>
      <c r="K283" s="76"/>
      <c r="L283" s="77"/>
      <c r="M283" s="77"/>
      <c r="N283" s="76"/>
      <c r="O283" s="76"/>
      <c r="P283" s="77"/>
      <c r="Q283" s="77"/>
      <c r="R283" s="76"/>
      <c r="S283" s="76"/>
      <c r="T283" s="76"/>
      <c r="U283" s="76"/>
      <c r="V283" s="48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</row>
    <row r="284" spans="1:44" ht="15.6" customHeight="1" x14ac:dyDescent="0.25">
      <c r="A284" s="27"/>
      <c r="B284" s="74">
        <v>0</v>
      </c>
      <c r="C284" s="74"/>
      <c r="D284" s="78">
        <v>1</v>
      </c>
      <c r="E284" s="78"/>
      <c r="F284" s="74">
        <v>2</v>
      </c>
      <c r="G284" s="74"/>
      <c r="H284" s="78">
        <v>3</v>
      </c>
      <c r="I284" s="78"/>
      <c r="J284" s="74">
        <v>4</v>
      </c>
      <c r="K284" s="74"/>
      <c r="L284" s="78">
        <v>5</v>
      </c>
      <c r="M284" s="78"/>
      <c r="N284" s="74">
        <v>6</v>
      </c>
      <c r="O284" s="74"/>
      <c r="P284" s="78">
        <v>7</v>
      </c>
      <c r="Q284" s="78"/>
      <c r="R284" s="74">
        <v>8</v>
      </c>
      <c r="S284" s="74"/>
      <c r="T284" s="74">
        <v>9</v>
      </c>
      <c r="U284" s="74"/>
      <c r="V284" s="49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</row>
    <row r="285" spans="1:44" ht="15.6" customHeight="1" x14ac:dyDescent="0.25">
      <c r="A285" s="27"/>
      <c r="B285" s="28" t="s">
        <v>13</v>
      </c>
      <c r="C285" s="28" t="s">
        <v>14</v>
      </c>
      <c r="D285" s="31" t="s">
        <v>15</v>
      </c>
      <c r="E285" s="31" t="s">
        <v>16</v>
      </c>
      <c r="F285" s="28" t="s">
        <v>13</v>
      </c>
      <c r="G285" s="28" t="s">
        <v>14</v>
      </c>
      <c r="H285" s="31" t="s">
        <v>15</v>
      </c>
      <c r="I285" s="31" t="s">
        <v>16</v>
      </c>
      <c r="J285" s="28" t="s">
        <v>13</v>
      </c>
      <c r="K285" s="28" t="s">
        <v>14</v>
      </c>
      <c r="L285" s="31" t="s">
        <v>15</v>
      </c>
      <c r="M285" s="31" t="s">
        <v>16</v>
      </c>
      <c r="N285" s="28" t="s">
        <v>13</v>
      </c>
      <c r="O285" s="28" t="s">
        <v>14</v>
      </c>
      <c r="P285" s="31" t="s">
        <v>15</v>
      </c>
      <c r="Q285" s="31" t="s">
        <v>16</v>
      </c>
      <c r="R285" s="28" t="s">
        <v>13</v>
      </c>
      <c r="S285" s="28" t="s">
        <v>14</v>
      </c>
      <c r="T285" s="28" t="s">
        <v>15</v>
      </c>
      <c r="U285" s="28" t="s">
        <v>16</v>
      </c>
      <c r="V285" s="49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</row>
    <row r="286" spans="1:44" ht="15.6" customHeight="1" x14ac:dyDescent="0.25">
      <c r="A286" s="33"/>
      <c r="B286" s="34"/>
      <c r="C286" s="34"/>
      <c r="D286" s="35"/>
      <c r="E286" s="36"/>
      <c r="F286" s="34"/>
      <c r="G286" s="34"/>
      <c r="H286" s="35"/>
      <c r="I286" s="36"/>
      <c r="J286" s="34"/>
      <c r="K286" s="34"/>
      <c r="L286" s="35"/>
      <c r="M286" s="36"/>
      <c r="N286" s="34"/>
      <c r="O286" s="34"/>
      <c r="P286" s="35"/>
      <c r="Q286" s="36"/>
      <c r="R286" s="34"/>
      <c r="S286" s="34"/>
      <c r="T286" s="34"/>
      <c r="U286" s="34"/>
      <c r="V286" s="50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</row>
    <row r="287" spans="1:44" ht="6.6" customHeight="1" x14ac:dyDescent="0.25">
      <c r="A287" s="3"/>
      <c r="B287" s="30"/>
      <c r="C287" s="30"/>
      <c r="D287" s="54"/>
      <c r="E287" s="5"/>
      <c r="F287" s="30"/>
      <c r="G287" s="30"/>
      <c r="H287" s="54"/>
      <c r="I287" s="5"/>
      <c r="J287" s="30"/>
      <c r="K287" s="30"/>
      <c r="L287" s="54"/>
      <c r="M287" s="5"/>
      <c r="N287" s="30"/>
      <c r="O287" s="30"/>
      <c r="P287" s="54"/>
      <c r="Q287" s="5"/>
      <c r="R287" s="30"/>
      <c r="S287" s="30"/>
      <c r="T287" s="30"/>
      <c r="U287" s="30"/>
      <c r="V287" s="32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</row>
    <row r="288" spans="1:44" ht="15.6" customHeight="1" x14ac:dyDescent="0.25">
      <c r="A288" s="3"/>
      <c r="B288" s="95"/>
      <c r="C288" s="96"/>
      <c r="D288" s="97"/>
      <c r="E288" s="98"/>
      <c r="F288" s="95"/>
      <c r="G288" s="96"/>
      <c r="H288" s="97"/>
      <c r="I288" s="98"/>
      <c r="J288" s="95"/>
      <c r="K288" s="96"/>
      <c r="L288" s="97"/>
      <c r="M288" s="98"/>
      <c r="N288" s="95"/>
      <c r="O288" s="96"/>
      <c r="P288" s="97"/>
      <c r="Q288" s="98"/>
      <c r="R288" s="30"/>
      <c r="S288" s="30"/>
      <c r="T288" s="30"/>
      <c r="U288" s="30"/>
      <c r="V288" s="32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</row>
    <row r="289" spans="1:44" ht="15.6" customHeight="1" x14ac:dyDescent="0.25">
      <c r="A289" s="3"/>
      <c r="B289" s="40" t="str">
        <f>IF(D288&lt;1,"","пом.")</f>
        <v/>
      </c>
      <c r="C289" s="40"/>
      <c r="D289" s="85"/>
      <c r="E289" s="86"/>
      <c r="F289" s="40" t="str">
        <f>IF(H288&lt;1,"","пом.")</f>
        <v/>
      </c>
      <c r="G289" s="40"/>
      <c r="H289" s="85"/>
      <c r="I289" s="86"/>
      <c r="J289" s="40" t="str">
        <f>IF(L288&lt;1,"","пом.")</f>
        <v/>
      </c>
      <c r="K289" s="40"/>
      <c r="L289" s="85"/>
      <c r="M289" s="86"/>
      <c r="N289" s="40" t="str">
        <f>IF(P288&lt;1,"","пом.")</f>
        <v/>
      </c>
      <c r="O289" s="40"/>
      <c r="P289" s="85"/>
      <c r="Q289" s="86"/>
      <c r="R289" s="30"/>
      <c r="S289" s="30"/>
      <c r="T289" s="30"/>
      <c r="U289" s="30"/>
      <c r="V289" s="32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</row>
    <row r="290" spans="1:44" ht="6.6" customHeight="1" x14ac:dyDescent="0.25">
      <c r="A290" s="3"/>
      <c r="B290" s="3"/>
      <c r="C290" s="3"/>
      <c r="D290" s="4"/>
      <c r="E290" s="4"/>
      <c r="F290" s="3"/>
      <c r="G290" s="3"/>
      <c r="H290" s="4"/>
      <c r="I290" s="4"/>
      <c r="J290" s="3"/>
      <c r="K290" s="3"/>
      <c r="L290" s="4"/>
      <c r="M290" s="4"/>
      <c r="N290" s="3"/>
      <c r="O290" s="3"/>
      <c r="P290" s="4"/>
      <c r="Q290" s="4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</row>
    <row r="291" spans="1:44" ht="15.6" customHeight="1" x14ac:dyDescent="0.25">
      <c r="A291" s="3"/>
      <c r="B291" s="3"/>
      <c r="C291" s="3"/>
      <c r="D291" s="4"/>
      <c r="E291" s="5" t="s">
        <v>30</v>
      </c>
      <c r="F291" s="87" t="s">
        <v>31</v>
      </c>
      <c r="G291" s="87"/>
      <c r="H291" s="87"/>
      <c r="I291" s="117" t="s">
        <v>32</v>
      </c>
      <c r="J291" s="117"/>
      <c r="K291" s="58"/>
      <c r="L291" s="4"/>
      <c r="M291" s="4"/>
      <c r="N291" s="3"/>
      <c r="O291" s="30" t="s">
        <v>33</v>
      </c>
      <c r="P291" s="87" t="s">
        <v>34</v>
      </c>
      <c r="Q291" s="87"/>
      <c r="R291" s="87"/>
      <c r="S291" s="117" t="s">
        <v>35</v>
      </c>
      <c r="T291" s="117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</row>
    <row r="292" spans="1:44" ht="15.6" customHeight="1" x14ac:dyDescent="0.25">
      <c r="A292" s="3"/>
      <c r="B292" s="3"/>
      <c r="C292" s="3"/>
      <c r="D292" s="4"/>
      <c r="E292" s="5" t="s">
        <v>36</v>
      </c>
      <c r="F292" s="87" t="s">
        <v>37</v>
      </c>
      <c r="G292" s="87"/>
      <c r="H292" s="87"/>
      <c r="I292" s="117" t="s">
        <v>38</v>
      </c>
      <c r="J292" s="117"/>
      <c r="K292" s="117"/>
      <c r="L292" s="4"/>
      <c r="M292" s="4"/>
      <c r="N292" s="3"/>
      <c r="O292" s="30" t="s">
        <v>39</v>
      </c>
      <c r="P292" s="87" t="s">
        <v>34</v>
      </c>
      <c r="Q292" s="87"/>
      <c r="R292" s="87"/>
      <c r="S292" s="118" t="s">
        <v>40</v>
      </c>
      <c r="T292" s="118"/>
      <c r="U292" s="118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</row>
    <row r="293" spans="1:44" ht="15.6" customHeight="1" x14ac:dyDescent="0.25">
      <c r="A293" s="41"/>
      <c r="B293" s="41"/>
      <c r="C293" s="41"/>
      <c r="D293" s="42"/>
      <c r="E293" s="43"/>
      <c r="F293" s="41"/>
      <c r="G293" s="41"/>
      <c r="H293" s="42"/>
      <c r="I293" s="42"/>
      <c r="J293" s="41"/>
      <c r="K293" s="41"/>
      <c r="L293" s="42"/>
      <c r="M293" s="42"/>
      <c r="N293" s="41"/>
      <c r="O293" s="41"/>
      <c r="P293" s="42"/>
      <c r="Q293" s="42"/>
      <c r="R293" s="41"/>
      <c r="S293" s="41"/>
      <c r="T293" s="41"/>
      <c r="U293" s="41"/>
      <c r="V293" s="41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</row>
    <row r="294" spans="1:44" ht="15.6" customHeight="1" x14ac:dyDescent="0.25">
      <c r="A294" s="41"/>
      <c r="B294" s="41"/>
      <c r="C294" s="41"/>
      <c r="D294" s="42"/>
      <c r="E294" s="43"/>
      <c r="F294" s="41"/>
      <c r="G294" s="41"/>
      <c r="H294" s="42"/>
      <c r="I294" s="42"/>
      <c r="J294" s="41"/>
      <c r="K294" s="41"/>
      <c r="L294" s="42"/>
      <c r="M294" s="42"/>
      <c r="N294" s="41"/>
      <c r="O294" s="41"/>
      <c r="P294" s="42"/>
      <c r="Q294" s="42"/>
      <c r="R294" s="41"/>
      <c r="S294" s="41"/>
      <c r="T294" s="41"/>
      <c r="U294" s="41"/>
      <c r="V294" s="41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</row>
    <row r="295" spans="1:44" ht="15.6" hidden="1" customHeight="1" x14ac:dyDescent="0.25">
      <c r="A295" s="3"/>
      <c r="B295" s="3"/>
      <c r="C295" s="3"/>
      <c r="D295" s="4"/>
      <c r="E295" s="4"/>
      <c r="F295" s="3"/>
      <c r="G295" s="3"/>
      <c r="H295" s="4"/>
      <c r="I295" s="4"/>
      <c r="J295" s="3"/>
      <c r="K295" s="3"/>
      <c r="L295" s="4"/>
      <c r="M295" s="4"/>
      <c r="N295" s="3"/>
      <c r="O295" s="3"/>
      <c r="P295" s="4"/>
      <c r="Q295" s="4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</row>
    <row r="296" spans="1:44" ht="15.6" customHeight="1" x14ac:dyDescent="0.3">
      <c r="A296" s="3"/>
      <c r="B296" s="3"/>
      <c r="C296" s="3"/>
      <c r="D296" s="4"/>
      <c r="E296" s="6" t="s">
        <v>1</v>
      </c>
      <c r="F296" s="3"/>
      <c r="G296" s="7"/>
      <c r="H296" s="8"/>
      <c r="I296" s="8"/>
      <c r="J296" s="7"/>
      <c r="K296" s="7"/>
      <c r="L296" s="8"/>
      <c r="M296" s="9" t="s">
        <v>2</v>
      </c>
      <c r="N296" s="12" t="str">
        <f>N274</f>
        <v>1.1</v>
      </c>
      <c r="O296" s="12"/>
      <c r="P296" s="4"/>
      <c r="Q296" s="4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</row>
    <row r="297" spans="1:44" ht="15.6" customHeight="1" x14ac:dyDescent="0.3">
      <c r="A297" s="3"/>
      <c r="B297" s="3"/>
      <c r="C297" s="3"/>
      <c r="D297" s="4"/>
      <c r="E297" s="6" t="s">
        <v>4</v>
      </c>
      <c r="F297" s="3"/>
      <c r="G297" s="3"/>
      <c r="H297" s="4"/>
      <c r="I297" s="4"/>
      <c r="J297" s="13"/>
      <c r="K297" s="13"/>
      <c r="L297" s="14"/>
      <c r="M297" s="9" t="s">
        <v>5</v>
      </c>
      <c r="N297" s="15" t="str">
        <f>N296&amp;".3"</f>
        <v>1.1.3</v>
      </c>
      <c r="O297" s="15"/>
      <c r="P297" s="4"/>
      <c r="Q297" s="4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</row>
    <row r="298" spans="1:44" ht="15.6" customHeight="1" x14ac:dyDescent="0.3">
      <c r="A298" s="3"/>
      <c r="B298" s="3"/>
      <c r="C298" s="3"/>
      <c r="D298" s="4"/>
      <c r="E298" s="4" t="s">
        <v>7</v>
      </c>
      <c r="F298" s="3"/>
      <c r="G298" s="3"/>
      <c r="H298" s="8"/>
      <c r="I298" s="8"/>
      <c r="J298" s="7"/>
      <c r="K298" s="7"/>
      <c r="L298" s="8"/>
      <c r="M298" s="16" t="s">
        <v>5</v>
      </c>
      <c r="N298" s="17">
        <f>N276+1</f>
        <v>8</v>
      </c>
      <c r="O298" s="3"/>
      <c r="P298" s="4"/>
      <c r="Q298" s="4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</row>
    <row r="299" spans="1:44" ht="15.6" customHeight="1" x14ac:dyDescent="0.3">
      <c r="A299" s="3"/>
      <c r="B299" s="3"/>
      <c r="C299" s="3"/>
      <c r="D299" s="4"/>
      <c r="E299" s="4" t="s">
        <v>8</v>
      </c>
      <c r="F299" s="3"/>
      <c r="G299" s="3"/>
      <c r="H299" s="4"/>
      <c r="I299" s="4"/>
      <c r="J299" s="3"/>
      <c r="K299" s="3"/>
      <c r="L299" s="14"/>
      <c r="M299" s="16" t="s">
        <v>99</v>
      </c>
      <c r="N299" s="17" t="str">
        <f>IF(N277="-"&amp;N254&amp;".5",IF(N278=15,"-"&amp;N254&amp;".6","-"&amp;N254&amp;".5"),N277)</f>
        <v>-1.1.5</v>
      </c>
      <c r="O299" s="3"/>
      <c r="P299" s="4"/>
      <c r="Q299" s="4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</row>
    <row r="300" spans="1:44" ht="15.6" customHeight="1" x14ac:dyDescent="0.3">
      <c r="A300" s="3"/>
      <c r="B300" s="3"/>
      <c r="C300" s="3"/>
      <c r="D300" s="4"/>
      <c r="E300" s="21" t="s">
        <v>10</v>
      </c>
      <c r="F300" s="3"/>
      <c r="G300" s="3"/>
      <c r="H300" s="4"/>
      <c r="I300" s="8"/>
      <c r="J300" s="7"/>
      <c r="K300" s="7"/>
      <c r="L300" s="8"/>
      <c r="M300" s="16" t="s">
        <v>5</v>
      </c>
      <c r="N300" s="17">
        <f>IF(N299="-"&amp;N254&amp;".5",N278+1,IF(N277="-"&amp;N254&amp;".5",1,N278+1))</f>
        <v>15</v>
      </c>
      <c r="O300" s="3"/>
      <c r="P300" s="4"/>
      <c r="Q300" s="4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</row>
    <row r="301" spans="1:44" ht="15.6" customHeight="1" x14ac:dyDescent="0.25">
      <c r="A301" s="3"/>
      <c r="B301" s="3"/>
      <c r="C301" s="3"/>
      <c r="D301" s="4"/>
      <c r="E301" s="4"/>
      <c r="F301" s="3"/>
      <c r="G301" s="3"/>
      <c r="H301" s="4"/>
      <c r="I301" s="4"/>
      <c r="J301" s="3"/>
      <c r="K301" s="3"/>
      <c r="L301" s="4"/>
      <c r="M301" s="4"/>
      <c r="N301" s="3"/>
      <c r="O301" s="3"/>
      <c r="P301" s="4"/>
      <c r="Q301" s="4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</row>
    <row r="302" spans="1:44" ht="15.6" customHeight="1" x14ac:dyDescent="0.25">
      <c r="A302" s="24"/>
      <c r="B302" s="25"/>
      <c r="C302" s="25"/>
      <c r="D302" s="26"/>
      <c r="E302" s="26"/>
      <c r="F302" s="25"/>
      <c r="G302" s="25"/>
      <c r="H302" s="26"/>
      <c r="I302" s="26"/>
      <c r="J302" s="25"/>
      <c r="K302" s="25"/>
      <c r="L302" s="26"/>
      <c r="M302" s="26"/>
      <c r="N302" s="25"/>
      <c r="O302" s="25"/>
      <c r="P302" s="26"/>
      <c r="Q302" s="26"/>
      <c r="R302" s="25"/>
      <c r="S302" s="25"/>
      <c r="T302" s="25"/>
      <c r="U302" s="25"/>
      <c r="V302" s="45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</row>
    <row r="303" spans="1:44" ht="15.6" customHeight="1" x14ac:dyDescent="0.25">
      <c r="A303" s="27"/>
      <c r="B303" s="28"/>
      <c r="C303" s="28"/>
      <c r="D303" s="71">
        <v>1</v>
      </c>
      <c r="E303" s="72"/>
      <c r="F303" s="28"/>
      <c r="G303" s="28"/>
      <c r="H303" s="71">
        <v>2</v>
      </c>
      <c r="I303" s="72"/>
      <c r="J303" s="28"/>
      <c r="K303" s="28"/>
      <c r="L303" s="71">
        <v>3</v>
      </c>
      <c r="M303" s="72"/>
      <c r="N303" s="28"/>
      <c r="O303" s="28"/>
      <c r="P303" s="71">
        <v>4</v>
      </c>
      <c r="Q303" s="72"/>
      <c r="R303" s="28"/>
      <c r="S303" s="28"/>
      <c r="T303" s="28"/>
      <c r="U303" s="28"/>
      <c r="V303" s="46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</row>
    <row r="304" spans="1:44" ht="15.6" customHeight="1" x14ac:dyDescent="0.25">
      <c r="A304" s="27"/>
      <c r="B304" s="74" t="s">
        <v>11</v>
      </c>
      <c r="C304" s="74"/>
      <c r="D304" s="71" t="s">
        <v>12</v>
      </c>
      <c r="E304" s="72"/>
      <c r="F304" s="74" t="s">
        <v>11</v>
      </c>
      <c r="G304" s="74"/>
      <c r="H304" s="71" t="s">
        <v>12</v>
      </c>
      <c r="I304" s="72"/>
      <c r="J304" s="74" t="s">
        <v>11</v>
      </c>
      <c r="K304" s="74"/>
      <c r="L304" s="71" t="s">
        <v>12</v>
      </c>
      <c r="M304" s="72"/>
      <c r="N304" s="74" t="s">
        <v>11</v>
      </c>
      <c r="O304" s="74"/>
      <c r="P304" s="71" t="s">
        <v>12</v>
      </c>
      <c r="Q304" s="72"/>
      <c r="R304" s="74"/>
      <c r="S304" s="74"/>
      <c r="T304" s="74"/>
      <c r="U304" s="74"/>
      <c r="V304" s="48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</row>
    <row r="305" spans="1:44" ht="15.6" customHeight="1" x14ac:dyDescent="0.25">
      <c r="A305" s="27"/>
      <c r="B305" s="76"/>
      <c r="C305" s="76"/>
      <c r="D305" s="77"/>
      <c r="E305" s="77"/>
      <c r="F305" s="76"/>
      <c r="G305" s="76"/>
      <c r="H305" s="77"/>
      <c r="I305" s="77"/>
      <c r="J305" s="76"/>
      <c r="K305" s="76"/>
      <c r="L305" s="77"/>
      <c r="M305" s="77"/>
      <c r="N305" s="76"/>
      <c r="O305" s="76"/>
      <c r="P305" s="77"/>
      <c r="Q305" s="77"/>
      <c r="R305" s="76"/>
      <c r="S305" s="76"/>
      <c r="T305" s="76"/>
      <c r="U305" s="76"/>
      <c r="V305" s="48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</row>
    <row r="306" spans="1:44" ht="15.6" customHeight="1" x14ac:dyDescent="0.25">
      <c r="A306" s="27"/>
      <c r="B306" s="74">
        <v>0</v>
      </c>
      <c r="C306" s="74"/>
      <c r="D306" s="78">
        <v>1</v>
      </c>
      <c r="E306" s="78"/>
      <c r="F306" s="74">
        <v>2</v>
      </c>
      <c r="G306" s="74"/>
      <c r="H306" s="78">
        <v>3</v>
      </c>
      <c r="I306" s="78"/>
      <c r="J306" s="74">
        <v>4</v>
      </c>
      <c r="K306" s="74"/>
      <c r="L306" s="78">
        <v>5</v>
      </c>
      <c r="M306" s="78"/>
      <c r="N306" s="74">
        <v>6</v>
      </c>
      <c r="O306" s="74"/>
      <c r="P306" s="78">
        <v>7</v>
      </c>
      <c r="Q306" s="78"/>
      <c r="R306" s="74">
        <v>8</v>
      </c>
      <c r="S306" s="74"/>
      <c r="T306" s="74">
        <v>9</v>
      </c>
      <c r="U306" s="74"/>
      <c r="V306" s="49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</row>
    <row r="307" spans="1:44" ht="15.6" customHeight="1" x14ac:dyDescent="0.25">
      <c r="A307" s="27"/>
      <c r="B307" s="28" t="s">
        <v>13</v>
      </c>
      <c r="C307" s="28" t="s">
        <v>14</v>
      </c>
      <c r="D307" s="31" t="s">
        <v>15</v>
      </c>
      <c r="E307" s="31" t="s">
        <v>16</v>
      </c>
      <c r="F307" s="28" t="s">
        <v>13</v>
      </c>
      <c r="G307" s="28" t="s">
        <v>14</v>
      </c>
      <c r="H307" s="31" t="s">
        <v>15</v>
      </c>
      <c r="I307" s="31" t="s">
        <v>16</v>
      </c>
      <c r="J307" s="28" t="s">
        <v>13</v>
      </c>
      <c r="K307" s="28" t="s">
        <v>14</v>
      </c>
      <c r="L307" s="31" t="s">
        <v>15</v>
      </c>
      <c r="M307" s="31" t="s">
        <v>16</v>
      </c>
      <c r="N307" s="28" t="s">
        <v>13</v>
      </c>
      <c r="O307" s="28" t="s">
        <v>14</v>
      </c>
      <c r="P307" s="31" t="s">
        <v>15</v>
      </c>
      <c r="Q307" s="31" t="s">
        <v>16</v>
      </c>
      <c r="R307" s="28" t="s">
        <v>13</v>
      </c>
      <c r="S307" s="28" t="s">
        <v>14</v>
      </c>
      <c r="T307" s="28" t="s">
        <v>15</v>
      </c>
      <c r="U307" s="28" t="s">
        <v>16</v>
      </c>
      <c r="V307" s="49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</row>
    <row r="308" spans="1:44" ht="15.6" customHeight="1" x14ac:dyDescent="0.25">
      <c r="A308" s="33"/>
      <c r="B308" s="34"/>
      <c r="C308" s="34"/>
      <c r="D308" s="35"/>
      <c r="E308" s="36"/>
      <c r="F308" s="34"/>
      <c r="G308" s="34"/>
      <c r="H308" s="35"/>
      <c r="I308" s="36"/>
      <c r="J308" s="34"/>
      <c r="K308" s="34"/>
      <c r="L308" s="35"/>
      <c r="M308" s="36"/>
      <c r="N308" s="34"/>
      <c r="O308" s="34"/>
      <c r="P308" s="35"/>
      <c r="Q308" s="36"/>
      <c r="R308" s="34"/>
      <c r="S308" s="34"/>
      <c r="T308" s="34"/>
      <c r="U308" s="34"/>
      <c r="V308" s="50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</row>
    <row r="309" spans="1:44" ht="15.6" customHeight="1" x14ac:dyDescent="0.25">
      <c r="A309" s="3"/>
      <c r="B309" s="30"/>
      <c r="C309" s="30"/>
      <c r="D309" s="54"/>
      <c r="E309" s="5"/>
      <c r="F309" s="30"/>
      <c r="G309" s="30"/>
      <c r="H309" s="54"/>
      <c r="I309" s="5"/>
      <c r="J309" s="30"/>
      <c r="K309" s="30"/>
      <c r="L309" s="54"/>
      <c r="M309" s="5"/>
      <c r="N309" s="30"/>
      <c r="O309" s="30"/>
      <c r="P309" s="54"/>
      <c r="Q309" s="5"/>
      <c r="R309" s="30"/>
      <c r="S309" s="30"/>
      <c r="T309" s="30"/>
      <c r="U309" s="30"/>
      <c r="V309" s="32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</row>
    <row r="310" spans="1:44" ht="15.6" customHeight="1" x14ac:dyDescent="0.25">
      <c r="A310" s="3"/>
      <c r="B310" s="95"/>
      <c r="C310" s="96"/>
      <c r="D310" s="97"/>
      <c r="E310" s="98"/>
      <c r="F310" s="95"/>
      <c r="G310" s="96"/>
      <c r="H310" s="97"/>
      <c r="I310" s="98"/>
      <c r="J310" s="95"/>
      <c r="K310" s="96"/>
      <c r="L310" s="97"/>
      <c r="M310" s="98"/>
      <c r="N310" s="95"/>
      <c r="O310" s="96"/>
      <c r="P310" s="97"/>
      <c r="Q310" s="98"/>
      <c r="R310" s="30"/>
      <c r="S310" s="30"/>
      <c r="T310" s="30"/>
      <c r="U310" s="30"/>
      <c r="V310" s="32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</row>
    <row r="311" spans="1:44" ht="15.6" customHeight="1" x14ac:dyDescent="0.25">
      <c r="A311" s="3"/>
      <c r="B311" s="40" t="str">
        <f>IF(D310&lt;1,"","пом.")</f>
        <v/>
      </c>
      <c r="C311" s="40"/>
      <c r="D311" s="85"/>
      <c r="E311" s="86"/>
      <c r="F311" s="40" t="str">
        <f>IF(H310&lt;1,"","пом.")</f>
        <v/>
      </c>
      <c r="G311" s="40"/>
      <c r="H311" s="85"/>
      <c r="I311" s="86"/>
      <c r="J311" s="40" t="str">
        <f>IF(L310&lt;1,"","пом.")</f>
        <v/>
      </c>
      <c r="K311" s="40"/>
      <c r="L311" s="85"/>
      <c r="M311" s="86"/>
      <c r="N311" s="40" t="str">
        <f>IF(P310&lt;1,"","пом.")</f>
        <v/>
      </c>
      <c r="O311" s="40"/>
      <c r="P311" s="85"/>
      <c r="Q311" s="86"/>
      <c r="R311" s="30"/>
      <c r="S311" s="30"/>
      <c r="T311" s="30"/>
      <c r="U311" s="30"/>
      <c r="V311" s="32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</row>
    <row r="312" spans="1:44" ht="15.6" customHeight="1" x14ac:dyDescent="0.25">
      <c r="A312" s="3"/>
      <c r="B312" s="3"/>
      <c r="C312" s="3"/>
      <c r="D312" s="4"/>
      <c r="E312" s="4"/>
      <c r="F312" s="3"/>
      <c r="G312" s="3"/>
      <c r="H312" s="4"/>
      <c r="I312" s="4"/>
      <c r="J312" s="3"/>
      <c r="K312" s="3"/>
      <c r="L312" s="4"/>
      <c r="M312" s="4"/>
      <c r="N312" s="3"/>
      <c r="O312" s="3"/>
      <c r="P312" s="4"/>
      <c r="Q312" s="4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</row>
    <row r="313" spans="1:44" ht="15.6" customHeight="1" x14ac:dyDescent="0.25">
      <c r="A313" s="3"/>
      <c r="B313" s="3"/>
      <c r="C313" s="3"/>
      <c r="D313" s="4"/>
      <c r="E313" s="5" t="s">
        <v>30</v>
      </c>
      <c r="F313" s="87" t="s">
        <v>31</v>
      </c>
      <c r="G313" s="87"/>
      <c r="H313" s="87"/>
      <c r="I313" s="117" t="s">
        <v>32</v>
      </c>
      <c r="J313" s="117"/>
      <c r="K313" s="58"/>
      <c r="L313" s="4"/>
      <c r="M313" s="4"/>
      <c r="N313" s="3"/>
      <c r="O313" s="30" t="s">
        <v>33</v>
      </c>
      <c r="P313" s="87" t="s">
        <v>34</v>
      </c>
      <c r="Q313" s="87"/>
      <c r="R313" s="87"/>
      <c r="S313" s="117" t="s">
        <v>35</v>
      </c>
      <c r="T313" s="117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</row>
    <row r="314" spans="1:44" ht="15.6" customHeight="1" x14ac:dyDescent="0.25">
      <c r="A314" s="3"/>
      <c r="B314" s="3"/>
      <c r="C314" s="3"/>
      <c r="D314" s="4"/>
      <c r="E314" s="5" t="s">
        <v>36</v>
      </c>
      <c r="F314" s="87" t="s">
        <v>37</v>
      </c>
      <c r="G314" s="87"/>
      <c r="H314" s="87"/>
      <c r="I314" s="117" t="s">
        <v>38</v>
      </c>
      <c r="J314" s="117"/>
      <c r="K314" s="117"/>
      <c r="L314" s="4"/>
      <c r="M314" s="4"/>
      <c r="N314" s="3"/>
      <c r="O314" s="30" t="s">
        <v>39</v>
      </c>
      <c r="P314" s="87" t="s">
        <v>34</v>
      </c>
      <c r="Q314" s="87"/>
      <c r="R314" s="87"/>
      <c r="S314" s="118" t="s">
        <v>40</v>
      </c>
      <c r="T314" s="118"/>
      <c r="U314" s="118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</row>
    <row r="315" spans="1:44" ht="15.6" customHeight="1" x14ac:dyDescent="0.25">
      <c r="A315" s="41"/>
      <c r="B315" s="41"/>
      <c r="C315" s="41"/>
      <c r="D315" s="42"/>
      <c r="E315" s="43"/>
      <c r="F315" s="41"/>
      <c r="G315" s="41"/>
      <c r="H315" s="42"/>
      <c r="I315" s="42"/>
      <c r="J315" s="41"/>
      <c r="K315" s="41"/>
      <c r="L315" s="42"/>
      <c r="M315" s="42"/>
      <c r="N315" s="41"/>
      <c r="O315" s="41"/>
      <c r="P315" s="42"/>
      <c r="Q315" s="42"/>
      <c r="R315" s="41"/>
      <c r="S315" s="41"/>
      <c r="T315" s="41"/>
      <c r="U315" s="41"/>
      <c r="V315" s="41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</row>
    <row r="316" spans="1:44" ht="15.6" customHeight="1" x14ac:dyDescent="0.3">
      <c r="A316" s="3"/>
      <c r="B316" s="3"/>
      <c r="C316" s="3"/>
      <c r="D316" s="4"/>
      <c r="E316" s="6" t="s">
        <v>1</v>
      </c>
      <c r="F316" s="3"/>
      <c r="G316" s="7"/>
      <c r="H316" s="8"/>
      <c r="I316" s="8"/>
      <c r="J316" s="7"/>
      <c r="K316" s="7"/>
      <c r="L316" s="8"/>
      <c r="M316" s="9" t="s">
        <v>2</v>
      </c>
      <c r="N316" s="12" t="str">
        <f>N296</f>
        <v>1.1</v>
      </c>
      <c r="O316" s="12"/>
      <c r="P316" s="4"/>
      <c r="Q316" s="4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</row>
    <row r="317" spans="1:44" ht="15.6" customHeight="1" x14ac:dyDescent="0.3">
      <c r="A317" s="3"/>
      <c r="B317" s="3"/>
      <c r="C317" s="3"/>
      <c r="D317" s="4"/>
      <c r="E317" s="6" t="s">
        <v>4</v>
      </c>
      <c r="F317" s="3"/>
      <c r="G317" s="3"/>
      <c r="H317" s="4"/>
      <c r="I317" s="4"/>
      <c r="J317" s="13"/>
      <c r="K317" s="13"/>
      <c r="L317" s="14"/>
      <c r="M317" s="9" t="s">
        <v>5</v>
      </c>
      <c r="N317" s="15" t="str">
        <f>N297</f>
        <v>1.1.3</v>
      </c>
      <c r="O317" s="15"/>
      <c r="P317" s="4"/>
      <c r="Q317" s="4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</row>
    <row r="318" spans="1:44" ht="15.6" customHeight="1" x14ac:dyDescent="0.3">
      <c r="A318" s="3"/>
      <c r="B318" s="3"/>
      <c r="C318" s="3"/>
      <c r="D318" s="4"/>
      <c r="E318" s="4" t="s">
        <v>7</v>
      </c>
      <c r="F318" s="3"/>
      <c r="G318" s="3"/>
      <c r="H318" s="8"/>
      <c r="I318" s="8"/>
      <c r="J318" s="7"/>
      <c r="K318" s="7"/>
      <c r="L318" s="8"/>
      <c r="M318" s="16" t="s">
        <v>5</v>
      </c>
      <c r="N318" s="17">
        <f>N298</f>
        <v>8</v>
      </c>
      <c r="O318" s="3"/>
      <c r="P318" s="4"/>
      <c r="Q318" s="4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</row>
    <row r="319" spans="1:44" ht="15.6" customHeight="1" x14ac:dyDescent="0.3">
      <c r="A319" s="3"/>
      <c r="B319" s="3"/>
      <c r="C319" s="3"/>
      <c r="D319" s="4"/>
      <c r="E319" s="4" t="s">
        <v>8</v>
      </c>
      <c r="F319" s="3"/>
      <c r="G319" s="3"/>
      <c r="H319" s="4"/>
      <c r="I319" s="4"/>
      <c r="J319" s="3"/>
      <c r="K319" s="3"/>
      <c r="L319" s="14"/>
      <c r="M319" s="16" t="s">
        <v>99</v>
      </c>
      <c r="N319" s="17" t="str">
        <f>IF(N299="-"&amp;N296&amp;".5",IF(N300=15,"-"&amp;N296&amp;".6","-"&amp;N296&amp;".5"),N299)</f>
        <v>-1.1.6</v>
      </c>
      <c r="O319" s="19"/>
      <c r="P319" s="4"/>
      <c r="Q319" s="4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</row>
    <row r="320" spans="1:44" ht="15.6" customHeight="1" x14ac:dyDescent="0.3">
      <c r="A320" s="3"/>
      <c r="B320" s="3"/>
      <c r="C320" s="3"/>
      <c r="D320" s="4"/>
      <c r="E320" s="21" t="s">
        <v>10</v>
      </c>
      <c r="F320" s="3"/>
      <c r="G320" s="3"/>
      <c r="H320" s="4"/>
      <c r="I320" s="8"/>
      <c r="J320" s="7"/>
      <c r="K320" s="7"/>
      <c r="L320" s="8"/>
      <c r="M320" s="16" t="s">
        <v>5</v>
      </c>
      <c r="N320" s="17">
        <f>IF(N319="-"&amp;N254&amp;".5",N300+1,IF(N299="-"&amp;N254&amp;".5",1,N300+1))</f>
        <v>1</v>
      </c>
      <c r="O320" s="3"/>
      <c r="P320" s="4"/>
      <c r="Q320" s="4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</row>
    <row r="321" spans="1:44" ht="6.6" customHeight="1" x14ac:dyDescent="0.25">
      <c r="A321" s="3"/>
      <c r="B321" s="3"/>
      <c r="C321" s="3"/>
      <c r="D321" s="4"/>
      <c r="E321" s="4"/>
      <c r="F321" s="3"/>
      <c r="G321" s="3"/>
      <c r="H321" s="4"/>
      <c r="I321" s="4"/>
      <c r="J321" s="3"/>
      <c r="K321" s="3"/>
      <c r="L321" s="4"/>
      <c r="M321" s="4"/>
      <c r="N321" s="3"/>
      <c r="O321" s="3"/>
      <c r="P321" s="4"/>
      <c r="Q321" s="4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</row>
    <row r="322" spans="1:44" ht="15.6" customHeight="1" x14ac:dyDescent="0.25">
      <c r="A322" s="24"/>
      <c r="B322" s="25"/>
      <c r="C322" s="25"/>
      <c r="D322" s="26"/>
      <c r="E322" s="26"/>
      <c r="F322" s="25"/>
      <c r="G322" s="25"/>
      <c r="H322" s="26"/>
      <c r="I322" s="26"/>
      <c r="J322" s="25"/>
      <c r="K322" s="25"/>
      <c r="L322" s="26"/>
      <c r="M322" s="26"/>
      <c r="N322" s="25"/>
      <c r="O322" s="25"/>
      <c r="P322" s="26"/>
      <c r="Q322" s="26"/>
      <c r="R322" s="25"/>
      <c r="S322" s="25"/>
      <c r="T322" s="25"/>
      <c r="U322" s="25"/>
      <c r="V322" s="45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</row>
    <row r="323" spans="1:44" ht="15.6" customHeight="1" x14ac:dyDescent="0.25">
      <c r="A323" s="27"/>
      <c r="B323" s="28"/>
      <c r="C323" s="28"/>
      <c r="D323" s="71">
        <v>1</v>
      </c>
      <c r="E323" s="72"/>
      <c r="F323" s="28"/>
      <c r="G323" s="28"/>
      <c r="H323" s="71">
        <v>2</v>
      </c>
      <c r="I323" s="72"/>
      <c r="J323" s="28"/>
      <c r="K323" s="28"/>
      <c r="L323" s="71">
        <v>3</v>
      </c>
      <c r="M323" s="72"/>
      <c r="N323" s="28"/>
      <c r="O323" s="28"/>
      <c r="P323" s="71">
        <v>4</v>
      </c>
      <c r="Q323" s="72"/>
      <c r="R323" s="28"/>
      <c r="S323" s="28"/>
      <c r="T323" s="28"/>
      <c r="U323" s="28"/>
      <c r="V323" s="46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</row>
    <row r="324" spans="1:44" ht="15.6" customHeight="1" x14ac:dyDescent="0.25">
      <c r="A324" s="27"/>
      <c r="B324" s="74" t="s">
        <v>11</v>
      </c>
      <c r="C324" s="74"/>
      <c r="D324" s="71" t="s">
        <v>12</v>
      </c>
      <c r="E324" s="72"/>
      <c r="F324" s="74" t="s">
        <v>11</v>
      </c>
      <c r="G324" s="74"/>
      <c r="H324" s="71" t="s">
        <v>12</v>
      </c>
      <c r="I324" s="72"/>
      <c r="J324" s="74" t="s">
        <v>11</v>
      </c>
      <c r="K324" s="74"/>
      <c r="L324" s="71" t="s">
        <v>12</v>
      </c>
      <c r="M324" s="72"/>
      <c r="N324" s="74" t="s">
        <v>11</v>
      </c>
      <c r="O324" s="74"/>
      <c r="P324" s="71" t="s">
        <v>12</v>
      </c>
      <c r="Q324" s="72"/>
      <c r="R324" s="74"/>
      <c r="S324" s="74"/>
      <c r="T324" s="74"/>
      <c r="U324" s="74"/>
      <c r="V324" s="48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</row>
    <row r="325" spans="1:44" ht="15.6" customHeight="1" x14ac:dyDescent="0.25">
      <c r="A325" s="27"/>
      <c r="B325" s="76"/>
      <c r="C325" s="76"/>
      <c r="D325" s="77"/>
      <c r="E325" s="77"/>
      <c r="F325" s="76"/>
      <c r="G325" s="76"/>
      <c r="H325" s="77"/>
      <c r="I325" s="77"/>
      <c r="J325" s="76"/>
      <c r="K325" s="76"/>
      <c r="L325" s="77"/>
      <c r="M325" s="77"/>
      <c r="N325" s="76"/>
      <c r="O325" s="76"/>
      <c r="P325" s="77"/>
      <c r="Q325" s="77"/>
      <c r="R325" s="76"/>
      <c r="S325" s="76"/>
      <c r="T325" s="76"/>
      <c r="U325" s="76"/>
      <c r="V325" s="48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</row>
    <row r="326" spans="1:44" ht="15.6" customHeight="1" x14ac:dyDescent="0.25">
      <c r="A326" s="27"/>
      <c r="B326" s="74">
        <v>0</v>
      </c>
      <c r="C326" s="74"/>
      <c r="D326" s="78">
        <v>1</v>
      </c>
      <c r="E326" s="78"/>
      <c r="F326" s="74">
        <v>2</v>
      </c>
      <c r="G326" s="74"/>
      <c r="H326" s="78">
        <v>3</v>
      </c>
      <c r="I326" s="78"/>
      <c r="J326" s="74">
        <v>4</v>
      </c>
      <c r="K326" s="74"/>
      <c r="L326" s="78">
        <v>5</v>
      </c>
      <c r="M326" s="78"/>
      <c r="N326" s="74">
        <v>6</v>
      </c>
      <c r="O326" s="74"/>
      <c r="P326" s="78">
        <v>7</v>
      </c>
      <c r="Q326" s="78"/>
      <c r="R326" s="74">
        <v>8</v>
      </c>
      <c r="S326" s="74"/>
      <c r="T326" s="74">
        <v>9</v>
      </c>
      <c r="U326" s="74"/>
      <c r="V326" s="49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</row>
    <row r="327" spans="1:44" ht="15.6" customHeight="1" x14ac:dyDescent="0.25">
      <c r="A327" s="27"/>
      <c r="B327" s="28" t="s">
        <v>13</v>
      </c>
      <c r="C327" s="28" t="s">
        <v>14</v>
      </c>
      <c r="D327" s="31" t="s">
        <v>15</v>
      </c>
      <c r="E327" s="31" t="s">
        <v>16</v>
      </c>
      <c r="F327" s="28" t="s">
        <v>13</v>
      </c>
      <c r="G327" s="28" t="s">
        <v>14</v>
      </c>
      <c r="H327" s="31" t="s">
        <v>15</v>
      </c>
      <c r="I327" s="31" t="s">
        <v>16</v>
      </c>
      <c r="J327" s="28" t="s">
        <v>13</v>
      </c>
      <c r="K327" s="28" t="s">
        <v>14</v>
      </c>
      <c r="L327" s="31" t="s">
        <v>15</v>
      </c>
      <c r="M327" s="31" t="s">
        <v>16</v>
      </c>
      <c r="N327" s="28" t="s">
        <v>13</v>
      </c>
      <c r="O327" s="28" t="s">
        <v>14</v>
      </c>
      <c r="P327" s="31" t="s">
        <v>15</v>
      </c>
      <c r="Q327" s="31" t="s">
        <v>16</v>
      </c>
      <c r="R327" s="28" t="s">
        <v>13</v>
      </c>
      <c r="S327" s="28" t="s">
        <v>14</v>
      </c>
      <c r="T327" s="28" t="s">
        <v>15</v>
      </c>
      <c r="U327" s="28" t="s">
        <v>16</v>
      </c>
      <c r="V327" s="49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</row>
    <row r="328" spans="1:44" ht="15.6" customHeight="1" x14ac:dyDescent="0.25">
      <c r="A328" s="33"/>
      <c r="B328" s="34"/>
      <c r="C328" s="34"/>
      <c r="D328" s="35"/>
      <c r="E328" s="36"/>
      <c r="F328" s="34"/>
      <c r="G328" s="34"/>
      <c r="H328" s="35"/>
      <c r="I328" s="36"/>
      <c r="J328" s="34"/>
      <c r="K328" s="34"/>
      <c r="L328" s="35"/>
      <c r="M328" s="36"/>
      <c r="N328" s="34"/>
      <c r="O328" s="34"/>
      <c r="P328" s="35"/>
      <c r="Q328" s="36"/>
      <c r="R328" s="34"/>
      <c r="S328" s="34"/>
      <c r="T328" s="34"/>
      <c r="U328" s="34"/>
      <c r="V328" s="50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</row>
    <row r="329" spans="1:44" ht="6.6" customHeight="1" x14ac:dyDescent="0.25">
      <c r="A329" s="3"/>
      <c r="B329" s="30"/>
      <c r="C329" s="30"/>
      <c r="D329" s="54"/>
      <c r="E329" s="5"/>
      <c r="F329" s="30"/>
      <c r="G329" s="30"/>
      <c r="H329" s="54"/>
      <c r="I329" s="5"/>
      <c r="J329" s="30"/>
      <c r="K329" s="30"/>
      <c r="L329" s="54"/>
      <c r="M329" s="5"/>
      <c r="N329" s="30"/>
      <c r="O329" s="30"/>
      <c r="P329" s="54"/>
      <c r="Q329" s="5"/>
      <c r="R329" s="30"/>
      <c r="S329" s="30"/>
      <c r="T329" s="30"/>
      <c r="U329" s="30"/>
      <c r="V329" s="32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</row>
    <row r="330" spans="1:44" ht="15.6" customHeight="1" x14ac:dyDescent="0.25">
      <c r="A330" s="3"/>
      <c r="B330" s="95"/>
      <c r="C330" s="96"/>
      <c r="D330" s="97"/>
      <c r="E330" s="98"/>
      <c r="F330" s="95"/>
      <c r="G330" s="96"/>
      <c r="H330" s="97"/>
      <c r="I330" s="98"/>
      <c r="J330" s="95"/>
      <c r="K330" s="96"/>
      <c r="L330" s="97"/>
      <c r="M330" s="98"/>
      <c r="N330" s="95"/>
      <c r="O330" s="96"/>
      <c r="P330" s="97"/>
      <c r="Q330" s="98"/>
      <c r="R330" s="30"/>
      <c r="S330" s="30"/>
      <c r="T330" s="30"/>
      <c r="U330" s="30"/>
      <c r="V330" s="32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</row>
    <row r="331" spans="1:44" ht="15.6" customHeight="1" x14ac:dyDescent="0.25">
      <c r="A331" s="3"/>
      <c r="B331" s="40" t="str">
        <f>IF(D330&lt;1,"","пом.")</f>
        <v/>
      </c>
      <c r="C331" s="40"/>
      <c r="D331" s="85"/>
      <c r="E331" s="86"/>
      <c r="F331" s="40" t="str">
        <f>IF(H330&lt;1,"","пом.")</f>
        <v/>
      </c>
      <c r="G331" s="40"/>
      <c r="H331" s="85"/>
      <c r="I331" s="86"/>
      <c r="J331" s="40" t="str">
        <f>IF(L330&lt;1,"","пом.")</f>
        <v/>
      </c>
      <c r="K331" s="40"/>
      <c r="L331" s="85"/>
      <c r="M331" s="86"/>
      <c r="N331" s="40" t="str">
        <f>IF(P330&lt;1,"","пом.")</f>
        <v/>
      </c>
      <c r="O331" s="40"/>
      <c r="P331" s="85"/>
      <c r="Q331" s="86"/>
      <c r="R331" s="30"/>
      <c r="S331" s="30"/>
      <c r="T331" s="30"/>
      <c r="U331" s="30"/>
      <c r="V331" s="32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</row>
    <row r="332" spans="1:44" ht="7.9" customHeight="1" x14ac:dyDescent="0.25">
      <c r="A332" s="3"/>
      <c r="B332" s="3"/>
      <c r="C332" s="3"/>
      <c r="D332" s="4"/>
      <c r="E332" s="4"/>
      <c r="F332" s="3"/>
      <c r="G332" s="3"/>
      <c r="H332" s="4"/>
      <c r="I332" s="4"/>
      <c r="J332" s="3"/>
      <c r="K332" s="3"/>
      <c r="L332" s="4"/>
      <c r="M332" s="4"/>
      <c r="N332" s="3"/>
      <c r="O332" s="3"/>
      <c r="P332" s="4"/>
      <c r="Q332" s="4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</row>
    <row r="333" spans="1:44" ht="15.6" customHeight="1" x14ac:dyDescent="0.25">
      <c r="A333" s="3"/>
      <c r="B333" s="3"/>
      <c r="C333" s="3"/>
      <c r="D333" s="4"/>
      <c r="E333" s="5" t="s">
        <v>30</v>
      </c>
      <c r="F333" s="87" t="s">
        <v>31</v>
      </c>
      <c r="G333" s="87"/>
      <c r="H333" s="87"/>
      <c r="I333" s="117" t="s">
        <v>32</v>
      </c>
      <c r="J333" s="117"/>
      <c r="K333" s="58"/>
      <c r="L333" s="4"/>
      <c r="M333" s="4"/>
      <c r="N333" s="3"/>
      <c r="O333" s="30" t="s">
        <v>33</v>
      </c>
      <c r="P333" s="87" t="s">
        <v>34</v>
      </c>
      <c r="Q333" s="87"/>
      <c r="R333" s="87"/>
      <c r="S333" s="117" t="s">
        <v>35</v>
      </c>
      <c r="T333" s="117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</row>
    <row r="334" spans="1:44" ht="15.6" customHeight="1" x14ac:dyDescent="0.25">
      <c r="A334" s="3"/>
      <c r="B334" s="3"/>
      <c r="C334" s="3"/>
      <c r="D334" s="4"/>
      <c r="E334" s="5" t="s">
        <v>36</v>
      </c>
      <c r="F334" s="87" t="s">
        <v>37</v>
      </c>
      <c r="G334" s="87"/>
      <c r="H334" s="87"/>
      <c r="I334" s="117" t="s">
        <v>38</v>
      </c>
      <c r="J334" s="117"/>
      <c r="K334" s="117"/>
      <c r="L334" s="4"/>
      <c r="M334" s="4"/>
      <c r="N334" s="3"/>
      <c r="O334" s="30" t="s">
        <v>39</v>
      </c>
      <c r="P334" s="87" t="s">
        <v>34</v>
      </c>
      <c r="Q334" s="87"/>
      <c r="R334" s="87"/>
      <c r="S334" s="118" t="s">
        <v>40</v>
      </c>
      <c r="T334" s="118"/>
      <c r="U334" s="118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</row>
    <row r="335" spans="1:44" ht="15.6" customHeight="1" x14ac:dyDescent="0.25">
      <c r="A335" s="41"/>
      <c r="B335" s="41"/>
      <c r="C335" s="41"/>
      <c r="D335" s="42"/>
      <c r="E335" s="43"/>
      <c r="F335" s="41"/>
      <c r="G335" s="41"/>
      <c r="H335" s="42"/>
      <c r="I335" s="42"/>
      <c r="J335" s="41"/>
      <c r="K335" s="41"/>
      <c r="L335" s="42"/>
      <c r="M335" s="42"/>
      <c r="N335" s="41"/>
      <c r="O335" s="41"/>
      <c r="P335" s="42"/>
      <c r="Q335" s="42"/>
      <c r="R335" s="41"/>
      <c r="S335" s="41"/>
      <c r="T335" s="41"/>
      <c r="U335" s="41"/>
      <c r="V335" s="41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</row>
    <row r="336" spans="1:44" ht="15.6" customHeight="1" x14ac:dyDescent="0.25">
      <c r="A336" s="41"/>
      <c r="B336" s="41"/>
      <c r="C336" s="41"/>
      <c r="D336" s="42"/>
      <c r="E336" s="43"/>
      <c r="F336" s="41"/>
      <c r="G336" s="41"/>
      <c r="H336" s="42"/>
      <c r="I336" s="42"/>
      <c r="J336" s="41"/>
      <c r="K336" s="41"/>
      <c r="L336" s="42"/>
      <c r="M336" s="42"/>
      <c r="N336" s="41"/>
      <c r="O336" s="41"/>
      <c r="P336" s="42"/>
      <c r="Q336" s="42"/>
      <c r="R336" s="41"/>
      <c r="S336" s="41"/>
      <c r="T336" s="41"/>
      <c r="U336" s="41"/>
      <c r="V336" s="41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</row>
    <row r="337" spans="1:44" ht="15.6" hidden="1" customHeight="1" x14ac:dyDescent="0.25">
      <c r="A337" s="3"/>
      <c r="B337" s="3"/>
      <c r="C337" s="3"/>
      <c r="D337" s="4"/>
      <c r="E337" s="4"/>
      <c r="F337" s="3"/>
      <c r="G337" s="3"/>
      <c r="H337" s="4"/>
      <c r="I337" s="4"/>
      <c r="J337" s="3"/>
      <c r="K337" s="3"/>
      <c r="L337" s="4"/>
      <c r="M337" s="4"/>
      <c r="N337" s="3"/>
      <c r="O337" s="3"/>
      <c r="P337" s="4"/>
      <c r="Q337" s="4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</row>
    <row r="338" spans="1:44" ht="15.6" customHeight="1" x14ac:dyDescent="0.3">
      <c r="A338" s="3"/>
      <c r="B338" s="3"/>
      <c r="C338" s="3"/>
      <c r="D338" s="4"/>
      <c r="E338" s="6" t="s">
        <v>1</v>
      </c>
      <c r="F338" s="3"/>
      <c r="G338" s="7"/>
      <c r="H338" s="8"/>
      <c r="I338" s="8"/>
      <c r="J338" s="7"/>
      <c r="K338" s="7"/>
      <c r="L338" s="8"/>
      <c r="M338" s="9" t="s">
        <v>2</v>
      </c>
      <c r="N338" s="12" t="str">
        <f>N316</f>
        <v>1.1</v>
      </c>
      <c r="O338" s="12"/>
      <c r="P338" s="4"/>
      <c r="Q338" s="4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</row>
    <row r="339" spans="1:44" ht="15.6" customHeight="1" x14ac:dyDescent="0.3">
      <c r="A339" s="3"/>
      <c r="B339" s="3"/>
      <c r="C339" s="3"/>
      <c r="D339" s="4"/>
      <c r="E339" s="6" t="s">
        <v>4</v>
      </c>
      <c r="F339" s="3"/>
      <c r="G339" s="3"/>
      <c r="H339" s="4"/>
      <c r="I339" s="4"/>
      <c r="J339" s="13"/>
      <c r="K339" s="13"/>
      <c r="L339" s="14"/>
      <c r="M339" s="9" t="s">
        <v>5</v>
      </c>
      <c r="N339" s="15" t="str">
        <f>N338&amp;".3"</f>
        <v>1.1.3</v>
      </c>
      <c r="O339" s="15"/>
      <c r="P339" s="4"/>
      <c r="Q339" s="4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</row>
    <row r="340" spans="1:44" ht="15.6" customHeight="1" x14ac:dyDescent="0.3">
      <c r="A340" s="3"/>
      <c r="B340" s="3"/>
      <c r="C340" s="3"/>
      <c r="D340" s="4"/>
      <c r="E340" s="4" t="s">
        <v>7</v>
      </c>
      <c r="F340" s="3"/>
      <c r="G340" s="3"/>
      <c r="H340" s="8"/>
      <c r="I340" s="8"/>
      <c r="J340" s="7"/>
      <c r="K340" s="7"/>
      <c r="L340" s="8"/>
      <c r="M340" s="16" t="s">
        <v>5</v>
      </c>
      <c r="N340" s="17">
        <f>N318+1</f>
        <v>9</v>
      </c>
      <c r="O340" s="3"/>
      <c r="P340" s="4"/>
      <c r="Q340" s="4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</row>
    <row r="341" spans="1:44" ht="15.6" customHeight="1" x14ac:dyDescent="0.3">
      <c r="A341" s="3"/>
      <c r="B341" s="3"/>
      <c r="C341" s="3"/>
      <c r="D341" s="4"/>
      <c r="E341" s="4" t="s">
        <v>8</v>
      </c>
      <c r="F341" s="3"/>
      <c r="G341" s="3"/>
      <c r="H341" s="4"/>
      <c r="I341" s="4"/>
      <c r="J341" s="3"/>
      <c r="K341" s="3"/>
      <c r="L341" s="14"/>
      <c r="M341" s="16" t="s">
        <v>99</v>
      </c>
      <c r="N341" s="17" t="str">
        <f>IF(N319="-"&amp;N296&amp;".5",IF(N320=15,"-"&amp;N296&amp;".6","-"&amp;N296&amp;".5"),N319)</f>
        <v>-1.1.6</v>
      </c>
      <c r="O341" s="3"/>
      <c r="P341" s="4"/>
      <c r="Q341" s="4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</row>
    <row r="342" spans="1:44" ht="15.6" customHeight="1" x14ac:dyDescent="0.3">
      <c r="A342" s="3"/>
      <c r="B342" s="3"/>
      <c r="C342" s="3"/>
      <c r="D342" s="4"/>
      <c r="E342" s="21" t="s">
        <v>10</v>
      </c>
      <c r="F342" s="3"/>
      <c r="G342" s="3"/>
      <c r="H342" s="4"/>
      <c r="I342" s="8"/>
      <c r="J342" s="7"/>
      <c r="K342" s="7"/>
      <c r="L342" s="8"/>
      <c r="M342" s="16" t="s">
        <v>5</v>
      </c>
      <c r="N342" s="17">
        <f>IF(N341="-"&amp;N296&amp;".5",N320+1,IF(N319="-"&amp;N296&amp;".5",1,N320+1))</f>
        <v>2</v>
      </c>
      <c r="O342" s="3"/>
      <c r="P342" s="4"/>
      <c r="Q342" s="4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</row>
    <row r="343" spans="1:44" ht="15.6" customHeight="1" x14ac:dyDescent="0.25">
      <c r="A343" s="3"/>
      <c r="B343" s="3"/>
      <c r="C343" s="3"/>
      <c r="D343" s="4"/>
      <c r="E343" s="4"/>
      <c r="F343" s="3"/>
      <c r="G343" s="3"/>
      <c r="H343" s="4"/>
      <c r="I343" s="4"/>
      <c r="J343" s="3"/>
      <c r="K343" s="3"/>
      <c r="L343" s="4"/>
      <c r="M343" s="4"/>
      <c r="N343" s="3"/>
      <c r="O343" s="3"/>
      <c r="P343" s="4"/>
      <c r="Q343" s="4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</row>
    <row r="344" spans="1:44" ht="15.6" customHeight="1" x14ac:dyDescent="0.25">
      <c r="A344" s="24"/>
      <c r="B344" s="25"/>
      <c r="C344" s="25"/>
      <c r="D344" s="26"/>
      <c r="E344" s="26"/>
      <c r="F344" s="25"/>
      <c r="G344" s="25"/>
      <c r="H344" s="26"/>
      <c r="I344" s="26"/>
      <c r="J344" s="25"/>
      <c r="K344" s="25"/>
      <c r="L344" s="26"/>
      <c r="M344" s="26"/>
      <c r="N344" s="25"/>
      <c r="O344" s="25"/>
      <c r="P344" s="26"/>
      <c r="Q344" s="26"/>
      <c r="R344" s="25"/>
      <c r="S344" s="25"/>
      <c r="T344" s="25"/>
      <c r="U344" s="25"/>
      <c r="V344" s="45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</row>
    <row r="345" spans="1:44" ht="15.6" customHeight="1" x14ac:dyDescent="0.25">
      <c r="A345" s="27"/>
      <c r="B345" s="28"/>
      <c r="C345" s="28"/>
      <c r="D345" s="71">
        <v>1</v>
      </c>
      <c r="E345" s="72"/>
      <c r="F345" s="28"/>
      <c r="G345" s="28"/>
      <c r="H345" s="71">
        <v>2</v>
      </c>
      <c r="I345" s="72"/>
      <c r="J345" s="28"/>
      <c r="K345" s="28"/>
      <c r="L345" s="71">
        <v>3</v>
      </c>
      <c r="M345" s="72"/>
      <c r="N345" s="28"/>
      <c r="O345" s="28"/>
      <c r="P345" s="71">
        <v>4</v>
      </c>
      <c r="Q345" s="72"/>
      <c r="R345" s="28"/>
      <c r="S345" s="28"/>
      <c r="T345" s="28"/>
      <c r="U345" s="28"/>
      <c r="V345" s="46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</row>
    <row r="346" spans="1:44" ht="15.6" customHeight="1" x14ac:dyDescent="0.25">
      <c r="A346" s="27"/>
      <c r="B346" s="74" t="s">
        <v>11</v>
      </c>
      <c r="C346" s="74"/>
      <c r="D346" s="71" t="s">
        <v>12</v>
      </c>
      <c r="E346" s="72"/>
      <c r="F346" s="74" t="s">
        <v>11</v>
      </c>
      <c r="G346" s="74"/>
      <c r="H346" s="71" t="s">
        <v>12</v>
      </c>
      <c r="I346" s="72"/>
      <c r="J346" s="74" t="s">
        <v>11</v>
      </c>
      <c r="K346" s="74"/>
      <c r="L346" s="71" t="s">
        <v>12</v>
      </c>
      <c r="M346" s="72"/>
      <c r="N346" s="74" t="s">
        <v>11</v>
      </c>
      <c r="O346" s="74"/>
      <c r="P346" s="71" t="s">
        <v>12</v>
      </c>
      <c r="Q346" s="72"/>
      <c r="R346" s="74"/>
      <c r="S346" s="74"/>
      <c r="T346" s="74"/>
      <c r="U346" s="74"/>
      <c r="V346" s="48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</row>
    <row r="347" spans="1:44" ht="15.6" customHeight="1" x14ac:dyDescent="0.25">
      <c r="A347" s="27"/>
      <c r="B347" s="76"/>
      <c r="C347" s="76"/>
      <c r="D347" s="77"/>
      <c r="E347" s="77"/>
      <c r="F347" s="76"/>
      <c r="G347" s="76"/>
      <c r="H347" s="77"/>
      <c r="I347" s="77"/>
      <c r="J347" s="76"/>
      <c r="K347" s="76"/>
      <c r="L347" s="77"/>
      <c r="M347" s="77"/>
      <c r="N347" s="76"/>
      <c r="O347" s="76"/>
      <c r="P347" s="77"/>
      <c r="Q347" s="77"/>
      <c r="R347" s="76"/>
      <c r="S347" s="76"/>
      <c r="T347" s="76"/>
      <c r="U347" s="76"/>
      <c r="V347" s="48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</row>
    <row r="348" spans="1:44" ht="15.6" customHeight="1" x14ac:dyDescent="0.25">
      <c r="A348" s="27"/>
      <c r="B348" s="74">
        <v>0</v>
      </c>
      <c r="C348" s="74"/>
      <c r="D348" s="78">
        <v>1</v>
      </c>
      <c r="E348" s="78"/>
      <c r="F348" s="74">
        <v>2</v>
      </c>
      <c r="G348" s="74"/>
      <c r="H348" s="78">
        <v>3</v>
      </c>
      <c r="I348" s="78"/>
      <c r="J348" s="74">
        <v>4</v>
      </c>
      <c r="K348" s="74"/>
      <c r="L348" s="78">
        <v>5</v>
      </c>
      <c r="M348" s="78"/>
      <c r="N348" s="74">
        <v>6</v>
      </c>
      <c r="O348" s="74"/>
      <c r="P348" s="78">
        <v>7</v>
      </c>
      <c r="Q348" s="78"/>
      <c r="R348" s="74">
        <v>8</v>
      </c>
      <c r="S348" s="74"/>
      <c r="T348" s="74">
        <v>9</v>
      </c>
      <c r="U348" s="74"/>
      <c r="V348" s="49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</row>
    <row r="349" spans="1:44" ht="15.6" customHeight="1" x14ac:dyDescent="0.25">
      <c r="A349" s="27"/>
      <c r="B349" s="28" t="s">
        <v>13</v>
      </c>
      <c r="C349" s="28" t="s">
        <v>14</v>
      </c>
      <c r="D349" s="31" t="s">
        <v>15</v>
      </c>
      <c r="E349" s="31" t="s">
        <v>16</v>
      </c>
      <c r="F349" s="28" t="s">
        <v>13</v>
      </c>
      <c r="G349" s="28" t="s">
        <v>14</v>
      </c>
      <c r="H349" s="31" t="s">
        <v>15</v>
      </c>
      <c r="I349" s="31" t="s">
        <v>16</v>
      </c>
      <c r="J349" s="28" t="s">
        <v>13</v>
      </c>
      <c r="K349" s="28" t="s">
        <v>14</v>
      </c>
      <c r="L349" s="31" t="s">
        <v>15</v>
      </c>
      <c r="M349" s="31" t="s">
        <v>16</v>
      </c>
      <c r="N349" s="28" t="s">
        <v>13</v>
      </c>
      <c r="O349" s="28" t="s">
        <v>14</v>
      </c>
      <c r="P349" s="31" t="s">
        <v>15</v>
      </c>
      <c r="Q349" s="31" t="s">
        <v>16</v>
      </c>
      <c r="R349" s="28" t="s">
        <v>13</v>
      </c>
      <c r="S349" s="28" t="s">
        <v>14</v>
      </c>
      <c r="T349" s="28" t="s">
        <v>15</v>
      </c>
      <c r="U349" s="28" t="s">
        <v>16</v>
      </c>
      <c r="V349" s="49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</row>
    <row r="350" spans="1:44" ht="15.6" customHeight="1" x14ac:dyDescent="0.25">
      <c r="A350" s="33"/>
      <c r="B350" s="34"/>
      <c r="C350" s="34"/>
      <c r="D350" s="35"/>
      <c r="E350" s="36"/>
      <c r="F350" s="34"/>
      <c r="G350" s="34"/>
      <c r="H350" s="35"/>
      <c r="I350" s="36"/>
      <c r="J350" s="34"/>
      <c r="K350" s="34"/>
      <c r="L350" s="35"/>
      <c r="M350" s="36"/>
      <c r="N350" s="34"/>
      <c r="O350" s="34"/>
      <c r="P350" s="35"/>
      <c r="Q350" s="36"/>
      <c r="R350" s="34"/>
      <c r="S350" s="34"/>
      <c r="T350" s="34"/>
      <c r="U350" s="34"/>
      <c r="V350" s="50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</row>
    <row r="351" spans="1:44" ht="15.6" customHeight="1" x14ac:dyDescent="0.25">
      <c r="A351" s="3"/>
      <c r="B351" s="30"/>
      <c r="C351" s="30"/>
      <c r="D351" s="54"/>
      <c r="E351" s="5"/>
      <c r="F351" s="30"/>
      <c r="G351" s="30"/>
      <c r="H351" s="54"/>
      <c r="I351" s="5"/>
      <c r="J351" s="30"/>
      <c r="K351" s="30"/>
      <c r="L351" s="54"/>
      <c r="M351" s="5"/>
      <c r="N351" s="30"/>
      <c r="O351" s="30"/>
      <c r="P351" s="54"/>
      <c r="Q351" s="5"/>
      <c r="R351" s="30"/>
      <c r="S351" s="30"/>
      <c r="T351" s="30"/>
      <c r="U351" s="30"/>
      <c r="V351" s="32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</row>
    <row r="352" spans="1:44" ht="15.6" customHeight="1" x14ac:dyDescent="0.25">
      <c r="A352" s="3"/>
      <c r="B352" s="95"/>
      <c r="C352" s="96"/>
      <c r="D352" s="97"/>
      <c r="E352" s="98"/>
      <c r="F352" s="95"/>
      <c r="G352" s="96"/>
      <c r="H352" s="97"/>
      <c r="I352" s="98"/>
      <c r="J352" s="95"/>
      <c r="K352" s="96"/>
      <c r="L352" s="97"/>
      <c r="M352" s="98"/>
      <c r="N352" s="95"/>
      <c r="O352" s="96"/>
      <c r="P352" s="97"/>
      <c r="Q352" s="98"/>
      <c r="R352" s="30"/>
      <c r="S352" s="30"/>
      <c r="T352" s="30"/>
      <c r="U352" s="30"/>
      <c r="V352" s="32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</row>
    <row r="353" spans="1:44" ht="15.6" customHeight="1" x14ac:dyDescent="0.25">
      <c r="A353" s="3"/>
      <c r="B353" s="40" t="str">
        <f>IF(D352&lt;1,"","пом.")</f>
        <v/>
      </c>
      <c r="C353" s="40"/>
      <c r="D353" s="85"/>
      <c r="E353" s="86"/>
      <c r="F353" s="40" t="str">
        <f>IF(H352&lt;1,"","пом.")</f>
        <v/>
      </c>
      <c r="G353" s="40"/>
      <c r="H353" s="85"/>
      <c r="I353" s="86"/>
      <c r="J353" s="40" t="str">
        <f>IF(L352&lt;1,"","пом.")</f>
        <v/>
      </c>
      <c r="K353" s="40"/>
      <c r="L353" s="85"/>
      <c r="M353" s="86"/>
      <c r="N353" s="40" t="str">
        <f>IF(P352&lt;1,"","пом.")</f>
        <v/>
      </c>
      <c r="O353" s="40"/>
      <c r="P353" s="85"/>
      <c r="Q353" s="86"/>
      <c r="R353" s="30"/>
      <c r="S353" s="30"/>
      <c r="T353" s="30"/>
      <c r="U353" s="30"/>
      <c r="V353" s="32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</row>
    <row r="354" spans="1:44" ht="15.6" customHeight="1" x14ac:dyDescent="0.25">
      <c r="A354" s="3"/>
      <c r="B354" s="3"/>
      <c r="C354" s="3"/>
      <c r="D354" s="4"/>
      <c r="E354" s="4"/>
      <c r="F354" s="3"/>
      <c r="G354" s="3"/>
      <c r="H354" s="4"/>
      <c r="I354" s="4"/>
      <c r="J354" s="3"/>
      <c r="K354" s="3"/>
      <c r="L354" s="4"/>
      <c r="M354" s="4"/>
      <c r="N354" s="3"/>
      <c r="O354" s="3"/>
      <c r="P354" s="4"/>
      <c r="Q354" s="4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</row>
    <row r="355" spans="1:44" ht="15.6" customHeight="1" x14ac:dyDescent="0.25">
      <c r="A355" s="3"/>
      <c r="B355" s="3"/>
      <c r="C355" s="3"/>
      <c r="D355" s="4"/>
      <c r="E355" s="5" t="s">
        <v>30</v>
      </c>
      <c r="F355" s="87" t="s">
        <v>31</v>
      </c>
      <c r="G355" s="87"/>
      <c r="H355" s="87"/>
      <c r="I355" s="117" t="s">
        <v>32</v>
      </c>
      <c r="J355" s="117"/>
      <c r="K355" s="58"/>
      <c r="L355" s="4"/>
      <c r="M355" s="4"/>
      <c r="N355" s="3"/>
      <c r="O355" s="30" t="s">
        <v>33</v>
      </c>
      <c r="P355" s="87" t="s">
        <v>34</v>
      </c>
      <c r="Q355" s="87"/>
      <c r="R355" s="87"/>
      <c r="S355" s="117" t="s">
        <v>35</v>
      </c>
      <c r="T355" s="117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</row>
    <row r="356" spans="1:44" ht="15.6" customHeight="1" x14ac:dyDescent="0.25">
      <c r="A356" s="3"/>
      <c r="B356" s="3"/>
      <c r="C356" s="3"/>
      <c r="D356" s="4"/>
      <c r="E356" s="5" t="s">
        <v>36</v>
      </c>
      <c r="F356" s="87" t="s">
        <v>37</v>
      </c>
      <c r="G356" s="87"/>
      <c r="H356" s="87"/>
      <c r="I356" s="117" t="s">
        <v>38</v>
      </c>
      <c r="J356" s="117"/>
      <c r="K356" s="117"/>
      <c r="L356" s="4"/>
      <c r="M356" s="4"/>
      <c r="N356" s="3"/>
      <c r="O356" s="30" t="s">
        <v>39</v>
      </c>
      <c r="P356" s="87" t="s">
        <v>34</v>
      </c>
      <c r="Q356" s="87"/>
      <c r="R356" s="87"/>
      <c r="S356" s="118" t="s">
        <v>40</v>
      </c>
      <c r="T356" s="118"/>
      <c r="U356" s="118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</row>
    <row r="357" spans="1:44" ht="15.6" customHeight="1" x14ac:dyDescent="0.25">
      <c r="A357" s="41"/>
      <c r="B357" s="41"/>
      <c r="C357" s="41"/>
      <c r="D357" s="42"/>
      <c r="E357" s="43"/>
      <c r="F357" s="41"/>
      <c r="G357" s="41"/>
      <c r="H357" s="42"/>
      <c r="I357" s="42"/>
      <c r="J357" s="41"/>
      <c r="K357" s="41"/>
      <c r="L357" s="42"/>
      <c r="M357" s="42"/>
      <c r="N357" s="41"/>
      <c r="O357" s="41"/>
      <c r="P357" s="42"/>
      <c r="Q357" s="42"/>
      <c r="R357" s="41"/>
      <c r="S357" s="41"/>
      <c r="T357" s="41"/>
      <c r="U357" s="41"/>
      <c r="V357" s="41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</row>
    <row r="358" spans="1:44" ht="15.6" customHeight="1" x14ac:dyDescent="0.3">
      <c r="A358" s="3"/>
      <c r="B358" s="3"/>
      <c r="C358" s="3"/>
      <c r="D358" s="4"/>
      <c r="E358" s="6" t="s">
        <v>1</v>
      </c>
      <c r="F358" s="3"/>
      <c r="G358" s="7"/>
      <c r="H358" s="8"/>
      <c r="I358" s="8"/>
      <c r="J358" s="7"/>
      <c r="K358" s="7"/>
      <c r="L358" s="8"/>
      <c r="M358" s="9" t="s">
        <v>2</v>
      </c>
      <c r="N358" s="12" t="str">
        <f>N338</f>
        <v>1.1</v>
      </c>
      <c r="O358" s="12"/>
      <c r="P358" s="4"/>
      <c r="Q358" s="4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</row>
    <row r="359" spans="1:44" ht="15.6" customHeight="1" x14ac:dyDescent="0.3">
      <c r="A359" s="3"/>
      <c r="B359" s="3"/>
      <c r="C359" s="3"/>
      <c r="D359" s="4"/>
      <c r="E359" s="6" t="s">
        <v>4</v>
      </c>
      <c r="F359" s="3"/>
      <c r="G359" s="3"/>
      <c r="H359" s="4"/>
      <c r="I359" s="4"/>
      <c r="J359" s="13"/>
      <c r="K359" s="13"/>
      <c r="L359" s="14"/>
      <c r="M359" s="9" t="s">
        <v>5</v>
      </c>
      <c r="N359" s="15" t="str">
        <f>N339</f>
        <v>1.1.3</v>
      </c>
      <c r="O359" s="15"/>
      <c r="P359" s="4"/>
      <c r="Q359" s="4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</row>
    <row r="360" spans="1:44" ht="15.6" customHeight="1" x14ac:dyDescent="0.3">
      <c r="A360" s="3"/>
      <c r="B360" s="3"/>
      <c r="C360" s="3"/>
      <c r="D360" s="4"/>
      <c r="E360" s="4" t="s">
        <v>7</v>
      </c>
      <c r="F360" s="3"/>
      <c r="G360" s="3"/>
      <c r="H360" s="8"/>
      <c r="I360" s="8"/>
      <c r="J360" s="7"/>
      <c r="K360" s="7"/>
      <c r="L360" s="8"/>
      <c r="M360" s="16" t="s">
        <v>5</v>
      </c>
      <c r="N360" s="17">
        <f>N340</f>
        <v>9</v>
      </c>
      <c r="O360" s="3"/>
      <c r="P360" s="4"/>
      <c r="Q360" s="4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</row>
    <row r="361" spans="1:44" ht="15.6" customHeight="1" x14ac:dyDescent="0.3">
      <c r="A361" s="3"/>
      <c r="B361" s="3"/>
      <c r="C361" s="3"/>
      <c r="D361" s="4"/>
      <c r="E361" s="4" t="s">
        <v>8</v>
      </c>
      <c r="F361" s="3"/>
      <c r="G361" s="3"/>
      <c r="H361" s="4"/>
      <c r="I361" s="4"/>
      <c r="J361" s="3"/>
      <c r="K361" s="3"/>
      <c r="L361" s="14"/>
      <c r="M361" s="16" t="s">
        <v>99</v>
      </c>
      <c r="N361" s="17" t="str">
        <f>IF(N341="-"&amp;N338&amp;".5",IF(N342=15,"-"&amp;N338&amp;".6","-"&amp;N338&amp;".5"),N341)</f>
        <v>-1.1.6</v>
      </c>
      <c r="O361" s="19"/>
      <c r="P361" s="4"/>
      <c r="Q361" s="4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</row>
    <row r="362" spans="1:44" ht="15.6" customHeight="1" x14ac:dyDescent="0.3">
      <c r="A362" s="3"/>
      <c r="B362" s="3"/>
      <c r="C362" s="3"/>
      <c r="D362" s="4"/>
      <c r="E362" s="21" t="s">
        <v>10</v>
      </c>
      <c r="F362" s="3"/>
      <c r="G362" s="3"/>
      <c r="H362" s="4"/>
      <c r="I362" s="8"/>
      <c r="J362" s="7"/>
      <c r="K362" s="7"/>
      <c r="L362" s="8"/>
      <c r="M362" s="16" t="s">
        <v>5</v>
      </c>
      <c r="N362" s="17">
        <f>IF(N361="-"&amp;N296&amp;".5",N342+1,IF(N341="-"&amp;N296&amp;".5",1,N342+1))</f>
        <v>3</v>
      </c>
      <c r="O362" s="3"/>
      <c r="P362" s="4"/>
      <c r="Q362" s="4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</row>
    <row r="363" spans="1:44" ht="7.9" customHeight="1" x14ac:dyDescent="0.25">
      <c r="A363" s="3"/>
      <c r="B363" s="3"/>
      <c r="C363" s="3"/>
      <c r="D363" s="4"/>
      <c r="E363" s="4"/>
      <c r="F363" s="3"/>
      <c r="G363" s="3"/>
      <c r="H363" s="4"/>
      <c r="I363" s="4"/>
      <c r="J363" s="3"/>
      <c r="K363" s="3"/>
      <c r="L363" s="4"/>
      <c r="M363" s="4"/>
      <c r="N363" s="3"/>
      <c r="O363" s="3"/>
      <c r="P363" s="4"/>
      <c r="Q363" s="4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</row>
    <row r="364" spans="1:44" ht="15.6" customHeight="1" x14ac:dyDescent="0.25">
      <c r="A364" s="24"/>
      <c r="B364" s="25"/>
      <c r="C364" s="25"/>
      <c r="D364" s="26"/>
      <c r="E364" s="26"/>
      <c r="F364" s="25"/>
      <c r="G364" s="25"/>
      <c r="H364" s="26"/>
      <c r="I364" s="26"/>
      <c r="J364" s="25"/>
      <c r="K364" s="25"/>
      <c r="L364" s="26"/>
      <c r="M364" s="26"/>
      <c r="N364" s="25"/>
      <c r="O364" s="25"/>
      <c r="P364" s="26"/>
      <c r="Q364" s="26"/>
      <c r="R364" s="25"/>
      <c r="S364" s="25"/>
      <c r="T364" s="25"/>
      <c r="U364" s="25"/>
      <c r="V364" s="45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</row>
    <row r="365" spans="1:44" ht="15.6" customHeight="1" x14ac:dyDescent="0.25">
      <c r="A365" s="27"/>
      <c r="B365" s="28"/>
      <c r="C365" s="28"/>
      <c r="D365" s="71">
        <v>1</v>
      </c>
      <c r="E365" s="72"/>
      <c r="F365" s="28"/>
      <c r="G365" s="28"/>
      <c r="H365" s="71">
        <v>2</v>
      </c>
      <c r="I365" s="72"/>
      <c r="J365" s="28"/>
      <c r="K365" s="28"/>
      <c r="L365" s="71">
        <v>3</v>
      </c>
      <c r="M365" s="72"/>
      <c r="N365" s="28"/>
      <c r="O365" s="28"/>
      <c r="P365" s="71">
        <v>4</v>
      </c>
      <c r="Q365" s="72"/>
      <c r="R365" s="28"/>
      <c r="S365" s="28"/>
      <c r="T365" s="28"/>
      <c r="U365" s="28"/>
      <c r="V365" s="46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</row>
    <row r="366" spans="1:44" ht="15.6" customHeight="1" x14ac:dyDescent="0.25">
      <c r="A366" s="27"/>
      <c r="B366" s="74" t="s">
        <v>11</v>
      </c>
      <c r="C366" s="74"/>
      <c r="D366" s="71" t="s">
        <v>12</v>
      </c>
      <c r="E366" s="72"/>
      <c r="F366" s="74" t="s">
        <v>11</v>
      </c>
      <c r="G366" s="74"/>
      <c r="H366" s="71" t="s">
        <v>12</v>
      </c>
      <c r="I366" s="72"/>
      <c r="J366" s="74" t="s">
        <v>11</v>
      </c>
      <c r="K366" s="74"/>
      <c r="L366" s="71" t="s">
        <v>12</v>
      </c>
      <c r="M366" s="72"/>
      <c r="N366" s="74" t="s">
        <v>11</v>
      </c>
      <c r="O366" s="74"/>
      <c r="P366" s="71" t="s">
        <v>12</v>
      </c>
      <c r="Q366" s="72"/>
      <c r="R366" s="74"/>
      <c r="S366" s="74"/>
      <c r="T366" s="74"/>
      <c r="U366" s="74"/>
      <c r="V366" s="48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</row>
    <row r="367" spans="1:44" ht="15.6" customHeight="1" x14ac:dyDescent="0.25">
      <c r="A367" s="27"/>
      <c r="B367" s="76"/>
      <c r="C367" s="76"/>
      <c r="D367" s="77"/>
      <c r="E367" s="77"/>
      <c r="F367" s="76"/>
      <c r="G367" s="76"/>
      <c r="H367" s="77"/>
      <c r="I367" s="77"/>
      <c r="J367" s="76"/>
      <c r="K367" s="76"/>
      <c r="L367" s="77"/>
      <c r="M367" s="77"/>
      <c r="N367" s="76"/>
      <c r="O367" s="76"/>
      <c r="P367" s="77"/>
      <c r="Q367" s="77"/>
      <c r="R367" s="76"/>
      <c r="S367" s="76"/>
      <c r="T367" s="76"/>
      <c r="U367" s="76"/>
      <c r="V367" s="48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</row>
    <row r="368" spans="1:44" ht="15.6" customHeight="1" x14ac:dyDescent="0.25">
      <c r="A368" s="27"/>
      <c r="B368" s="74">
        <v>0</v>
      </c>
      <c r="C368" s="74"/>
      <c r="D368" s="78">
        <v>1</v>
      </c>
      <c r="E368" s="78"/>
      <c r="F368" s="74">
        <v>2</v>
      </c>
      <c r="G368" s="74"/>
      <c r="H368" s="78">
        <v>3</v>
      </c>
      <c r="I368" s="78"/>
      <c r="J368" s="74">
        <v>4</v>
      </c>
      <c r="K368" s="74"/>
      <c r="L368" s="78">
        <v>5</v>
      </c>
      <c r="M368" s="78"/>
      <c r="N368" s="74">
        <v>6</v>
      </c>
      <c r="O368" s="74"/>
      <c r="P368" s="78">
        <v>7</v>
      </c>
      <c r="Q368" s="78"/>
      <c r="R368" s="74">
        <v>8</v>
      </c>
      <c r="S368" s="74"/>
      <c r="T368" s="74">
        <v>9</v>
      </c>
      <c r="U368" s="74"/>
      <c r="V368" s="49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</row>
    <row r="369" spans="1:44" ht="15.6" customHeight="1" x14ac:dyDescent="0.25">
      <c r="A369" s="27"/>
      <c r="B369" s="28" t="s">
        <v>13</v>
      </c>
      <c r="C369" s="28" t="s">
        <v>14</v>
      </c>
      <c r="D369" s="31" t="s">
        <v>15</v>
      </c>
      <c r="E369" s="31" t="s">
        <v>16</v>
      </c>
      <c r="F369" s="28" t="s">
        <v>13</v>
      </c>
      <c r="G369" s="28" t="s">
        <v>14</v>
      </c>
      <c r="H369" s="31" t="s">
        <v>15</v>
      </c>
      <c r="I369" s="31" t="s">
        <v>16</v>
      </c>
      <c r="J369" s="28" t="s">
        <v>13</v>
      </c>
      <c r="K369" s="28" t="s">
        <v>14</v>
      </c>
      <c r="L369" s="31" t="s">
        <v>15</v>
      </c>
      <c r="M369" s="31" t="s">
        <v>16</v>
      </c>
      <c r="N369" s="28" t="s">
        <v>13</v>
      </c>
      <c r="O369" s="28" t="s">
        <v>14</v>
      </c>
      <c r="P369" s="31" t="s">
        <v>15</v>
      </c>
      <c r="Q369" s="31" t="s">
        <v>16</v>
      </c>
      <c r="R369" s="28" t="s">
        <v>13</v>
      </c>
      <c r="S369" s="28" t="s">
        <v>14</v>
      </c>
      <c r="T369" s="28" t="s">
        <v>15</v>
      </c>
      <c r="U369" s="28" t="s">
        <v>16</v>
      </c>
      <c r="V369" s="49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</row>
    <row r="370" spans="1:44" ht="15.6" customHeight="1" x14ac:dyDescent="0.25">
      <c r="A370" s="33"/>
      <c r="B370" s="34"/>
      <c r="C370" s="34"/>
      <c r="D370" s="35"/>
      <c r="E370" s="36"/>
      <c r="F370" s="34"/>
      <c r="G370" s="34"/>
      <c r="H370" s="35"/>
      <c r="I370" s="36"/>
      <c r="J370" s="34"/>
      <c r="K370" s="34"/>
      <c r="L370" s="35"/>
      <c r="M370" s="36"/>
      <c r="N370" s="34"/>
      <c r="O370" s="34"/>
      <c r="P370" s="35"/>
      <c r="Q370" s="36"/>
      <c r="R370" s="34"/>
      <c r="S370" s="34"/>
      <c r="T370" s="34"/>
      <c r="U370" s="34"/>
      <c r="V370" s="50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</row>
    <row r="371" spans="1:44" ht="7.15" customHeight="1" x14ac:dyDescent="0.25">
      <c r="A371" s="3"/>
      <c r="B371" s="30"/>
      <c r="C371" s="30"/>
      <c r="D371" s="54"/>
      <c r="E371" s="5"/>
      <c r="F371" s="30"/>
      <c r="G371" s="30"/>
      <c r="H371" s="54"/>
      <c r="I371" s="5"/>
      <c r="J371" s="30"/>
      <c r="K371" s="30"/>
      <c r="L371" s="54"/>
      <c r="M371" s="5"/>
      <c r="N371" s="30"/>
      <c r="O371" s="30"/>
      <c r="P371" s="54"/>
      <c r="Q371" s="5"/>
      <c r="R371" s="30"/>
      <c r="S371" s="30"/>
      <c r="T371" s="30"/>
      <c r="U371" s="30"/>
      <c r="V371" s="32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</row>
    <row r="372" spans="1:44" ht="15.6" customHeight="1" x14ac:dyDescent="0.25">
      <c r="A372" s="3"/>
      <c r="B372" s="95"/>
      <c r="C372" s="96"/>
      <c r="D372" s="97"/>
      <c r="E372" s="98"/>
      <c r="F372" s="95"/>
      <c r="G372" s="96"/>
      <c r="H372" s="97"/>
      <c r="I372" s="98"/>
      <c r="J372" s="95"/>
      <c r="K372" s="96"/>
      <c r="L372" s="97"/>
      <c r="M372" s="98"/>
      <c r="N372" s="95"/>
      <c r="O372" s="96"/>
      <c r="P372" s="97"/>
      <c r="Q372" s="98"/>
      <c r="R372" s="30"/>
      <c r="S372" s="30"/>
      <c r="T372" s="30"/>
      <c r="U372" s="30"/>
      <c r="V372" s="32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</row>
    <row r="373" spans="1:44" ht="15.6" customHeight="1" x14ac:dyDescent="0.25">
      <c r="A373" s="3"/>
      <c r="B373" s="40" t="str">
        <f>IF(D372&lt;1,"","пом.")</f>
        <v/>
      </c>
      <c r="C373" s="40"/>
      <c r="D373" s="85"/>
      <c r="E373" s="86"/>
      <c r="F373" s="40" t="str">
        <f>IF(H372&lt;1,"","пом.")</f>
        <v/>
      </c>
      <c r="G373" s="40"/>
      <c r="H373" s="85"/>
      <c r="I373" s="86"/>
      <c r="J373" s="40" t="str">
        <f>IF(L372&lt;1,"","пом.")</f>
        <v/>
      </c>
      <c r="K373" s="40"/>
      <c r="L373" s="85"/>
      <c r="M373" s="86"/>
      <c r="N373" s="40" t="str">
        <f>IF(P372&lt;1,"","пом.")</f>
        <v/>
      </c>
      <c r="O373" s="40"/>
      <c r="P373" s="85"/>
      <c r="Q373" s="86"/>
      <c r="R373" s="30"/>
      <c r="S373" s="30"/>
      <c r="T373" s="30"/>
      <c r="U373" s="30"/>
      <c r="V373" s="32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</row>
    <row r="374" spans="1:44" ht="7.9" customHeight="1" x14ac:dyDescent="0.25">
      <c r="A374" s="3"/>
      <c r="B374" s="3"/>
      <c r="C374" s="3"/>
      <c r="D374" s="4"/>
      <c r="E374" s="4"/>
      <c r="F374" s="3"/>
      <c r="G374" s="3"/>
      <c r="H374" s="4"/>
      <c r="I374" s="4"/>
      <c r="J374" s="3"/>
      <c r="K374" s="3"/>
      <c r="L374" s="4"/>
      <c r="M374" s="4"/>
      <c r="N374" s="3"/>
      <c r="O374" s="3"/>
      <c r="P374" s="4"/>
      <c r="Q374" s="4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</row>
    <row r="375" spans="1:44" ht="15.6" customHeight="1" x14ac:dyDescent="0.25">
      <c r="A375" s="3"/>
      <c r="B375" s="3"/>
      <c r="C375" s="3"/>
      <c r="D375" s="4"/>
      <c r="E375" s="5" t="s">
        <v>30</v>
      </c>
      <c r="F375" s="87" t="s">
        <v>31</v>
      </c>
      <c r="G375" s="87"/>
      <c r="H375" s="87"/>
      <c r="I375" s="117" t="s">
        <v>32</v>
      </c>
      <c r="J375" s="117"/>
      <c r="K375" s="58"/>
      <c r="L375" s="4"/>
      <c r="M375" s="4"/>
      <c r="N375" s="3"/>
      <c r="O375" s="30" t="s">
        <v>33</v>
      </c>
      <c r="P375" s="87" t="s">
        <v>34</v>
      </c>
      <c r="Q375" s="87"/>
      <c r="R375" s="87"/>
      <c r="S375" s="117" t="s">
        <v>35</v>
      </c>
      <c r="T375" s="117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</row>
    <row r="376" spans="1:44" ht="15.6" customHeight="1" x14ac:dyDescent="0.25">
      <c r="A376" s="3"/>
      <c r="B376" s="3"/>
      <c r="C376" s="3"/>
      <c r="D376" s="4"/>
      <c r="E376" s="5" t="s">
        <v>36</v>
      </c>
      <c r="F376" s="87" t="s">
        <v>37</v>
      </c>
      <c r="G376" s="87"/>
      <c r="H376" s="87"/>
      <c r="I376" s="117" t="s">
        <v>38</v>
      </c>
      <c r="J376" s="117"/>
      <c r="K376" s="117"/>
      <c r="L376" s="4"/>
      <c r="M376" s="4"/>
      <c r="N376" s="3"/>
      <c r="O376" s="30" t="s">
        <v>39</v>
      </c>
      <c r="P376" s="87" t="s">
        <v>34</v>
      </c>
      <c r="Q376" s="87"/>
      <c r="R376" s="87"/>
      <c r="S376" s="118" t="s">
        <v>40</v>
      </c>
      <c r="T376" s="118"/>
      <c r="U376" s="118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</row>
    <row r="377" spans="1:44" ht="15.6" customHeight="1" x14ac:dyDescent="0.25">
      <c r="A377" s="41"/>
      <c r="B377" s="41"/>
      <c r="C377" s="41"/>
      <c r="D377" s="42"/>
      <c r="E377" s="43"/>
      <c r="F377" s="41"/>
      <c r="G377" s="41"/>
      <c r="H377" s="42"/>
      <c r="I377" s="42"/>
      <c r="J377" s="41"/>
      <c r="K377" s="41"/>
      <c r="L377" s="42"/>
      <c r="M377" s="42"/>
      <c r="N377" s="41"/>
      <c r="O377" s="41"/>
      <c r="P377" s="42"/>
      <c r="Q377" s="42"/>
      <c r="R377" s="41"/>
      <c r="S377" s="41"/>
      <c r="T377" s="41"/>
      <c r="U377" s="41"/>
      <c r="V377" s="41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</row>
    <row r="378" spans="1:44" ht="15.6" customHeight="1" x14ac:dyDescent="0.25">
      <c r="A378" s="41"/>
      <c r="B378" s="41"/>
      <c r="C378" s="41"/>
      <c r="D378" s="42"/>
      <c r="E378" s="43"/>
      <c r="F378" s="41"/>
      <c r="G378" s="41"/>
      <c r="H378" s="42"/>
      <c r="I378" s="42"/>
      <c r="J378" s="41"/>
      <c r="K378" s="41"/>
      <c r="L378" s="42"/>
      <c r="M378" s="42"/>
      <c r="N378" s="41"/>
      <c r="O378" s="41"/>
      <c r="P378" s="42"/>
      <c r="Q378" s="42"/>
      <c r="R378" s="41"/>
      <c r="S378" s="41"/>
      <c r="T378" s="41"/>
      <c r="U378" s="41"/>
      <c r="V378" s="41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</row>
    <row r="379" spans="1:44" ht="15.6" hidden="1" customHeight="1" x14ac:dyDescent="0.25">
      <c r="A379" s="3"/>
      <c r="B379" s="3"/>
      <c r="C379" s="3"/>
      <c r="D379" s="4"/>
      <c r="E379" s="4"/>
      <c r="F379" s="3"/>
      <c r="G379" s="3"/>
      <c r="H379" s="4"/>
      <c r="I379" s="4"/>
      <c r="J379" s="3"/>
      <c r="K379" s="3"/>
      <c r="L379" s="4"/>
      <c r="M379" s="4"/>
      <c r="N379" s="3"/>
      <c r="O379" s="3"/>
      <c r="P379" s="4"/>
      <c r="Q379" s="4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</row>
    <row r="380" spans="1:44" ht="15.6" customHeight="1" x14ac:dyDescent="0.3">
      <c r="A380" s="3"/>
      <c r="B380" s="3"/>
      <c r="C380" s="3"/>
      <c r="D380" s="4"/>
      <c r="E380" s="6" t="s">
        <v>1</v>
      </c>
      <c r="F380" s="3"/>
      <c r="G380" s="7"/>
      <c r="H380" s="8"/>
      <c r="I380" s="8"/>
      <c r="J380" s="7"/>
      <c r="K380" s="7"/>
      <c r="L380" s="8"/>
      <c r="M380" s="9" t="s">
        <v>2</v>
      </c>
      <c r="N380" s="12" t="str">
        <f>N358</f>
        <v>1.1</v>
      </c>
      <c r="O380" s="12"/>
      <c r="P380" s="4"/>
      <c r="Q380" s="4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</row>
    <row r="381" spans="1:44" ht="15.6" customHeight="1" x14ac:dyDescent="0.3">
      <c r="A381" s="3"/>
      <c r="B381" s="3"/>
      <c r="C381" s="3"/>
      <c r="D381" s="4"/>
      <c r="E381" s="6" t="s">
        <v>4</v>
      </c>
      <c r="F381" s="3"/>
      <c r="G381" s="3"/>
      <c r="H381" s="4"/>
      <c r="I381" s="4"/>
      <c r="J381" s="13"/>
      <c r="K381" s="13"/>
      <c r="L381" s="14"/>
      <c r="M381" s="9" t="s">
        <v>5</v>
      </c>
      <c r="N381" s="15" t="str">
        <f>N380&amp;".3"</f>
        <v>1.1.3</v>
      </c>
      <c r="O381" s="15"/>
      <c r="P381" s="4"/>
      <c r="Q381" s="4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</row>
    <row r="382" spans="1:44" ht="15.6" customHeight="1" x14ac:dyDescent="0.3">
      <c r="A382" s="3"/>
      <c r="B382" s="3"/>
      <c r="C382" s="3"/>
      <c r="D382" s="4"/>
      <c r="E382" s="4" t="s">
        <v>7</v>
      </c>
      <c r="F382" s="3"/>
      <c r="G382" s="3"/>
      <c r="H382" s="8"/>
      <c r="I382" s="8"/>
      <c r="J382" s="7"/>
      <c r="K382" s="7"/>
      <c r="L382" s="8"/>
      <c r="M382" s="16" t="s">
        <v>5</v>
      </c>
      <c r="N382" s="17">
        <f>N360+1</f>
        <v>10</v>
      </c>
      <c r="O382" s="3"/>
      <c r="P382" s="4"/>
      <c r="Q382" s="4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</row>
    <row r="383" spans="1:44" ht="15.6" customHeight="1" x14ac:dyDescent="0.3">
      <c r="A383" s="3"/>
      <c r="B383" s="3"/>
      <c r="C383" s="3"/>
      <c r="D383" s="4"/>
      <c r="E383" s="4" t="s">
        <v>8</v>
      </c>
      <c r="F383" s="3"/>
      <c r="G383" s="3"/>
      <c r="H383" s="4"/>
      <c r="I383" s="4"/>
      <c r="J383" s="3"/>
      <c r="K383" s="3"/>
      <c r="L383" s="14"/>
      <c r="M383" s="16" t="s">
        <v>99</v>
      </c>
      <c r="N383" s="17" t="str">
        <f>IF(N361="-"&amp;N338&amp;".5",IF(N362=15,"-"&amp;N338&amp;".6","-"&amp;N338&amp;".5"),N361)</f>
        <v>-1.1.6</v>
      </c>
      <c r="O383" s="3"/>
      <c r="P383" s="4"/>
      <c r="Q383" s="4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</row>
    <row r="384" spans="1:44" ht="15.6" customHeight="1" x14ac:dyDescent="0.3">
      <c r="A384" s="3"/>
      <c r="B384" s="3"/>
      <c r="C384" s="3"/>
      <c r="D384" s="4"/>
      <c r="E384" s="21" t="s">
        <v>10</v>
      </c>
      <c r="F384" s="3"/>
      <c r="G384" s="3"/>
      <c r="H384" s="4"/>
      <c r="I384" s="8"/>
      <c r="J384" s="7"/>
      <c r="K384" s="7"/>
      <c r="L384" s="8"/>
      <c r="M384" s="16" t="s">
        <v>5</v>
      </c>
      <c r="N384" s="17">
        <f>IF(N383="-"&amp;N338&amp;".5",N362+1,IF(N361="-"&amp;N338&amp;".5",1,N362+1))</f>
        <v>4</v>
      </c>
      <c r="O384" s="3"/>
      <c r="P384" s="4"/>
      <c r="Q384" s="4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</row>
    <row r="385" spans="1:44" ht="15.6" customHeight="1" x14ac:dyDescent="0.25">
      <c r="A385" s="3"/>
      <c r="B385" s="3"/>
      <c r="C385" s="3"/>
      <c r="D385" s="4"/>
      <c r="E385" s="4"/>
      <c r="F385" s="3"/>
      <c r="G385" s="3"/>
      <c r="H385" s="4"/>
      <c r="I385" s="4"/>
      <c r="J385" s="3"/>
      <c r="K385" s="3"/>
      <c r="L385" s="4"/>
      <c r="M385" s="4"/>
      <c r="N385" s="3"/>
      <c r="O385" s="3"/>
      <c r="P385" s="4"/>
      <c r="Q385" s="4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</row>
    <row r="386" spans="1:44" ht="15.6" customHeight="1" x14ac:dyDescent="0.25">
      <c r="A386" s="24"/>
      <c r="B386" s="25"/>
      <c r="C386" s="25"/>
      <c r="D386" s="26"/>
      <c r="E386" s="26"/>
      <c r="F386" s="25"/>
      <c r="G386" s="25"/>
      <c r="H386" s="26"/>
      <c r="I386" s="26"/>
      <c r="J386" s="25"/>
      <c r="K386" s="25"/>
      <c r="L386" s="26"/>
      <c r="M386" s="26"/>
      <c r="N386" s="25"/>
      <c r="O386" s="25"/>
      <c r="P386" s="26"/>
      <c r="Q386" s="26"/>
      <c r="R386" s="25"/>
      <c r="S386" s="25"/>
      <c r="T386" s="25"/>
      <c r="U386" s="25"/>
      <c r="V386" s="45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</row>
    <row r="387" spans="1:44" ht="15.6" customHeight="1" x14ac:dyDescent="0.25">
      <c r="A387" s="27"/>
      <c r="B387" s="28"/>
      <c r="C387" s="28"/>
      <c r="D387" s="71">
        <v>1</v>
      </c>
      <c r="E387" s="72"/>
      <c r="F387" s="28"/>
      <c r="G387" s="28"/>
      <c r="H387" s="71">
        <v>2</v>
      </c>
      <c r="I387" s="72"/>
      <c r="J387" s="28"/>
      <c r="K387" s="28"/>
      <c r="L387" s="71">
        <v>3</v>
      </c>
      <c r="M387" s="72"/>
      <c r="N387" s="28"/>
      <c r="O387" s="28"/>
      <c r="P387" s="71">
        <v>4</v>
      </c>
      <c r="Q387" s="72"/>
      <c r="R387" s="28"/>
      <c r="S387" s="28"/>
      <c r="T387" s="28"/>
      <c r="U387" s="28"/>
      <c r="V387" s="46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</row>
    <row r="388" spans="1:44" ht="15.6" customHeight="1" x14ac:dyDescent="0.25">
      <c r="A388" s="27"/>
      <c r="B388" s="74" t="s">
        <v>11</v>
      </c>
      <c r="C388" s="74"/>
      <c r="D388" s="71" t="s">
        <v>12</v>
      </c>
      <c r="E388" s="72"/>
      <c r="F388" s="74" t="s">
        <v>11</v>
      </c>
      <c r="G388" s="74"/>
      <c r="H388" s="71" t="s">
        <v>12</v>
      </c>
      <c r="I388" s="72"/>
      <c r="J388" s="74" t="s">
        <v>11</v>
      </c>
      <c r="K388" s="74"/>
      <c r="L388" s="71" t="s">
        <v>12</v>
      </c>
      <c r="M388" s="72"/>
      <c r="N388" s="74" t="s">
        <v>11</v>
      </c>
      <c r="O388" s="74"/>
      <c r="P388" s="71" t="s">
        <v>12</v>
      </c>
      <c r="Q388" s="72"/>
      <c r="R388" s="74"/>
      <c r="S388" s="74"/>
      <c r="T388" s="74"/>
      <c r="U388" s="74"/>
      <c r="V388" s="48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</row>
    <row r="389" spans="1:44" ht="15.6" customHeight="1" x14ac:dyDescent="0.25">
      <c r="A389" s="27"/>
      <c r="B389" s="76"/>
      <c r="C389" s="76"/>
      <c r="D389" s="77"/>
      <c r="E389" s="77"/>
      <c r="F389" s="76"/>
      <c r="G389" s="76"/>
      <c r="H389" s="77"/>
      <c r="I389" s="77"/>
      <c r="J389" s="76"/>
      <c r="K389" s="76"/>
      <c r="L389" s="77"/>
      <c r="M389" s="77"/>
      <c r="N389" s="76"/>
      <c r="O389" s="76"/>
      <c r="P389" s="77"/>
      <c r="Q389" s="77"/>
      <c r="R389" s="76"/>
      <c r="S389" s="76"/>
      <c r="T389" s="76"/>
      <c r="U389" s="76"/>
      <c r="V389" s="48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</row>
    <row r="390" spans="1:44" ht="15.6" customHeight="1" x14ac:dyDescent="0.25">
      <c r="A390" s="27"/>
      <c r="B390" s="74">
        <v>0</v>
      </c>
      <c r="C390" s="74"/>
      <c r="D390" s="78">
        <v>1</v>
      </c>
      <c r="E390" s="78"/>
      <c r="F390" s="74">
        <v>2</v>
      </c>
      <c r="G390" s="74"/>
      <c r="H390" s="78">
        <v>3</v>
      </c>
      <c r="I390" s="78"/>
      <c r="J390" s="74">
        <v>4</v>
      </c>
      <c r="K390" s="74"/>
      <c r="L390" s="78">
        <v>5</v>
      </c>
      <c r="M390" s="78"/>
      <c r="N390" s="74">
        <v>6</v>
      </c>
      <c r="O390" s="74"/>
      <c r="P390" s="78">
        <v>7</v>
      </c>
      <c r="Q390" s="78"/>
      <c r="R390" s="74">
        <v>8</v>
      </c>
      <c r="S390" s="74"/>
      <c r="T390" s="74">
        <v>9</v>
      </c>
      <c r="U390" s="74"/>
      <c r="V390" s="49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</row>
    <row r="391" spans="1:44" ht="15.6" customHeight="1" x14ac:dyDescent="0.25">
      <c r="A391" s="27"/>
      <c r="B391" s="28" t="s">
        <v>13</v>
      </c>
      <c r="C391" s="28" t="s">
        <v>14</v>
      </c>
      <c r="D391" s="31" t="s">
        <v>15</v>
      </c>
      <c r="E391" s="31" t="s">
        <v>16</v>
      </c>
      <c r="F391" s="28" t="s">
        <v>13</v>
      </c>
      <c r="G391" s="28" t="s">
        <v>14</v>
      </c>
      <c r="H391" s="31" t="s">
        <v>15</v>
      </c>
      <c r="I391" s="31" t="s">
        <v>16</v>
      </c>
      <c r="J391" s="28" t="s">
        <v>13</v>
      </c>
      <c r="K391" s="28" t="s">
        <v>14</v>
      </c>
      <c r="L391" s="31" t="s">
        <v>15</v>
      </c>
      <c r="M391" s="31" t="s">
        <v>16</v>
      </c>
      <c r="N391" s="28" t="s">
        <v>13</v>
      </c>
      <c r="O391" s="28" t="s">
        <v>14</v>
      </c>
      <c r="P391" s="31" t="s">
        <v>15</v>
      </c>
      <c r="Q391" s="31" t="s">
        <v>16</v>
      </c>
      <c r="R391" s="28" t="s">
        <v>13</v>
      </c>
      <c r="S391" s="28" t="s">
        <v>14</v>
      </c>
      <c r="T391" s="28" t="s">
        <v>15</v>
      </c>
      <c r="U391" s="28" t="s">
        <v>16</v>
      </c>
      <c r="V391" s="49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</row>
    <row r="392" spans="1:44" ht="15.6" customHeight="1" x14ac:dyDescent="0.25">
      <c r="A392" s="33"/>
      <c r="B392" s="34"/>
      <c r="C392" s="34"/>
      <c r="D392" s="35"/>
      <c r="E392" s="36"/>
      <c r="F392" s="34"/>
      <c r="G392" s="34"/>
      <c r="H392" s="35"/>
      <c r="I392" s="36"/>
      <c r="J392" s="34"/>
      <c r="K392" s="34"/>
      <c r="L392" s="35"/>
      <c r="M392" s="36"/>
      <c r="N392" s="34"/>
      <c r="O392" s="34"/>
      <c r="P392" s="35"/>
      <c r="Q392" s="36"/>
      <c r="R392" s="34"/>
      <c r="S392" s="34"/>
      <c r="T392" s="34"/>
      <c r="U392" s="34"/>
      <c r="V392" s="50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</row>
    <row r="393" spans="1:44" ht="15.6" customHeight="1" x14ac:dyDescent="0.25">
      <c r="A393" s="3"/>
      <c r="B393" s="30"/>
      <c r="C393" s="30"/>
      <c r="D393" s="54"/>
      <c r="E393" s="5"/>
      <c r="F393" s="30"/>
      <c r="G393" s="30"/>
      <c r="H393" s="54"/>
      <c r="I393" s="5"/>
      <c r="J393" s="30"/>
      <c r="K393" s="30"/>
      <c r="L393" s="54"/>
      <c r="M393" s="5"/>
      <c r="N393" s="30"/>
      <c r="O393" s="30"/>
      <c r="P393" s="54"/>
      <c r="Q393" s="5"/>
      <c r="R393" s="30"/>
      <c r="S393" s="30"/>
      <c r="T393" s="30"/>
      <c r="U393" s="30"/>
      <c r="V393" s="32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</row>
    <row r="394" spans="1:44" ht="15.6" customHeight="1" x14ac:dyDescent="0.25">
      <c r="A394" s="3"/>
      <c r="B394" s="95"/>
      <c r="C394" s="96"/>
      <c r="D394" s="97"/>
      <c r="E394" s="98"/>
      <c r="F394" s="95"/>
      <c r="G394" s="96"/>
      <c r="H394" s="97"/>
      <c r="I394" s="98"/>
      <c r="J394" s="95"/>
      <c r="K394" s="96"/>
      <c r="L394" s="97"/>
      <c r="M394" s="98"/>
      <c r="N394" s="95"/>
      <c r="O394" s="96"/>
      <c r="P394" s="97"/>
      <c r="Q394" s="98"/>
      <c r="R394" s="30"/>
      <c r="S394" s="30"/>
      <c r="T394" s="30"/>
      <c r="U394" s="30"/>
      <c r="V394" s="32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</row>
    <row r="395" spans="1:44" ht="15.6" customHeight="1" x14ac:dyDescent="0.25">
      <c r="A395" s="3"/>
      <c r="B395" s="40" t="str">
        <f>IF(D394&lt;1,"","пом.")</f>
        <v/>
      </c>
      <c r="C395" s="40"/>
      <c r="D395" s="85"/>
      <c r="E395" s="86"/>
      <c r="F395" s="40" t="str">
        <f>IF(H394&lt;1,"","пом.")</f>
        <v/>
      </c>
      <c r="G395" s="40"/>
      <c r="H395" s="85"/>
      <c r="I395" s="86"/>
      <c r="J395" s="40" t="str">
        <f>IF(L394&lt;1,"","пом.")</f>
        <v/>
      </c>
      <c r="K395" s="40"/>
      <c r="L395" s="85"/>
      <c r="M395" s="86"/>
      <c r="N395" s="40" t="str">
        <f>IF(P394&lt;1,"","пом.")</f>
        <v/>
      </c>
      <c r="O395" s="40"/>
      <c r="P395" s="85"/>
      <c r="Q395" s="86"/>
      <c r="R395" s="30"/>
      <c r="S395" s="30"/>
      <c r="T395" s="30"/>
      <c r="U395" s="30"/>
      <c r="V395" s="32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</row>
    <row r="396" spans="1:44" ht="15.6" customHeight="1" x14ac:dyDescent="0.25">
      <c r="A396" s="3"/>
      <c r="B396" s="3"/>
      <c r="C396" s="3"/>
      <c r="D396" s="4"/>
      <c r="E396" s="4"/>
      <c r="F396" s="3"/>
      <c r="G396" s="3"/>
      <c r="H396" s="4"/>
      <c r="I396" s="4"/>
      <c r="J396" s="3"/>
      <c r="K396" s="3"/>
      <c r="L396" s="4"/>
      <c r="M396" s="4"/>
      <c r="N396" s="3"/>
      <c r="O396" s="3"/>
      <c r="P396" s="4"/>
      <c r="Q396" s="4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</row>
    <row r="397" spans="1:44" ht="15.6" customHeight="1" x14ac:dyDescent="0.25">
      <c r="A397" s="3"/>
      <c r="B397" s="3"/>
      <c r="C397" s="3"/>
      <c r="D397" s="4"/>
      <c r="E397" s="5" t="s">
        <v>30</v>
      </c>
      <c r="F397" s="87" t="s">
        <v>31</v>
      </c>
      <c r="G397" s="87"/>
      <c r="H397" s="87"/>
      <c r="I397" s="117" t="s">
        <v>32</v>
      </c>
      <c r="J397" s="117"/>
      <c r="K397" s="58"/>
      <c r="L397" s="4"/>
      <c r="M397" s="4"/>
      <c r="N397" s="3"/>
      <c r="O397" s="30" t="s">
        <v>33</v>
      </c>
      <c r="P397" s="87" t="s">
        <v>34</v>
      </c>
      <c r="Q397" s="87"/>
      <c r="R397" s="87"/>
      <c r="S397" s="117" t="s">
        <v>35</v>
      </c>
      <c r="T397" s="117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</row>
    <row r="398" spans="1:44" ht="15.6" customHeight="1" x14ac:dyDescent="0.25">
      <c r="A398" s="3"/>
      <c r="B398" s="3"/>
      <c r="C398" s="3"/>
      <c r="D398" s="4"/>
      <c r="E398" s="5" t="s">
        <v>36</v>
      </c>
      <c r="F398" s="87" t="s">
        <v>37</v>
      </c>
      <c r="G398" s="87"/>
      <c r="H398" s="87"/>
      <c r="I398" s="117" t="s">
        <v>38</v>
      </c>
      <c r="J398" s="117"/>
      <c r="K398" s="117"/>
      <c r="L398" s="4"/>
      <c r="M398" s="4"/>
      <c r="N398" s="3"/>
      <c r="O398" s="30" t="s">
        <v>39</v>
      </c>
      <c r="P398" s="87" t="s">
        <v>34</v>
      </c>
      <c r="Q398" s="87"/>
      <c r="R398" s="87"/>
      <c r="S398" s="118" t="s">
        <v>40</v>
      </c>
      <c r="T398" s="118"/>
      <c r="U398" s="118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</row>
    <row r="399" spans="1:44" ht="15.6" customHeight="1" x14ac:dyDescent="0.25">
      <c r="A399" s="41"/>
      <c r="B399" s="41"/>
      <c r="C399" s="41"/>
      <c r="D399" s="42"/>
      <c r="E399" s="43"/>
      <c r="F399" s="41"/>
      <c r="G399" s="41"/>
      <c r="H399" s="42"/>
      <c r="I399" s="42"/>
      <c r="J399" s="41"/>
      <c r="K399" s="41"/>
      <c r="L399" s="42"/>
      <c r="M399" s="42"/>
      <c r="N399" s="41"/>
      <c r="O399" s="41"/>
      <c r="P399" s="42"/>
      <c r="Q399" s="42"/>
      <c r="R399" s="41"/>
      <c r="S399" s="41"/>
      <c r="T399" s="41"/>
      <c r="U399" s="41"/>
      <c r="V399" s="41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</row>
    <row r="400" spans="1:44" ht="15.6" customHeight="1" x14ac:dyDescent="0.3">
      <c r="A400" s="3"/>
      <c r="B400" s="3"/>
      <c r="C400" s="3"/>
      <c r="D400" s="4"/>
      <c r="E400" s="6" t="s">
        <v>1</v>
      </c>
      <c r="F400" s="3"/>
      <c r="G400" s="7"/>
      <c r="H400" s="8"/>
      <c r="I400" s="8"/>
      <c r="J400" s="7"/>
      <c r="K400" s="7"/>
      <c r="L400" s="8"/>
      <c r="M400" s="9" t="s">
        <v>2</v>
      </c>
      <c r="N400" s="12" t="str">
        <f>N380</f>
        <v>1.1</v>
      </c>
      <c r="O400" s="12"/>
      <c r="P400" s="4"/>
      <c r="Q400" s="4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</row>
    <row r="401" spans="1:44" ht="15.6" customHeight="1" x14ac:dyDescent="0.3">
      <c r="A401" s="3"/>
      <c r="B401" s="3"/>
      <c r="C401" s="3"/>
      <c r="D401" s="4"/>
      <c r="E401" s="6" t="s">
        <v>4</v>
      </c>
      <c r="F401" s="3"/>
      <c r="G401" s="3"/>
      <c r="H401" s="4"/>
      <c r="I401" s="4"/>
      <c r="J401" s="13"/>
      <c r="K401" s="13"/>
      <c r="L401" s="14"/>
      <c r="M401" s="9" t="s">
        <v>5</v>
      </c>
      <c r="N401" s="15" t="str">
        <f>N381</f>
        <v>1.1.3</v>
      </c>
      <c r="O401" s="15"/>
      <c r="P401" s="4"/>
      <c r="Q401" s="4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</row>
    <row r="402" spans="1:44" ht="15.6" customHeight="1" x14ac:dyDescent="0.3">
      <c r="A402" s="3"/>
      <c r="B402" s="3"/>
      <c r="C402" s="3"/>
      <c r="D402" s="4"/>
      <c r="E402" s="4" t="s">
        <v>7</v>
      </c>
      <c r="F402" s="3"/>
      <c r="G402" s="3"/>
      <c r="H402" s="8"/>
      <c r="I402" s="8"/>
      <c r="J402" s="7"/>
      <c r="K402" s="7"/>
      <c r="L402" s="8"/>
      <c r="M402" s="16" t="s">
        <v>5</v>
      </c>
      <c r="N402" s="17">
        <f>N382</f>
        <v>10</v>
      </c>
      <c r="O402" s="3"/>
      <c r="P402" s="4"/>
      <c r="Q402" s="4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</row>
    <row r="403" spans="1:44" ht="15.6" customHeight="1" x14ac:dyDescent="0.3">
      <c r="A403" s="3"/>
      <c r="B403" s="3"/>
      <c r="C403" s="3"/>
      <c r="D403" s="4"/>
      <c r="E403" s="4" t="s">
        <v>8</v>
      </c>
      <c r="F403" s="3"/>
      <c r="G403" s="3"/>
      <c r="H403" s="4"/>
      <c r="I403" s="4"/>
      <c r="J403" s="3"/>
      <c r="K403" s="3"/>
      <c r="L403" s="14"/>
      <c r="M403" s="16" t="s">
        <v>99</v>
      </c>
      <c r="N403" s="17" t="str">
        <f>IF(N383="-"&amp;N380&amp;".5",IF(N384=15,"-"&amp;N380&amp;".6","-"&amp;N380&amp;".5"),N383)</f>
        <v>-1.1.6</v>
      </c>
      <c r="O403" s="19"/>
      <c r="P403" s="4"/>
      <c r="Q403" s="4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</row>
    <row r="404" spans="1:44" ht="15.6" customHeight="1" x14ac:dyDescent="0.3">
      <c r="A404" s="3"/>
      <c r="B404" s="3"/>
      <c r="C404" s="3"/>
      <c r="D404" s="4"/>
      <c r="E404" s="21" t="s">
        <v>10</v>
      </c>
      <c r="F404" s="3"/>
      <c r="G404" s="3"/>
      <c r="H404" s="4"/>
      <c r="I404" s="8"/>
      <c r="J404" s="7"/>
      <c r="K404" s="7"/>
      <c r="L404" s="8"/>
      <c r="M404" s="16" t="s">
        <v>5</v>
      </c>
      <c r="N404" s="17">
        <f>IF(N403="-"&amp;N338&amp;".5",N384+1,IF(N383="-"&amp;N338&amp;".5",1,N384+1))</f>
        <v>5</v>
      </c>
      <c r="O404" s="3"/>
      <c r="P404" s="4"/>
      <c r="Q404" s="4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</row>
    <row r="405" spans="1:44" ht="6.6" customHeight="1" x14ac:dyDescent="0.25">
      <c r="A405" s="3"/>
      <c r="B405" s="3"/>
      <c r="C405" s="3"/>
      <c r="D405" s="4"/>
      <c r="E405" s="4"/>
      <c r="F405" s="3"/>
      <c r="G405" s="3"/>
      <c r="H405" s="4"/>
      <c r="I405" s="4"/>
      <c r="J405" s="3"/>
      <c r="K405" s="3"/>
      <c r="L405" s="4"/>
      <c r="M405" s="4"/>
      <c r="N405" s="3"/>
      <c r="O405" s="3"/>
      <c r="P405" s="4"/>
      <c r="Q405" s="4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</row>
    <row r="406" spans="1:44" ht="15.6" customHeight="1" x14ac:dyDescent="0.25">
      <c r="A406" s="24"/>
      <c r="B406" s="25"/>
      <c r="C406" s="25"/>
      <c r="D406" s="26"/>
      <c r="E406" s="26"/>
      <c r="F406" s="25"/>
      <c r="G406" s="25"/>
      <c r="H406" s="26"/>
      <c r="I406" s="26"/>
      <c r="J406" s="25"/>
      <c r="K406" s="25"/>
      <c r="L406" s="26"/>
      <c r="M406" s="26"/>
      <c r="N406" s="25"/>
      <c r="O406" s="25"/>
      <c r="P406" s="26"/>
      <c r="Q406" s="26"/>
      <c r="R406" s="25"/>
      <c r="S406" s="25"/>
      <c r="T406" s="25"/>
      <c r="U406" s="25"/>
      <c r="V406" s="45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</row>
    <row r="407" spans="1:44" ht="15.6" customHeight="1" x14ac:dyDescent="0.25">
      <c r="A407" s="27"/>
      <c r="B407" s="28"/>
      <c r="C407" s="28"/>
      <c r="D407" s="71">
        <v>1</v>
      </c>
      <c r="E407" s="72"/>
      <c r="F407" s="28"/>
      <c r="G407" s="28"/>
      <c r="H407" s="71">
        <v>2</v>
      </c>
      <c r="I407" s="72"/>
      <c r="J407" s="28"/>
      <c r="K407" s="28"/>
      <c r="L407" s="71">
        <v>3</v>
      </c>
      <c r="M407" s="72"/>
      <c r="N407" s="28"/>
      <c r="O407" s="28"/>
      <c r="P407" s="71">
        <v>4</v>
      </c>
      <c r="Q407" s="72"/>
      <c r="R407" s="28"/>
      <c r="S407" s="28"/>
      <c r="T407" s="28"/>
      <c r="U407" s="28"/>
      <c r="V407" s="46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</row>
    <row r="408" spans="1:44" ht="15.6" customHeight="1" x14ac:dyDescent="0.25">
      <c r="A408" s="27"/>
      <c r="B408" s="74" t="s">
        <v>11</v>
      </c>
      <c r="C408" s="74"/>
      <c r="D408" s="71" t="s">
        <v>12</v>
      </c>
      <c r="E408" s="72"/>
      <c r="F408" s="74" t="s">
        <v>11</v>
      </c>
      <c r="G408" s="74"/>
      <c r="H408" s="71" t="s">
        <v>12</v>
      </c>
      <c r="I408" s="72"/>
      <c r="J408" s="74" t="s">
        <v>11</v>
      </c>
      <c r="K408" s="74"/>
      <c r="L408" s="71" t="s">
        <v>12</v>
      </c>
      <c r="M408" s="72"/>
      <c r="N408" s="74" t="s">
        <v>11</v>
      </c>
      <c r="O408" s="74"/>
      <c r="P408" s="71" t="s">
        <v>12</v>
      </c>
      <c r="Q408" s="72"/>
      <c r="R408" s="74"/>
      <c r="S408" s="74"/>
      <c r="T408" s="74"/>
      <c r="U408" s="74"/>
      <c r="V408" s="48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</row>
    <row r="409" spans="1:44" ht="15.6" customHeight="1" x14ac:dyDescent="0.25">
      <c r="A409" s="27"/>
      <c r="B409" s="76"/>
      <c r="C409" s="76"/>
      <c r="D409" s="77"/>
      <c r="E409" s="77"/>
      <c r="F409" s="76"/>
      <c r="G409" s="76"/>
      <c r="H409" s="77"/>
      <c r="I409" s="77"/>
      <c r="J409" s="76"/>
      <c r="K409" s="76"/>
      <c r="L409" s="77"/>
      <c r="M409" s="77"/>
      <c r="N409" s="76"/>
      <c r="O409" s="76"/>
      <c r="P409" s="77"/>
      <c r="Q409" s="77"/>
      <c r="R409" s="76"/>
      <c r="S409" s="76"/>
      <c r="T409" s="76"/>
      <c r="U409" s="76"/>
      <c r="V409" s="48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</row>
    <row r="410" spans="1:44" ht="15.6" customHeight="1" x14ac:dyDescent="0.25">
      <c r="A410" s="27"/>
      <c r="B410" s="74">
        <v>0</v>
      </c>
      <c r="C410" s="74"/>
      <c r="D410" s="78">
        <v>1</v>
      </c>
      <c r="E410" s="78"/>
      <c r="F410" s="74">
        <v>2</v>
      </c>
      <c r="G410" s="74"/>
      <c r="H410" s="78">
        <v>3</v>
      </c>
      <c r="I410" s="78"/>
      <c r="J410" s="74">
        <v>4</v>
      </c>
      <c r="K410" s="74"/>
      <c r="L410" s="78">
        <v>5</v>
      </c>
      <c r="M410" s="78"/>
      <c r="N410" s="74">
        <v>6</v>
      </c>
      <c r="O410" s="74"/>
      <c r="P410" s="78">
        <v>7</v>
      </c>
      <c r="Q410" s="78"/>
      <c r="R410" s="74">
        <v>8</v>
      </c>
      <c r="S410" s="74"/>
      <c r="T410" s="74">
        <v>9</v>
      </c>
      <c r="U410" s="74"/>
      <c r="V410" s="49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</row>
    <row r="411" spans="1:44" ht="15.6" customHeight="1" x14ac:dyDescent="0.25">
      <c r="A411" s="27"/>
      <c r="B411" s="28" t="s">
        <v>13</v>
      </c>
      <c r="C411" s="28" t="s">
        <v>14</v>
      </c>
      <c r="D411" s="31" t="s">
        <v>15</v>
      </c>
      <c r="E411" s="31" t="s">
        <v>16</v>
      </c>
      <c r="F411" s="28" t="s">
        <v>13</v>
      </c>
      <c r="G411" s="28" t="s">
        <v>14</v>
      </c>
      <c r="H411" s="31" t="s">
        <v>15</v>
      </c>
      <c r="I411" s="31" t="s">
        <v>16</v>
      </c>
      <c r="J411" s="28" t="s">
        <v>13</v>
      </c>
      <c r="K411" s="28" t="s">
        <v>14</v>
      </c>
      <c r="L411" s="31" t="s">
        <v>15</v>
      </c>
      <c r="M411" s="31" t="s">
        <v>16</v>
      </c>
      <c r="N411" s="28" t="s">
        <v>13</v>
      </c>
      <c r="O411" s="28" t="s">
        <v>14</v>
      </c>
      <c r="P411" s="31" t="s">
        <v>15</v>
      </c>
      <c r="Q411" s="31" t="s">
        <v>16</v>
      </c>
      <c r="R411" s="28" t="s">
        <v>13</v>
      </c>
      <c r="S411" s="28" t="s">
        <v>14</v>
      </c>
      <c r="T411" s="28" t="s">
        <v>15</v>
      </c>
      <c r="U411" s="28" t="s">
        <v>16</v>
      </c>
      <c r="V411" s="49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</row>
    <row r="412" spans="1:44" ht="15.6" customHeight="1" x14ac:dyDescent="0.25">
      <c r="A412" s="33"/>
      <c r="B412" s="34"/>
      <c r="C412" s="34"/>
      <c r="D412" s="35"/>
      <c r="E412" s="36"/>
      <c r="F412" s="34"/>
      <c r="G412" s="34"/>
      <c r="H412" s="35"/>
      <c r="I412" s="36"/>
      <c r="J412" s="34"/>
      <c r="K412" s="34"/>
      <c r="L412" s="35"/>
      <c r="M412" s="36"/>
      <c r="N412" s="34"/>
      <c r="O412" s="34"/>
      <c r="P412" s="35"/>
      <c r="Q412" s="36"/>
      <c r="R412" s="34"/>
      <c r="S412" s="34"/>
      <c r="T412" s="34"/>
      <c r="U412" s="34"/>
      <c r="V412" s="50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</row>
    <row r="413" spans="1:44" ht="6" customHeight="1" x14ac:dyDescent="0.25">
      <c r="A413" s="3"/>
      <c r="B413" s="30"/>
      <c r="C413" s="30"/>
      <c r="D413" s="54"/>
      <c r="E413" s="5"/>
      <c r="F413" s="30"/>
      <c r="G413" s="30"/>
      <c r="H413" s="54"/>
      <c r="I413" s="5"/>
      <c r="J413" s="30"/>
      <c r="K413" s="30"/>
      <c r="L413" s="54"/>
      <c r="M413" s="5"/>
      <c r="N413" s="30"/>
      <c r="O413" s="30"/>
      <c r="P413" s="54"/>
      <c r="Q413" s="5"/>
      <c r="R413" s="30"/>
      <c r="S413" s="30"/>
      <c r="T413" s="30"/>
      <c r="U413" s="30"/>
      <c r="V413" s="32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</row>
    <row r="414" spans="1:44" ht="15.6" customHeight="1" x14ac:dyDescent="0.25">
      <c r="A414" s="3"/>
      <c r="B414" s="95"/>
      <c r="C414" s="96"/>
      <c r="D414" s="97"/>
      <c r="E414" s="98"/>
      <c r="F414" s="95"/>
      <c r="G414" s="96"/>
      <c r="H414" s="97"/>
      <c r="I414" s="98"/>
      <c r="J414" s="95"/>
      <c r="K414" s="96"/>
      <c r="L414" s="97"/>
      <c r="M414" s="98"/>
      <c r="N414" s="95"/>
      <c r="O414" s="96"/>
      <c r="P414" s="97"/>
      <c r="Q414" s="98"/>
      <c r="R414" s="30"/>
      <c r="S414" s="30"/>
      <c r="T414" s="30"/>
      <c r="U414" s="30"/>
      <c r="V414" s="32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</row>
    <row r="415" spans="1:44" ht="15.6" customHeight="1" x14ac:dyDescent="0.25">
      <c r="A415" s="3"/>
      <c r="B415" s="83" t="str">
        <f>IF(D414&lt;1,"","пом.")</f>
        <v/>
      </c>
      <c r="C415" s="83"/>
      <c r="D415" s="85"/>
      <c r="E415" s="86"/>
      <c r="F415" s="83" t="str">
        <f>IF(H414&lt;1,"","пом.")</f>
        <v/>
      </c>
      <c r="G415" s="83"/>
      <c r="H415" s="85"/>
      <c r="I415" s="86"/>
      <c r="J415" s="83" t="str">
        <f>IF(L414&lt;1,"","пом.")</f>
        <v/>
      </c>
      <c r="K415" s="83"/>
      <c r="L415" s="85"/>
      <c r="M415" s="86"/>
      <c r="N415" s="83" t="str">
        <f>IF(P414&lt;1,"","пом.")</f>
        <v/>
      </c>
      <c r="O415" s="83"/>
      <c r="P415" s="85"/>
      <c r="Q415" s="86"/>
      <c r="R415" s="30"/>
      <c r="S415" s="30"/>
      <c r="T415" s="30"/>
      <c r="U415" s="30"/>
      <c r="V415" s="32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</row>
    <row r="416" spans="1:44" ht="15.6" customHeight="1" x14ac:dyDescent="0.25">
      <c r="A416" s="3"/>
      <c r="B416" s="3"/>
      <c r="C416" s="3"/>
      <c r="D416" s="4"/>
      <c r="E416" s="4"/>
      <c r="F416" s="3"/>
      <c r="G416" s="3"/>
      <c r="H416" s="4"/>
      <c r="I416" s="4"/>
      <c r="J416" s="3"/>
      <c r="K416" s="3"/>
      <c r="L416" s="4"/>
      <c r="M416" s="4"/>
      <c r="N416" s="3"/>
      <c r="O416" s="3"/>
      <c r="P416" s="4"/>
      <c r="Q416" s="4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</row>
    <row r="417" spans="1:44" ht="15.6" customHeight="1" x14ac:dyDescent="0.25">
      <c r="A417" s="3"/>
      <c r="B417" s="3"/>
      <c r="C417" s="3"/>
      <c r="D417" s="4"/>
      <c r="E417" s="5" t="s">
        <v>30</v>
      </c>
      <c r="F417" s="87" t="s">
        <v>31</v>
      </c>
      <c r="G417" s="87"/>
      <c r="H417" s="87"/>
      <c r="I417" s="117" t="s">
        <v>32</v>
      </c>
      <c r="J417" s="117"/>
      <c r="K417" s="58"/>
      <c r="L417" s="4"/>
      <c r="M417" s="4"/>
      <c r="N417" s="3"/>
      <c r="O417" s="30" t="s">
        <v>33</v>
      </c>
      <c r="P417" s="87" t="s">
        <v>34</v>
      </c>
      <c r="Q417" s="87"/>
      <c r="R417" s="87"/>
      <c r="S417" s="117" t="s">
        <v>35</v>
      </c>
      <c r="T417" s="117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</row>
    <row r="418" spans="1:44" ht="15.6" customHeight="1" x14ac:dyDescent="0.25">
      <c r="A418" s="3"/>
      <c r="B418" s="3"/>
      <c r="C418" s="3"/>
      <c r="D418" s="4"/>
      <c r="E418" s="5" t="s">
        <v>36</v>
      </c>
      <c r="F418" s="87" t="s">
        <v>37</v>
      </c>
      <c r="G418" s="87"/>
      <c r="H418" s="87"/>
      <c r="I418" s="117" t="s">
        <v>38</v>
      </c>
      <c r="J418" s="117"/>
      <c r="K418" s="117"/>
      <c r="L418" s="4"/>
      <c r="M418" s="4"/>
      <c r="N418" s="3"/>
      <c r="O418" s="30" t="s">
        <v>39</v>
      </c>
      <c r="P418" s="87" t="s">
        <v>34</v>
      </c>
      <c r="Q418" s="87"/>
      <c r="R418" s="87"/>
      <c r="S418" s="118" t="s">
        <v>40</v>
      </c>
      <c r="T418" s="118"/>
      <c r="U418" s="118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</row>
    <row r="419" spans="1:44" ht="15.6" customHeight="1" x14ac:dyDescent="0.25">
      <c r="A419" s="41"/>
      <c r="B419" s="41"/>
      <c r="C419" s="41"/>
      <c r="D419" s="42"/>
      <c r="E419" s="43"/>
      <c r="F419" s="41"/>
      <c r="G419" s="41"/>
      <c r="H419" s="42"/>
      <c r="I419" s="42"/>
      <c r="J419" s="41"/>
      <c r="K419" s="41"/>
      <c r="L419" s="42"/>
      <c r="M419" s="42"/>
      <c r="N419" s="41"/>
      <c r="O419" s="41"/>
      <c r="P419" s="42"/>
      <c r="Q419" s="42"/>
      <c r="R419" s="41"/>
      <c r="S419" s="41"/>
      <c r="T419" s="41"/>
      <c r="U419" s="41"/>
      <c r="V419" s="41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</row>
    <row r="420" spans="1:44" ht="15.6" customHeight="1" x14ac:dyDescent="0.25">
      <c r="A420" s="41"/>
      <c r="B420" s="41"/>
      <c r="C420" s="41"/>
      <c r="D420" s="42"/>
      <c r="E420" s="43"/>
      <c r="F420" s="41"/>
      <c r="G420" s="41"/>
      <c r="H420" s="42"/>
      <c r="I420" s="42"/>
      <c r="J420" s="41"/>
      <c r="K420" s="41"/>
      <c r="L420" s="42"/>
      <c r="M420" s="42"/>
      <c r="N420" s="41"/>
      <c r="O420" s="41"/>
      <c r="P420" s="42"/>
      <c r="Q420" s="42"/>
      <c r="R420" s="41"/>
      <c r="S420" s="41"/>
      <c r="T420" s="41"/>
      <c r="U420" s="41"/>
      <c r="V420" s="41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</row>
    <row r="421" spans="1:44" ht="15.6" hidden="1" customHeight="1" x14ac:dyDescent="0.25">
      <c r="A421" s="3"/>
      <c r="B421" s="3"/>
      <c r="C421" s="3"/>
      <c r="D421" s="4"/>
      <c r="E421" s="4"/>
      <c r="F421" s="3"/>
      <c r="G421" s="3"/>
      <c r="H421" s="4"/>
      <c r="I421" s="4"/>
      <c r="J421" s="3"/>
      <c r="K421" s="3"/>
      <c r="L421" s="4"/>
      <c r="M421" s="4"/>
      <c r="N421" s="3"/>
      <c r="O421" s="3"/>
      <c r="P421" s="4"/>
      <c r="Q421" s="4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</row>
    <row r="422" spans="1:44" ht="15.6" customHeight="1" x14ac:dyDescent="0.3">
      <c r="A422" s="3"/>
      <c r="B422" s="3"/>
      <c r="C422" s="3"/>
      <c r="D422" s="4"/>
      <c r="E422" s="6" t="s">
        <v>1</v>
      </c>
      <c r="F422" s="3"/>
      <c r="G422" s="7"/>
      <c r="H422" s="8"/>
      <c r="I422" s="8"/>
      <c r="J422" s="7"/>
      <c r="K422" s="7"/>
      <c r="L422" s="8"/>
      <c r="M422" s="9" t="s">
        <v>2</v>
      </c>
      <c r="N422" s="12" t="str">
        <f>N400</f>
        <v>1.1</v>
      </c>
      <c r="O422" s="12"/>
      <c r="P422" s="4"/>
      <c r="Q422" s="4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</row>
    <row r="423" spans="1:44" ht="15.6" customHeight="1" x14ac:dyDescent="0.3">
      <c r="A423" s="3"/>
      <c r="B423" s="3"/>
      <c r="C423" s="3"/>
      <c r="D423" s="4"/>
      <c r="E423" s="6" t="s">
        <v>4</v>
      </c>
      <c r="F423" s="3"/>
      <c r="G423" s="3"/>
      <c r="H423" s="4"/>
      <c r="I423" s="4"/>
      <c r="J423" s="13"/>
      <c r="K423" s="13"/>
      <c r="L423" s="14"/>
      <c r="M423" s="9" t="s">
        <v>5</v>
      </c>
      <c r="N423" s="15" t="str">
        <f>N422&amp;".3"</f>
        <v>1.1.3</v>
      </c>
      <c r="O423" s="15"/>
      <c r="P423" s="4"/>
      <c r="Q423" s="4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</row>
    <row r="424" spans="1:44" ht="15.6" customHeight="1" x14ac:dyDescent="0.3">
      <c r="A424" s="3"/>
      <c r="B424" s="3"/>
      <c r="C424" s="3"/>
      <c r="D424" s="4"/>
      <c r="E424" s="4" t="s">
        <v>7</v>
      </c>
      <c r="F424" s="3"/>
      <c r="G424" s="3"/>
      <c r="H424" s="8"/>
      <c r="I424" s="8"/>
      <c r="J424" s="7"/>
      <c r="K424" s="7"/>
      <c r="L424" s="8"/>
      <c r="M424" s="16" t="s">
        <v>5</v>
      </c>
      <c r="N424" s="17">
        <f>N402+1</f>
        <v>11</v>
      </c>
      <c r="O424" s="3"/>
      <c r="P424" s="4"/>
      <c r="Q424" s="4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</row>
    <row r="425" spans="1:44" ht="15.6" customHeight="1" x14ac:dyDescent="0.3">
      <c r="A425" s="3"/>
      <c r="B425" s="3"/>
      <c r="C425" s="3"/>
      <c r="D425" s="4"/>
      <c r="E425" s="4" t="s">
        <v>8</v>
      </c>
      <c r="F425" s="3"/>
      <c r="G425" s="3"/>
      <c r="H425" s="4"/>
      <c r="I425" s="4"/>
      <c r="J425" s="3"/>
      <c r="K425" s="3"/>
      <c r="L425" s="14"/>
      <c r="M425" s="16" t="s">
        <v>99</v>
      </c>
      <c r="N425" s="17" t="str">
        <f>IF(N403="-"&amp;N380&amp;".5",IF(N404=15,"-"&amp;N380&amp;".6","-"&amp;N380&amp;".5"),N403)</f>
        <v>-1.1.6</v>
      </c>
      <c r="O425" s="3"/>
      <c r="P425" s="4"/>
      <c r="Q425" s="4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</row>
    <row r="426" spans="1:44" ht="15.6" customHeight="1" x14ac:dyDescent="0.3">
      <c r="A426" s="3"/>
      <c r="B426" s="3"/>
      <c r="C426" s="3"/>
      <c r="D426" s="4"/>
      <c r="E426" s="21" t="s">
        <v>10</v>
      </c>
      <c r="F426" s="3"/>
      <c r="G426" s="3"/>
      <c r="H426" s="4"/>
      <c r="I426" s="8"/>
      <c r="J426" s="7"/>
      <c r="K426" s="7"/>
      <c r="L426" s="8"/>
      <c r="M426" s="16" t="s">
        <v>5</v>
      </c>
      <c r="N426" s="17">
        <f>IF(N425="-"&amp;N380&amp;".5",N404+1,IF(N403="-"&amp;N380&amp;".5",1,N404+1))</f>
        <v>6</v>
      </c>
      <c r="O426" s="3"/>
      <c r="P426" s="4"/>
      <c r="Q426" s="4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</row>
    <row r="427" spans="1:44" ht="15.6" customHeight="1" x14ac:dyDescent="0.25">
      <c r="A427" s="3"/>
      <c r="B427" s="3"/>
      <c r="C427" s="3"/>
      <c r="D427" s="4"/>
      <c r="E427" s="4"/>
      <c r="F427" s="3"/>
      <c r="G427" s="3"/>
      <c r="H427" s="4"/>
      <c r="I427" s="4"/>
      <c r="J427" s="3"/>
      <c r="K427" s="3"/>
      <c r="L427" s="4"/>
      <c r="M427" s="4"/>
      <c r="N427" s="3"/>
      <c r="O427" s="3"/>
      <c r="P427" s="4"/>
      <c r="Q427" s="4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</row>
    <row r="428" spans="1:44" ht="15.6" customHeight="1" x14ac:dyDescent="0.25">
      <c r="A428" s="24"/>
      <c r="B428" s="25"/>
      <c r="C428" s="25"/>
      <c r="D428" s="26"/>
      <c r="E428" s="26"/>
      <c r="F428" s="25"/>
      <c r="G428" s="25"/>
      <c r="H428" s="26"/>
      <c r="I428" s="26"/>
      <c r="J428" s="25"/>
      <c r="K428" s="25"/>
      <c r="L428" s="26"/>
      <c r="M428" s="26"/>
      <c r="N428" s="25"/>
      <c r="O428" s="25"/>
      <c r="P428" s="26"/>
      <c r="Q428" s="26"/>
      <c r="R428" s="25"/>
      <c r="S428" s="25"/>
      <c r="T428" s="25"/>
      <c r="U428" s="25"/>
      <c r="V428" s="45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</row>
    <row r="429" spans="1:44" ht="15.6" customHeight="1" x14ac:dyDescent="0.25">
      <c r="A429" s="27"/>
      <c r="B429" s="28"/>
      <c r="C429" s="28"/>
      <c r="D429" s="71">
        <v>1</v>
      </c>
      <c r="E429" s="72"/>
      <c r="F429" s="28"/>
      <c r="G429" s="28"/>
      <c r="H429" s="71">
        <v>2</v>
      </c>
      <c r="I429" s="72"/>
      <c r="J429" s="28"/>
      <c r="K429" s="28"/>
      <c r="L429" s="71">
        <v>3</v>
      </c>
      <c r="M429" s="72"/>
      <c r="N429" s="28"/>
      <c r="O429" s="28"/>
      <c r="P429" s="71">
        <v>4</v>
      </c>
      <c r="Q429" s="72"/>
      <c r="R429" s="28"/>
      <c r="S429" s="28"/>
      <c r="T429" s="28"/>
      <c r="U429" s="28"/>
      <c r="V429" s="46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</row>
    <row r="430" spans="1:44" ht="15.6" customHeight="1" x14ac:dyDescent="0.25">
      <c r="A430" s="27"/>
      <c r="B430" s="74" t="s">
        <v>11</v>
      </c>
      <c r="C430" s="74"/>
      <c r="D430" s="71" t="s">
        <v>12</v>
      </c>
      <c r="E430" s="72"/>
      <c r="F430" s="74" t="s">
        <v>11</v>
      </c>
      <c r="G430" s="74"/>
      <c r="H430" s="71" t="s">
        <v>12</v>
      </c>
      <c r="I430" s="72"/>
      <c r="J430" s="74" t="s">
        <v>11</v>
      </c>
      <c r="K430" s="74"/>
      <c r="L430" s="71" t="s">
        <v>12</v>
      </c>
      <c r="M430" s="72"/>
      <c r="N430" s="74" t="s">
        <v>11</v>
      </c>
      <c r="O430" s="74"/>
      <c r="P430" s="71" t="s">
        <v>12</v>
      </c>
      <c r="Q430" s="72"/>
      <c r="R430" s="74"/>
      <c r="S430" s="74"/>
      <c r="T430" s="74"/>
      <c r="U430" s="74"/>
      <c r="V430" s="48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</row>
    <row r="431" spans="1:44" ht="15.6" customHeight="1" x14ac:dyDescent="0.25">
      <c r="A431" s="27"/>
      <c r="B431" s="76"/>
      <c r="C431" s="76"/>
      <c r="D431" s="77"/>
      <c r="E431" s="77"/>
      <c r="F431" s="76"/>
      <c r="G431" s="76"/>
      <c r="H431" s="77"/>
      <c r="I431" s="77"/>
      <c r="J431" s="76"/>
      <c r="K431" s="76"/>
      <c r="L431" s="77"/>
      <c r="M431" s="77"/>
      <c r="N431" s="76"/>
      <c r="O431" s="76"/>
      <c r="P431" s="77"/>
      <c r="Q431" s="77"/>
      <c r="R431" s="76"/>
      <c r="S431" s="76"/>
      <c r="T431" s="76"/>
      <c r="U431" s="76"/>
      <c r="V431" s="48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</row>
    <row r="432" spans="1:44" ht="15.6" customHeight="1" x14ac:dyDescent="0.25">
      <c r="A432" s="27"/>
      <c r="B432" s="74">
        <v>0</v>
      </c>
      <c r="C432" s="74"/>
      <c r="D432" s="78">
        <v>1</v>
      </c>
      <c r="E432" s="78"/>
      <c r="F432" s="74">
        <v>2</v>
      </c>
      <c r="G432" s="74"/>
      <c r="H432" s="78">
        <v>3</v>
      </c>
      <c r="I432" s="78"/>
      <c r="J432" s="74">
        <v>4</v>
      </c>
      <c r="K432" s="74"/>
      <c r="L432" s="78">
        <v>5</v>
      </c>
      <c r="M432" s="78"/>
      <c r="N432" s="74">
        <v>6</v>
      </c>
      <c r="O432" s="74"/>
      <c r="P432" s="78">
        <v>7</v>
      </c>
      <c r="Q432" s="78"/>
      <c r="R432" s="74">
        <v>8</v>
      </c>
      <c r="S432" s="74"/>
      <c r="T432" s="74">
        <v>9</v>
      </c>
      <c r="U432" s="74"/>
      <c r="V432" s="49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</row>
    <row r="433" spans="1:44" ht="15.6" customHeight="1" x14ac:dyDescent="0.25">
      <c r="A433" s="27"/>
      <c r="B433" s="28" t="s">
        <v>13</v>
      </c>
      <c r="C433" s="28" t="s">
        <v>14</v>
      </c>
      <c r="D433" s="31" t="s">
        <v>15</v>
      </c>
      <c r="E433" s="31" t="s">
        <v>16</v>
      </c>
      <c r="F433" s="28" t="s">
        <v>13</v>
      </c>
      <c r="G433" s="28" t="s">
        <v>14</v>
      </c>
      <c r="H433" s="31" t="s">
        <v>15</v>
      </c>
      <c r="I433" s="31" t="s">
        <v>16</v>
      </c>
      <c r="J433" s="28" t="s">
        <v>13</v>
      </c>
      <c r="K433" s="28" t="s">
        <v>14</v>
      </c>
      <c r="L433" s="31" t="s">
        <v>15</v>
      </c>
      <c r="M433" s="31" t="s">
        <v>16</v>
      </c>
      <c r="N433" s="28" t="s">
        <v>13</v>
      </c>
      <c r="O433" s="28" t="s">
        <v>14</v>
      </c>
      <c r="P433" s="31" t="s">
        <v>15</v>
      </c>
      <c r="Q433" s="31" t="s">
        <v>16</v>
      </c>
      <c r="R433" s="28" t="s">
        <v>13</v>
      </c>
      <c r="S433" s="28" t="s">
        <v>14</v>
      </c>
      <c r="T433" s="28" t="s">
        <v>15</v>
      </c>
      <c r="U433" s="28" t="s">
        <v>16</v>
      </c>
      <c r="V433" s="49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</row>
    <row r="434" spans="1:44" ht="15.6" customHeight="1" x14ac:dyDescent="0.25">
      <c r="A434" s="33"/>
      <c r="B434" s="34"/>
      <c r="C434" s="34"/>
      <c r="D434" s="35"/>
      <c r="E434" s="36"/>
      <c r="F434" s="34"/>
      <c r="G434" s="34"/>
      <c r="H434" s="35"/>
      <c r="I434" s="36"/>
      <c r="J434" s="34"/>
      <c r="K434" s="34"/>
      <c r="L434" s="35"/>
      <c r="M434" s="36"/>
      <c r="N434" s="34"/>
      <c r="O434" s="34"/>
      <c r="P434" s="35"/>
      <c r="Q434" s="36"/>
      <c r="R434" s="34"/>
      <c r="S434" s="34"/>
      <c r="T434" s="34"/>
      <c r="U434" s="34"/>
      <c r="V434" s="50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</row>
    <row r="435" spans="1:44" ht="15.6" customHeight="1" x14ac:dyDescent="0.25">
      <c r="A435" s="3"/>
      <c r="B435" s="30"/>
      <c r="C435" s="30"/>
      <c r="D435" s="54"/>
      <c r="E435" s="5"/>
      <c r="F435" s="30"/>
      <c r="G435" s="30"/>
      <c r="H435" s="54"/>
      <c r="I435" s="5"/>
      <c r="J435" s="30"/>
      <c r="K435" s="30"/>
      <c r="L435" s="54"/>
      <c r="M435" s="5"/>
      <c r="N435" s="30"/>
      <c r="O435" s="30"/>
      <c r="P435" s="54"/>
      <c r="Q435" s="5"/>
      <c r="R435" s="30"/>
      <c r="S435" s="30"/>
      <c r="T435" s="30"/>
      <c r="U435" s="30"/>
      <c r="V435" s="32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</row>
    <row r="436" spans="1:44" ht="15.6" customHeight="1" x14ac:dyDescent="0.25">
      <c r="A436" s="3"/>
      <c r="B436" s="95"/>
      <c r="C436" s="96"/>
      <c r="D436" s="97"/>
      <c r="E436" s="98"/>
      <c r="F436" s="95"/>
      <c r="G436" s="96"/>
      <c r="H436" s="97"/>
      <c r="I436" s="98"/>
      <c r="J436" s="95"/>
      <c r="K436" s="96"/>
      <c r="L436" s="97"/>
      <c r="M436" s="98"/>
      <c r="N436" s="95"/>
      <c r="O436" s="96"/>
      <c r="P436" s="97"/>
      <c r="Q436" s="98"/>
      <c r="R436" s="30"/>
      <c r="S436" s="30"/>
      <c r="T436" s="30"/>
      <c r="U436" s="30"/>
      <c r="V436" s="32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</row>
    <row r="437" spans="1:44" ht="15.6" customHeight="1" x14ac:dyDescent="0.25">
      <c r="A437" s="3"/>
      <c r="B437" s="83" t="str">
        <f>IF(D436&lt;1,"","пом.")</f>
        <v/>
      </c>
      <c r="C437" s="83"/>
      <c r="D437" s="85"/>
      <c r="E437" s="86"/>
      <c r="F437" s="83" t="str">
        <f>IF(H436&lt;1,"","пом.")</f>
        <v/>
      </c>
      <c r="G437" s="83"/>
      <c r="H437" s="85"/>
      <c r="I437" s="86"/>
      <c r="J437" s="83" t="str">
        <f>IF(L436&lt;1,"","пом.")</f>
        <v/>
      </c>
      <c r="K437" s="83"/>
      <c r="L437" s="85"/>
      <c r="M437" s="86"/>
      <c r="N437" s="83" t="str">
        <f>IF(P436&lt;1,"","пом.")</f>
        <v/>
      </c>
      <c r="O437" s="83"/>
      <c r="P437" s="85"/>
      <c r="Q437" s="86"/>
      <c r="R437" s="30"/>
      <c r="S437" s="30"/>
      <c r="T437" s="30"/>
      <c r="U437" s="30"/>
      <c r="V437" s="32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</row>
    <row r="438" spans="1:44" ht="15.6" customHeight="1" x14ac:dyDescent="0.25">
      <c r="A438" s="3"/>
      <c r="B438" s="3"/>
      <c r="C438" s="3"/>
      <c r="D438" s="4"/>
      <c r="E438" s="4"/>
      <c r="F438" s="3"/>
      <c r="G438" s="3"/>
      <c r="H438" s="4"/>
      <c r="I438" s="4"/>
      <c r="J438" s="3"/>
      <c r="K438" s="3"/>
      <c r="L438" s="4"/>
      <c r="M438" s="4"/>
      <c r="N438" s="3"/>
      <c r="O438" s="3"/>
      <c r="P438" s="4"/>
      <c r="Q438" s="4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</row>
    <row r="439" spans="1:44" ht="15.6" customHeight="1" x14ac:dyDescent="0.25">
      <c r="A439" s="3"/>
      <c r="B439" s="3"/>
      <c r="C439" s="3"/>
      <c r="D439" s="4"/>
      <c r="E439" s="5" t="s">
        <v>30</v>
      </c>
      <c r="F439" s="87" t="s">
        <v>31</v>
      </c>
      <c r="G439" s="87"/>
      <c r="H439" s="87"/>
      <c r="I439" s="117" t="s">
        <v>32</v>
      </c>
      <c r="J439" s="117"/>
      <c r="K439" s="58"/>
      <c r="L439" s="4"/>
      <c r="M439" s="4"/>
      <c r="N439" s="3"/>
      <c r="O439" s="30" t="s">
        <v>33</v>
      </c>
      <c r="P439" s="87" t="s">
        <v>34</v>
      </c>
      <c r="Q439" s="87"/>
      <c r="R439" s="87"/>
      <c r="S439" s="117" t="s">
        <v>35</v>
      </c>
      <c r="T439" s="117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</row>
    <row r="440" spans="1:44" ht="15.6" customHeight="1" x14ac:dyDescent="0.25">
      <c r="A440" s="3"/>
      <c r="B440" s="3"/>
      <c r="C440" s="3"/>
      <c r="D440" s="4"/>
      <c r="E440" s="5" t="s">
        <v>36</v>
      </c>
      <c r="F440" s="87" t="s">
        <v>37</v>
      </c>
      <c r="G440" s="87"/>
      <c r="H440" s="87"/>
      <c r="I440" s="117" t="s">
        <v>38</v>
      </c>
      <c r="J440" s="117"/>
      <c r="K440" s="117"/>
      <c r="L440" s="4"/>
      <c r="M440" s="4"/>
      <c r="N440" s="3"/>
      <c r="O440" s="30" t="s">
        <v>39</v>
      </c>
      <c r="P440" s="87" t="s">
        <v>34</v>
      </c>
      <c r="Q440" s="87"/>
      <c r="R440" s="87"/>
      <c r="S440" s="118" t="s">
        <v>40</v>
      </c>
      <c r="T440" s="118"/>
      <c r="U440" s="118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</row>
    <row r="441" spans="1:44" ht="15.6" customHeight="1" x14ac:dyDescent="0.25">
      <c r="A441" s="41"/>
      <c r="B441" s="41"/>
      <c r="C441" s="41"/>
      <c r="D441" s="42"/>
      <c r="E441" s="43"/>
      <c r="F441" s="41"/>
      <c r="G441" s="41"/>
      <c r="H441" s="42"/>
      <c r="I441" s="42"/>
      <c r="J441" s="41"/>
      <c r="K441" s="41"/>
      <c r="L441" s="42"/>
      <c r="M441" s="42"/>
      <c r="N441" s="41"/>
      <c r="O441" s="41"/>
      <c r="P441" s="42"/>
      <c r="Q441" s="42"/>
      <c r="R441" s="41"/>
      <c r="S441" s="41"/>
      <c r="T441" s="41"/>
      <c r="U441" s="41"/>
      <c r="V441" s="41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</row>
    <row r="442" spans="1:44" ht="15.6" customHeight="1" x14ac:dyDescent="0.3">
      <c r="A442" s="3"/>
      <c r="B442" s="3"/>
      <c r="C442" s="3"/>
      <c r="D442" s="4"/>
      <c r="E442" s="6" t="s">
        <v>1</v>
      </c>
      <c r="F442" s="3"/>
      <c r="G442" s="7"/>
      <c r="H442" s="8"/>
      <c r="I442" s="8"/>
      <c r="J442" s="7"/>
      <c r="K442" s="7"/>
      <c r="L442" s="8"/>
      <c r="M442" s="9" t="s">
        <v>2</v>
      </c>
      <c r="N442" s="12" t="str">
        <f>N422</f>
        <v>1.1</v>
      </c>
      <c r="O442" s="12"/>
      <c r="P442" s="4"/>
      <c r="Q442" s="4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</row>
    <row r="443" spans="1:44" ht="15.6" customHeight="1" x14ac:dyDescent="0.3">
      <c r="A443" s="3"/>
      <c r="B443" s="3"/>
      <c r="C443" s="3"/>
      <c r="D443" s="4"/>
      <c r="E443" s="6" t="s">
        <v>4</v>
      </c>
      <c r="F443" s="3"/>
      <c r="G443" s="3"/>
      <c r="H443" s="4"/>
      <c r="I443" s="4"/>
      <c r="J443" s="13"/>
      <c r="K443" s="13"/>
      <c r="L443" s="14"/>
      <c r="M443" s="9" t="s">
        <v>5</v>
      </c>
      <c r="N443" s="15" t="str">
        <f>N423</f>
        <v>1.1.3</v>
      </c>
      <c r="O443" s="15"/>
      <c r="P443" s="4"/>
      <c r="Q443" s="4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</row>
    <row r="444" spans="1:44" ht="15.6" customHeight="1" x14ac:dyDescent="0.3">
      <c r="A444" s="3"/>
      <c r="B444" s="3"/>
      <c r="C444" s="3"/>
      <c r="D444" s="4"/>
      <c r="E444" s="4" t="s">
        <v>7</v>
      </c>
      <c r="F444" s="3"/>
      <c r="G444" s="3"/>
      <c r="H444" s="8"/>
      <c r="I444" s="8"/>
      <c r="J444" s="7"/>
      <c r="K444" s="7"/>
      <c r="L444" s="8"/>
      <c r="M444" s="16" t="s">
        <v>5</v>
      </c>
      <c r="N444" s="17">
        <f>N424</f>
        <v>11</v>
      </c>
      <c r="O444" s="3"/>
      <c r="P444" s="4"/>
      <c r="Q444" s="4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</row>
    <row r="445" spans="1:44" ht="15.6" customHeight="1" x14ac:dyDescent="0.3">
      <c r="A445" s="3"/>
      <c r="B445" s="3"/>
      <c r="C445" s="3"/>
      <c r="D445" s="4"/>
      <c r="E445" s="4" t="s">
        <v>8</v>
      </c>
      <c r="F445" s="3"/>
      <c r="G445" s="3"/>
      <c r="H445" s="4"/>
      <c r="I445" s="4"/>
      <c r="J445" s="3"/>
      <c r="K445" s="3"/>
      <c r="L445" s="14"/>
      <c r="M445" s="16" t="s">
        <v>99</v>
      </c>
      <c r="N445" s="17" t="str">
        <f>IF(N425="-"&amp;N422&amp;".5",IF(N426=15,"-"&amp;N422&amp;".6","-"&amp;N422&amp;".5"),N425)</f>
        <v>-1.1.6</v>
      </c>
      <c r="O445" s="19"/>
      <c r="P445" s="4"/>
      <c r="Q445" s="4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</row>
    <row r="446" spans="1:44" ht="15.6" customHeight="1" x14ac:dyDescent="0.3">
      <c r="A446" s="3"/>
      <c r="B446" s="3"/>
      <c r="C446" s="3"/>
      <c r="D446" s="4"/>
      <c r="E446" s="21" t="s">
        <v>10</v>
      </c>
      <c r="F446" s="3"/>
      <c r="G446" s="3"/>
      <c r="H446" s="4"/>
      <c r="I446" s="8"/>
      <c r="J446" s="7"/>
      <c r="K446" s="7"/>
      <c r="L446" s="8"/>
      <c r="M446" s="16" t="s">
        <v>5</v>
      </c>
      <c r="N446" s="17">
        <f>IF(N445="-"&amp;N380&amp;".5",N426+1,IF(N425="-"&amp;N380&amp;".5",1,N426+1))</f>
        <v>7</v>
      </c>
      <c r="O446" s="3"/>
      <c r="P446" s="4"/>
      <c r="Q446" s="4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</row>
    <row r="447" spans="1:44" ht="15.6" customHeight="1" x14ac:dyDescent="0.25">
      <c r="A447" s="3"/>
      <c r="B447" s="3"/>
      <c r="C447" s="3"/>
      <c r="D447" s="4"/>
      <c r="E447" s="4"/>
      <c r="F447" s="3"/>
      <c r="G447" s="3"/>
      <c r="H447" s="4"/>
      <c r="I447" s="4"/>
      <c r="J447" s="3"/>
      <c r="K447" s="3"/>
      <c r="L447" s="4"/>
      <c r="M447" s="4"/>
      <c r="N447" s="3"/>
      <c r="O447" s="3"/>
      <c r="P447" s="4"/>
      <c r="Q447" s="4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</row>
    <row r="448" spans="1:44" ht="15.6" customHeight="1" x14ac:dyDescent="0.25">
      <c r="A448" s="24"/>
      <c r="B448" s="25"/>
      <c r="C448" s="25"/>
      <c r="D448" s="26"/>
      <c r="E448" s="26"/>
      <c r="F448" s="25"/>
      <c r="G448" s="25"/>
      <c r="H448" s="26"/>
      <c r="I448" s="26"/>
      <c r="J448" s="25"/>
      <c r="K448" s="25"/>
      <c r="L448" s="26"/>
      <c r="M448" s="26"/>
      <c r="N448" s="25"/>
      <c r="O448" s="25"/>
      <c r="P448" s="26"/>
      <c r="Q448" s="26"/>
      <c r="R448" s="25"/>
      <c r="S448" s="25"/>
      <c r="T448" s="25"/>
      <c r="U448" s="25"/>
      <c r="V448" s="45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</row>
    <row r="449" spans="1:44" ht="15.6" customHeight="1" x14ac:dyDescent="0.25">
      <c r="A449" s="27"/>
      <c r="B449" s="28"/>
      <c r="C449" s="28"/>
      <c r="D449" s="71">
        <v>1</v>
      </c>
      <c r="E449" s="72"/>
      <c r="F449" s="28"/>
      <c r="G449" s="28"/>
      <c r="H449" s="71">
        <v>2</v>
      </c>
      <c r="I449" s="72"/>
      <c r="J449" s="28"/>
      <c r="K449" s="28"/>
      <c r="L449" s="71">
        <v>3</v>
      </c>
      <c r="M449" s="72"/>
      <c r="N449" s="28"/>
      <c r="O449" s="28"/>
      <c r="P449" s="71">
        <v>4</v>
      </c>
      <c r="Q449" s="72"/>
      <c r="R449" s="28"/>
      <c r="S449" s="28"/>
      <c r="T449" s="28"/>
      <c r="U449" s="28"/>
      <c r="V449" s="46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</row>
    <row r="450" spans="1:44" ht="15.6" customHeight="1" x14ac:dyDescent="0.25">
      <c r="A450" s="27"/>
      <c r="B450" s="74" t="s">
        <v>11</v>
      </c>
      <c r="C450" s="74"/>
      <c r="D450" s="71" t="s">
        <v>12</v>
      </c>
      <c r="E450" s="72"/>
      <c r="F450" s="74" t="s">
        <v>11</v>
      </c>
      <c r="G450" s="74"/>
      <c r="H450" s="71" t="s">
        <v>12</v>
      </c>
      <c r="I450" s="72"/>
      <c r="J450" s="74" t="s">
        <v>11</v>
      </c>
      <c r="K450" s="74"/>
      <c r="L450" s="71" t="s">
        <v>12</v>
      </c>
      <c r="M450" s="72"/>
      <c r="N450" s="74" t="s">
        <v>11</v>
      </c>
      <c r="O450" s="74"/>
      <c r="P450" s="71" t="s">
        <v>12</v>
      </c>
      <c r="Q450" s="72"/>
      <c r="R450" s="74"/>
      <c r="S450" s="74"/>
      <c r="T450" s="74"/>
      <c r="U450" s="74"/>
      <c r="V450" s="48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</row>
    <row r="451" spans="1:44" ht="15.6" customHeight="1" x14ac:dyDescent="0.25">
      <c r="A451" s="27"/>
      <c r="B451" s="76"/>
      <c r="C451" s="76"/>
      <c r="D451" s="77"/>
      <c r="E451" s="77"/>
      <c r="F451" s="76"/>
      <c r="G451" s="76"/>
      <c r="H451" s="77"/>
      <c r="I451" s="77"/>
      <c r="J451" s="76"/>
      <c r="K451" s="76"/>
      <c r="L451" s="77"/>
      <c r="M451" s="77"/>
      <c r="N451" s="76"/>
      <c r="O451" s="76"/>
      <c r="P451" s="77"/>
      <c r="Q451" s="77"/>
      <c r="R451" s="76"/>
      <c r="S451" s="76"/>
      <c r="T451" s="76"/>
      <c r="U451" s="76"/>
      <c r="V451" s="48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</row>
    <row r="452" spans="1:44" ht="15.6" customHeight="1" x14ac:dyDescent="0.25">
      <c r="A452" s="27"/>
      <c r="B452" s="74">
        <v>0</v>
      </c>
      <c r="C452" s="74"/>
      <c r="D452" s="78">
        <v>1</v>
      </c>
      <c r="E452" s="78"/>
      <c r="F452" s="74">
        <v>2</v>
      </c>
      <c r="G452" s="74"/>
      <c r="H452" s="78">
        <v>3</v>
      </c>
      <c r="I452" s="78"/>
      <c r="J452" s="74">
        <v>4</v>
      </c>
      <c r="K452" s="74"/>
      <c r="L452" s="78">
        <v>5</v>
      </c>
      <c r="M452" s="78"/>
      <c r="N452" s="74">
        <v>6</v>
      </c>
      <c r="O452" s="74"/>
      <c r="P452" s="78">
        <v>7</v>
      </c>
      <c r="Q452" s="78"/>
      <c r="R452" s="74">
        <v>8</v>
      </c>
      <c r="S452" s="74"/>
      <c r="T452" s="74">
        <v>9</v>
      </c>
      <c r="U452" s="74"/>
      <c r="V452" s="49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</row>
    <row r="453" spans="1:44" ht="15.6" customHeight="1" x14ac:dyDescent="0.25">
      <c r="A453" s="27"/>
      <c r="B453" s="28" t="s">
        <v>13</v>
      </c>
      <c r="C453" s="28" t="s">
        <v>14</v>
      </c>
      <c r="D453" s="31" t="s">
        <v>15</v>
      </c>
      <c r="E453" s="31" t="s">
        <v>16</v>
      </c>
      <c r="F453" s="28" t="s">
        <v>13</v>
      </c>
      <c r="G453" s="28" t="s">
        <v>14</v>
      </c>
      <c r="H453" s="31" t="s">
        <v>15</v>
      </c>
      <c r="I453" s="31" t="s">
        <v>16</v>
      </c>
      <c r="J453" s="28" t="s">
        <v>13</v>
      </c>
      <c r="K453" s="28" t="s">
        <v>14</v>
      </c>
      <c r="L453" s="31" t="s">
        <v>15</v>
      </c>
      <c r="M453" s="31" t="s">
        <v>16</v>
      </c>
      <c r="N453" s="28" t="s">
        <v>13</v>
      </c>
      <c r="O453" s="28" t="s">
        <v>14</v>
      </c>
      <c r="P453" s="31" t="s">
        <v>15</v>
      </c>
      <c r="Q453" s="31" t="s">
        <v>16</v>
      </c>
      <c r="R453" s="28" t="s">
        <v>13</v>
      </c>
      <c r="S453" s="28" t="s">
        <v>14</v>
      </c>
      <c r="T453" s="28" t="s">
        <v>15</v>
      </c>
      <c r="U453" s="28" t="s">
        <v>16</v>
      </c>
      <c r="V453" s="49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</row>
    <row r="454" spans="1:44" ht="15.6" customHeight="1" x14ac:dyDescent="0.25">
      <c r="A454" s="33"/>
      <c r="B454" s="34"/>
      <c r="C454" s="34"/>
      <c r="D454" s="35"/>
      <c r="E454" s="36"/>
      <c r="F454" s="34"/>
      <c r="G454" s="34"/>
      <c r="H454" s="35"/>
      <c r="I454" s="36"/>
      <c r="J454" s="34"/>
      <c r="K454" s="34"/>
      <c r="L454" s="35"/>
      <c r="M454" s="36"/>
      <c r="N454" s="34"/>
      <c r="O454" s="34"/>
      <c r="P454" s="35"/>
      <c r="Q454" s="36"/>
      <c r="R454" s="34"/>
      <c r="S454" s="34"/>
      <c r="T454" s="34"/>
      <c r="U454" s="34"/>
      <c r="V454" s="50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</row>
    <row r="455" spans="1:44" ht="7.9" customHeight="1" x14ac:dyDescent="0.25">
      <c r="A455" s="3"/>
      <c r="B455" s="30"/>
      <c r="C455" s="30"/>
      <c r="D455" s="54"/>
      <c r="E455" s="5"/>
      <c r="F455" s="30"/>
      <c r="G455" s="30"/>
      <c r="H455" s="54"/>
      <c r="I455" s="5"/>
      <c r="J455" s="30"/>
      <c r="K455" s="30"/>
      <c r="L455" s="54"/>
      <c r="M455" s="5"/>
      <c r="N455" s="30"/>
      <c r="O455" s="30"/>
      <c r="P455" s="54"/>
      <c r="Q455" s="5"/>
      <c r="R455" s="30"/>
      <c r="S455" s="30"/>
      <c r="T455" s="30"/>
      <c r="U455" s="30"/>
      <c r="V455" s="32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</row>
    <row r="456" spans="1:44" ht="15.6" customHeight="1" x14ac:dyDescent="0.25">
      <c r="A456" s="3"/>
      <c r="B456" s="95"/>
      <c r="C456" s="96"/>
      <c r="D456" s="97"/>
      <c r="E456" s="98"/>
      <c r="F456" s="95"/>
      <c r="G456" s="96"/>
      <c r="H456" s="97"/>
      <c r="I456" s="98"/>
      <c r="J456" s="95"/>
      <c r="K456" s="96"/>
      <c r="L456" s="97"/>
      <c r="M456" s="98"/>
      <c r="N456" s="95"/>
      <c r="O456" s="96"/>
      <c r="P456" s="97"/>
      <c r="Q456" s="98"/>
      <c r="R456" s="30"/>
      <c r="S456" s="30"/>
      <c r="T456" s="30"/>
      <c r="U456" s="30"/>
      <c r="V456" s="32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</row>
    <row r="457" spans="1:44" ht="15.6" customHeight="1" x14ac:dyDescent="0.25">
      <c r="A457" s="3"/>
      <c r="B457" s="83" t="str">
        <f>IF(D456&lt;1,"","пом.")</f>
        <v/>
      </c>
      <c r="C457" s="83"/>
      <c r="D457" s="85"/>
      <c r="E457" s="86"/>
      <c r="F457" s="83" t="str">
        <f>IF(H456&lt;1,"","пом.")</f>
        <v/>
      </c>
      <c r="G457" s="83"/>
      <c r="H457" s="85"/>
      <c r="I457" s="86"/>
      <c r="J457" s="83" t="str">
        <f>IF(L456&lt;1,"","пом.")</f>
        <v/>
      </c>
      <c r="K457" s="83"/>
      <c r="L457" s="85"/>
      <c r="M457" s="86"/>
      <c r="N457" s="83" t="str">
        <f>IF(P456&lt;1,"","пом.")</f>
        <v/>
      </c>
      <c r="O457" s="83"/>
      <c r="P457" s="85"/>
      <c r="Q457" s="86"/>
      <c r="R457" s="30"/>
      <c r="S457" s="30"/>
      <c r="T457" s="30"/>
      <c r="U457" s="30"/>
      <c r="V457" s="32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</row>
    <row r="458" spans="1:44" ht="6.6" customHeight="1" x14ac:dyDescent="0.25">
      <c r="A458" s="3"/>
      <c r="B458" s="3"/>
      <c r="C458" s="3"/>
      <c r="D458" s="4"/>
      <c r="E458" s="4"/>
      <c r="F458" s="3"/>
      <c r="G458" s="3"/>
      <c r="H458" s="4"/>
      <c r="I458" s="4"/>
      <c r="J458" s="3"/>
      <c r="K458" s="3"/>
      <c r="L458" s="4"/>
      <c r="M458" s="4"/>
      <c r="N458" s="3"/>
      <c r="O458" s="3"/>
      <c r="P458" s="4"/>
      <c r="Q458" s="4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</row>
    <row r="459" spans="1:44" ht="15.6" customHeight="1" x14ac:dyDescent="0.25">
      <c r="A459" s="3"/>
      <c r="B459" s="3"/>
      <c r="C459" s="3"/>
      <c r="D459" s="4"/>
      <c r="E459" s="5" t="s">
        <v>30</v>
      </c>
      <c r="F459" s="87" t="s">
        <v>31</v>
      </c>
      <c r="G459" s="87"/>
      <c r="H459" s="87"/>
      <c r="I459" s="117" t="s">
        <v>32</v>
      </c>
      <c r="J459" s="117"/>
      <c r="K459" s="58"/>
      <c r="L459" s="4"/>
      <c r="M459" s="4"/>
      <c r="N459" s="3"/>
      <c r="O459" s="30" t="s">
        <v>33</v>
      </c>
      <c r="P459" s="87" t="s">
        <v>34</v>
      </c>
      <c r="Q459" s="87"/>
      <c r="R459" s="87"/>
      <c r="S459" s="117" t="s">
        <v>35</v>
      </c>
      <c r="T459" s="117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</row>
    <row r="460" spans="1:44" ht="15.6" customHeight="1" x14ac:dyDescent="0.25">
      <c r="A460" s="3"/>
      <c r="B460" s="3"/>
      <c r="C460" s="3"/>
      <c r="D460" s="4"/>
      <c r="E460" s="5" t="s">
        <v>36</v>
      </c>
      <c r="F460" s="87" t="s">
        <v>37</v>
      </c>
      <c r="G460" s="87"/>
      <c r="H460" s="87"/>
      <c r="I460" s="117" t="s">
        <v>38</v>
      </c>
      <c r="J460" s="117"/>
      <c r="K460" s="117"/>
      <c r="L460" s="4"/>
      <c r="M460" s="4"/>
      <c r="N460" s="3"/>
      <c r="O460" s="30" t="s">
        <v>39</v>
      </c>
      <c r="P460" s="87" t="s">
        <v>34</v>
      </c>
      <c r="Q460" s="87"/>
      <c r="R460" s="87"/>
      <c r="S460" s="118" t="s">
        <v>40</v>
      </c>
      <c r="T460" s="118"/>
      <c r="U460" s="118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</row>
    <row r="461" spans="1:44" ht="15.6" customHeight="1" x14ac:dyDescent="0.25">
      <c r="A461" s="41"/>
      <c r="B461" s="41"/>
      <c r="C461" s="41"/>
      <c r="D461" s="42"/>
      <c r="E461" s="43"/>
      <c r="F461" s="41"/>
      <c r="G461" s="41"/>
      <c r="H461" s="42"/>
      <c r="I461" s="42"/>
      <c r="J461" s="41"/>
      <c r="K461" s="41"/>
      <c r="L461" s="42"/>
      <c r="M461" s="42"/>
      <c r="N461" s="41"/>
      <c r="O461" s="41"/>
      <c r="P461" s="42"/>
      <c r="Q461" s="42"/>
      <c r="R461" s="41"/>
      <c r="S461" s="41"/>
      <c r="T461" s="41"/>
      <c r="U461" s="41"/>
      <c r="V461" s="41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</row>
    <row r="462" spans="1:44" ht="15.6" customHeight="1" x14ac:dyDescent="0.25">
      <c r="A462" s="41"/>
      <c r="B462" s="41"/>
      <c r="C462" s="41"/>
      <c r="D462" s="42"/>
      <c r="E462" s="43"/>
      <c r="F462" s="41"/>
      <c r="G462" s="41"/>
      <c r="H462" s="42"/>
      <c r="I462" s="42"/>
      <c r="J462" s="41"/>
      <c r="K462" s="41"/>
      <c r="L462" s="42"/>
      <c r="M462" s="42"/>
      <c r="N462" s="41"/>
      <c r="O462" s="41"/>
      <c r="P462" s="42"/>
      <c r="Q462" s="42"/>
      <c r="R462" s="41"/>
      <c r="S462" s="41"/>
      <c r="T462" s="41"/>
      <c r="U462" s="41"/>
      <c r="V462" s="41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</row>
    <row r="463" spans="1:44" ht="15.6" hidden="1" customHeight="1" x14ac:dyDescent="0.25">
      <c r="A463" s="3"/>
      <c r="B463" s="3"/>
      <c r="C463" s="3"/>
      <c r="D463" s="4"/>
      <c r="E463" s="4"/>
      <c r="F463" s="3"/>
      <c r="G463" s="3"/>
      <c r="H463" s="4"/>
      <c r="I463" s="4"/>
      <c r="J463" s="3"/>
      <c r="K463" s="3"/>
      <c r="L463" s="4"/>
      <c r="M463" s="4"/>
      <c r="N463" s="3"/>
      <c r="O463" s="3"/>
      <c r="P463" s="4"/>
      <c r="Q463" s="4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</row>
    <row r="464" spans="1:44" ht="15.6" customHeight="1" x14ac:dyDescent="0.3">
      <c r="A464" s="3"/>
      <c r="B464" s="3"/>
      <c r="C464" s="3"/>
      <c r="D464" s="4"/>
      <c r="E464" s="6" t="s">
        <v>1</v>
      </c>
      <c r="F464" s="3"/>
      <c r="G464" s="7"/>
      <c r="H464" s="8"/>
      <c r="I464" s="8"/>
      <c r="J464" s="7"/>
      <c r="K464" s="7"/>
      <c r="L464" s="8"/>
      <c r="M464" s="9" t="s">
        <v>2</v>
      </c>
      <c r="N464" s="12" t="str">
        <f>N442</f>
        <v>1.1</v>
      </c>
      <c r="O464" s="12"/>
      <c r="P464" s="4"/>
      <c r="Q464" s="4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</row>
    <row r="465" spans="1:44" ht="15.6" customHeight="1" x14ac:dyDescent="0.3">
      <c r="A465" s="3"/>
      <c r="B465" s="3"/>
      <c r="C465" s="3"/>
      <c r="D465" s="4"/>
      <c r="E465" s="6" t="s">
        <v>4</v>
      </c>
      <c r="F465" s="3"/>
      <c r="G465" s="3"/>
      <c r="H465" s="4"/>
      <c r="I465" s="4"/>
      <c r="J465" s="13"/>
      <c r="K465" s="13"/>
      <c r="L465" s="14"/>
      <c r="M465" s="9" t="s">
        <v>5</v>
      </c>
      <c r="N465" s="15" t="str">
        <f>N464&amp;".3"</f>
        <v>1.1.3</v>
      </c>
      <c r="O465" s="15"/>
      <c r="P465" s="4"/>
      <c r="Q465" s="4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</row>
    <row r="466" spans="1:44" ht="15.6" customHeight="1" x14ac:dyDescent="0.3">
      <c r="A466" s="3"/>
      <c r="B466" s="3"/>
      <c r="C466" s="3"/>
      <c r="D466" s="4"/>
      <c r="E466" s="4" t="s">
        <v>7</v>
      </c>
      <c r="F466" s="3"/>
      <c r="G466" s="3"/>
      <c r="H466" s="8"/>
      <c r="I466" s="8"/>
      <c r="J466" s="7"/>
      <c r="K466" s="7"/>
      <c r="L466" s="8"/>
      <c r="M466" s="16" t="s">
        <v>5</v>
      </c>
      <c r="N466" s="17">
        <f>N444+1</f>
        <v>12</v>
      </c>
      <c r="O466" s="3"/>
      <c r="P466" s="4"/>
      <c r="Q466" s="4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</row>
    <row r="467" spans="1:44" ht="15.6" customHeight="1" x14ac:dyDescent="0.3">
      <c r="A467" s="3"/>
      <c r="B467" s="3"/>
      <c r="C467" s="3"/>
      <c r="D467" s="4"/>
      <c r="E467" s="4" t="s">
        <v>8</v>
      </c>
      <c r="F467" s="3"/>
      <c r="G467" s="3"/>
      <c r="H467" s="4"/>
      <c r="I467" s="4"/>
      <c r="J467" s="3"/>
      <c r="K467" s="3"/>
      <c r="L467" s="14"/>
      <c r="M467" s="16" t="s">
        <v>99</v>
      </c>
      <c r="N467" s="17" t="str">
        <f>IF(N445="-"&amp;N422&amp;".5",IF(N446=15,"-"&amp;N422&amp;".6","-"&amp;N422&amp;".5"),N445)</f>
        <v>-1.1.6</v>
      </c>
      <c r="O467" s="3"/>
      <c r="P467" s="4"/>
      <c r="Q467" s="4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</row>
    <row r="468" spans="1:44" ht="15.6" customHeight="1" x14ac:dyDescent="0.3">
      <c r="A468" s="3"/>
      <c r="B468" s="3"/>
      <c r="C468" s="3"/>
      <c r="D468" s="4"/>
      <c r="E468" s="21" t="s">
        <v>10</v>
      </c>
      <c r="F468" s="3"/>
      <c r="G468" s="3"/>
      <c r="H468" s="4"/>
      <c r="I468" s="8"/>
      <c r="J468" s="7"/>
      <c r="K468" s="7"/>
      <c r="L468" s="8"/>
      <c r="M468" s="16" t="s">
        <v>5</v>
      </c>
      <c r="N468" s="17">
        <f>IF(N467="-"&amp;N422&amp;".5",N446+1,IF(N445="-"&amp;N422&amp;".5",1,N446+1))</f>
        <v>8</v>
      </c>
      <c r="O468" s="3"/>
      <c r="P468" s="4"/>
      <c r="Q468" s="4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</row>
    <row r="469" spans="1:44" ht="15.6" customHeight="1" x14ac:dyDescent="0.25">
      <c r="A469" s="3"/>
      <c r="B469" s="3"/>
      <c r="C469" s="3"/>
      <c r="D469" s="4"/>
      <c r="E469" s="4"/>
      <c r="F469" s="3"/>
      <c r="G469" s="3"/>
      <c r="H469" s="4"/>
      <c r="I469" s="4"/>
      <c r="J469" s="3"/>
      <c r="K469" s="3"/>
      <c r="L469" s="4"/>
      <c r="M469" s="4"/>
      <c r="N469" s="3"/>
      <c r="O469" s="3"/>
      <c r="P469" s="4"/>
      <c r="Q469" s="4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</row>
    <row r="470" spans="1:44" ht="15.6" customHeight="1" x14ac:dyDescent="0.25">
      <c r="A470" s="24"/>
      <c r="B470" s="25"/>
      <c r="C470" s="25"/>
      <c r="D470" s="26"/>
      <c r="E470" s="26"/>
      <c r="F470" s="25"/>
      <c r="G470" s="25"/>
      <c r="H470" s="26"/>
      <c r="I470" s="26"/>
      <c r="J470" s="25"/>
      <c r="K470" s="25"/>
      <c r="L470" s="26"/>
      <c r="M470" s="26"/>
      <c r="N470" s="25"/>
      <c r="O470" s="25"/>
      <c r="P470" s="26"/>
      <c r="Q470" s="26"/>
      <c r="R470" s="25"/>
      <c r="S470" s="25"/>
      <c r="T470" s="25"/>
      <c r="U470" s="25"/>
      <c r="V470" s="45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</row>
    <row r="471" spans="1:44" ht="15.6" customHeight="1" x14ac:dyDescent="0.25">
      <c r="A471" s="27"/>
      <c r="B471" s="28"/>
      <c r="C471" s="28"/>
      <c r="D471" s="71">
        <v>1</v>
      </c>
      <c r="E471" s="72"/>
      <c r="F471" s="28"/>
      <c r="G471" s="28"/>
      <c r="H471" s="71">
        <v>2</v>
      </c>
      <c r="I471" s="72"/>
      <c r="J471" s="28"/>
      <c r="K471" s="28"/>
      <c r="L471" s="71">
        <v>3</v>
      </c>
      <c r="M471" s="72"/>
      <c r="N471" s="28"/>
      <c r="O471" s="28"/>
      <c r="P471" s="71">
        <v>4</v>
      </c>
      <c r="Q471" s="72"/>
      <c r="R471" s="28"/>
      <c r="S471" s="28"/>
      <c r="T471" s="28"/>
      <c r="U471" s="28"/>
      <c r="V471" s="46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</row>
    <row r="472" spans="1:44" ht="15.6" customHeight="1" x14ac:dyDescent="0.25">
      <c r="A472" s="27"/>
      <c r="B472" s="74" t="s">
        <v>11</v>
      </c>
      <c r="C472" s="74"/>
      <c r="D472" s="71" t="s">
        <v>12</v>
      </c>
      <c r="E472" s="72"/>
      <c r="F472" s="74" t="s">
        <v>11</v>
      </c>
      <c r="G472" s="74"/>
      <c r="H472" s="71" t="s">
        <v>12</v>
      </c>
      <c r="I472" s="72"/>
      <c r="J472" s="74" t="s">
        <v>11</v>
      </c>
      <c r="K472" s="74"/>
      <c r="L472" s="71" t="s">
        <v>12</v>
      </c>
      <c r="M472" s="72"/>
      <c r="N472" s="74" t="s">
        <v>11</v>
      </c>
      <c r="O472" s="74"/>
      <c r="P472" s="71" t="s">
        <v>12</v>
      </c>
      <c r="Q472" s="72"/>
      <c r="R472" s="74"/>
      <c r="S472" s="74"/>
      <c r="T472" s="74"/>
      <c r="U472" s="74"/>
      <c r="V472" s="48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</row>
    <row r="473" spans="1:44" ht="15.6" customHeight="1" x14ac:dyDescent="0.25">
      <c r="A473" s="27"/>
      <c r="B473" s="76"/>
      <c r="C473" s="76"/>
      <c r="D473" s="77"/>
      <c r="E473" s="77"/>
      <c r="F473" s="76"/>
      <c r="G473" s="76"/>
      <c r="H473" s="77"/>
      <c r="I473" s="77"/>
      <c r="J473" s="76"/>
      <c r="K473" s="76"/>
      <c r="L473" s="77"/>
      <c r="M473" s="77"/>
      <c r="N473" s="76"/>
      <c r="O473" s="76"/>
      <c r="P473" s="77"/>
      <c r="Q473" s="77"/>
      <c r="R473" s="76"/>
      <c r="S473" s="76"/>
      <c r="T473" s="76"/>
      <c r="U473" s="76"/>
      <c r="V473" s="48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</row>
    <row r="474" spans="1:44" ht="15.6" customHeight="1" x14ac:dyDescent="0.25">
      <c r="A474" s="27"/>
      <c r="B474" s="74">
        <v>0</v>
      </c>
      <c r="C474" s="74"/>
      <c r="D474" s="78">
        <v>1</v>
      </c>
      <c r="E474" s="78"/>
      <c r="F474" s="74">
        <v>2</v>
      </c>
      <c r="G474" s="74"/>
      <c r="H474" s="78">
        <v>3</v>
      </c>
      <c r="I474" s="78"/>
      <c r="J474" s="74">
        <v>4</v>
      </c>
      <c r="K474" s="74"/>
      <c r="L474" s="78">
        <v>5</v>
      </c>
      <c r="M474" s="78"/>
      <c r="N474" s="74">
        <v>6</v>
      </c>
      <c r="O474" s="74"/>
      <c r="P474" s="78">
        <v>7</v>
      </c>
      <c r="Q474" s="78"/>
      <c r="R474" s="74">
        <v>8</v>
      </c>
      <c r="S474" s="74"/>
      <c r="T474" s="74">
        <v>9</v>
      </c>
      <c r="U474" s="74"/>
      <c r="V474" s="49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</row>
    <row r="475" spans="1:44" ht="15.6" customHeight="1" x14ac:dyDescent="0.25">
      <c r="A475" s="27"/>
      <c r="B475" s="28" t="s">
        <v>13</v>
      </c>
      <c r="C475" s="28" t="s">
        <v>14</v>
      </c>
      <c r="D475" s="31" t="s">
        <v>15</v>
      </c>
      <c r="E475" s="31" t="s">
        <v>16</v>
      </c>
      <c r="F475" s="28" t="s">
        <v>13</v>
      </c>
      <c r="G475" s="28" t="s">
        <v>14</v>
      </c>
      <c r="H475" s="31" t="s">
        <v>15</v>
      </c>
      <c r="I475" s="31" t="s">
        <v>16</v>
      </c>
      <c r="J475" s="28" t="s">
        <v>13</v>
      </c>
      <c r="K475" s="28" t="s">
        <v>14</v>
      </c>
      <c r="L475" s="31" t="s">
        <v>15</v>
      </c>
      <c r="M475" s="31" t="s">
        <v>16</v>
      </c>
      <c r="N475" s="28" t="s">
        <v>13</v>
      </c>
      <c r="O475" s="28" t="s">
        <v>14</v>
      </c>
      <c r="P475" s="31" t="s">
        <v>15</v>
      </c>
      <c r="Q475" s="31" t="s">
        <v>16</v>
      </c>
      <c r="R475" s="28" t="s">
        <v>13</v>
      </c>
      <c r="S475" s="28" t="s">
        <v>14</v>
      </c>
      <c r="T475" s="28" t="s">
        <v>15</v>
      </c>
      <c r="U475" s="28" t="s">
        <v>16</v>
      </c>
      <c r="V475" s="49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</row>
    <row r="476" spans="1:44" ht="15.6" customHeight="1" x14ac:dyDescent="0.25">
      <c r="A476" s="33"/>
      <c r="B476" s="34"/>
      <c r="C476" s="34"/>
      <c r="D476" s="35"/>
      <c r="E476" s="36"/>
      <c r="F476" s="34"/>
      <c r="G476" s="34"/>
      <c r="H476" s="35"/>
      <c r="I476" s="36"/>
      <c r="J476" s="34"/>
      <c r="K476" s="34"/>
      <c r="L476" s="35"/>
      <c r="M476" s="36"/>
      <c r="N476" s="34"/>
      <c r="O476" s="34"/>
      <c r="P476" s="35"/>
      <c r="Q476" s="36"/>
      <c r="R476" s="34"/>
      <c r="S476" s="34"/>
      <c r="T476" s="34"/>
      <c r="U476" s="34"/>
      <c r="V476" s="50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</row>
    <row r="477" spans="1:44" ht="15.6" customHeight="1" x14ac:dyDescent="0.25">
      <c r="A477" s="3"/>
      <c r="B477" s="30"/>
      <c r="C477" s="30"/>
      <c r="D477" s="54"/>
      <c r="E477" s="5"/>
      <c r="F477" s="30"/>
      <c r="G477" s="30"/>
      <c r="H477" s="54"/>
      <c r="I477" s="5"/>
      <c r="J477" s="30"/>
      <c r="K477" s="30"/>
      <c r="L477" s="54"/>
      <c r="M477" s="5"/>
      <c r="N477" s="30"/>
      <c r="O477" s="30"/>
      <c r="P477" s="54"/>
      <c r="Q477" s="5"/>
      <c r="R477" s="30"/>
      <c r="S477" s="30"/>
      <c r="T477" s="30"/>
      <c r="U477" s="30"/>
      <c r="V477" s="32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</row>
    <row r="478" spans="1:44" ht="15.6" customHeight="1" x14ac:dyDescent="0.25">
      <c r="A478" s="3"/>
      <c r="B478" s="95"/>
      <c r="C478" s="96"/>
      <c r="D478" s="97"/>
      <c r="E478" s="98"/>
      <c r="F478" s="95"/>
      <c r="G478" s="96"/>
      <c r="H478" s="97"/>
      <c r="I478" s="98"/>
      <c r="J478" s="95"/>
      <c r="K478" s="96"/>
      <c r="L478" s="97"/>
      <c r="M478" s="98"/>
      <c r="N478" s="95"/>
      <c r="O478" s="96"/>
      <c r="P478" s="97"/>
      <c r="Q478" s="98"/>
      <c r="R478" s="30"/>
      <c r="S478" s="30"/>
      <c r="T478" s="30"/>
      <c r="U478" s="30"/>
      <c r="V478" s="32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</row>
    <row r="479" spans="1:44" ht="15.6" customHeight="1" x14ac:dyDescent="0.25">
      <c r="A479" s="3"/>
      <c r="B479" s="83" t="str">
        <f>IF(D478&lt;1,"","пом.")</f>
        <v/>
      </c>
      <c r="C479" s="83"/>
      <c r="D479" s="85"/>
      <c r="E479" s="86"/>
      <c r="F479" s="83" t="str">
        <f>IF(H478&lt;1,"","пом.")</f>
        <v/>
      </c>
      <c r="G479" s="83"/>
      <c r="H479" s="85"/>
      <c r="I479" s="86"/>
      <c r="J479" s="83" t="str">
        <f>IF(L478&lt;1,"","пом.")</f>
        <v/>
      </c>
      <c r="K479" s="83"/>
      <c r="L479" s="85"/>
      <c r="M479" s="86"/>
      <c r="N479" s="83" t="str">
        <f>IF(P478&lt;1,"","пом.")</f>
        <v/>
      </c>
      <c r="O479" s="83"/>
      <c r="P479" s="85"/>
      <c r="Q479" s="86"/>
      <c r="R479" s="30"/>
      <c r="S479" s="30"/>
      <c r="T479" s="30"/>
      <c r="U479" s="30"/>
      <c r="V479" s="32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</row>
    <row r="480" spans="1:44" ht="15.6" customHeight="1" x14ac:dyDescent="0.25">
      <c r="A480" s="3"/>
      <c r="B480" s="3"/>
      <c r="C480" s="3"/>
      <c r="D480" s="4"/>
      <c r="E480" s="4"/>
      <c r="F480" s="3"/>
      <c r="G480" s="3"/>
      <c r="H480" s="4"/>
      <c r="I480" s="4"/>
      <c r="J480" s="3"/>
      <c r="K480" s="3"/>
      <c r="L480" s="4"/>
      <c r="M480" s="4"/>
      <c r="N480" s="3"/>
      <c r="O480" s="3"/>
      <c r="P480" s="4"/>
      <c r="Q480" s="4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</row>
    <row r="481" spans="1:44" ht="15.6" customHeight="1" x14ac:dyDescent="0.25">
      <c r="A481" s="3"/>
      <c r="B481" s="3"/>
      <c r="C481" s="3"/>
      <c r="D481" s="4"/>
      <c r="E481" s="5" t="s">
        <v>30</v>
      </c>
      <c r="F481" s="87" t="s">
        <v>31</v>
      </c>
      <c r="G481" s="87"/>
      <c r="H481" s="87"/>
      <c r="I481" s="117" t="s">
        <v>32</v>
      </c>
      <c r="J481" s="117"/>
      <c r="K481" s="58"/>
      <c r="L481" s="4"/>
      <c r="M481" s="4"/>
      <c r="N481" s="3"/>
      <c r="O481" s="30" t="s">
        <v>33</v>
      </c>
      <c r="P481" s="87" t="s">
        <v>34</v>
      </c>
      <c r="Q481" s="87"/>
      <c r="R481" s="87"/>
      <c r="S481" s="117" t="s">
        <v>35</v>
      </c>
      <c r="T481" s="117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</row>
    <row r="482" spans="1:44" ht="15.6" customHeight="1" x14ac:dyDescent="0.25">
      <c r="A482" s="3"/>
      <c r="B482" s="3"/>
      <c r="C482" s="3"/>
      <c r="D482" s="4"/>
      <c r="E482" s="5" t="s">
        <v>36</v>
      </c>
      <c r="F482" s="87" t="s">
        <v>37</v>
      </c>
      <c r="G482" s="87"/>
      <c r="H482" s="87"/>
      <c r="I482" s="117" t="s">
        <v>38</v>
      </c>
      <c r="J482" s="117"/>
      <c r="K482" s="117"/>
      <c r="L482" s="4"/>
      <c r="M482" s="4"/>
      <c r="N482" s="3"/>
      <c r="O482" s="30" t="s">
        <v>39</v>
      </c>
      <c r="P482" s="87" t="s">
        <v>34</v>
      </c>
      <c r="Q482" s="87"/>
      <c r="R482" s="87"/>
      <c r="S482" s="118" t="s">
        <v>40</v>
      </c>
      <c r="T482" s="118"/>
      <c r="U482" s="118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</row>
    <row r="483" spans="1:44" ht="15.6" customHeight="1" x14ac:dyDescent="0.25">
      <c r="A483" s="41"/>
      <c r="B483" s="41"/>
      <c r="C483" s="41"/>
      <c r="D483" s="42"/>
      <c r="E483" s="43"/>
      <c r="F483" s="41"/>
      <c r="G483" s="41"/>
      <c r="H483" s="42"/>
      <c r="I483" s="42"/>
      <c r="J483" s="41"/>
      <c r="K483" s="41"/>
      <c r="L483" s="42"/>
      <c r="M483" s="42"/>
      <c r="N483" s="41"/>
      <c r="O483" s="41"/>
      <c r="P483" s="42"/>
      <c r="Q483" s="42"/>
      <c r="R483" s="41"/>
      <c r="S483" s="41"/>
      <c r="T483" s="41"/>
      <c r="U483" s="41"/>
      <c r="V483" s="41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</row>
    <row r="484" spans="1:44" ht="15.6" customHeight="1" x14ac:dyDescent="0.3">
      <c r="A484" s="3"/>
      <c r="B484" s="3"/>
      <c r="C484" s="3"/>
      <c r="D484" s="4"/>
      <c r="E484" s="6" t="s">
        <v>1</v>
      </c>
      <c r="F484" s="3"/>
      <c r="G484" s="7"/>
      <c r="H484" s="8"/>
      <c r="I484" s="8"/>
      <c r="J484" s="7"/>
      <c r="K484" s="7"/>
      <c r="L484" s="8"/>
      <c r="M484" s="9" t="s">
        <v>2</v>
      </c>
      <c r="N484" s="12" t="str">
        <f>N464</f>
        <v>1.1</v>
      </c>
      <c r="O484" s="12"/>
      <c r="P484" s="4"/>
      <c r="Q484" s="4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</row>
    <row r="485" spans="1:44" ht="15.6" customHeight="1" x14ac:dyDescent="0.3">
      <c r="A485" s="3"/>
      <c r="B485" s="3"/>
      <c r="C485" s="3"/>
      <c r="D485" s="4"/>
      <c r="E485" s="6" t="s">
        <v>4</v>
      </c>
      <c r="F485" s="3"/>
      <c r="G485" s="3"/>
      <c r="H485" s="4"/>
      <c r="I485" s="4"/>
      <c r="J485" s="13"/>
      <c r="K485" s="13"/>
      <c r="L485" s="14"/>
      <c r="M485" s="9" t="s">
        <v>5</v>
      </c>
      <c r="N485" s="15" t="str">
        <f>N465</f>
        <v>1.1.3</v>
      </c>
      <c r="O485" s="15"/>
      <c r="P485" s="4"/>
      <c r="Q485" s="4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</row>
    <row r="486" spans="1:44" ht="15.6" customHeight="1" x14ac:dyDescent="0.3">
      <c r="A486" s="3"/>
      <c r="B486" s="3"/>
      <c r="C486" s="3"/>
      <c r="D486" s="4"/>
      <c r="E486" s="4" t="s">
        <v>7</v>
      </c>
      <c r="F486" s="3"/>
      <c r="G486" s="3"/>
      <c r="H486" s="8"/>
      <c r="I486" s="8"/>
      <c r="J486" s="7"/>
      <c r="K486" s="7"/>
      <c r="L486" s="8"/>
      <c r="M486" s="16" t="s">
        <v>5</v>
      </c>
      <c r="N486" s="17">
        <f>N466</f>
        <v>12</v>
      </c>
      <c r="O486" s="3"/>
      <c r="P486" s="4"/>
      <c r="Q486" s="4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</row>
    <row r="487" spans="1:44" ht="15.6" customHeight="1" x14ac:dyDescent="0.3">
      <c r="A487" s="3"/>
      <c r="B487" s="3"/>
      <c r="C487" s="3"/>
      <c r="D487" s="4"/>
      <c r="E487" s="4" t="s">
        <v>8</v>
      </c>
      <c r="F487" s="3"/>
      <c r="G487" s="3"/>
      <c r="H487" s="4"/>
      <c r="I487" s="4"/>
      <c r="J487" s="3"/>
      <c r="K487" s="3"/>
      <c r="L487" s="14"/>
      <c r="M487" s="16" t="s">
        <v>99</v>
      </c>
      <c r="N487" s="17" t="str">
        <f>IF(N467="-"&amp;N464&amp;".5",IF(N468=15,"-"&amp;N464&amp;".6","-"&amp;N464&amp;".5"),N467)</f>
        <v>-1.1.6</v>
      </c>
      <c r="O487" s="19"/>
      <c r="P487" s="4"/>
      <c r="Q487" s="4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</row>
    <row r="488" spans="1:44" ht="15.6" customHeight="1" x14ac:dyDescent="0.3">
      <c r="A488" s="3"/>
      <c r="B488" s="3"/>
      <c r="C488" s="3"/>
      <c r="D488" s="4"/>
      <c r="E488" s="21" t="s">
        <v>10</v>
      </c>
      <c r="F488" s="3"/>
      <c r="G488" s="3"/>
      <c r="H488" s="4"/>
      <c r="I488" s="8"/>
      <c r="J488" s="7"/>
      <c r="K488" s="7"/>
      <c r="L488" s="8"/>
      <c r="M488" s="16" t="s">
        <v>5</v>
      </c>
      <c r="N488" s="17">
        <f>IF(N487="-"&amp;N422&amp;".5",N468+1,IF(N467="-"&amp;N422&amp;".5",1,N468+1))</f>
        <v>9</v>
      </c>
      <c r="O488" s="3"/>
      <c r="P488" s="4"/>
      <c r="Q488" s="4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</row>
    <row r="489" spans="1:44" ht="6" customHeight="1" x14ac:dyDescent="0.25">
      <c r="A489" s="3"/>
      <c r="B489" s="3"/>
      <c r="C489" s="3"/>
      <c r="D489" s="4"/>
      <c r="E489" s="4"/>
      <c r="F489" s="3"/>
      <c r="G489" s="3"/>
      <c r="H489" s="4"/>
      <c r="I489" s="4"/>
      <c r="J489" s="3"/>
      <c r="K489" s="3"/>
      <c r="L489" s="4"/>
      <c r="M489" s="4"/>
      <c r="N489" s="3"/>
      <c r="O489" s="3"/>
      <c r="P489" s="4"/>
      <c r="Q489" s="4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</row>
    <row r="490" spans="1:44" ht="15.6" customHeight="1" x14ac:dyDescent="0.25">
      <c r="A490" s="24"/>
      <c r="B490" s="25"/>
      <c r="C490" s="25"/>
      <c r="D490" s="26"/>
      <c r="E490" s="26"/>
      <c r="F490" s="25"/>
      <c r="G490" s="25"/>
      <c r="H490" s="26"/>
      <c r="I490" s="26"/>
      <c r="J490" s="25"/>
      <c r="K490" s="25"/>
      <c r="L490" s="26"/>
      <c r="M490" s="26"/>
      <c r="N490" s="25"/>
      <c r="O490" s="25"/>
      <c r="P490" s="26"/>
      <c r="Q490" s="26"/>
      <c r="R490" s="25"/>
      <c r="S490" s="25"/>
      <c r="T490" s="25"/>
      <c r="U490" s="25"/>
      <c r="V490" s="45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</row>
    <row r="491" spans="1:44" ht="15.6" customHeight="1" x14ac:dyDescent="0.25">
      <c r="A491" s="27"/>
      <c r="B491" s="28"/>
      <c r="C491" s="28"/>
      <c r="D491" s="71">
        <v>1</v>
      </c>
      <c r="E491" s="72"/>
      <c r="F491" s="28"/>
      <c r="G491" s="28"/>
      <c r="H491" s="71">
        <v>2</v>
      </c>
      <c r="I491" s="72"/>
      <c r="J491" s="28"/>
      <c r="K491" s="28"/>
      <c r="L491" s="71">
        <v>3</v>
      </c>
      <c r="M491" s="72"/>
      <c r="N491" s="28"/>
      <c r="O491" s="28"/>
      <c r="P491" s="71">
        <v>4</v>
      </c>
      <c r="Q491" s="72"/>
      <c r="R491" s="28"/>
      <c r="S491" s="28"/>
      <c r="T491" s="28"/>
      <c r="U491" s="28"/>
      <c r="V491" s="46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</row>
    <row r="492" spans="1:44" ht="15.6" customHeight="1" x14ac:dyDescent="0.25">
      <c r="A492" s="27"/>
      <c r="B492" s="74" t="s">
        <v>11</v>
      </c>
      <c r="C492" s="74"/>
      <c r="D492" s="71" t="s">
        <v>12</v>
      </c>
      <c r="E492" s="72"/>
      <c r="F492" s="74" t="s">
        <v>11</v>
      </c>
      <c r="G492" s="74"/>
      <c r="H492" s="71" t="s">
        <v>12</v>
      </c>
      <c r="I492" s="72"/>
      <c r="J492" s="74" t="s">
        <v>11</v>
      </c>
      <c r="K492" s="74"/>
      <c r="L492" s="71" t="s">
        <v>12</v>
      </c>
      <c r="M492" s="72"/>
      <c r="N492" s="74" t="s">
        <v>11</v>
      </c>
      <c r="O492" s="74"/>
      <c r="P492" s="71" t="s">
        <v>12</v>
      </c>
      <c r="Q492" s="72"/>
      <c r="R492" s="74"/>
      <c r="S492" s="74"/>
      <c r="T492" s="74"/>
      <c r="U492" s="74"/>
      <c r="V492" s="48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</row>
    <row r="493" spans="1:44" ht="15.6" customHeight="1" x14ac:dyDescent="0.25">
      <c r="A493" s="27"/>
      <c r="B493" s="76"/>
      <c r="C493" s="76"/>
      <c r="D493" s="77"/>
      <c r="E493" s="77"/>
      <c r="F493" s="76"/>
      <c r="G493" s="76"/>
      <c r="H493" s="77"/>
      <c r="I493" s="77"/>
      <c r="J493" s="76"/>
      <c r="K493" s="76"/>
      <c r="L493" s="77"/>
      <c r="M493" s="77"/>
      <c r="N493" s="76"/>
      <c r="O493" s="76"/>
      <c r="P493" s="77"/>
      <c r="Q493" s="77"/>
      <c r="R493" s="76"/>
      <c r="S493" s="76"/>
      <c r="T493" s="76"/>
      <c r="U493" s="76"/>
      <c r="V493" s="48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</row>
    <row r="494" spans="1:44" ht="15.6" customHeight="1" x14ac:dyDescent="0.25">
      <c r="A494" s="27"/>
      <c r="B494" s="74">
        <v>0</v>
      </c>
      <c r="C494" s="74"/>
      <c r="D494" s="78">
        <v>1</v>
      </c>
      <c r="E494" s="78"/>
      <c r="F494" s="74">
        <v>2</v>
      </c>
      <c r="G494" s="74"/>
      <c r="H494" s="78">
        <v>3</v>
      </c>
      <c r="I494" s="78"/>
      <c r="J494" s="74">
        <v>4</v>
      </c>
      <c r="K494" s="74"/>
      <c r="L494" s="78">
        <v>5</v>
      </c>
      <c r="M494" s="78"/>
      <c r="N494" s="74">
        <v>6</v>
      </c>
      <c r="O494" s="74"/>
      <c r="P494" s="78">
        <v>7</v>
      </c>
      <c r="Q494" s="78"/>
      <c r="R494" s="74">
        <v>8</v>
      </c>
      <c r="S494" s="74"/>
      <c r="T494" s="74">
        <v>9</v>
      </c>
      <c r="U494" s="74"/>
      <c r="V494" s="49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</row>
    <row r="495" spans="1:44" ht="15.6" customHeight="1" x14ac:dyDescent="0.25">
      <c r="A495" s="27"/>
      <c r="B495" s="28" t="s">
        <v>13</v>
      </c>
      <c r="C495" s="28" t="s">
        <v>14</v>
      </c>
      <c r="D495" s="31" t="s">
        <v>15</v>
      </c>
      <c r="E495" s="31" t="s">
        <v>16</v>
      </c>
      <c r="F495" s="28" t="s">
        <v>13</v>
      </c>
      <c r="G495" s="28" t="s">
        <v>14</v>
      </c>
      <c r="H495" s="31" t="s">
        <v>15</v>
      </c>
      <c r="I495" s="31" t="s">
        <v>16</v>
      </c>
      <c r="J495" s="28" t="s">
        <v>13</v>
      </c>
      <c r="K495" s="28" t="s">
        <v>14</v>
      </c>
      <c r="L495" s="31" t="s">
        <v>15</v>
      </c>
      <c r="M495" s="31" t="s">
        <v>16</v>
      </c>
      <c r="N495" s="28" t="s">
        <v>13</v>
      </c>
      <c r="O495" s="28" t="s">
        <v>14</v>
      </c>
      <c r="P495" s="31" t="s">
        <v>15</v>
      </c>
      <c r="Q495" s="31" t="s">
        <v>16</v>
      </c>
      <c r="R495" s="28" t="s">
        <v>13</v>
      </c>
      <c r="S495" s="28" t="s">
        <v>14</v>
      </c>
      <c r="T495" s="28" t="s">
        <v>15</v>
      </c>
      <c r="U495" s="28" t="s">
        <v>16</v>
      </c>
      <c r="V495" s="49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</row>
    <row r="496" spans="1:44" ht="15.6" customHeight="1" x14ac:dyDescent="0.25">
      <c r="A496" s="33"/>
      <c r="B496" s="34"/>
      <c r="C496" s="34"/>
      <c r="D496" s="35"/>
      <c r="E496" s="36"/>
      <c r="F496" s="34"/>
      <c r="G496" s="34"/>
      <c r="H496" s="35"/>
      <c r="I496" s="36"/>
      <c r="J496" s="34"/>
      <c r="K496" s="34"/>
      <c r="L496" s="35"/>
      <c r="M496" s="36"/>
      <c r="N496" s="34"/>
      <c r="O496" s="34"/>
      <c r="P496" s="35"/>
      <c r="Q496" s="36"/>
      <c r="R496" s="34"/>
      <c r="S496" s="34"/>
      <c r="T496" s="34"/>
      <c r="U496" s="34"/>
      <c r="V496" s="50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</row>
    <row r="497" spans="1:44" ht="9" customHeight="1" x14ac:dyDescent="0.25">
      <c r="A497" s="3"/>
      <c r="B497" s="30"/>
      <c r="C497" s="30"/>
      <c r="D497" s="54"/>
      <c r="E497" s="5"/>
      <c r="F497" s="30"/>
      <c r="G497" s="30"/>
      <c r="H497" s="54"/>
      <c r="I497" s="5"/>
      <c r="J497" s="30"/>
      <c r="K497" s="30"/>
      <c r="L497" s="54"/>
      <c r="M497" s="5"/>
      <c r="N497" s="30"/>
      <c r="O497" s="30"/>
      <c r="P497" s="54"/>
      <c r="Q497" s="5"/>
      <c r="R497" s="30"/>
      <c r="S497" s="30"/>
      <c r="T497" s="30"/>
      <c r="U497" s="30"/>
      <c r="V497" s="32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</row>
    <row r="498" spans="1:44" ht="15.6" customHeight="1" x14ac:dyDescent="0.25">
      <c r="A498" s="3"/>
      <c r="B498" s="95"/>
      <c r="C498" s="96"/>
      <c r="D498" s="97"/>
      <c r="E498" s="98"/>
      <c r="F498" s="95"/>
      <c r="G498" s="96"/>
      <c r="H498" s="97"/>
      <c r="I498" s="98"/>
      <c r="J498" s="95"/>
      <c r="K498" s="96"/>
      <c r="L498" s="97"/>
      <c r="M498" s="98"/>
      <c r="N498" s="95"/>
      <c r="O498" s="96"/>
      <c r="P498" s="97"/>
      <c r="Q498" s="98"/>
      <c r="R498" s="30"/>
      <c r="S498" s="30"/>
      <c r="T498" s="30"/>
      <c r="U498" s="30"/>
      <c r="V498" s="32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</row>
    <row r="499" spans="1:44" ht="15.6" customHeight="1" x14ac:dyDescent="0.25">
      <c r="A499" s="3"/>
      <c r="B499" s="83" t="str">
        <f>IF(D498&lt;1,"","пом.")</f>
        <v/>
      </c>
      <c r="C499" s="83"/>
      <c r="D499" s="85"/>
      <c r="E499" s="86"/>
      <c r="F499" s="83" t="str">
        <f>IF(H498&lt;1,"","пом.")</f>
        <v/>
      </c>
      <c r="G499" s="83"/>
      <c r="H499" s="85"/>
      <c r="I499" s="86"/>
      <c r="J499" s="83" t="str">
        <f>IF(L498&lt;1,"","пом.")</f>
        <v/>
      </c>
      <c r="K499" s="83"/>
      <c r="L499" s="85"/>
      <c r="M499" s="86"/>
      <c r="N499" s="83" t="str">
        <f>IF(P498&lt;1,"","пом.")</f>
        <v/>
      </c>
      <c r="O499" s="83"/>
      <c r="P499" s="85"/>
      <c r="Q499" s="86"/>
      <c r="R499" s="30"/>
      <c r="S499" s="30"/>
      <c r="T499" s="30"/>
      <c r="U499" s="30"/>
      <c r="V499" s="32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</row>
    <row r="500" spans="1:44" ht="15.6" customHeight="1" x14ac:dyDescent="0.25">
      <c r="A500" s="3"/>
      <c r="B500" s="3"/>
      <c r="C500" s="3"/>
      <c r="D500" s="4"/>
      <c r="E500" s="4"/>
      <c r="F500" s="3"/>
      <c r="G500" s="3"/>
      <c r="H500" s="4"/>
      <c r="I500" s="4"/>
      <c r="J500" s="3"/>
      <c r="K500" s="3"/>
      <c r="L500" s="4"/>
      <c r="M500" s="4"/>
      <c r="N500" s="3"/>
      <c r="O500" s="3"/>
      <c r="P500" s="4"/>
      <c r="Q500" s="4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</row>
    <row r="501" spans="1:44" ht="15.6" customHeight="1" x14ac:dyDescent="0.25">
      <c r="A501" s="3"/>
      <c r="B501" s="3"/>
      <c r="C501" s="3"/>
      <c r="D501" s="4"/>
      <c r="E501" s="5" t="s">
        <v>30</v>
      </c>
      <c r="F501" s="87" t="s">
        <v>31</v>
      </c>
      <c r="G501" s="87"/>
      <c r="H501" s="87"/>
      <c r="I501" s="117" t="s">
        <v>32</v>
      </c>
      <c r="J501" s="117"/>
      <c r="K501" s="58"/>
      <c r="L501" s="4"/>
      <c r="M501" s="4"/>
      <c r="N501" s="3"/>
      <c r="O501" s="30" t="s">
        <v>33</v>
      </c>
      <c r="P501" s="87" t="s">
        <v>34</v>
      </c>
      <c r="Q501" s="87"/>
      <c r="R501" s="87"/>
      <c r="S501" s="117" t="s">
        <v>35</v>
      </c>
      <c r="T501" s="117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</row>
    <row r="502" spans="1:44" ht="15.6" customHeight="1" x14ac:dyDescent="0.25">
      <c r="A502" s="3"/>
      <c r="B502" s="3"/>
      <c r="C502" s="3"/>
      <c r="D502" s="4"/>
      <c r="E502" s="5" t="s">
        <v>36</v>
      </c>
      <c r="F502" s="87" t="s">
        <v>37</v>
      </c>
      <c r="G502" s="87"/>
      <c r="H502" s="87"/>
      <c r="I502" s="117" t="s">
        <v>38</v>
      </c>
      <c r="J502" s="117"/>
      <c r="K502" s="117"/>
      <c r="L502" s="4"/>
      <c r="M502" s="4"/>
      <c r="N502" s="3"/>
      <c r="O502" s="30" t="s">
        <v>39</v>
      </c>
      <c r="P502" s="87" t="s">
        <v>34</v>
      </c>
      <c r="Q502" s="87"/>
      <c r="R502" s="87"/>
      <c r="S502" s="118" t="s">
        <v>40</v>
      </c>
      <c r="T502" s="118"/>
      <c r="U502" s="118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</row>
    <row r="503" spans="1:44" ht="15.6" customHeight="1" x14ac:dyDescent="0.25">
      <c r="A503" s="41"/>
      <c r="B503" s="41"/>
      <c r="C503" s="41"/>
      <c r="D503" s="42"/>
      <c r="E503" s="43"/>
      <c r="F503" s="41"/>
      <c r="G503" s="41"/>
      <c r="H503" s="42"/>
      <c r="I503" s="42"/>
      <c r="J503" s="41"/>
      <c r="K503" s="41"/>
      <c r="L503" s="42"/>
      <c r="M503" s="42"/>
      <c r="N503" s="41"/>
      <c r="O503" s="41"/>
      <c r="P503" s="42"/>
      <c r="Q503" s="42"/>
      <c r="R503" s="41"/>
      <c r="S503" s="41"/>
      <c r="T503" s="41"/>
      <c r="U503" s="41"/>
      <c r="V503" s="41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</row>
    <row r="504" spans="1:44" ht="15.6" customHeight="1" x14ac:dyDescent="0.25">
      <c r="A504" s="41"/>
      <c r="B504" s="41"/>
      <c r="C504" s="41"/>
      <c r="D504" s="42"/>
      <c r="E504" s="43"/>
      <c r="F504" s="41"/>
      <c r="G504" s="41"/>
      <c r="H504" s="42"/>
      <c r="I504" s="42"/>
      <c r="J504" s="41"/>
      <c r="K504" s="41"/>
      <c r="L504" s="42"/>
      <c r="M504" s="42"/>
      <c r="N504" s="41"/>
      <c r="O504" s="41"/>
      <c r="P504" s="42"/>
      <c r="Q504" s="42"/>
      <c r="R504" s="41"/>
      <c r="S504" s="41"/>
      <c r="T504" s="41"/>
      <c r="U504" s="41"/>
      <c r="V504" s="41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</row>
    <row r="505" spans="1:44" ht="15.6" hidden="1" customHeight="1" x14ac:dyDescent="0.25">
      <c r="A505" s="3"/>
      <c r="B505" s="3"/>
      <c r="C505" s="3"/>
      <c r="D505" s="4"/>
      <c r="E505" s="4"/>
      <c r="F505" s="3"/>
      <c r="G505" s="3"/>
      <c r="H505" s="4"/>
      <c r="I505" s="4"/>
      <c r="J505" s="3"/>
      <c r="K505" s="3"/>
      <c r="L505" s="4"/>
      <c r="M505" s="4"/>
      <c r="N505" s="3"/>
      <c r="O505" s="3"/>
      <c r="P505" s="4"/>
      <c r="Q505" s="4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</row>
    <row r="506" spans="1:44" ht="15.6" customHeight="1" x14ac:dyDescent="0.3">
      <c r="A506" s="3"/>
      <c r="B506" s="3"/>
      <c r="C506" s="3"/>
      <c r="D506" s="4"/>
      <c r="E506" s="6" t="s">
        <v>1</v>
      </c>
      <c r="F506" s="3"/>
      <c r="G506" s="7"/>
      <c r="H506" s="8"/>
      <c r="I506" s="8"/>
      <c r="J506" s="7"/>
      <c r="K506" s="7"/>
      <c r="L506" s="8"/>
      <c r="M506" s="9" t="s">
        <v>2</v>
      </c>
      <c r="N506" s="12" t="str">
        <f>N484</f>
        <v>1.1</v>
      </c>
      <c r="O506" s="12"/>
      <c r="P506" s="4"/>
      <c r="Q506" s="4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</row>
    <row r="507" spans="1:44" ht="15.6" customHeight="1" x14ac:dyDescent="0.3">
      <c r="A507" s="3"/>
      <c r="B507" s="3"/>
      <c r="C507" s="3"/>
      <c r="D507" s="4"/>
      <c r="E507" s="6" t="s">
        <v>4</v>
      </c>
      <c r="F507" s="3"/>
      <c r="G507" s="3"/>
      <c r="H507" s="4"/>
      <c r="I507" s="4"/>
      <c r="J507" s="13"/>
      <c r="K507" s="13"/>
      <c r="L507" s="14"/>
      <c r="M507" s="9" t="s">
        <v>5</v>
      </c>
      <c r="N507" s="15" t="str">
        <f>N506&amp;".3"</f>
        <v>1.1.3</v>
      </c>
      <c r="O507" s="15"/>
      <c r="P507" s="4"/>
      <c r="Q507" s="4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</row>
    <row r="508" spans="1:44" ht="15.6" customHeight="1" x14ac:dyDescent="0.3">
      <c r="A508" s="3"/>
      <c r="B508" s="3"/>
      <c r="C508" s="3"/>
      <c r="D508" s="4"/>
      <c r="E508" s="4" t="s">
        <v>7</v>
      </c>
      <c r="F508" s="3"/>
      <c r="G508" s="3"/>
      <c r="H508" s="8"/>
      <c r="I508" s="8"/>
      <c r="J508" s="7"/>
      <c r="K508" s="7"/>
      <c r="L508" s="8"/>
      <c r="M508" s="16" t="s">
        <v>5</v>
      </c>
      <c r="N508" s="17">
        <f>N486+1</f>
        <v>13</v>
      </c>
      <c r="O508" s="3"/>
      <c r="P508" s="4"/>
      <c r="Q508" s="4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</row>
    <row r="509" spans="1:44" ht="15.6" customHeight="1" x14ac:dyDescent="0.3">
      <c r="A509" s="3"/>
      <c r="B509" s="3"/>
      <c r="C509" s="3"/>
      <c r="D509" s="4"/>
      <c r="E509" s="4" t="s">
        <v>8</v>
      </c>
      <c r="F509" s="3"/>
      <c r="G509" s="3"/>
      <c r="H509" s="4"/>
      <c r="I509" s="4"/>
      <c r="J509" s="3"/>
      <c r="K509" s="3"/>
      <c r="L509" s="14"/>
      <c r="M509" s="16" t="s">
        <v>99</v>
      </c>
      <c r="N509" s="17" t="str">
        <f>IF(N487="-"&amp;N464&amp;".5",IF(N488=15,"-"&amp;N464&amp;".6","-"&amp;N464&amp;".5"),N487)</f>
        <v>-1.1.6</v>
      </c>
      <c r="O509" s="3"/>
      <c r="P509" s="4"/>
      <c r="Q509" s="4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</row>
    <row r="510" spans="1:44" ht="15.6" customHeight="1" x14ac:dyDescent="0.3">
      <c r="A510" s="3"/>
      <c r="B510" s="3"/>
      <c r="C510" s="3"/>
      <c r="D510" s="4"/>
      <c r="E510" s="21" t="s">
        <v>10</v>
      </c>
      <c r="F510" s="3"/>
      <c r="G510" s="3"/>
      <c r="H510" s="4"/>
      <c r="I510" s="8"/>
      <c r="J510" s="7"/>
      <c r="K510" s="7"/>
      <c r="L510" s="8"/>
      <c r="M510" s="16" t="s">
        <v>5</v>
      </c>
      <c r="N510" s="17">
        <f>IF(N509="-"&amp;N464&amp;".5",N488+1,IF(N487="-"&amp;N464&amp;".5",1,N488+1))</f>
        <v>10</v>
      </c>
      <c r="O510" s="3"/>
      <c r="P510" s="4"/>
      <c r="Q510" s="4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</row>
    <row r="511" spans="1:44" ht="15.6" customHeight="1" x14ac:dyDescent="0.25">
      <c r="A511" s="3"/>
      <c r="B511" s="3"/>
      <c r="C511" s="3"/>
      <c r="D511" s="4"/>
      <c r="E511" s="4"/>
      <c r="F511" s="3"/>
      <c r="G511" s="3"/>
      <c r="H511" s="4"/>
      <c r="I511" s="4"/>
      <c r="J511" s="3"/>
      <c r="K511" s="3"/>
      <c r="L511" s="4"/>
      <c r="M511" s="4"/>
      <c r="N511" s="3"/>
      <c r="O511" s="3"/>
      <c r="P511" s="4"/>
      <c r="Q511" s="4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</row>
    <row r="512" spans="1:44" ht="15.6" customHeight="1" x14ac:dyDescent="0.25">
      <c r="A512" s="24"/>
      <c r="B512" s="25"/>
      <c r="C512" s="25"/>
      <c r="D512" s="26"/>
      <c r="E512" s="26"/>
      <c r="F512" s="25"/>
      <c r="G512" s="25"/>
      <c r="H512" s="26"/>
      <c r="I512" s="26"/>
      <c r="J512" s="25"/>
      <c r="K512" s="25"/>
      <c r="L512" s="26"/>
      <c r="M512" s="26"/>
      <c r="N512" s="25"/>
      <c r="O512" s="25"/>
      <c r="P512" s="26"/>
      <c r="Q512" s="26"/>
      <c r="R512" s="25"/>
      <c r="S512" s="25"/>
      <c r="T512" s="25"/>
      <c r="U512" s="25"/>
      <c r="V512" s="45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</row>
    <row r="513" spans="1:44" ht="15.6" customHeight="1" x14ac:dyDescent="0.25">
      <c r="A513" s="27"/>
      <c r="B513" s="28"/>
      <c r="C513" s="28"/>
      <c r="D513" s="71">
        <v>1</v>
      </c>
      <c r="E513" s="72"/>
      <c r="F513" s="28"/>
      <c r="G513" s="28"/>
      <c r="H513" s="71">
        <v>2</v>
      </c>
      <c r="I513" s="72"/>
      <c r="J513" s="28"/>
      <c r="K513" s="28"/>
      <c r="L513" s="71">
        <v>3</v>
      </c>
      <c r="M513" s="72"/>
      <c r="N513" s="28"/>
      <c r="O513" s="28"/>
      <c r="P513" s="71">
        <v>4</v>
      </c>
      <c r="Q513" s="72"/>
      <c r="R513" s="28"/>
      <c r="S513" s="28"/>
      <c r="T513" s="28"/>
      <c r="U513" s="28"/>
      <c r="V513" s="46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</row>
    <row r="514" spans="1:44" ht="15.6" customHeight="1" x14ac:dyDescent="0.25">
      <c r="A514" s="27"/>
      <c r="B514" s="74" t="s">
        <v>11</v>
      </c>
      <c r="C514" s="74"/>
      <c r="D514" s="71" t="s">
        <v>12</v>
      </c>
      <c r="E514" s="72"/>
      <c r="F514" s="74" t="s">
        <v>11</v>
      </c>
      <c r="G514" s="74"/>
      <c r="H514" s="71" t="s">
        <v>12</v>
      </c>
      <c r="I514" s="72"/>
      <c r="J514" s="74" t="s">
        <v>11</v>
      </c>
      <c r="K514" s="74"/>
      <c r="L514" s="71" t="s">
        <v>12</v>
      </c>
      <c r="M514" s="72"/>
      <c r="N514" s="74" t="s">
        <v>11</v>
      </c>
      <c r="O514" s="74"/>
      <c r="P514" s="71" t="s">
        <v>12</v>
      </c>
      <c r="Q514" s="72"/>
      <c r="R514" s="74"/>
      <c r="S514" s="74"/>
      <c r="T514" s="74"/>
      <c r="U514" s="74"/>
      <c r="V514" s="48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</row>
    <row r="515" spans="1:44" ht="15.6" customHeight="1" x14ac:dyDescent="0.25">
      <c r="A515" s="27"/>
      <c r="B515" s="76"/>
      <c r="C515" s="76"/>
      <c r="D515" s="77"/>
      <c r="E515" s="77"/>
      <c r="F515" s="76"/>
      <c r="G515" s="76"/>
      <c r="H515" s="77"/>
      <c r="I515" s="77"/>
      <c r="J515" s="76"/>
      <c r="K515" s="76"/>
      <c r="L515" s="77"/>
      <c r="M515" s="77"/>
      <c r="N515" s="76"/>
      <c r="O515" s="76"/>
      <c r="P515" s="77"/>
      <c r="Q515" s="77"/>
      <c r="R515" s="76"/>
      <c r="S515" s="76"/>
      <c r="T515" s="76"/>
      <c r="U515" s="76"/>
      <c r="V515" s="48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</row>
    <row r="516" spans="1:44" ht="15.6" customHeight="1" x14ac:dyDescent="0.25">
      <c r="A516" s="27"/>
      <c r="B516" s="74">
        <v>0</v>
      </c>
      <c r="C516" s="74"/>
      <c r="D516" s="78">
        <v>1</v>
      </c>
      <c r="E516" s="78"/>
      <c r="F516" s="74">
        <v>2</v>
      </c>
      <c r="G516" s="74"/>
      <c r="H516" s="78">
        <v>3</v>
      </c>
      <c r="I516" s="78"/>
      <c r="J516" s="74">
        <v>4</v>
      </c>
      <c r="K516" s="74"/>
      <c r="L516" s="78">
        <v>5</v>
      </c>
      <c r="M516" s="78"/>
      <c r="N516" s="74">
        <v>6</v>
      </c>
      <c r="O516" s="74"/>
      <c r="P516" s="78">
        <v>7</v>
      </c>
      <c r="Q516" s="78"/>
      <c r="R516" s="74">
        <v>8</v>
      </c>
      <c r="S516" s="74"/>
      <c r="T516" s="74">
        <v>9</v>
      </c>
      <c r="U516" s="74"/>
      <c r="V516" s="49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</row>
    <row r="517" spans="1:44" ht="15.6" customHeight="1" x14ac:dyDescent="0.25">
      <c r="A517" s="27"/>
      <c r="B517" s="28" t="s">
        <v>13</v>
      </c>
      <c r="C517" s="28" t="s">
        <v>14</v>
      </c>
      <c r="D517" s="31" t="s">
        <v>15</v>
      </c>
      <c r="E517" s="31" t="s">
        <v>16</v>
      </c>
      <c r="F517" s="28" t="s">
        <v>13</v>
      </c>
      <c r="G517" s="28" t="s">
        <v>14</v>
      </c>
      <c r="H517" s="31" t="s">
        <v>15</v>
      </c>
      <c r="I517" s="31" t="s">
        <v>16</v>
      </c>
      <c r="J517" s="28" t="s">
        <v>13</v>
      </c>
      <c r="K517" s="28" t="s">
        <v>14</v>
      </c>
      <c r="L517" s="31" t="s">
        <v>15</v>
      </c>
      <c r="M517" s="31" t="s">
        <v>16</v>
      </c>
      <c r="N517" s="28" t="s">
        <v>13</v>
      </c>
      <c r="O517" s="28" t="s">
        <v>14</v>
      </c>
      <c r="P517" s="31" t="s">
        <v>15</v>
      </c>
      <c r="Q517" s="31" t="s">
        <v>16</v>
      </c>
      <c r="R517" s="28" t="s">
        <v>13</v>
      </c>
      <c r="S517" s="28" t="s">
        <v>14</v>
      </c>
      <c r="T517" s="28" t="s">
        <v>15</v>
      </c>
      <c r="U517" s="28" t="s">
        <v>16</v>
      </c>
      <c r="V517" s="49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</row>
    <row r="518" spans="1:44" ht="15.6" customHeight="1" x14ac:dyDescent="0.25">
      <c r="A518" s="33"/>
      <c r="B518" s="34"/>
      <c r="C518" s="34"/>
      <c r="D518" s="35"/>
      <c r="E518" s="36"/>
      <c r="F518" s="34"/>
      <c r="G518" s="34"/>
      <c r="H518" s="35"/>
      <c r="I518" s="36"/>
      <c r="J518" s="34"/>
      <c r="K518" s="34"/>
      <c r="L518" s="35"/>
      <c r="M518" s="36"/>
      <c r="N518" s="34"/>
      <c r="O518" s="34"/>
      <c r="P518" s="35"/>
      <c r="Q518" s="36"/>
      <c r="R518" s="34"/>
      <c r="S518" s="34"/>
      <c r="T518" s="34"/>
      <c r="U518" s="34"/>
      <c r="V518" s="50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</row>
    <row r="519" spans="1:44" ht="15.6" customHeight="1" x14ac:dyDescent="0.25">
      <c r="A519" s="3"/>
      <c r="B519" s="30"/>
      <c r="C519" s="30"/>
      <c r="D519" s="54"/>
      <c r="E519" s="5"/>
      <c r="F519" s="30"/>
      <c r="G519" s="30"/>
      <c r="H519" s="54"/>
      <c r="I519" s="5"/>
      <c r="J519" s="30"/>
      <c r="K519" s="30"/>
      <c r="L519" s="54"/>
      <c r="M519" s="5"/>
      <c r="N519" s="30"/>
      <c r="O519" s="30"/>
      <c r="P519" s="54"/>
      <c r="Q519" s="5"/>
      <c r="R519" s="30"/>
      <c r="S519" s="30"/>
      <c r="T519" s="30"/>
      <c r="U519" s="30"/>
      <c r="V519" s="32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</row>
    <row r="520" spans="1:44" ht="15.6" customHeight="1" x14ac:dyDescent="0.25">
      <c r="A520" s="3"/>
      <c r="B520" s="95"/>
      <c r="C520" s="96"/>
      <c r="D520" s="97"/>
      <c r="E520" s="98"/>
      <c r="F520" s="95"/>
      <c r="G520" s="96"/>
      <c r="H520" s="97"/>
      <c r="I520" s="98"/>
      <c r="J520" s="95"/>
      <c r="K520" s="96"/>
      <c r="L520" s="97"/>
      <c r="M520" s="98"/>
      <c r="N520" s="95"/>
      <c r="O520" s="96"/>
      <c r="P520" s="97"/>
      <c r="Q520" s="98"/>
      <c r="R520" s="30"/>
      <c r="S520" s="30"/>
      <c r="T520" s="30"/>
      <c r="U520" s="30"/>
      <c r="V520" s="32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</row>
    <row r="521" spans="1:44" ht="15.6" customHeight="1" x14ac:dyDescent="0.25">
      <c r="A521" s="3"/>
      <c r="B521" s="83" t="str">
        <f>IF(D520&lt;1,"","пом.")</f>
        <v/>
      </c>
      <c r="C521" s="83"/>
      <c r="D521" s="85"/>
      <c r="E521" s="86"/>
      <c r="F521" s="83" t="str">
        <f>IF(H520&lt;1,"","пом.")</f>
        <v/>
      </c>
      <c r="G521" s="83"/>
      <c r="H521" s="85"/>
      <c r="I521" s="86"/>
      <c r="J521" s="83" t="str">
        <f>IF(L520&lt;1,"","пом.")</f>
        <v/>
      </c>
      <c r="K521" s="83"/>
      <c r="L521" s="85"/>
      <c r="M521" s="86"/>
      <c r="N521" s="83" t="str">
        <f>IF(P520&lt;1,"","пом.")</f>
        <v/>
      </c>
      <c r="O521" s="83"/>
      <c r="P521" s="85"/>
      <c r="Q521" s="86"/>
      <c r="R521" s="30"/>
      <c r="S521" s="30"/>
      <c r="T521" s="30"/>
      <c r="U521" s="30"/>
      <c r="V521" s="32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</row>
    <row r="522" spans="1:44" ht="15.6" customHeight="1" x14ac:dyDescent="0.25">
      <c r="A522" s="3"/>
      <c r="B522" s="3"/>
      <c r="C522" s="3"/>
      <c r="D522" s="4"/>
      <c r="E522" s="4"/>
      <c r="F522" s="3"/>
      <c r="G522" s="3"/>
      <c r="H522" s="4"/>
      <c r="I522" s="4"/>
      <c r="J522" s="3"/>
      <c r="K522" s="3"/>
      <c r="L522" s="4"/>
      <c r="M522" s="4"/>
      <c r="N522" s="3"/>
      <c r="O522" s="3"/>
      <c r="P522" s="4"/>
      <c r="Q522" s="4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</row>
    <row r="523" spans="1:44" ht="15.6" customHeight="1" x14ac:dyDescent="0.25">
      <c r="A523" s="3"/>
      <c r="B523" s="3"/>
      <c r="C523" s="3"/>
      <c r="D523" s="4"/>
      <c r="E523" s="5" t="s">
        <v>30</v>
      </c>
      <c r="F523" s="87" t="s">
        <v>31</v>
      </c>
      <c r="G523" s="87"/>
      <c r="H523" s="87"/>
      <c r="I523" s="117" t="s">
        <v>32</v>
      </c>
      <c r="J523" s="117"/>
      <c r="K523" s="58"/>
      <c r="L523" s="4"/>
      <c r="M523" s="4"/>
      <c r="N523" s="3"/>
      <c r="O523" s="30" t="s">
        <v>33</v>
      </c>
      <c r="P523" s="87" t="s">
        <v>34</v>
      </c>
      <c r="Q523" s="87"/>
      <c r="R523" s="87"/>
      <c r="S523" s="117" t="s">
        <v>35</v>
      </c>
      <c r="T523" s="117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</row>
    <row r="524" spans="1:44" ht="15.6" customHeight="1" x14ac:dyDescent="0.25">
      <c r="A524" s="3"/>
      <c r="B524" s="3"/>
      <c r="C524" s="3"/>
      <c r="D524" s="4"/>
      <c r="E524" s="5" t="s">
        <v>36</v>
      </c>
      <c r="F524" s="87" t="s">
        <v>37</v>
      </c>
      <c r="G524" s="87"/>
      <c r="H524" s="87"/>
      <c r="I524" s="117" t="s">
        <v>38</v>
      </c>
      <c r="J524" s="117"/>
      <c r="K524" s="117"/>
      <c r="L524" s="4"/>
      <c r="M524" s="4"/>
      <c r="N524" s="3"/>
      <c r="O524" s="30" t="s">
        <v>39</v>
      </c>
      <c r="P524" s="87" t="s">
        <v>34</v>
      </c>
      <c r="Q524" s="87"/>
      <c r="R524" s="87"/>
      <c r="S524" s="118" t="s">
        <v>40</v>
      </c>
      <c r="T524" s="118"/>
      <c r="U524" s="118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</row>
    <row r="525" spans="1:44" ht="15.6" customHeight="1" x14ac:dyDescent="0.25">
      <c r="A525" s="41"/>
      <c r="B525" s="41"/>
      <c r="C525" s="41"/>
      <c r="D525" s="42"/>
      <c r="E525" s="43"/>
      <c r="F525" s="41"/>
      <c r="G525" s="41"/>
      <c r="H525" s="42"/>
      <c r="I525" s="42"/>
      <c r="J525" s="41"/>
      <c r="K525" s="41"/>
      <c r="L525" s="42"/>
      <c r="M525" s="42"/>
      <c r="N525" s="41"/>
      <c r="O525" s="41"/>
      <c r="P525" s="42"/>
      <c r="Q525" s="42"/>
      <c r="R525" s="41"/>
      <c r="S525" s="41"/>
      <c r="T525" s="41"/>
      <c r="U525" s="41"/>
      <c r="V525" s="41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</row>
    <row r="526" spans="1:44" ht="15.6" customHeight="1" x14ac:dyDescent="0.3">
      <c r="A526" s="3"/>
      <c r="B526" s="3"/>
      <c r="C526" s="3"/>
      <c r="D526" s="4"/>
      <c r="E526" s="6" t="s">
        <v>1</v>
      </c>
      <c r="F526" s="3"/>
      <c r="G526" s="7"/>
      <c r="H526" s="8"/>
      <c r="I526" s="8"/>
      <c r="J526" s="7"/>
      <c r="K526" s="7"/>
      <c r="L526" s="8"/>
      <c r="M526" s="9" t="s">
        <v>2</v>
      </c>
      <c r="N526" s="12" t="str">
        <f>N506</f>
        <v>1.1</v>
      </c>
      <c r="O526" s="12"/>
      <c r="P526" s="4"/>
      <c r="Q526" s="4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</row>
    <row r="527" spans="1:44" ht="15.6" customHeight="1" x14ac:dyDescent="0.3">
      <c r="A527" s="3"/>
      <c r="B527" s="3"/>
      <c r="C527" s="3"/>
      <c r="D527" s="4"/>
      <c r="E527" s="6" t="s">
        <v>4</v>
      </c>
      <c r="F527" s="3"/>
      <c r="G527" s="3"/>
      <c r="H527" s="4"/>
      <c r="I527" s="4"/>
      <c r="J527" s="13"/>
      <c r="K527" s="13"/>
      <c r="L527" s="14"/>
      <c r="M527" s="9" t="s">
        <v>5</v>
      </c>
      <c r="N527" s="15" t="str">
        <f>N507</f>
        <v>1.1.3</v>
      </c>
      <c r="O527" s="15"/>
      <c r="P527" s="4"/>
      <c r="Q527" s="4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</row>
    <row r="528" spans="1:44" ht="15.6" customHeight="1" x14ac:dyDescent="0.3">
      <c r="A528" s="3"/>
      <c r="B528" s="3"/>
      <c r="C528" s="3"/>
      <c r="D528" s="4"/>
      <c r="E528" s="4" t="s">
        <v>7</v>
      </c>
      <c r="F528" s="3"/>
      <c r="G528" s="3"/>
      <c r="H528" s="8"/>
      <c r="I528" s="8"/>
      <c r="J528" s="7"/>
      <c r="K528" s="7"/>
      <c r="L528" s="8"/>
      <c r="M528" s="16" t="s">
        <v>5</v>
      </c>
      <c r="N528" s="17">
        <f>N508</f>
        <v>13</v>
      </c>
      <c r="O528" s="3"/>
      <c r="P528" s="4"/>
      <c r="Q528" s="4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</row>
    <row r="529" spans="1:44" ht="15.6" customHeight="1" x14ac:dyDescent="0.3">
      <c r="A529" s="3"/>
      <c r="B529" s="3"/>
      <c r="C529" s="3"/>
      <c r="D529" s="4"/>
      <c r="E529" s="4" t="s">
        <v>8</v>
      </c>
      <c r="F529" s="3"/>
      <c r="G529" s="3"/>
      <c r="H529" s="4"/>
      <c r="I529" s="4"/>
      <c r="J529" s="3"/>
      <c r="K529" s="3"/>
      <c r="L529" s="14"/>
      <c r="M529" s="16" t="s">
        <v>99</v>
      </c>
      <c r="N529" s="17" t="str">
        <f>IF(N509="-"&amp;N506&amp;".5",IF(N510=15,"-"&amp;N506&amp;".6","-"&amp;N506&amp;".5"),N509)</f>
        <v>-1.1.6</v>
      </c>
      <c r="O529" s="19"/>
      <c r="P529" s="4"/>
      <c r="Q529" s="4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</row>
    <row r="530" spans="1:44" ht="15.6" customHeight="1" x14ac:dyDescent="0.3">
      <c r="A530" s="3"/>
      <c r="B530" s="3"/>
      <c r="C530" s="3"/>
      <c r="D530" s="4"/>
      <c r="E530" s="21" t="s">
        <v>10</v>
      </c>
      <c r="F530" s="3"/>
      <c r="G530" s="3"/>
      <c r="H530" s="4"/>
      <c r="I530" s="8"/>
      <c r="J530" s="7"/>
      <c r="K530" s="7"/>
      <c r="L530" s="8"/>
      <c r="M530" s="16" t="s">
        <v>5</v>
      </c>
      <c r="N530" s="17">
        <f>IF(N529="-"&amp;N464&amp;".5",N510+1,IF(N509="-"&amp;N464&amp;".5",1,N510+1))</f>
        <v>11</v>
      </c>
      <c r="O530" s="3"/>
      <c r="P530" s="4"/>
      <c r="Q530" s="4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</row>
    <row r="531" spans="1:44" ht="15.6" customHeight="1" x14ac:dyDescent="0.25">
      <c r="A531" s="3"/>
      <c r="B531" s="3"/>
      <c r="C531" s="3"/>
      <c r="D531" s="4"/>
      <c r="E531" s="4"/>
      <c r="F531" s="3"/>
      <c r="G531" s="3"/>
      <c r="H531" s="4"/>
      <c r="I531" s="4"/>
      <c r="J531" s="3"/>
      <c r="K531" s="3"/>
      <c r="L531" s="4"/>
      <c r="M531" s="4"/>
      <c r="N531" s="3"/>
      <c r="O531" s="3"/>
      <c r="P531" s="4"/>
      <c r="Q531" s="4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</row>
    <row r="532" spans="1:44" ht="15.6" customHeight="1" x14ac:dyDescent="0.25">
      <c r="A532" s="24"/>
      <c r="B532" s="25"/>
      <c r="C532" s="25"/>
      <c r="D532" s="26"/>
      <c r="E532" s="26"/>
      <c r="F532" s="25"/>
      <c r="G532" s="25"/>
      <c r="H532" s="26"/>
      <c r="I532" s="26"/>
      <c r="J532" s="25"/>
      <c r="K532" s="25"/>
      <c r="L532" s="26"/>
      <c r="M532" s="26"/>
      <c r="N532" s="25"/>
      <c r="O532" s="25"/>
      <c r="P532" s="26"/>
      <c r="Q532" s="26"/>
      <c r="R532" s="25"/>
      <c r="S532" s="25"/>
      <c r="T532" s="25"/>
      <c r="U532" s="25"/>
      <c r="V532" s="45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</row>
    <row r="533" spans="1:44" ht="15.6" customHeight="1" x14ac:dyDescent="0.25">
      <c r="A533" s="27"/>
      <c r="B533" s="28"/>
      <c r="C533" s="28"/>
      <c r="D533" s="71">
        <v>1</v>
      </c>
      <c r="E533" s="72"/>
      <c r="F533" s="28"/>
      <c r="G533" s="28"/>
      <c r="H533" s="71">
        <v>2</v>
      </c>
      <c r="I533" s="72"/>
      <c r="J533" s="28"/>
      <c r="K533" s="28"/>
      <c r="L533" s="71">
        <v>3</v>
      </c>
      <c r="M533" s="72"/>
      <c r="N533" s="28"/>
      <c r="O533" s="28"/>
      <c r="P533" s="71">
        <v>4</v>
      </c>
      <c r="Q533" s="72"/>
      <c r="R533" s="28"/>
      <c r="S533" s="28"/>
      <c r="T533" s="28"/>
      <c r="U533" s="28"/>
      <c r="V533" s="46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</row>
    <row r="534" spans="1:44" ht="15.6" customHeight="1" x14ac:dyDescent="0.25">
      <c r="A534" s="27"/>
      <c r="B534" s="74" t="s">
        <v>11</v>
      </c>
      <c r="C534" s="74"/>
      <c r="D534" s="71" t="s">
        <v>12</v>
      </c>
      <c r="E534" s="72"/>
      <c r="F534" s="74" t="s">
        <v>11</v>
      </c>
      <c r="G534" s="74"/>
      <c r="H534" s="71" t="s">
        <v>12</v>
      </c>
      <c r="I534" s="72"/>
      <c r="J534" s="74" t="s">
        <v>11</v>
      </c>
      <c r="K534" s="74"/>
      <c r="L534" s="71" t="s">
        <v>12</v>
      </c>
      <c r="M534" s="72"/>
      <c r="N534" s="74" t="s">
        <v>11</v>
      </c>
      <c r="O534" s="74"/>
      <c r="P534" s="71" t="s">
        <v>12</v>
      </c>
      <c r="Q534" s="72"/>
      <c r="R534" s="74"/>
      <c r="S534" s="74"/>
      <c r="T534" s="74"/>
      <c r="U534" s="74"/>
      <c r="V534" s="48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</row>
    <row r="535" spans="1:44" ht="15.6" customHeight="1" x14ac:dyDescent="0.25">
      <c r="A535" s="27"/>
      <c r="B535" s="76"/>
      <c r="C535" s="76"/>
      <c r="D535" s="77"/>
      <c r="E535" s="77"/>
      <c r="F535" s="76"/>
      <c r="G535" s="76"/>
      <c r="H535" s="77"/>
      <c r="I535" s="77"/>
      <c r="J535" s="76"/>
      <c r="K535" s="76"/>
      <c r="L535" s="77"/>
      <c r="M535" s="77"/>
      <c r="N535" s="76"/>
      <c r="O535" s="76"/>
      <c r="P535" s="77"/>
      <c r="Q535" s="77"/>
      <c r="R535" s="76"/>
      <c r="S535" s="76"/>
      <c r="T535" s="76"/>
      <c r="U535" s="76"/>
      <c r="V535" s="48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</row>
    <row r="536" spans="1:44" ht="15.6" customHeight="1" x14ac:dyDescent="0.25">
      <c r="A536" s="27"/>
      <c r="B536" s="74">
        <v>0</v>
      </c>
      <c r="C536" s="74"/>
      <c r="D536" s="78">
        <v>1</v>
      </c>
      <c r="E536" s="78"/>
      <c r="F536" s="74">
        <v>2</v>
      </c>
      <c r="G536" s="74"/>
      <c r="H536" s="78">
        <v>3</v>
      </c>
      <c r="I536" s="78"/>
      <c r="J536" s="74">
        <v>4</v>
      </c>
      <c r="K536" s="74"/>
      <c r="L536" s="78">
        <v>5</v>
      </c>
      <c r="M536" s="78"/>
      <c r="N536" s="74">
        <v>6</v>
      </c>
      <c r="O536" s="74"/>
      <c r="P536" s="78">
        <v>7</v>
      </c>
      <c r="Q536" s="78"/>
      <c r="R536" s="74">
        <v>8</v>
      </c>
      <c r="S536" s="74"/>
      <c r="T536" s="74">
        <v>9</v>
      </c>
      <c r="U536" s="74"/>
      <c r="V536" s="49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</row>
    <row r="537" spans="1:44" ht="15.6" customHeight="1" x14ac:dyDescent="0.25">
      <c r="A537" s="27"/>
      <c r="B537" s="28" t="s">
        <v>13</v>
      </c>
      <c r="C537" s="28" t="s">
        <v>14</v>
      </c>
      <c r="D537" s="31" t="s">
        <v>15</v>
      </c>
      <c r="E537" s="31" t="s">
        <v>16</v>
      </c>
      <c r="F537" s="28" t="s">
        <v>13</v>
      </c>
      <c r="G537" s="28" t="s">
        <v>14</v>
      </c>
      <c r="H537" s="31" t="s">
        <v>15</v>
      </c>
      <c r="I537" s="31" t="s">
        <v>16</v>
      </c>
      <c r="J537" s="28" t="s">
        <v>13</v>
      </c>
      <c r="K537" s="28" t="s">
        <v>14</v>
      </c>
      <c r="L537" s="31" t="s">
        <v>15</v>
      </c>
      <c r="M537" s="31" t="s">
        <v>16</v>
      </c>
      <c r="N537" s="28" t="s">
        <v>13</v>
      </c>
      <c r="O537" s="28" t="s">
        <v>14</v>
      </c>
      <c r="P537" s="31" t="s">
        <v>15</v>
      </c>
      <c r="Q537" s="31" t="s">
        <v>16</v>
      </c>
      <c r="R537" s="28" t="s">
        <v>13</v>
      </c>
      <c r="S537" s="28" t="s">
        <v>14</v>
      </c>
      <c r="T537" s="28" t="s">
        <v>15</v>
      </c>
      <c r="U537" s="28" t="s">
        <v>16</v>
      </c>
      <c r="V537" s="49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</row>
    <row r="538" spans="1:44" ht="15.6" customHeight="1" x14ac:dyDescent="0.25">
      <c r="A538" s="33"/>
      <c r="B538" s="34"/>
      <c r="C538" s="34"/>
      <c r="D538" s="35"/>
      <c r="E538" s="36"/>
      <c r="F538" s="34"/>
      <c r="G538" s="34"/>
      <c r="H538" s="35"/>
      <c r="I538" s="36"/>
      <c r="J538" s="34"/>
      <c r="K538" s="34"/>
      <c r="L538" s="35"/>
      <c r="M538" s="36"/>
      <c r="N538" s="34"/>
      <c r="O538" s="34"/>
      <c r="P538" s="35"/>
      <c r="Q538" s="36"/>
      <c r="R538" s="34"/>
      <c r="S538" s="34"/>
      <c r="T538" s="34"/>
      <c r="U538" s="34"/>
      <c r="V538" s="50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</row>
    <row r="539" spans="1:44" ht="7.9" customHeight="1" x14ac:dyDescent="0.25">
      <c r="A539" s="3"/>
      <c r="B539" s="30"/>
      <c r="C539" s="30"/>
      <c r="D539" s="54"/>
      <c r="E539" s="5"/>
      <c r="F539" s="30"/>
      <c r="G539" s="30"/>
      <c r="H539" s="54"/>
      <c r="I539" s="5"/>
      <c r="J539" s="30"/>
      <c r="K539" s="30"/>
      <c r="L539" s="54"/>
      <c r="M539" s="5"/>
      <c r="N539" s="30"/>
      <c r="O539" s="30"/>
      <c r="P539" s="54"/>
      <c r="Q539" s="5"/>
      <c r="R539" s="30"/>
      <c r="S539" s="30"/>
      <c r="T539" s="30"/>
      <c r="U539" s="30"/>
      <c r="V539" s="32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</row>
    <row r="540" spans="1:44" ht="15.6" customHeight="1" x14ac:dyDescent="0.25">
      <c r="A540" s="3"/>
      <c r="B540" s="95"/>
      <c r="C540" s="96"/>
      <c r="D540" s="97"/>
      <c r="E540" s="98"/>
      <c r="F540" s="95"/>
      <c r="G540" s="96"/>
      <c r="H540" s="97"/>
      <c r="I540" s="98"/>
      <c r="J540" s="95"/>
      <c r="K540" s="96"/>
      <c r="L540" s="97"/>
      <c r="M540" s="98"/>
      <c r="N540" s="95"/>
      <c r="O540" s="96"/>
      <c r="P540" s="97"/>
      <c r="Q540" s="98"/>
      <c r="R540" s="30"/>
      <c r="S540" s="30"/>
      <c r="T540" s="30"/>
      <c r="U540" s="30"/>
      <c r="V540" s="32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</row>
    <row r="541" spans="1:44" ht="15.6" customHeight="1" x14ac:dyDescent="0.25">
      <c r="A541" s="3"/>
      <c r="B541" s="83" t="str">
        <f>IF(D540&lt;1,"","пом.")</f>
        <v/>
      </c>
      <c r="C541" s="83"/>
      <c r="D541" s="85"/>
      <c r="E541" s="86"/>
      <c r="F541" s="83" t="str">
        <f>IF(H540&lt;1,"","пом.")</f>
        <v/>
      </c>
      <c r="G541" s="83"/>
      <c r="H541" s="85"/>
      <c r="I541" s="86"/>
      <c r="J541" s="83" t="str">
        <f>IF(L540&lt;1,"","пом.")</f>
        <v/>
      </c>
      <c r="K541" s="83"/>
      <c r="L541" s="85"/>
      <c r="M541" s="86"/>
      <c r="N541" s="83" t="str">
        <f>IF(P540&lt;1,"","пом.")</f>
        <v/>
      </c>
      <c r="O541" s="83"/>
      <c r="P541" s="85"/>
      <c r="Q541" s="86"/>
      <c r="R541" s="30"/>
      <c r="S541" s="30"/>
      <c r="T541" s="30"/>
      <c r="U541" s="30"/>
      <c r="V541" s="32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</row>
    <row r="542" spans="1:44" ht="7.15" customHeight="1" x14ac:dyDescent="0.25">
      <c r="A542" s="3"/>
      <c r="B542" s="3"/>
      <c r="C542" s="3"/>
      <c r="D542" s="4"/>
      <c r="E542" s="4"/>
      <c r="F542" s="3"/>
      <c r="G542" s="3"/>
      <c r="H542" s="4"/>
      <c r="I542" s="4"/>
      <c r="J542" s="3"/>
      <c r="K542" s="3"/>
      <c r="L542" s="4"/>
      <c r="M542" s="4"/>
      <c r="N542" s="3"/>
      <c r="O542" s="3"/>
      <c r="P542" s="4"/>
      <c r="Q542" s="4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</row>
    <row r="543" spans="1:44" ht="15.6" customHeight="1" x14ac:dyDescent="0.25">
      <c r="A543" s="3"/>
      <c r="B543" s="3"/>
      <c r="C543" s="3"/>
      <c r="D543" s="4"/>
      <c r="E543" s="5" t="s">
        <v>30</v>
      </c>
      <c r="F543" s="87" t="s">
        <v>31</v>
      </c>
      <c r="G543" s="87"/>
      <c r="H543" s="87"/>
      <c r="I543" s="117" t="s">
        <v>32</v>
      </c>
      <c r="J543" s="117"/>
      <c r="K543" s="58"/>
      <c r="L543" s="4"/>
      <c r="M543" s="4"/>
      <c r="N543" s="3"/>
      <c r="O543" s="30" t="s">
        <v>33</v>
      </c>
      <c r="P543" s="87" t="s">
        <v>34</v>
      </c>
      <c r="Q543" s="87"/>
      <c r="R543" s="87"/>
      <c r="S543" s="117" t="s">
        <v>35</v>
      </c>
      <c r="T543" s="117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</row>
    <row r="544" spans="1:44" ht="15.6" customHeight="1" x14ac:dyDescent="0.25">
      <c r="A544" s="3"/>
      <c r="B544" s="3"/>
      <c r="C544" s="3"/>
      <c r="D544" s="4"/>
      <c r="E544" s="5" t="s">
        <v>36</v>
      </c>
      <c r="F544" s="87" t="s">
        <v>37</v>
      </c>
      <c r="G544" s="87"/>
      <c r="H544" s="87"/>
      <c r="I544" s="117" t="s">
        <v>38</v>
      </c>
      <c r="J544" s="117"/>
      <c r="K544" s="117"/>
      <c r="L544" s="4"/>
      <c r="M544" s="4"/>
      <c r="N544" s="3"/>
      <c r="O544" s="30" t="s">
        <v>39</v>
      </c>
      <c r="P544" s="87" t="s">
        <v>34</v>
      </c>
      <c r="Q544" s="87"/>
      <c r="R544" s="87"/>
      <c r="S544" s="118" t="s">
        <v>40</v>
      </c>
      <c r="T544" s="118"/>
      <c r="U544" s="118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</row>
    <row r="545" spans="1:44" ht="15.6" customHeight="1" x14ac:dyDescent="0.25">
      <c r="A545" s="41"/>
      <c r="B545" s="41"/>
      <c r="C545" s="41"/>
      <c r="D545" s="42"/>
      <c r="E545" s="43"/>
      <c r="F545" s="41"/>
      <c r="G545" s="41"/>
      <c r="H545" s="42"/>
      <c r="I545" s="42"/>
      <c r="J545" s="41"/>
      <c r="K545" s="41"/>
      <c r="L545" s="42"/>
      <c r="M545" s="42"/>
      <c r="N545" s="41"/>
      <c r="O545" s="41"/>
      <c r="P545" s="42"/>
      <c r="Q545" s="42"/>
      <c r="R545" s="41"/>
      <c r="S545" s="41"/>
      <c r="T545" s="41"/>
      <c r="U545" s="41"/>
      <c r="V545" s="41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</row>
    <row r="546" spans="1:44" ht="15.6" customHeight="1" x14ac:dyDescent="0.25">
      <c r="A546" s="41"/>
      <c r="B546" s="41"/>
      <c r="C546" s="41"/>
      <c r="D546" s="42"/>
      <c r="E546" s="43"/>
      <c r="F546" s="41"/>
      <c r="G546" s="41"/>
      <c r="H546" s="42"/>
      <c r="I546" s="42"/>
      <c r="J546" s="41"/>
      <c r="K546" s="41"/>
      <c r="L546" s="42"/>
      <c r="M546" s="42"/>
      <c r="N546" s="41"/>
      <c r="O546" s="41"/>
      <c r="P546" s="42"/>
      <c r="Q546" s="42"/>
      <c r="R546" s="41"/>
      <c r="S546" s="41"/>
      <c r="T546" s="41"/>
      <c r="U546" s="41"/>
      <c r="V546" s="41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</row>
    <row r="547" spans="1:44" ht="15.6" hidden="1" customHeight="1" x14ac:dyDescent="0.25">
      <c r="A547" s="3"/>
      <c r="B547" s="3"/>
      <c r="C547" s="3"/>
      <c r="D547" s="4"/>
      <c r="E547" s="4"/>
      <c r="F547" s="3"/>
      <c r="G547" s="3"/>
      <c r="H547" s="4"/>
      <c r="I547" s="4"/>
      <c r="J547" s="3"/>
      <c r="K547" s="3"/>
      <c r="L547" s="4"/>
      <c r="M547" s="4"/>
      <c r="N547" s="3"/>
      <c r="O547" s="3"/>
      <c r="P547" s="4"/>
      <c r="Q547" s="4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</row>
    <row r="548" spans="1:44" ht="15.6" customHeight="1" x14ac:dyDescent="0.3">
      <c r="A548" s="3"/>
      <c r="B548" s="3"/>
      <c r="C548" s="3"/>
      <c r="D548" s="4"/>
      <c r="E548" s="6" t="s">
        <v>1</v>
      </c>
      <c r="F548" s="3"/>
      <c r="G548" s="7"/>
      <c r="H548" s="8"/>
      <c r="I548" s="8"/>
      <c r="J548" s="7"/>
      <c r="K548" s="7"/>
      <c r="L548" s="8"/>
      <c r="M548" s="9" t="s">
        <v>2</v>
      </c>
      <c r="N548" s="12" t="str">
        <f>N526</f>
        <v>1.1</v>
      </c>
      <c r="O548" s="12"/>
      <c r="P548" s="4"/>
      <c r="Q548" s="4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</row>
    <row r="549" spans="1:44" ht="15.6" customHeight="1" x14ac:dyDescent="0.3">
      <c r="A549" s="3"/>
      <c r="B549" s="3"/>
      <c r="C549" s="3"/>
      <c r="D549" s="4"/>
      <c r="E549" s="6" t="s">
        <v>4</v>
      </c>
      <c r="F549" s="3"/>
      <c r="G549" s="3"/>
      <c r="H549" s="4"/>
      <c r="I549" s="4"/>
      <c r="J549" s="13"/>
      <c r="K549" s="13"/>
      <c r="L549" s="14"/>
      <c r="M549" s="9" t="s">
        <v>5</v>
      </c>
      <c r="N549" s="15" t="str">
        <f>N548&amp;".3"</f>
        <v>1.1.3</v>
      </c>
      <c r="O549" s="15"/>
      <c r="P549" s="4"/>
      <c r="Q549" s="4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</row>
    <row r="550" spans="1:44" ht="15.6" customHeight="1" x14ac:dyDescent="0.3">
      <c r="A550" s="3"/>
      <c r="B550" s="3"/>
      <c r="C550" s="3"/>
      <c r="D550" s="4"/>
      <c r="E550" s="4" t="s">
        <v>7</v>
      </c>
      <c r="F550" s="3"/>
      <c r="G550" s="3"/>
      <c r="H550" s="8"/>
      <c r="I550" s="8"/>
      <c r="J550" s="7"/>
      <c r="K550" s="7"/>
      <c r="L550" s="8"/>
      <c r="M550" s="16" t="s">
        <v>5</v>
      </c>
      <c r="N550" s="17">
        <f>N528+1</f>
        <v>14</v>
      </c>
      <c r="O550" s="3"/>
      <c r="P550" s="4"/>
      <c r="Q550" s="4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</row>
    <row r="551" spans="1:44" ht="15.6" customHeight="1" x14ac:dyDescent="0.3">
      <c r="A551" s="3"/>
      <c r="B551" s="3"/>
      <c r="C551" s="3"/>
      <c r="D551" s="4"/>
      <c r="E551" s="4" t="s">
        <v>8</v>
      </c>
      <c r="F551" s="3"/>
      <c r="G551" s="3"/>
      <c r="H551" s="4"/>
      <c r="I551" s="4"/>
      <c r="J551" s="3"/>
      <c r="K551" s="3"/>
      <c r="L551" s="14"/>
      <c r="M551" s="16" t="s">
        <v>99</v>
      </c>
      <c r="N551" s="17" t="str">
        <f>IF(N529="-"&amp;N506&amp;".5",IF(N530=15,"-"&amp;N506&amp;".6","-"&amp;N506&amp;".5"),N529)</f>
        <v>-1.1.6</v>
      </c>
      <c r="O551" s="3"/>
      <c r="P551" s="4"/>
      <c r="Q551" s="4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</row>
    <row r="552" spans="1:44" ht="15.6" customHeight="1" x14ac:dyDescent="0.3">
      <c r="A552" s="3"/>
      <c r="B552" s="3"/>
      <c r="C552" s="3"/>
      <c r="D552" s="4"/>
      <c r="E552" s="21" t="s">
        <v>10</v>
      </c>
      <c r="F552" s="3"/>
      <c r="G552" s="3"/>
      <c r="H552" s="4"/>
      <c r="I552" s="8"/>
      <c r="J552" s="7"/>
      <c r="K552" s="7"/>
      <c r="L552" s="8"/>
      <c r="M552" s="16" t="s">
        <v>5</v>
      </c>
      <c r="N552" s="17">
        <f>IF(N551="-"&amp;N506&amp;".5",N530+1,IF(N529="-"&amp;N506&amp;".5",1,N530+1))</f>
        <v>12</v>
      </c>
      <c r="O552" s="3"/>
      <c r="P552" s="4"/>
      <c r="Q552" s="4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</row>
    <row r="553" spans="1:44" ht="15.6" customHeight="1" x14ac:dyDescent="0.25">
      <c r="A553" s="3"/>
      <c r="B553" s="3"/>
      <c r="C553" s="3"/>
      <c r="D553" s="4"/>
      <c r="E553" s="4"/>
      <c r="F553" s="3"/>
      <c r="G553" s="3"/>
      <c r="H553" s="4"/>
      <c r="I553" s="4"/>
      <c r="J553" s="3"/>
      <c r="K553" s="3"/>
      <c r="L553" s="4"/>
      <c r="M553" s="4"/>
      <c r="N553" s="3"/>
      <c r="O553" s="3"/>
      <c r="P553" s="4"/>
      <c r="Q553" s="4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</row>
    <row r="554" spans="1:44" ht="15.6" customHeight="1" x14ac:dyDescent="0.25">
      <c r="A554" s="24"/>
      <c r="B554" s="25"/>
      <c r="C554" s="25"/>
      <c r="D554" s="26"/>
      <c r="E554" s="26"/>
      <c r="F554" s="25"/>
      <c r="G554" s="25"/>
      <c r="H554" s="26"/>
      <c r="I554" s="26"/>
      <c r="J554" s="25"/>
      <c r="K554" s="25"/>
      <c r="L554" s="26"/>
      <c r="M554" s="26"/>
      <c r="N554" s="25"/>
      <c r="O554" s="25"/>
      <c r="P554" s="26"/>
      <c r="Q554" s="26"/>
      <c r="R554" s="25"/>
      <c r="S554" s="25"/>
      <c r="T554" s="25"/>
      <c r="U554" s="25"/>
      <c r="V554" s="45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</row>
    <row r="555" spans="1:44" ht="15.6" customHeight="1" x14ac:dyDescent="0.25">
      <c r="A555" s="27"/>
      <c r="B555" s="28"/>
      <c r="C555" s="28"/>
      <c r="D555" s="71">
        <v>1</v>
      </c>
      <c r="E555" s="72"/>
      <c r="F555" s="28"/>
      <c r="G555" s="28"/>
      <c r="H555" s="71">
        <v>2</v>
      </c>
      <c r="I555" s="72"/>
      <c r="J555" s="28"/>
      <c r="K555" s="28"/>
      <c r="L555" s="71">
        <v>3</v>
      </c>
      <c r="M555" s="72"/>
      <c r="N555" s="28"/>
      <c r="O555" s="28"/>
      <c r="P555" s="71">
        <v>4</v>
      </c>
      <c r="Q555" s="72"/>
      <c r="R555" s="28"/>
      <c r="S555" s="28"/>
      <c r="T555" s="28"/>
      <c r="U555" s="28"/>
      <c r="V555" s="46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</row>
    <row r="556" spans="1:44" ht="15.6" customHeight="1" x14ac:dyDescent="0.25">
      <c r="A556" s="27"/>
      <c r="B556" s="74" t="s">
        <v>11</v>
      </c>
      <c r="C556" s="74"/>
      <c r="D556" s="71" t="s">
        <v>12</v>
      </c>
      <c r="E556" s="72"/>
      <c r="F556" s="74" t="s">
        <v>11</v>
      </c>
      <c r="G556" s="74"/>
      <c r="H556" s="71" t="s">
        <v>12</v>
      </c>
      <c r="I556" s="72"/>
      <c r="J556" s="74" t="s">
        <v>11</v>
      </c>
      <c r="K556" s="74"/>
      <c r="L556" s="71" t="s">
        <v>12</v>
      </c>
      <c r="M556" s="72"/>
      <c r="N556" s="74" t="s">
        <v>11</v>
      </c>
      <c r="O556" s="74"/>
      <c r="P556" s="71" t="s">
        <v>12</v>
      </c>
      <c r="Q556" s="72"/>
      <c r="R556" s="74"/>
      <c r="S556" s="74"/>
      <c r="T556" s="74"/>
      <c r="U556" s="74"/>
      <c r="V556" s="48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</row>
    <row r="557" spans="1:44" ht="15.6" customHeight="1" x14ac:dyDescent="0.25">
      <c r="A557" s="27"/>
      <c r="B557" s="76"/>
      <c r="C557" s="76"/>
      <c r="D557" s="77"/>
      <c r="E557" s="77"/>
      <c r="F557" s="76"/>
      <c r="G557" s="76"/>
      <c r="H557" s="77"/>
      <c r="I557" s="77"/>
      <c r="J557" s="76"/>
      <c r="K557" s="76"/>
      <c r="L557" s="77"/>
      <c r="M557" s="77"/>
      <c r="N557" s="76"/>
      <c r="O557" s="76"/>
      <c r="P557" s="77"/>
      <c r="Q557" s="77"/>
      <c r="R557" s="76"/>
      <c r="S557" s="76"/>
      <c r="T557" s="76"/>
      <c r="U557" s="76"/>
      <c r="V557" s="48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</row>
    <row r="558" spans="1:44" ht="15.6" customHeight="1" x14ac:dyDescent="0.25">
      <c r="A558" s="27"/>
      <c r="B558" s="74">
        <v>0</v>
      </c>
      <c r="C558" s="74"/>
      <c r="D558" s="78">
        <v>1</v>
      </c>
      <c r="E558" s="78"/>
      <c r="F558" s="74">
        <v>2</v>
      </c>
      <c r="G558" s="74"/>
      <c r="H558" s="78">
        <v>3</v>
      </c>
      <c r="I558" s="78"/>
      <c r="J558" s="74">
        <v>4</v>
      </c>
      <c r="K558" s="74"/>
      <c r="L558" s="78">
        <v>5</v>
      </c>
      <c r="M558" s="78"/>
      <c r="N558" s="74">
        <v>6</v>
      </c>
      <c r="O558" s="74"/>
      <c r="P558" s="78">
        <v>7</v>
      </c>
      <c r="Q558" s="78"/>
      <c r="R558" s="74">
        <v>8</v>
      </c>
      <c r="S558" s="74"/>
      <c r="T558" s="74">
        <v>9</v>
      </c>
      <c r="U558" s="74"/>
      <c r="V558" s="49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</row>
    <row r="559" spans="1:44" ht="15.6" customHeight="1" x14ac:dyDescent="0.25">
      <c r="A559" s="27"/>
      <c r="B559" s="28" t="s">
        <v>13</v>
      </c>
      <c r="C559" s="28" t="s">
        <v>14</v>
      </c>
      <c r="D559" s="31" t="s">
        <v>15</v>
      </c>
      <c r="E559" s="31" t="s">
        <v>16</v>
      </c>
      <c r="F559" s="28" t="s">
        <v>13</v>
      </c>
      <c r="G559" s="28" t="s">
        <v>14</v>
      </c>
      <c r="H559" s="31" t="s">
        <v>15</v>
      </c>
      <c r="I559" s="31" t="s">
        <v>16</v>
      </c>
      <c r="J559" s="28" t="s">
        <v>13</v>
      </c>
      <c r="K559" s="28" t="s">
        <v>14</v>
      </c>
      <c r="L559" s="31" t="s">
        <v>15</v>
      </c>
      <c r="M559" s="31" t="s">
        <v>16</v>
      </c>
      <c r="N559" s="28" t="s">
        <v>13</v>
      </c>
      <c r="O559" s="28" t="s">
        <v>14</v>
      </c>
      <c r="P559" s="31" t="s">
        <v>15</v>
      </c>
      <c r="Q559" s="31" t="s">
        <v>16</v>
      </c>
      <c r="R559" s="28" t="s">
        <v>13</v>
      </c>
      <c r="S559" s="28" t="s">
        <v>14</v>
      </c>
      <c r="T559" s="28" t="s">
        <v>15</v>
      </c>
      <c r="U559" s="28" t="s">
        <v>16</v>
      </c>
      <c r="V559" s="49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</row>
    <row r="560" spans="1:44" ht="15.6" customHeight="1" x14ac:dyDescent="0.25">
      <c r="A560" s="33"/>
      <c r="B560" s="34"/>
      <c r="C560" s="34"/>
      <c r="D560" s="35"/>
      <c r="E560" s="36"/>
      <c r="F560" s="34"/>
      <c r="G560" s="34"/>
      <c r="H560" s="35"/>
      <c r="I560" s="36"/>
      <c r="J560" s="34"/>
      <c r="K560" s="34"/>
      <c r="L560" s="35"/>
      <c r="M560" s="36"/>
      <c r="N560" s="34"/>
      <c r="O560" s="34"/>
      <c r="P560" s="35"/>
      <c r="Q560" s="36"/>
      <c r="R560" s="34"/>
      <c r="S560" s="34"/>
      <c r="T560" s="34"/>
      <c r="U560" s="34"/>
      <c r="V560" s="50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</row>
    <row r="561" spans="1:44" ht="15.6" customHeight="1" x14ac:dyDescent="0.25">
      <c r="A561" s="3"/>
      <c r="B561" s="30"/>
      <c r="C561" s="30"/>
      <c r="D561" s="54"/>
      <c r="E561" s="5"/>
      <c r="F561" s="30"/>
      <c r="G561" s="30"/>
      <c r="H561" s="54"/>
      <c r="I561" s="5"/>
      <c r="J561" s="30"/>
      <c r="K561" s="30"/>
      <c r="L561" s="54"/>
      <c r="M561" s="5"/>
      <c r="N561" s="30"/>
      <c r="O561" s="30"/>
      <c r="P561" s="54"/>
      <c r="Q561" s="5"/>
      <c r="R561" s="30"/>
      <c r="S561" s="30"/>
      <c r="T561" s="30"/>
      <c r="U561" s="30"/>
      <c r="V561" s="32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</row>
    <row r="562" spans="1:44" ht="15.6" customHeight="1" x14ac:dyDescent="0.25">
      <c r="A562" s="3"/>
      <c r="B562" s="95"/>
      <c r="C562" s="96"/>
      <c r="D562" s="97"/>
      <c r="E562" s="98"/>
      <c r="F562" s="95"/>
      <c r="G562" s="96"/>
      <c r="H562" s="97"/>
      <c r="I562" s="98"/>
      <c r="J562" s="95"/>
      <c r="K562" s="96"/>
      <c r="L562" s="97"/>
      <c r="M562" s="98"/>
      <c r="N562" s="95"/>
      <c r="O562" s="96"/>
      <c r="P562" s="97"/>
      <c r="Q562" s="98"/>
      <c r="R562" s="30"/>
      <c r="S562" s="30"/>
      <c r="T562" s="30"/>
      <c r="U562" s="30"/>
      <c r="V562" s="32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</row>
    <row r="563" spans="1:44" ht="15.6" customHeight="1" x14ac:dyDescent="0.25">
      <c r="A563" s="3"/>
      <c r="B563" s="83" t="str">
        <f>IF(D562&lt;1,"","пом.")</f>
        <v/>
      </c>
      <c r="C563" s="83"/>
      <c r="D563" s="85"/>
      <c r="E563" s="86"/>
      <c r="F563" s="83" t="str">
        <f>IF(H562&lt;1,"","пом.")</f>
        <v/>
      </c>
      <c r="G563" s="83"/>
      <c r="H563" s="85"/>
      <c r="I563" s="86"/>
      <c r="J563" s="83" t="str">
        <f>IF(L562&lt;1,"","пом.")</f>
        <v/>
      </c>
      <c r="K563" s="83"/>
      <c r="L563" s="85"/>
      <c r="M563" s="86"/>
      <c r="N563" s="83" t="str">
        <f>IF(P562&lt;1,"","пом.")</f>
        <v/>
      </c>
      <c r="O563" s="83"/>
      <c r="P563" s="85"/>
      <c r="Q563" s="86"/>
      <c r="R563" s="30"/>
      <c r="S563" s="30"/>
      <c r="T563" s="30"/>
      <c r="U563" s="30"/>
      <c r="V563" s="32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</row>
    <row r="564" spans="1:44" ht="15.6" customHeight="1" x14ac:dyDescent="0.25">
      <c r="A564" s="3"/>
      <c r="B564" s="3"/>
      <c r="C564" s="3"/>
      <c r="D564" s="4"/>
      <c r="E564" s="4"/>
      <c r="F564" s="3"/>
      <c r="G564" s="3"/>
      <c r="H564" s="4"/>
      <c r="I564" s="4"/>
      <c r="J564" s="3"/>
      <c r="K564" s="3"/>
      <c r="L564" s="4"/>
      <c r="M564" s="4"/>
      <c r="N564" s="3"/>
      <c r="O564" s="3"/>
      <c r="P564" s="4"/>
      <c r="Q564" s="4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</row>
    <row r="565" spans="1:44" ht="15.6" customHeight="1" x14ac:dyDescent="0.25">
      <c r="A565" s="3"/>
      <c r="B565" s="3"/>
      <c r="C565" s="3"/>
      <c r="D565" s="4"/>
      <c r="E565" s="5" t="s">
        <v>30</v>
      </c>
      <c r="F565" s="87" t="s">
        <v>31</v>
      </c>
      <c r="G565" s="87"/>
      <c r="H565" s="87"/>
      <c r="I565" s="117" t="s">
        <v>32</v>
      </c>
      <c r="J565" s="117"/>
      <c r="K565" s="58"/>
      <c r="L565" s="4"/>
      <c r="M565" s="4"/>
      <c r="N565" s="3"/>
      <c r="O565" s="30" t="s">
        <v>33</v>
      </c>
      <c r="P565" s="87" t="s">
        <v>34</v>
      </c>
      <c r="Q565" s="87"/>
      <c r="R565" s="87"/>
      <c r="S565" s="117" t="s">
        <v>35</v>
      </c>
      <c r="T565" s="117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</row>
    <row r="566" spans="1:44" ht="15.6" customHeight="1" x14ac:dyDescent="0.25">
      <c r="A566" s="3"/>
      <c r="B566" s="3"/>
      <c r="C566" s="3"/>
      <c r="D566" s="4"/>
      <c r="E566" s="5" t="s">
        <v>36</v>
      </c>
      <c r="F566" s="87" t="s">
        <v>37</v>
      </c>
      <c r="G566" s="87"/>
      <c r="H566" s="87"/>
      <c r="I566" s="117" t="s">
        <v>38</v>
      </c>
      <c r="J566" s="117"/>
      <c r="K566" s="117"/>
      <c r="L566" s="4"/>
      <c r="M566" s="4"/>
      <c r="N566" s="3"/>
      <c r="O566" s="30" t="s">
        <v>39</v>
      </c>
      <c r="P566" s="87" t="s">
        <v>34</v>
      </c>
      <c r="Q566" s="87"/>
      <c r="R566" s="87"/>
      <c r="S566" s="118" t="s">
        <v>40</v>
      </c>
      <c r="T566" s="118"/>
      <c r="U566" s="118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</row>
    <row r="567" spans="1:44" ht="15.6" customHeight="1" x14ac:dyDescent="0.25">
      <c r="A567" s="41"/>
      <c r="B567" s="41"/>
      <c r="C567" s="41"/>
      <c r="D567" s="42"/>
      <c r="E567" s="43"/>
      <c r="F567" s="41"/>
      <c r="G567" s="41"/>
      <c r="H567" s="42"/>
      <c r="I567" s="42"/>
      <c r="J567" s="41"/>
      <c r="K567" s="41"/>
      <c r="L567" s="42"/>
      <c r="M567" s="42"/>
      <c r="N567" s="41"/>
      <c r="O567" s="41"/>
      <c r="P567" s="42"/>
      <c r="Q567" s="42"/>
      <c r="R567" s="41"/>
      <c r="S567" s="41"/>
      <c r="T567" s="41"/>
      <c r="U567" s="41"/>
      <c r="V567" s="41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</row>
    <row r="568" spans="1:44" ht="15.6" customHeight="1" x14ac:dyDescent="0.3">
      <c r="A568" s="3"/>
      <c r="B568" s="3"/>
      <c r="C568" s="3"/>
      <c r="D568" s="4"/>
      <c r="E568" s="6" t="s">
        <v>1</v>
      </c>
      <c r="F568" s="3"/>
      <c r="G568" s="7"/>
      <c r="H568" s="8"/>
      <c r="I568" s="8"/>
      <c r="J568" s="7"/>
      <c r="K568" s="7"/>
      <c r="L568" s="8"/>
      <c r="M568" s="9" t="s">
        <v>2</v>
      </c>
      <c r="N568" s="12" t="str">
        <f>N548</f>
        <v>1.1</v>
      </c>
      <c r="O568" s="12"/>
      <c r="P568" s="4"/>
      <c r="Q568" s="4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</row>
    <row r="569" spans="1:44" ht="15.6" customHeight="1" x14ac:dyDescent="0.3">
      <c r="A569" s="3"/>
      <c r="B569" s="3"/>
      <c r="C569" s="3"/>
      <c r="D569" s="4"/>
      <c r="E569" s="6" t="s">
        <v>4</v>
      </c>
      <c r="F569" s="3"/>
      <c r="G569" s="3"/>
      <c r="H569" s="4"/>
      <c r="I569" s="4"/>
      <c r="J569" s="13"/>
      <c r="K569" s="13"/>
      <c r="L569" s="14"/>
      <c r="M569" s="9" t="s">
        <v>5</v>
      </c>
      <c r="N569" s="15" t="str">
        <f>N549</f>
        <v>1.1.3</v>
      </c>
      <c r="O569" s="15"/>
      <c r="P569" s="4"/>
      <c r="Q569" s="4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</row>
    <row r="570" spans="1:44" ht="15.6" customHeight="1" x14ac:dyDescent="0.3">
      <c r="A570" s="3"/>
      <c r="B570" s="3"/>
      <c r="C570" s="3"/>
      <c r="D570" s="4"/>
      <c r="E570" s="4" t="s">
        <v>7</v>
      </c>
      <c r="F570" s="3"/>
      <c r="G570" s="3"/>
      <c r="H570" s="8"/>
      <c r="I570" s="8"/>
      <c r="J570" s="7"/>
      <c r="K570" s="7"/>
      <c r="L570" s="8"/>
      <c r="M570" s="16" t="s">
        <v>5</v>
      </c>
      <c r="N570" s="17">
        <f>N550</f>
        <v>14</v>
      </c>
      <c r="O570" s="3"/>
      <c r="P570" s="4"/>
      <c r="Q570" s="4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</row>
    <row r="571" spans="1:44" ht="15.6" customHeight="1" x14ac:dyDescent="0.3">
      <c r="A571" s="3"/>
      <c r="B571" s="3"/>
      <c r="C571" s="3"/>
      <c r="D571" s="4"/>
      <c r="E571" s="4" t="s">
        <v>8</v>
      </c>
      <c r="F571" s="3"/>
      <c r="G571" s="3"/>
      <c r="H571" s="4"/>
      <c r="I571" s="4"/>
      <c r="J571" s="3"/>
      <c r="K571" s="3"/>
      <c r="L571" s="14"/>
      <c r="M571" s="16" t="s">
        <v>99</v>
      </c>
      <c r="N571" s="17" t="str">
        <f>IF(N551="-"&amp;N548&amp;".5",IF(N552=15,"-"&amp;N548&amp;".6","-"&amp;N548&amp;".5"),N551)</f>
        <v>-1.1.6</v>
      </c>
      <c r="O571" s="19"/>
      <c r="P571" s="4"/>
      <c r="Q571" s="4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</row>
    <row r="572" spans="1:44" ht="15.6" customHeight="1" x14ac:dyDescent="0.3">
      <c r="A572" s="3"/>
      <c r="B572" s="3"/>
      <c r="C572" s="3"/>
      <c r="D572" s="4"/>
      <c r="E572" s="21" t="s">
        <v>10</v>
      </c>
      <c r="F572" s="3"/>
      <c r="G572" s="3"/>
      <c r="H572" s="4"/>
      <c r="I572" s="8"/>
      <c r="J572" s="7"/>
      <c r="K572" s="7"/>
      <c r="L572" s="8"/>
      <c r="M572" s="16" t="s">
        <v>5</v>
      </c>
      <c r="N572" s="17">
        <f>IF(N571="-"&amp;N506&amp;".5",N552+1,IF(N551="-"&amp;N506&amp;".5",1,N552+1))</f>
        <v>13</v>
      </c>
      <c r="O572" s="3"/>
      <c r="P572" s="4"/>
      <c r="Q572" s="4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</row>
    <row r="573" spans="1:44" ht="6" customHeight="1" x14ac:dyDescent="0.25">
      <c r="A573" s="3"/>
      <c r="B573" s="3"/>
      <c r="C573" s="3"/>
      <c r="D573" s="4"/>
      <c r="E573" s="4"/>
      <c r="F573" s="3"/>
      <c r="G573" s="3"/>
      <c r="H573" s="4"/>
      <c r="I573" s="4"/>
      <c r="J573" s="3"/>
      <c r="K573" s="3"/>
      <c r="L573" s="4"/>
      <c r="M573" s="4"/>
      <c r="N573" s="3"/>
      <c r="O573" s="3"/>
      <c r="P573" s="4"/>
      <c r="Q573" s="4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</row>
    <row r="574" spans="1:44" ht="15.6" customHeight="1" x14ac:dyDescent="0.25">
      <c r="A574" s="24"/>
      <c r="B574" s="25"/>
      <c r="C574" s="25"/>
      <c r="D574" s="26"/>
      <c r="E574" s="26"/>
      <c r="F574" s="25"/>
      <c r="G574" s="25"/>
      <c r="H574" s="26"/>
      <c r="I574" s="26"/>
      <c r="J574" s="25"/>
      <c r="K574" s="25"/>
      <c r="L574" s="26"/>
      <c r="M574" s="26"/>
      <c r="N574" s="25"/>
      <c r="O574" s="25"/>
      <c r="P574" s="26"/>
      <c r="Q574" s="26"/>
      <c r="R574" s="25"/>
      <c r="S574" s="25"/>
      <c r="T574" s="25"/>
      <c r="U574" s="25"/>
      <c r="V574" s="45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</row>
    <row r="575" spans="1:44" ht="15.6" customHeight="1" x14ac:dyDescent="0.25">
      <c r="A575" s="27"/>
      <c r="B575" s="28"/>
      <c r="C575" s="28"/>
      <c r="D575" s="71">
        <v>1</v>
      </c>
      <c r="E575" s="72"/>
      <c r="F575" s="28"/>
      <c r="G575" s="28"/>
      <c r="H575" s="71">
        <v>2</v>
      </c>
      <c r="I575" s="72"/>
      <c r="J575" s="28"/>
      <c r="K575" s="28"/>
      <c r="L575" s="71">
        <v>3</v>
      </c>
      <c r="M575" s="72"/>
      <c r="N575" s="28"/>
      <c r="O575" s="28"/>
      <c r="P575" s="71">
        <v>4</v>
      </c>
      <c r="Q575" s="72"/>
      <c r="R575" s="28"/>
      <c r="S575" s="28"/>
      <c r="T575" s="28"/>
      <c r="U575" s="28"/>
      <c r="V575" s="46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</row>
    <row r="576" spans="1:44" ht="15.6" customHeight="1" x14ac:dyDescent="0.25">
      <c r="A576" s="27"/>
      <c r="B576" s="74" t="s">
        <v>11</v>
      </c>
      <c r="C576" s="74"/>
      <c r="D576" s="71" t="s">
        <v>12</v>
      </c>
      <c r="E576" s="72"/>
      <c r="F576" s="74" t="s">
        <v>11</v>
      </c>
      <c r="G576" s="74"/>
      <c r="H576" s="71" t="s">
        <v>12</v>
      </c>
      <c r="I576" s="72"/>
      <c r="J576" s="74" t="s">
        <v>11</v>
      </c>
      <c r="K576" s="74"/>
      <c r="L576" s="71" t="s">
        <v>12</v>
      </c>
      <c r="M576" s="72"/>
      <c r="N576" s="74" t="s">
        <v>11</v>
      </c>
      <c r="O576" s="74"/>
      <c r="P576" s="71" t="s">
        <v>12</v>
      </c>
      <c r="Q576" s="72"/>
      <c r="R576" s="74"/>
      <c r="S576" s="74"/>
      <c r="T576" s="74"/>
      <c r="U576" s="74"/>
      <c r="V576" s="48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</row>
    <row r="577" spans="1:44" ht="15.6" customHeight="1" x14ac:dyDescent="0.25">
      <c r="A577" s="27"/>
      <c r="B577" s="76"/>
      <c r="C577" s="76"/>
      <c r="D577" s="77"/>
      <c r="E577" s="77"/>
      <c r="F577" s="76"/>
      <c r="G577" s="76"/>
      <c r="H577" s="77"/>
      <c r="I577" s="77"/>
      <c r="J577" s="76"/>
      <c r="K577" s="76"/>
      <c r="L577" s="77"/>
      <c r="M577" s="77"/>
      <c r="N577" s="76"/>
      <c r="O577" s="76"/>
      <c r="P577" s="77"/>
      <c r="Q577" s="77"/>
      <c r="R577" s="76"/>
      <c r="S577" s="76"/>
      <c r="T577" s="76"/>
      <c r="U577" s="76"/>
      <c r="V577" s="48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</row>
    <row r="578" spans="1:44" ht="15.6" customHeight="1" x14ac:dyDescent="0.25">
      <c r="A578" s="27"/>
      <c r="B578" s="74">
        <v>0</v>
      </c>
      <c r="C578" s="74"/>
      <c r="D578" s="78">
        <v>1</v>
      </c>
      <c r="E578" s="78"/>
      <c r="F578" s="74">
        <v>2</v>
      </c>
      <c r="G578" s="74"/>
      <c r="H578" s="78">
        <v>3</v>
      </c>
      <c r="I578" s="78"/>
      <c r="J578" s="74">
        <v>4</v>
      </c>
      <c r="K578" s="74"/>
      <c r="L578" s="78">
        <v>5</v>
      </c>
      <c r="M578" s="78"/>
      <c r="N578" s="74">
        <v>6</v>
      </c>
      <c r="O578" s="74"/>
      <c r="P578" s="78">
        <v>7</v>
      </c>
      <c r="Q578" s="78"/>
      <c r="R578" s="74">
        <v>8</v>
      </c>
      <c r="S578" s="74"/>
      <c r="T578" s="74">
        <v>9</v>
      </c>
      <c r="U578" s="74"/>
      <c r="V578" s="49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</row>
    <row r="579" spans="1:44" ht="15.6" customHeight="1" x14ac:dyDescent="0.25">
      <c r="A579" s="27"/>
      <c r="B579" s="28" t="s">
        <v>13</v>
      </c>
      <c r="C579" s="28" t="s">
        <v>14</v>
      </c>
      <c r="D579" s="31" t="s">
        <v>15</v>
      </c>
      <c r="E579" s="31" t="s">
        <v>16</v>
      </c>
      <c r="F579" s="28" t="s">
        <v>13</v>
      </c>
      <c r="G579" s="28" t="s">
        <v>14</v>
      </c>
      <c r="H579" s="31" t="s">
        <v>15</v>
      </c>
      <c r="I579" s="31" t="s">
        <v>16</v>
      </c>
      <c r="J579" s="28" t="s">
        <v>13</v>
      </c>
      <c r="K579" s="28" t="s">
        <v>14</v>
      </c>
      <c r="L579" s="31" t="s">
        <v>15</v>
      </c>
      <c r="M579" s="31" t="s">
        <v>16</v>
      </c>
      <c r="N579" s="28" t="s">
        <v>13</v>
      </c>
      <c r="O579" s="28" t="s">
        <v>14</v>
      </c>
      <c r="P579" s="31" t="s">
        <v>15</v>
      </c>
      <c r="Q579" s="31" t="s">
        <v>16</v>
      </c>
      <c r="R579" s="28" t="s">
        <v>13</v>
      </c>
      <c r="S579" s="28" t="s">
        <v>14</v>
      </c>
      <c r="T579" s="28" t="s">
        <v>15</v>
      </c>
      <c r="U579" s="28" t="s">
        <v>16</v>
      </c>
      <c r="V579" s="49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</row>
    <row r="580" spans="1:44" ht="15.6" customHeight="1" x14ac:dyDescent="0.25">
      <c r="A580" s="33"/>
      <c r="B580" s="34"/>
      <c r="C580" s="34"/>
      <c r="D580" s="35"/>
      <c r="E580" s="36"/>
      <c r="F580" s="34"/>
      <c r="G580" s="34"/>
      <c r="H580" s="35"/>
      <c r="I580" s="36"/>
      <c r="J580" s="34"/>
      <c r="K580" s="34"/>
      <c r="L580" s="35"/>
      <c r="M580" s="36"/>
      <c r="N580" s="34"/>
      <c r="O580" s="34"/>
      <c r="P580" s="35"/>
      <c r="Q580" s="36"/>
      <c r="R580" s="34"/>
      <c r="S580" s="34"/>
      <c r="T580" s="34"/>
      <c r="U580" s="34"/>
      <c r="V580" s="50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</row>
    <row r="581" spans="1:44" ht="4.9000000000000004" customHeight="1" x14ac:dyDescent="0.25">
      <c r="A581" s="3"/>
      <c r="B581" s="30"/>
      <c r="C581" s="30"/>
      <c r="D581" s="54"/>
      <c r="E581" s="5"/>
      <c r="F581" s="30"/>
      <c r="G581" s="30"/>
      <c r="H581" s="54"/>
      <c r="I581" s="5"/>
      <c r="J581" s="30"/>
      <c r="K581" s="30"/>
      <c r="L581" s="54"/>
      <c r="M581" s="5"/>
      <c r="N581" s="30"/>
      <c r="O581" s="30"/>
      <c r="P581" s="54"/>
      <c r="Q581" s="5"/>
      <c r="R581" s="30"/>
      <c r="S581" s="30"/>
      <c r="T581" s="30"/>
      <c r="U581" s="30"/>
      <c r="V581" s="32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</row>
    <row r="582" spans="1:44" ht="15.6" customHeight="1" x14ac:dyDescent="0.25">
      <c r="A582" s="3"/>
      <c r="B582" s="95"/>
      <c r="C582" s="96"/>
      <c r="D582" s="97"/>
      <c r="E582" s="98"/>
      <c r="F582" s="95"/>
      <c r="G582" s="96"/>
      <c r="H582" s="97"/>
      <c r="I582" s="98"/>
      <c r="J582" s="95"/>
      <c r="K582" s="96"/>
      <c r="L582" s="97"/>
      <c r="M582" s="98"/>
      <c r="N582" s="95"/>
      <c r="O582" s="96"/>
      <c r="P582" s="97"/>
      <c r="Q582" s="98"/>
      <c r="R582" s="30"/>
      <c r="S582" s="30"/>
      <c r="T582" s="30"/>
      <c r="U582" s="30"/>
      <c r="V582" s="32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</row>
    <row r="583" spans="1:44" ht="15.6" customHeight="1" x14ac:dyDescent="0.25">
      <c r="A583" s="3"/>
      <c r="B583" s="83" t="str">
        <f>IF(D582&lt;1,"","пом.")</f>
        <v/>
      </c>
      <c r="C583" s="83"/>
      <c r="D583" s="85"/>
      <c r="E583" s="86"/>
      <c r="F583" s="83" t="str">
        <f>IF(H582&lt;1,"","пом.")</f>
        <v/>
      </c>
      <c r="G583" s="83"/>
      <c r="H583" s="85"/>
      <c r="I583" s="86"/>
      <c r="J583" s="83" t="str">
        <f>IF(L582&lt;1,"","пом.")</f>
        <v/>
      </c>
      <c r="K583" s="83"/>
      <c r="L583" s="85"/>
      <c r="M583" s="86"/>
      <c r="N583" s="83" t="str">
        <f>IF(P582&lt;1,"","пом.")</f>
        <v/>
      </c>
      <c r="O583" s="83"/>
      <c r="P583" s="85"/>
      <c r="Q583" s="86"/>
      <c r="R583" s="30"/>
      <c r="S583" s="30"/>
      <c r="T583" s="30"/>
      <c r="U583" s="30"/>
      <c r="V583" s="32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</row>
    <row r="584" spans="1:44" ht="7.15" customHeight="1" x14ac:dyDescent="0.25">
      <c r="A584" s="3"/>
      <c r="B584" s="3"/>
      <c r="C584" s="3"/>
      <c r="D584" s="4"/>
      <c r="E584" s="4"/>
      <c r="F584" s="3"/>
      <c r="G584" s="3"/>
      <c r="H584" s="4"/>
      <c r="I584" s="4"/>
      <c r="J584" s="3"/>
      <c r="K584" s="3"/>
      <c r="L584" s="4"/>
      <c r="M584" s="4"/>
      <c r="N584" s="3"/>
      <c r="O584" s="3"/>
      <c r="P584" s="4"/>
      <c r="Q584" s="4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</row>
    <row r="585" spans="1:44" ht="15.6" customHeight="1" x14ac:dyDescent="0.25">
      <c r="A585" s="3"/>
      <c r="B585" s="3"/>
      <c r="C585" s="3"/>
      <c r="D585" s="4"/>
      <c r="E585" s="5" t="s">
        <v>30</v>
      </c>
      <c r="F585" s="87" t="s">
        <v>31</v>
      </c>
      <c r="G585" s="87"/>
      <c r="H585" s="87"/>
      <c r="I585" s="117" t="s">
        <v>32</v>
      </c>
      <c r="J585" s="117"/>
      <c r="K585" s="58"/>
      <c r="L585" s="4"/>
      <c r="M585" s="4"/>
      <c r="N585" s="3"/>
      <c r="O585" s="30" t="s">
        <v>33</v>
      </c>
      <c r="P585" s="87" t="s">
        <v>34</v>
      </c>
      <c r="Q585" s="87"/>
      <c r="R585" s="87"/>
      <c r="S585" s="117" t="s">
        <v>35</v>
      </c>
      <c r="T585" s="117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</row>
    <row r="586" spans="1:44" ht="15.6" customHeight="1" x14ac:dyDescent="0.25">
      <c r="A586" s="3"/>
      <c r="B586" s="3"/>
      <c r="C586" s="3"/>
      <c r="D586" s="4"/>
      <c r="E586" s="5" t="s">
        <v>36</v>
      </c>
      <c r="F586" s="87" t="s">
        <v>37</v>
      </c>
      <c r="G586" s="87"/>
      <c r="H586" s="87"/>
      <c r="I586" s="117" t="s">
        <v>38</v>
      </c>
      <c r="J586" s="117"/>
      <c r="K586" s="117"/>
      <c r="L586" s="4"/>
      <c r="M586" s="4"/>
      <c r="N586" s="3"/>
      <c r="O586" s="30" t="s">
        <v>39</v>
      </c>
      <c r="P586" s="87" t="s">
        <v>34</v>
      </c>
      <c r="Q586" s="87"/>
      <c r="R586" s="87"/>
      <c r="S586" s="118" t="s">
        <v>40</v>
      </c>
      <c r="T586" s="118"/>
      <c r="U586" s="118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</row>
    <row r="587" spans="1:44" ht="15.6" customHeight="1" x14ac:dyDescent="0.25">
      <c r="A587" s="41"/>
      <c r="B587" s="41"/>
      <c r="C587" s="41"/>
      <c r="D587" s="42"/>
      <c r="E587" s="43"/>
      <c r="F587" s="41"/>
      <c r="G587" s="41"/>
      <c r="H587" s="42"/>
      <c r="I587" s="42"/>
      <c r="J587" s="41"/>
      <c r="K587" s="41"/>
      <c r="L587" s="42"/>
      <c r="M587" s="42"/>
      <c r="N587" s="41"/>
      <c r="O587" s="41"/>
      <c r="P587" s="42"/>
      <c r="Q587" s="42"/>
      <c r="R587" s="41"/>
      <c r="S587" s="41"/>
      <c r="T587" s="41"/>
      <c r="U587" s="41"/>
      <c r="V587" s="41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</row>
    <row r="588" spans="1:44" ht="15.6" customHeight="1" x14ac:dyDescent="0.25">
      <c r="A588" s="41"/>
      <c r="B588" s="41"/>
      <c r="C588" s="41"/>
      <c r="D588" s="42"/>
      <c r="E588" s="43"/>
      <c r="F588" s="41"/>
      <c r="G588" s="41"/>
      <c r="H588" s="42"/>
      <c r="I588" s="42"/>
      <c r="J588" s="41"/>
      <c r="K588" s="41"/>
      <c r="L588" s="42"/>
      <c r="M588" s="42"/>
      <c r="N588" s="41"/>
      <c r="O588" s="41"/>
      <c r="P588" s="42"/>
      <c r="Q588" s="42"/>
      <c r="R588" s="41"/>
      <c r="S588" s="41"/>
      <c r="T588" s="41"/>
      <c r="U588" s="41"/>
      <c r="V588" s="41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</row>
    <row r="589" spans="1:44" ht="15.6" hidden="1" customHeight="1" x14ac:dyDescent="0.25">
      <c r="A589" s="3"/>
      <c r="B589" s="3"/>
      <c r="C589" s="3"/>
      <c r="D589" s="4"/>
      <c r="E589" s="4"/>
      <c r="F589" s="3"/>
      <c r="G589" s="3"/>
      <c r="H589" s="4"/>
      <c r="I589" s="4"/>
      <c r="J589" s="3"/>
      <c r="K589" s="3"/>
      <c r="L589" s="4"/>
      <c r="M589" s="4"/>
      <c r="N589" s="3"/>
      <c r="O589" s="3"/>
      <c r="P589" s="4"/>
      <c r="Q589" s="4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</row>
    <row r="590" spans="1:44" ht="15.6" customHeight="1" x14ac:dyDescent="0.3">
      <c r="A590" s="3"/>
      <c r="B590" s="3"/>
      <c r="C590" s="3"/>
      <c r="D590" s="4"/>
      <c r="E590" s="6" t="s">
        <v>1</v>
      </c>
      <c r="F590" s="3"/>
      <c r="G590" s="7"/>
      <c r="H590" s="8"/>
      <c r="I590" s="8"/>
      <c r="J590" s="7"/>
      <c r="K590" s="7"/>
      <c r="L590" s="8"/>
      <c r="M590" s="9" t="s">
        <v>2</v>
      </c>
      <c r="N590" s="12" t="str">
        <f>N568</f>
        <v>1.1</v>
      </c>
      <c r="O590" s="12"/>
      <c r="P590" s="4"/>
      <c r="Q590" s="4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</row>
    <row r="591" spans="1:44" ht="15.6" customHeight="1" x14ac:dyDescent="0.3">
      <c r="A591" s="3"/>
      <c r="B591" s="3"/>
      <c r="C591" s="3"/>
      <c r="D591" s="4"/>
      <c r="E591" s="6" t="s">
        <v>4</v>
      </c>
      <c r="F591" s="3"/>
      <c r="G591" s="3"/>
      <c r="H591" s="4"/>
      <c r="I591" s="4"/>
      <c r="J591" s="13"/>
      <c r="K591" s="13"/>
      <c r="L591" s="14"/>
      <c r="M591" s="9" t="s">
        <v>5</v>
      </c>
      <c r="N591" s="15" t="str">
        <f>N590&amp;".3"</f>
        <v>1.1.3</v>
      </c>
      <c r="O591" s="15"/>
      <c r="P591" s="4"/>
      <c r="Q591" s="4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</row>
    <row r="592" spans="1:44" ht="15.6" customHeight="1" x14ac:dyDescent="0.3">
      <c r="A592" s="3"/>
      <c r="B592" s="3"/>
      <c r="C592" s="3"/>
      <c r="D592" s="4"/>
      <c r="E592" s="4" t="s">
        <v>7</v>
      </c>
      <c r="F592" s="3"/>
      <c r="G592" s="3"/>
      <c r="H592" s="8"/>
      <c r="I592" s="8"/>
      <c r="J592" s="7"/>
      <c r="K592" s="7"/>
      <c r="L592" s="8"/>
      <c r="M592" s="16" t="s">
        <v>5</v>
      </c>
      <c r="N592" s="17">
        <f>N570+1</f>
        <v>15</v>
      </c>
      <c r="O592" s="3"/>
      <c r="P592" s="4"/>
      <c r="Q592" s="4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</row>
    <row r="593" spans="1:44" ht="15.6" customHeight="1" x14ac:dyDescent="0.3">
      <c r="A593" s="3"/>
      <c r="B593" s="3"/>
      <c r="C593" s="3"/>
      <c r="D593" s="4"/>
      <c r="E593" s="4" t="s">
        <v>8</v>
      </c>
      <c r="F593" s="3"/>
      <c r="G593" s="3"/>
      <c r="H593" s="4"/>
      <c r="I593" s="4"/>
      <c r="J593" s="3"/>
      <c r="K593" s="3"/>
      <c r="L593" s="14"/>
      <c r="M593" s="16" t="s">
        <v>99</v>
      </c>
      <c r="N593" s="17" t="str">
        <f>IF(N571="-"&amp;N548&amp;".5",IF(N572=15,"-"&amp;N548&amp;".6","-"&amp;N548&amp;".5"),N571)</f>
        <v>-1.1.6</v>
      </c>
      <c r="O593" s="3"/>
      <c r="P593" s="4"/>
      <c r="Q593" s="4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</row>
    <row r="594" spans="1:44" ht="15.6" customHeight="1" x14ac:dyDescent="0.3">
      <c r="A594" s="3"/>
      <c r="B594" s="3"/>
      <c r="C594" s="3"/>
      <c r="D594" s="4"/>
      <c r="E594" s="21" t="s">
        <v>10</v>
      </c>
      <c r="F594" s="3"/>
      <c r="G594" s="3"/>
      <c r="H594" s="4"/>
      <c r="I594" s="8"/>
      <c r="J594" s="7"/>
      <c r="K594" s="7"/>
      <c r="L594" s="8"/>
      <c r="M594" s="16" t="s">
        <v>5</v>
      </c>
      <c r="N594" s="17">
        <f>IF(N593="-"&amp;N548&amp;".5",N572+1,IF(N571="-"&amp;N548&amp;".5",1,N572+1))</f>
        <v>14</v>
      </c>
      <c r="O594" s="3"/>
      <c r="P594" s="4"/>
      <c r="Q594" s="4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</row>
    <row r="595" spans="1:44" ht="15.6" customHeight="1" x14ac:dyDescent="0.25">
      <c r="A595" s="3"/>
      <c r="B595" s="3"/>
      <c r="C595" s="3"/>
      <c r="D595" s="4"/>
      <c r="E595" s="4"/>
      <c r="F595" s="3"/>
      <c r="G595" s="3"/>
      <c r="H595" s="4"/>
      <c r="I595" s="4"/>
      <c r="J595" s="3"/>
      <c r="K595" s="3"/>
      <c r="L595" s="4"/>
      <c r="M595" s="4"/>
      <c r="N595" s="3"/>
      <c r="O595" s="3"/>
      <c r="P595" s="4"/>
      <c r="Q595" s="4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</row>
    <row r="596" spans="1:44" ht="15.6" customHeight="1" x14ac:dyDescent="0.25">
      <c r="A596" s="24"/>
      <c r="B596" s="25"/>
      <c r="C596" s="25"/>
      <c r="D596" s="26"/>
      <c r="E596" s="26"/>
      <c r="F596" s="25"/>
      <c r="G596" s="25"/>
      <c r="H596" s="26"/>
      <c r="I596" s="26"/>
      <c r="J596" s="25"/>
      <c r="K596" s="25"/>
      <c r="L596" s="26"/>
      <c r="M596" s="26"/>
      <c r="N596" s="25"/>
      <c r="O596" s="25"/>
      <c r="P596" s="26"/>
      <c r="Q596" s="26"/>
      <c r="R596" s="25"/>
      <c r="S596" s="25"/>
      <c r="T596" s="25"/>
      <c r="U596" s="25"/>
      <c r="V596" s="45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</row>
    <row r="597" spans="1:44" ht="15.6" customHeight="1" x14ac:dyDescent="0.25">
      <c r="A597" s="27"/>
      <c r="B597" s="28"/>
      <c r="C597" s="28"/>
      <c r="D597" s="71">
        <v>1</v>
      </c>
      <c r="E597" s="72"/>
      <c r="F597" s="28"/>
      <c r="G597" s="28"/>
      <c r="H597" s="71">
        <v>2</v>
      </c>
      <c r="I597" s="72"/>
      <c r="J597" s="28"/>
      <c r="K597" s="28"/>
      <c r="L597" s="71">
        <v>3</v>
      </c>
      <c r="M597" s="72"/>
      <c r="N597" s="28"/>
      <c r="O597" s="28"/>
      <c r="P597" s="71">
        <v>4</v>
      </c>
      <c r="Q597" s="72"/>
      <c r="R597" s="28"/>
      <c r="S597" s="28"/>
      <c r="T597" s="28"/>
      <c r="U597" s="28"/>
      <c r="V597" s="46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</row>
    <row r="598" spans="1:44" ht="15.6" customHeight="1" x14ac:dyDescent="0.25">
      <c r="A598" s="27"/>
      <c r="B598" s="74" t="s">
        <v>11</v>
      </c>
      <c r="C598" s="74"/>
      <c r="D598" s="71" t="s">
        <v>12</v>
      </c>
      <c r="E598" s="72"/>
      <c r="F598" s="74" t="s">
        <v>11</v>
      </c>
      <c r="G598" s="74"/>
      <c r="H598" s="71" t="s">
        <v>12</v>
      </c>
      <c r="I598" s="72"/>
      <c r="J598" s="74" t="s">
        <v>11</v>
      </c>
      <c r="K598" s="74"/>
      <c r="L598" s="71" t="s">
        <v>12</v>
      </c>
      <c r="M598" s="72"/>
      <c r="N598" s="74" t="s">
        <v>11</v>
      </c>
      <c r="O598" s="74"/>
      <c r="P598" s="71" t="s">
        <v>12</v>
      </c>
      <c r="Q598" s="72"/>
      <c r="R598" s="74"/>
      <c r="S598" s="74"/>
      <c r="T598" s="74"/>
      <c r="U598" s="74"/>
      <c r="V598" s="48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</row>
    <row r="599" spans="1:44" ht="15.6" customHeight="1" x14ac:dyDescent="0.25">
      <c r="A599" s="27"/>
      <c r="B599" s="76"/>
      <c r="C599" s="76"/>
      <c r="D599" s="77"/>
      <c r="E599" s="77"/>
      <c r="F599" s="76"/>
      <c r="G599" s="76"/>
      <c r="H599" s="77"/>
      <c r="I599" s="77"/>
      <c r="J599" s="76"/>
      <c r="K599" s="76"/>
      <c r="L599" s="77"/>
      <c r="M599" s="77"/>
      <c r="N599" s="76"/>
      <c r="O599" s="76"/>
      <c r="P599" s="77"/>
      <c r="Q599" s="77"/>
      <c r="R599" s="76"/>
      <c r="S599" s="76"/>
      <c r="T599" s="76"/>
      <c r="U599" s="76"/>
      <c r="V599" s="48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</row>
    <row r="600" spans="1:44" ht="15.6" customHeight="1" x14ac:dyDescent="0.25">
      <c r="A600" s="27"/>
      <c r="B600" s="74">
        <v>0</v>
      </c>
      <c r="C600" s="74"/>
      <c r="D600" s="78">
        <v>1</v>
      </c>
      <c r="E600" s="78"/>
      <c r="F600" s="74">
        <v>2</v>
      </c>
      <c r="G600" s="74"/>
      <c r="H600" s="78">
        <v>3</v>
      </c>
      <c r="I600" s="78"/>
      <c r="J600" s="74">
        <v>4</v>
      </c>
      <c r="K600" s="74"/>
      <c r="L600" s="78">
        <v>5</v>
      </c>
      <c r="M600" s="78"/>
      <c r="N600" s="74">
        <v>6</v>
      </c>
      <c r="O600" s="74"/>
      <c r="P600" s="78">
        <v>7</v>
      </c>
      <c r="Q600" s="78"/>
      <c r="R600" s="74">
        <v>8</v>
      </c>
      <c r="S600" s="74"/>
      <c r="T600" s="74">
        <v>9</v>
      </c>
      <c r="U600" s="74"/>
      <c r="V600" s="49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</row>
    <row r="601" spans="1:44" ht="15.6" customHeight="1" x14ac:dyDescent="0.25">
      <c r="A601" s="27"/>
      <c r="B601" s="28" t="s">
        <v>13</v>
      </c>
      <c r="C601" s="28" t="s">
        <v>14</v>
      </c>
      <c r="D601" s="31" t="s">
        <v>15</v>
      </c>
      <c r="E601" s="31" t="s">
        <v>16</v>
      </c>
      <c r="F601" s="28" t="s">
        <v>13</v>
      </c>
      <c r="G601" s="28" t="s">
        <v>14</v>
      </c>
      <c r="H601" s="31" t="s">
        <v>15</v>
      </c>
      <c r="I601" s="31" t="s">
        <v>16</v>
      </c>
      <c r="J601" s="28" t="s">
        <v>13</v>
      </c>
      <c r="K601" s="28" t="s">
        <v>14</v>
      </c>
      <c r="L601" s="31" t="s">
        <v>15</v>
      </c>
      <c r="M601" s="31" t="s">
        <v>16</v>
      </c>
      <c r="N601" s="28" t="s">
        <v>13</v>
      </c>
      <c r="O601" s="28" t="s">
        <v>14</v>
      </c>
      <c r="P601" s="31" t="s">
        <v>15</v>
      </c>
      <c r="Q601" s="31" t="s">
        <v>16</v>
      </c>
      <c r="R601" s="28" t="s">
        <v>13</v>
      </c>
      <c r="S601" s="28" t="s">
        <v>14</v>
      </c>
      <c r="T601" s="28" t="s">
        <v>15</v>
      </c>
      <c r="U601" s="28" t="s">
        <v>16</v>
      </c>
      <c r="V601" s="49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</row>
    <row r="602" spans="1:44" ht="15.6" customHeight="1" x14ac:dyDescent="0.25">
      <c r="A602" s="33"/>
      <c r="B602" s="34"/>
      <c r="C602" s="34"/>
      <c r="D602" s="35"/>
      <c r="E602" s="36"/>
      <c r="F602" s="34"/>
      <c r="G602" s="34"/>
      <c r="H602" s="35"/>
      <c r="I602" s="36"/>
      <c r="J602" s="34"/>
      <c r="K602" s="34"/>
      <c r="L602" s="35"/>
      <c r="M602" s="36"/>
      <c r="N602" s="34"/>
      <c r="O602" s="34"/>
      <c r="P602" s="35"/>
      <c r="Q602" s="36"/>
      <c r="R602" s="34"/>
      <c r="S602" s="34"/>
      <c r="T602" s="34"/>
      <c r="U602" s="34"/>
      <c r="V602" s="50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</row>
    <row r="603" spans="1:44" ht="15.6" customHeight="1" x14ac:dyDescent="0.25">
      <c r="A603" s="3"/>
      <c r="B603" s="30"/>
      <c r="C603" s="30"/>
      <c r="D603" s="54"/>
      <c r="E603" s="5"/>
      <c r="F603" s="30"/>
      <c r="G603" s="30"/>
      <c r="H603" s="54"/>
      <c r="I603" s="5"/>
      <c r="J603" s="30"/>
      <c r="K603" s="30"/>
      <c r="L603" s="54"/>
      <c r="M603" s="5"/>
      <c r="N603" s="30"/>
      <c r="O603" s="30"/>
      <c r="P603" s="54"/>
      <c r="Q603" s="5"/>
      <c r="R603" s="30"/>
      <c r="S603" s="30"/>
      <c r="T603" s="30"/>
      <c r="U603" s="30"/>
      <c r="V603" s="32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</row>
    <row r="604" spans="1:44" ht="15.6" customHeight="1" x14ac:dyDescent="0.25">
      <c r="A604" s="3"/>
      <c r="B604" s="95"/>
      <c r="C604" s="96"/>
      <c r="D604" s="97"/>
      <c r="E604" s="98"/>
      <c r="F604" s="95"/>
      <c r="G604" s="96"/>
      <c r="H604" s="97"/>
      <c r="I604" s="98"/>
      <c r="J604" s="95"/>
      <c r="K604" s="96"/>
      <c r="L604" s="97"/>
      <c r="M604" s="98"/>
      <c r="N604" s="95"/>
      <c r="O604" s="96"/>
      <c r="P604" s="97"/>
      <c r="Q604" s="98"/>
      <c r="R604" s="30"/>
      <c r="S604" s="30"/>
      <c r="T604" s="30"/>
      <c r="U604" s="30"/>
      <c r="V604" s="32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</row>
    <row r="605" spans="1:44" ht="15.6" customHeight="1" x14ac:dyDescent="0.25">
      <c r="A605" s="3"/>
      <c r="B605" s="83" t="str">
        <f>IF(D604&lt;1,"","пом.")</f>
        <v/>
      </c>
      <c r="C605" s="83"/>
      <c r="D605" s="85"/>
      <c r="E605" s="86"/>
      <c r="F605" s="83" t="str">
        <f>IF(H604&lt;1,"","пом.")</f>
        <v/>
      </c>
      <c r="G605" s="83"/>
      <c r="H605" s="85"/>
      <c r="I605" s="86"/>
      <c r="J605" s="83" t="str">
        <f>IF(L604&lt;1,"","пом.")</f>
        <v/>
      </c>
      <c r="K605" s="83"/>
      <c r="L605" s="85"/>
      <c r="M605" s="86"/>
      <c r="N605" s="83" t="str">
        <f>IF(P604&lt;1,"","пом.")</f>
        <v/>
      </c>
      <c r="O605" s="83"/>
      <c r="P605" s="85"/>
      <c r="Q605" s="86"/>
      <c r="R605" s="30"/>
      <c r="S605" s="30"/>
      <c r="T605" s="30"/>
      <c r="U605" s="30"/>
      <c r="V605" s="32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</row>
    <row r="606" spans="1:44" ht="15.6" customHeight="1" x14ac:dyDescent="0.25">
      <c r="A606" s="3"/>
      <c r="B606" s="3"/>
      <c r="C606" s="3"/>
      <c r="D606" s="4"/>
      <c r="E606" s="4"/>
      <c r="F606" s="3"/>
      <c r="G606" s="3"/>
      <c r="H606" s="4"/>
      <c r="I606" s="4"/>
      <c r="J606" s="3"/>
      <c r="K606" s="3"/>
      <c r="L606" s="4"/>
      <c r="M606" s="4"/>
      <c r="N606" s="3"/>
      <c r="O606" s="3"/>
      <c r="P606" s="4"/>
      <c r="Q606" s="4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</row>
    <row r="607" spans="1:44" ht="15.6" customHeight="1" x14ac:dyDescent="0.25">
      <c r="A607" s="3"/>
      <c r="B607" s="3"/>
      <c r="C607" s="3"/>
      <c r="D607" s="4"/>
      <c r="E607" s="5" t="s">
        <v>30</v>
      </c>
      <c r="F607" s="87" t="s">
        <v>31</v>
      </c>
      <c r="G607" s="87"/>
      <c r="H607" s="87"/>
      <c r="I607" s="117" t="s">
        <v>32</v>
      </c>
      <c r="J607" s="117"/>
      <c r="K607" s="58"/>
      <c r="L607" s="4"/>
      <c r="M607" s="4"/>
      <c r="N607" s="3"/>
      <c r="O607" s="30" t="s">
        <v>33</v>
      </c>
      <c r="P607" s="87" t="s">
        <v>34</v>
      </c>
      <c r="Q607" s="87"/>
      <c r="R607" s="87"/>
      <c r="S607" s="117" t="s">
        <v>35</v>
      </c>
      <c r="T607" s="117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</row>
    <row r="608" spans="1:44" ht="15.6" customHeight="1" x14ac:dyDescent="0.25">
      <c r="A608" s="3"/>
      <c r="B608" s="3"/>
      <c r="C608" s="3"/>
      <c r="D608" s="4"/>
      <c r="E608" s="5" t="s">
        <v>36</v>
      </c>
      <c r="F608" s="87" t="s">
        <v>37</v>
      </c>
      <c r="G608" s="87"/>
      <c r="H608" s="87"/>
      <c r="I608" s="117" t="s">
        <v>38</v>
      </c>
      <c r="J608" s="117"/>
      <c r="K608" s="117"/>
      <c r="L608" s="4"/>
      <c r="M608" s="4"/>
      <c r="N608" s="3"/>
      <c r="O608" s="30" t="s">
        <v>39</v>
      </c>
      <c r="P608" s="87" t="s">
        <v>34</v>
      </c>
      <c r="Q608" s="87"/>
      <c r="R608" s="87"/>
      <c r="S608" s="118" t="s">
        <v>40</v>
      </c>
      <c r="T608" s="118"/>
      <c r="U608" s="118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</row>
    <row r="609" spans="1:44" ht="15.6" customHeight="1" x14ac:dyDescent="0.25">
      <c r="A609" s="41"/>
      <c r="B609" s="41"/>
      <c r="C609" s="41"/>
      <c r="D609" s="42"/>
      <c r="E609" s="43"/>
      <c r="F609" s="41"/>
      <c r="G609" s="41"/>
      <c r="H609" s="42"/>
      <c r="I609" s="42"/>
      <c r="J609" s="41"/>
      <c r="K609" s="41"/>
      <c r="L609" s="42"/>
      <c r="M609" s="42"/>
      <c r="N609" s="41"/>
      <c r="O609" s="41"/>
      <c r="P609" s="42"/>
      <c r="Q609" s="42"/>
      <c r="R609" s="41"/>
      <c r="S609" s="41"/>
      <c r="T609" s="41"/>
      <c r="U609" s="41"/>
      <c r="V609" s="41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</row>
    <row r="610" spans="1:44" ht="15.6" customHeight="1" x14ac:dyDescent="0.3">
      <c r="A610" s="3"/>
      <c r="B610" s="3"/>
      <c r="C610" s="3"/>
      <c r="D610" s="4"/>
      <c r="E610" s="6" t="s">
        <v>1</v>
      </c>
      <c r="F610" s="3"/>
      <c r="G610" s="7"/>
      <c r="H610" s="8"/>
      <c r="I610" s="8"/>
      <c r="J610" s="7"/>
      <c r="K610" s="7"/>
      <c r="L610" s="8"/>
      <c r="M610" s="9" t="s">
        <v>2</v>
      </c>
      <c r="N610" s="12" t="str">
        <f>N590</f>
        <v>1.1</v>
      </c>
      <c r="O610" s="12"/>
      <c r="P610" s="4"/>
      <c r="Q610" s="4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</row>
    <row r="611" spans="1:44" ht="15.6" customHeight="1" x14ac:dyDescent="0.3">
      <c r="A611" s="3"/>
      <c r="B611" s="3"/>
      <c r="C611" s="3"/>
      <c r="D611" s="4"/>
      <c r="E611" s="6" t="s">
        <v>4</v>
      </c>
      <c r="F611" s="3"/>
      <c r="G611" s="3"/>
      <c r="H611" s="4"/>
      <c r="I611" s="4"/>
      <c r="J611" s="13"/>
      <c r="K611" s="13"/>
      <c r="L611" s="14"/>
      <c r="M611" s="9" t="s">
        <v>5</v>
      </c>
      <c r="N611" s="15" t="str">
        <f>N591</f>
        <v>1.1.3</v>
      </c>
      <c r="O611" s="15"/>
      <c r="P611" s="4"/>
      <c r="Q611" s="4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</row>
    <row r="612" spans="1:44" ht="15.6" customHeight="1" x14ac:dyDescent="0.3">
      <c r="A612" s="3"/>
      <c r="B612" s="3"/>
      <c r="C612" s="3"/>
      <c r="D612" s="4"/>
      <c r="E612" s="4" t="s">
        <v>7</v>
      </c>
      <c r="F612" s="3"/>
      <c r="G612" s="3"/>
      <c r="H612" s="8"/>
      <c r="I612" s="8"/>
      <c r="J612" s="7"/>
      <c r="K612" s="7"/>
      <c r="L612" s="8"/>
      <c r="M612" s="16" t="s">
        <v>5</v>
      </c>
      <c r="N612" s="17">
        <f>N592</f>
        <v>15</v>
      </c>
      <c r="O612" s="3"/>
      <c r="P612" s="4"/>
      <c r="Q612" s="4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</row>
    <row r="613" spans="1:44" ht="15.6" customHeight="1" x14ac:dyDescent="0.3">
      <c r="A613" s="3"/>
      <c r="B613" s="3"/>
      <c r="C613" s="3"/>
      <c r="D613" s="4"/>
      <c r="E613" s="4" t="s">
        <v>8</v>
      </c>
      <c r="F613" s="3"/>
      <c r="G613" s="3"/>
      <c r="H613" s="4"/>
      <c r="I613" s="4"/>
      <c r="J613" s="3"/>
      <c r="K613" s="3"/>
      <c r="L613" s="14"/>
      <c r="M613" s="16" t="s">
        <v>99</v>
      </c>
      <c r="N613" s="17" t="str">
        <f>IF(N593="-"&amp;N590&amp;".5",IF(N594=15,"-"&amp;N590&amp;".6","-"&amp;N590&amp;".5"),N593)</f>
        <v>-1.1.6</v>
      </c>
      <c r="O613" s="19"/>
      <c r="P613" s="4"/>
      <c r="Q613" s="4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</row>
    <row r="614" spans="1:44" ht="15.6" customHeight="1" x14ac:dyDescent="0.3">
      <c r="A614" s="3"/>
      <c r="B614" s="3"/>
      <c r="C614" s="3"/>
      <c r="D614" s="4"/>
      <c r="E614" s="21" t="s">
        <v>10</v>
      </c>
      <c r="F614" s="3"/>
      <c r="G614" s="3"/>
      <c r="H614" s="4"/>
      <c r="I614" s="8"/>
      <c r="J614" s="7"/>
      <c r="K614" s="7"/>
      <c r="L614" s="8"/>
      <c r="M614" s="16" t="s">
        <v>5</v>
      </c>
      <c r="N614" s="17">
        <f>IF(N613="-"&amp;N548&amp;".5",N594+1,IF(N593="-"&amp;N548&amp;".5",1,N594+1))</f>
        <v>15</v>
      </c>
      <c r="O614" s="3"/>
      <c r="P614" s="4"/>
      <c r="Q614" s="4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</row>
    <row r="615" spans="1:44" ht="7.9" customHeight="1" x14ac:dyDescent="0.25">
      <c r="A615" s="3"/>
      <c r="B615" s="3"/>
      <c r="C615" s="3"/>
      <c r="D615" s="4"/>
      <c r="E615" s="4"/>
      <c r="F615" s="3"/>
      <c r="G615" s="3"/>
      <c r="H615" s="4"/>
      <c r="I615" s="4"/>
      <c r="J615" s="3"/>
      <c r="K615" s="3"/>
      <c r="L615" s="4"/>
      <c r="M615" s="4"/>
      <c r="N615" s="3"/>
      <c r="O615" s="3"/>
      <c r="P615" s="4"/>
      <c r="Q615" s="4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</row>
    <row r="616" spans="1:44" ht="15.6" customHeight="1" x14ac:dyDescent="0.25">
      <c r="A616" s="24"/>
      <c r="B616" s="25"/>
      <c r="C616" s="25"/>
      <c r="D616" s="26"/>
      <c r="E616" s="26"/>
      <c r="F616" s="25"/>
      <c r="G616" s="25"/>
      <c r="H616" s="26"/>
      <c r="I616" s="26"/>
      <c r="J616" s="25"/>
      <c r="K616" s="25"/>
      <c r="L616" s="26"/>
      <c r="M616" s="26"/>
      <c r="N616" s="25"/>
      <c r="O616" s="25"/>
      <c r="P616" s="26"/>
      <c r="Q616" s="26"/>
      <c r="R616" s="25"/>
      <c r="S616" s="25"/>
      <c r="T616" s="25"/>
      <c r="U616" s="25"/>
      <c r="V616" s="45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</row>
    <row r="617" spans="1:44" ht="15.6" customHeight="1" x14ac:dyDescent="0.25">
      <c r="A617" s="27"/>
      <c r="B617" s="28"/>
      <c r="C617" s="28"/>
      <c r="D617" s="71">
        <v>1</v>
      </c>
      <c r="E617" s="72"/>
      <c r="F617" s="28"/>
      <c r="G617" s="28"/>
      <c r="H617" s="71">
        <v>2</v>
      </c>
      <c r="I617" s="72"/>
      <c r="J617" s="28"/>
      <c r="K617" s="28"/>
      <c r="L617" s="71">
        <v>3</v>
      </c>
      <c r="M617" s="72"/>
      <c r="N617" s="28"/>
      <c r="O617" s="28"/>
      <c r="P617" s="71">
        <v>4</v>
      </c>
      <c r="Q617" s="72"/>
      <c r="R617" s="28"/>
      <c r="S617" s="28"/>
      <c r="T617" s="28"/>
      <c r="U617" s="28"/>
      <c r="V617" s="46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</row>
    <row r="618" spans="1:44" ht="15.6" customHeight="1" x14ac:dyDescent="0.25">
      <c r="A618" s="27"/>
      <c r="B618" s="74" t="s">
        <v>11</v>
      </c>
      <c r="C618" s="74"/>
      <c r="D618" s="71" t="s">
        <v>12</v>
      </c>
      <c r="E618" s="72"/>
      <c r="F618" s="74" t="s">
        <v>11</v>
      </c>
      <c r="G618" s="74"/>
      <c r="H618" s="71" t="s">
        <v>12</v>
      </c>
      <c r="I618" s="72"/>
      <c r="J618" s="74" t="s">
        <v>11</v>
      </c>
      <c r="K618" s="74"/>
      <c r="L618" s="71" t="s">
        <v>12</v>
      </c>
      <c r="M618" s="72"/>
      <c r="N618" s="74" t="s">
        <v>11</v>
      </c>
      <c r="O618" s="74"/>
      <c r="P618" s="71" t="s">
        <v>12</v>
      </c>
      <c r="Q618" s="72"/>
      <c r="R618" s="74"/>
      <c r="S618" s="74"/>
      <c r="T618" s="74"/>
      <c r="U618" s="74"/>
      <c r="V618" s="48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</row>
    <row r="619" spans="1:44" ht="15.6" customHeight="1" x14ac:dyDescent="0.25">
      <c r="A619" s="27"/>
      <c r="B619" s="76"/>
      <c r="C619" s="76"/>
      <c r="D619" s="77"/>
      <c r="E619" s="77"/>
      <c r="F619" s="76"/>
      <c r="G619" s="76"/>
      <c r="H619" s="77"/>
      <c r="I619" s="77"/>
      <c r="J619" s="76"/>
      <c r="K619" s="76"/>
      <c r="L619" s="77"/>
      <c r="M619" s="77"/>
      <c r="N619" s="76"/>
      <c r="O619" s="76"/>
      <c r="P619" s="77"/>
      <c r="Q619" s="77"/>
      <c r="R619" s="76"/>
      <c r="S619" s="76"/>
      <c r="T619" s="76"/>
      <c r="U619" s="76"/>
      <c r="V619" s="48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</row>
    <row r="620" spans="1:44" ht="15.6" customHeight="1" x14ac:dyDescent="0.25">
      <c r="A620" s="27"/>
      <c r="B620" s="74">
        <v>0</v>
      </c>
      <c r="C620" s="74"/>
      <c r="D620" s="78">
        <v>1</v>
      </c>
      <c r="E620" s="78"/>
      <c r="F620" s="74">
        <v>2</v>
      </c>
      <c r="G620" s="74"/>
      <c r="H620" s="78">
        <v>3</v>
      </c>
      <c r="I620" s="78"/>
      <c r="J620" s="74">
        <v>4</v>
      </c>
      <c r="K620" s="74"/>
      <c r="L620" s="78">
        <v>5</v>
      </c>
      <c r="M620" s="78"/>
      <c r="N620" s="74">
        <v>6</v>
      </c>
      <c r="O620" s="74"/>
      <c r="P620" s="78">
        <v>7</v>
      </c>
      <c r="Q620" s="78"/>
      <c r="R620" s="74">
        <v>8</v>
      </c>
      <c r="S620" s="74"/>
      <c r="T620" s="74">
        <v>9</v>
      </c>
      <c r="U620" s="74"/>
      <c r="V620" s="49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</row>
    <row r="621" spans="1:44" ht="15.6" customHeight="1" x14ac:dyDescent="0.25">
      <c r="A621" s="27"/>
      <c r="B621" s="28" t="s">
        <v>13</v>
      </c>
      <c r="C621" s="28" t="s">
        <v>14</v>
      </c>
      <c r="D621" s="31" t="s">
        <v>15</v>
      </c>
      <c r="E621" s="31" t="s">
        <v>16</v>
      </c>
      <c r="F621" s="28" t="s">
        <v>13</v>
      </c>
      <c r="G621" s="28" t="s">
        <v>14</v>
      </c>
      <c r="H621" s="31" t="s">
        <v>15</v>
      </c>
      <c r="I621" s="31" t="s">
        <v>16</v>
      </c>
      <c r="J621" s="28" t="s">
        <v>13</v>
      </c>
      <c r="K621" s="28" t="s">
        <v>14</v>
      </c>
      <c r="L621" s="31" t="s">
        <v>15</v>
      </c>
      <c r="M621" s="31" t="s">
        <v>16</v>
      </c>
      <c r="N621" s="28" t="s">
        <v>13</v>
      </c>
      <c r="O621" s="28" t="s">
        <v>14</v>
      </c>
      <c r="P621" s="31" t="s">
        <v>15</v>
      </c>
      <c r="Q621" s="31" t="s">
        <v>16</v>
      </c>
      <c r="R621" s="28" t="s">
        <v>13</v>
      </c>
      <c r="S621" s="28" t="s">
        <v>14</v>
      </c>
      <c r="T621" s="28" t="s">
        <v>15</v>
      </c>
      <c r="U621" s="28" t="s">
        <v>16</v>
      </c>
      <c r="V621" s="49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</row>
    <row r="622" spans="1:44" ht="15.6" customHeight="1" x14ac:dyDescent="0.25">
      <c r="A622" s="33"/>
      <c r="B622" s="34"/>
      <c r="C622" s="34"/>
      <c r="D622" s="35"/>
      <c r="E622" s="36"/>
      <c r="F622" s="34"/>
      <c r="G622" s="34"/>
      <c r="H622" s="35"/>
      <c r="I622" s="36"/>
      <c r="J622" s="34"/>
      <c r="K622" s="34"/>
      <c r="L622" s="35"/>
      <c r="M622" s="36"/>
      <c r="N622" s="34"/>
      <c r="O622" s="34"/>
      <c r="P622" s="35"/>
      <c r="Q622" s="36"/>
      <c r="R622" s="34"/>
      <c r="S622" s="34"/>
      <c r="T622" s="34"/>
      <c r="U622" s="34"/>
      <c r="V622" s="50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</row>
    <row r="623" spans="1:44" ht="6" customHeight="1" x14ac:dyDescent="0.25">
      <c r="A623" s="3"/>
      <c r="B623" s="30"/>
      <c r="C623" s="30"/>
      <c r="D623" s="54"/>
      <c r="E623" s="5"/>
      <c r="F623" s="30"/>
      <c r="G623" s="30"/>
      <c r="H623" s="54"/>
      <c r="I623" s="5"/>
      <c r="J623" s="30"/>
      <c r="K623" s="30"/>
      <c r="L623" s="54"/>
      <c r="M623" s="5"/>
      <c r="N623" s="30"/>
      <c r="O623" s="30"/>
      <c r="P623" s="54"/>
      <c r="Q623" s="5"/>
      <c r="R623" s="30"/>
      <c r="S623" s="30"/>
      <c r="T623" s="30"/>
      <c r="U623" s="30"/>
      <c r="V623" s="32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</row>
    <row r="624" spans="1:44" ht="15.6" customHeight="1" x14ac:dyDescent="0.25">
      <c r="A624" s="3"/>
      <c r="B624" s="95"/>
      <c r="C624" s="96"/>
      <c r="D624" s="97"/>
      <c r="E624" s="98"/>
      <c r="F624" s="95"/>
      <c r="G624" s="96"/>
      <c r="H624" s="97"/>
      <c r="I624" s="98"/>
      <c r="J624" s="95"/>
      <c r="K624" s="96"/>
      <c r="L624" s="97"/>
      <c r="M624" s="98"/>
      <c r="N624" s="95"/>
      <c r="O624" s="96"/>
      <c r="P624" s="97"/>
      <c r="Q624" s="98"/>
      <c r="R624" s="30"/>
      <c r="S624" s="30"/>
      <c r="T624" s="30"/>
      <c r="U624" s="30"/>
      <c r="V624" s="32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</row>
    <row r="625" spans="1:44" ht="15.6" customHeight="1" x14ac:dyDescent="0.25">
      <c r="A625" s="3"/>
      <c r="B625" s="83" t="str">
        <f>IF(D624&lt;1,"","пом.")</f>
        <v/>
      </c>
      <c r="C625" s="83"/>
      <c r="D625" s="85"/>
      <c r="E625" s="86"/>
      <c r="F625" s="83" t="str">
        <f>IF(H624&lt;1,"","пом.")</f>
        <v/>
      </c>
      <c r="G625" s="83"/>
      <c r="H625" s="85"/>
      <c r="I625" s="86"/>
      <c r="J625" s="83" t="str">
        <f>IF(L624&lt;1,"","пом.")</f>
        <v/>
      </c>
      <c r="K625" s="83"/>
      <c r="L625" s="85"/>
      <c r="M625" s="86"/>
      <c r="N625" s="83" t="str">
        <f>IF(P624&lt;1,"","пом.")</f>
        <v/>
      </c>
      <c r="O625" s="83"/>
      <c r="P625" s="85"/>
      <c r="Q625" s="86"/>
      <c r="R625" s="30"/>
      <c r="S625" s="30"/>
      <c r="T625" s="30"/>
      <c r="U625" s="30"/>
      <c r="V625" s="32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</row>
    <row r="626" spans="1:44" ht="15.6" customHeight="1" x14ac:dyDescent="0.25">
      <c r="A626" s="3"/>
      <c r="B626" s="3"/>
      <c r="C626" s="3"/>
      <c r="D626" s="4"/>
      <c r="E626" s="4"/>
      <c r="F626" s="3"/>
      <c r="G626" s="3"/>
      <c r="H626" s="4"/>
      <c r="I626" s="4"/>
      <c r="J626" s="3"/>
      <c r="K626" s="3"/>
      <c r="L626" s="4"/>
      <c r="M626" s="4"/>
      <c r="N626" s="3"/>
      <c r="O626" s="3"/>
      <c r="P626" s="4"/>
      <c r="Q626" s="4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</row>
    <row r="627" spans="1:44" ht="15.6" customHeight="1" x14ac:dyDescent="0.25">
      <c r="A627" s="3"/>
      <c r="B627" s="3"/>
      <c r="C627" s="3"/>
      <c r="D627" s="4"/>
      <c r="E627" s="5" t="s">
        <v>30</v>
      </c>
      <c r="F627" s="87" t="s">
        <v>31</v>
      </c>
      <c r="G627" s="87"/>
      <c r="H627" s="87"/>
      <c r="I627" s="117" t="s">
        <v>32</v>
      </c>
      <c r="J627" s="117"/>
      <c r="K627" s="58"/>
      <c r="L627" s="4"/>
      <c r="M627" s="4"/>
      <c r="N627" s="3"/>
      <c r="O627" s="30" t="s">
        <v>33</v>
      </c>
      <c r="P627" s="87" t="s">
        <v>34</v>
      </c>
      <c r="Q627" s="87"/>
      <c r="R627" s="87"/>
      <c r="S627" s="117" t="s">
        <v>35</v>
      </c>
      <c r="T627" s="117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</row>
    <row r="628" spans="1:44" ht="15.6" customHeight="1" x14ac:dyDescent="0.25">
      <c r="A628" s="3"/>
      <c r="B628" s="3"/>
      <c r="C628" s="3"/>
      <c r="D628" s="4"/>
      <c r="E628" s="5" t="s">
        <v>36</v>
      </c>
      <c r="F628" s="87" t="s">
        <v>37</v>
      </c>
      <c r="G628" s="87"/>
      <c r="H628" s="87"/>
      <c r="I628" s="117" t="s">
        <v>38</v>
      </c>
      <c r="J628" s="117"/>
      <c r="K628" s="117"/>
      <c r="L628" s="4"/>
      <c r="M628" s="4"/>
      <c r="N628" s="3"/>
      <c r="O628" s="30" t="s">
        <v>39</v>
      </c>
      <c r="P628" s="87" t="s">
        <v>34</v>
      </c>
      <c r="Q628" s="87"/>
      <c r="R628" s="87"/>
      <c r="S628" s="118" t="s">
        <v>40</v>
      </c>
      <c r="T628" s="118"/>
      <c r="U628" s="118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</row>
    <row r="629" spans="1:44" ht="15.6" customHeight="1" x14ac:dyDescent="0.25">
      <c r="A629" s="41"/>
      <c r="B629" s="41"/>
      <c r="C629" s="41"/>
      <c r="D629" s="42"/>
      <c r="E629" s="43"/>
      <c r="F629" s="41"/>
      <c r="G629" s="41"/>
      <c r="H629" s="42"/>
      <c r="I629" s="42"/>
      <c r="J629" s="41"/>
      <c r="K629" s="41"/>
      <c r="L629" s="42"/>
      <c r="M629" s="42"/>
      <c r="N629" s="41"/>
      <c r="O629" s="41"/>
      <c r="P629" s="42"/>
      <c r="Q629" s="42"/>
      <c r="R629" s="41"/>
      <c r="S629" s="41"/>
      <c r="T629" s="41"/>
      <c r="U629" s="41"/>
      <c r="V629" s="41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</row>
    <row r="630" spans="1:44" ht="15.6" customHeight="1" x14ac:dyDescent="0.25">
      <c r="A630" s="41"/>
      <c r="B630" s="41"/>
      <c r="C630" s="41"/>
      <c r="D630" s="42"/>
      <c r="E630" s="43"/>
      <c r="F630" s="41"/>
      <c r="G630" s="41"/>
      <c r="H630" s="42"/>
      <c r="I630" s="42"/>
      <c r="J630" s="41"/>
      <c r="K630" s="41"/>
      <c r="L630" s="42"/>
      <c r="M630" s="42"/>
      <c r="N630" s="41"/>
      <c r="O630" s="41"/>
      <c r="P630" s="42"/>
      <c r="Q630" s="42"/>
      <c r="R630" s="41"/>
      <c r="S630" s="41"/>
      <c r="T630" s="41"/>
      <c r="U630" s="41"/>
      <c r="V630" s="41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</row>
    <row r="631" spans="1:44" ht="15.6" hidden="1" customHeight="1" x14ac:dyDescent="0.25">
      <c r="A631" s="3"/>
      <c r="B631" s="3"/>
      <c r="C631" s="3"/>
      <c r="D631" s="4"/>
      <c r="E631" s="4"/>
      <c r="F631" s="3"/>
      <c r="G631" s="3"/>
      <c r="H631" s="4"/>
      <c r="I631" s="4"/>
      <c r="J631" s="3"/>
      <c r="K631" s="3"/>
      <c r="L631" s="4"/>
      <c r="M631" s="4"/>
      <c r="N631" s="3"/>
      <c r="O631" s="3"/>
      <c r="P631" s="4"/>
      <c r="Q631" s="4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</row>
    <row r="632" spans="1:44" ht="15.6" customHeight="1" x14ac:dyDescent="0.3">
      <c r="A632" s="3"/>
      <c r="B632" s="3"/>
      <c r="C632" s="3"/>
      <c r="D632" s="4"/>
      <c r="E632" s="6" t="s">
        <v>1</v>
      </c>
      <c r="F632" s="3"/>
      <c r="G632" s="7"/>
      <c r="H632" s="8"/>
      <c r="I632" s="8"/>
      <c r="J632" s="7"/>
      <c r="K632" s="7"/>
      <c r="L632" s="8"/>
      <c r="M632" s="9" t="s">
        <v>2</v>
      </c>
      <c r="N632" s="12" t="str">
        <f>N610</f>
        <v>1.1</v>
      </c>
      <c r="O632" s="12"/>
      <c r="P632" s="4"/>
      <c r="Q632" s="4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</row>
    <row r="633" spans="1:44" ht="15.6" customHeight="1" x14ac:dyDescent="0.3">
      <c r="A633" s="3"/>
      <c r="B633" s="3"/>
      <c r="C633" s="3"/>
      <c r="D633" s="4"/>
      <c r="E633" s="6" t="s">
        <v>4</v>
      </c>
      <c r="F633" s="3"/>
      <c r="G633" s="3"/>
      <c r="H633" s="4"/>
      <c r="I633" s="4"/>
      <c r="J633" s="13"/>
      <c r="K633" s="13"/>
      <c r="L633" s="14"/>
      <c r="M633" s="9" t="s">
        <v>5</v>
      </c>
      <c r="N633" s="15" t="str">
        <f>N632&amp;".3"</f>
        <v>1.1.3</v>
      </c>
      <c r="O633" s="15"/>
      <c r="P633" s="4"/>
      <c r="Q633" s="4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</row>
    <row r="634" spans="1:44" ht="15.6" customHeight="1" x14ac:dyDescent="0.3">
      <c r="A634" s="3"/>
      <c r="B634" s="3"/>
      <c r="C634" s="3"/>
      <c r="D634" s="4"/>
      <c r="E634" s="4" t="s">
        <v>7</v>
      </c>
      <c r="F634" s="3"/>
      <c r="G634" s="3"/>
      <c r="H634" s="8"/>
      <c r="I634" s="8"/>
      <c r="J634" s="7"/>
      <c r="K634" s="7"/>
      <c r="L634" s="8"/>
      <c r="M634" s="16" t="s">
        <v>5</v>
      </c>
      <c r="N634" s="17">
        <f>N612+1</f>
        <v>16</v>
      </c>
      <c r="O634" s="3"/>
      <c r="P634" s="4"/>
      <c r="Q634" s="4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</row>
    <row r="635" spans="1:44" ht="15.6" customHeight="1" x14ac:dyDescent="0.3">
      <c r="A635" s="3"/>
      <c r="B635" s="3"/>
      <c r="C635" s="3"/>
      <c r="D635" s="4"/>
      <c r="E635" s="4" t="s">
        <v>8</v>
      </c>
      <c r="F635" s="3"/>
      <c r="G635" s="3"/>
      <c r="H635" s="4"/>
      <c r="I635" s="4"/>
      <c r="J635" s="3"/>
      <c r="K635" s="3"/>
      <c r="L635" s="14"/>
      <c r="M635" s="16" t="s">
        <v>99</v>
      </c>
      <c r="N635" s="17" t="str">
        <f>IF(N613="-"&amp;N590&amp;".5",IF(N614=15,"-"&amp;N590&amp;".6","-"&amp;N590&amp;".5"),N613)</f>
        <v>-1.1.6</v>
      </c>
      <c r="O635" s="3"/>
      <c r="P635" s="4"/>
      <c r="Q635" s="4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</row>
    <row r="636" spans="1:44" ht="15.6" customHeight="1" x14ac:dyDescent="0.3">
      <c r="A636" s="3"/>
      <c r="B636" s="3"/>
      <c r="C636" s="3"/>
      <c r="D636" s="4"/>
      <c r="E636" s="21" t="s">
        <v>10</v>
      </c>
      <c r="F636" s="3"/>
      <c r="G636" s="3"/>
      <c r="H636" s="4"/>
      <c r="I636" s="8"/>
      <c r="J636" s="7"/>
      <c r="K636" s="7"/>
      <c r="L636" s="8"/>
      <c r="M636" s="16" t="s">
        <v>5</v>
      </c>
      <c r="N636" s="17">
        <f>IF(N635="-"&amp;N590&amp;".5",N614+1,IF(N613="-"&amp;N590&amp;".5",1,N614+1))</f>
        <v>16</v>
      </c>
      <c r="O636" s="3"/>
      <c r="P636" s="4"/>
      <c r="Q636" s="4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</row>
    <row r="637" spans="1:44" ht="15.6" customHeight="1" x14ac:dyDescent="0.25">
      <c r="A637" s="3"/>
      <c r="B637" s="3"/>
      <c r="C637" s="3"/>
      <c r="D637" s="4"/>
      <c r="E637" s="4"/>
      <c r="F637" s="3"/>
      <c r="G637" s="3"/>
      <c r="H637" s="4"/>
      <c r="I637" s="4"/>
      <c r="J637" s="3"/>
      <c r="K637" s="3"/>
      <c r="L637" s="4"/>
      <c r="M637" s="4"/>
      <c r="N637" s="3"/>
      <c r="O637" s="3"/>
      <c r="P637" s="4"/>
      <c r="Q637" s="4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</row>
    <row r="638" spans="1:44" ht="15.6" customHeight="1" x14ac:dyDescent="0.25">
      <c r="A638" s="24"/>
      <c r="B638" s="25"/>
      <c r="C638" s="25"/>
      <c r="D638" s="26"/>
      <c r="E638" s="26"/>
      <c r="F638" s="25"/>
      <c r="G638" s="25"/>
      <c r="H638" s="26"/>
      <c r="I638" s="26"/>
      <c r="J638" s="25"/>
      <c r="K638" s="25"/>
      <c r="L638" s="26"/>
      <c r="M638" s="26"/>
      <c r="N638" s="25"/>
      <c r="O638" s="25"/>
      <c r="P638" s="26"/>
      <c r="Q638" s="26"/>
      <c r="R638" s="25"/>
      <c r="S638" s="25"/>
      <c r="T638" s="25"/>
      <c r="U638" s="25"/>
      <c r="V638" s="45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</row>
    <row r="639" spans="1:44" ht="15.6" customHeight="1" x14ac:dyDescent="0.25">
      <c r="A639" s="27"/>
      <c r="B639" s="28"/>
      <c r="C639" s="28"/>
      <c r="D639" s="71">
        <v>1</v>
      </c>
      <c r="E639" s="72"/>
      <c r="F639" s="28"/>
      <c r="G639" s="28"/>
      <c r="H639" s="71">
        <v>2</v>
      </c>
      <c r="I639" s="72"/>
      <c r="J639" s="28"/>
      <c r="K639" s="28"/>
      <c r="L639" s="71">
        <v>3</v>
      </c>
      <c r="M639" s="72"/>
      <c r="N639" s="28"/>
      <c r="O639" s="28"/>
      <c r="P639" s="71">
        <v>4</v>
      </c>
      <c r="Q639" s="72"/>
      <c r="R639" s="28"/>
      <c r="S639" s="28"/>
      <c r="T639" s="28"/>
      <c r="U639" s="28"/>
      <c r="V639" s="46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</row>
    <row r="640" spans="1:44" ht="15.6" customHeight="1" x14ac:dyDescent="0.25">
      <c r="A640" s="27"/>
      <c r="B640" s="74" t="s">
        <v>11</v>
      </c>
      <c r="C640" s="74"/>
      <c r="D640" s="71" t="s">
        <v>12</v>
      </c>
      <c r="E640" s="72"/>
      <c r="F640" s="74" t="s">
        <v>11</v>
      </c>
      <c r="G640" s="74"/>
      <c r="H640" s="71" t="s">
        <v>12</v>
      </c>
      <c r="I640" s="72"/>
      <c r="J640" s="74" t="s">
        <v>11</v>
      </c>
      <c r="K640" s="74"/>
      <c r="L640" s="71" t="s">
        <v>12</v>
      </c>
      <c r="M640" s="72"/>
      <c r="N640" s="74" t="s">
        <v>11</v>
      </c>
      <c r="O640" s="74"/>
      <c r="P640" s="71" t="s">
        <v>12</v>
      </c>
      <c r="Q640" s="72"/>
      <c r="R640" s="74"/>
      <c r="S640" s="74"/>
      <c r="T640" s="74"/>
      <c r="U640" s="74"/>
      <c r="V640" s="48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</row>
    <row r="641" spans="1:44" ht="15.6" customHeight="1" x14ac:dyDescent="0.25">
      <c r="A641" s="27"/>
      <c r="B641" s="76"/>
      <c r="C641" s="76"/>
      <c r="D641" s="77"/>
      <c r="E641" s="77"/>
      <c r="F641" s="76"/>
      <c r="G641" s="76"/>
      <c r="H641" s="77"/>
      <c r="I641" s="77"/>
      <c r="J641" s="76"/>
      <c r="K641" s="76"/>
      <c r="L641" s="77"/>
      <c r="M641" s="77"/>
      <c r="N641" s="76"/>
      <c r="O641" s="76"/>
      <c r="P641" s="77"/>
      <c r="Q641" s="77"/>
      <c r="R641" s="76"/>
      <c r="S641" s="76"/>
      <c r="T641" s="76"/>
      <c r="U641" s="76"/>
      <c r="V641" s="48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</row>
    <row r="642" spans="1:44" ht="15.6" customHeight="1" x14ac:dyDescent="0.25">
      <c r="A642" s="27"/>
      <c r="B642" s="74">
        <v>0</v>
      </c>
      <c r="C642" s="74"/>
      <c r="D642" s="78">
        <v>1</v>
      </c>
      <c r="E642" s="78"/>
      <c r="F642" s="74">
        <v>2</v>
      </c>
      <c r="G642" s="74"/>
      <c r="H642" s="78">
        <v>3</v>
      </c>
      <c r="I642" s="78"/>
      <c r="J642" s="74">
        <v>4</v>
      </c>
      <c r="K642" s="74"/>
      <c r="L642" s="78">
        <v>5</v>
      </c>
      <c r="M642" s="78"/>
      <c r="N642" s="74">
        <v>6</v>
      </c>
      <c r="O642" s="74"/>
      <c r="P642" s="78">
        <v>7</v>
      </c>
      <c r="Q642" s="78"/>
      <c r="R642" s="74">
        <v>8</v>
      </c>
      <c r="S642" s="74"/>
      <c r="T642" s="74">
        <v>9</v>
      </c>
      <c r="U642" s="74"/>
      <c r="V642" s="49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</row>
    <row r="643" spans="1:44" ht="15.6" customHeight="1" x14ac:dyDescent="0.25">
      <c r="A643" s="27"/>
      <c r="B643" s="28" t="s">
        <v>13</v>
      </c>
      <c r="C643" s="28" t="s">
        <v>14</v>
      </c>
      <c r="D643" s="31" t="s">
        <v>15</v>
      </c>
      <c r="E643" s="31" t="s">
        <v>16</v>
      </c>
      <c r="F643" s="28" t="s">
        <v>13</v>
      </c>
      <c r="G643" s="28" t="s">
        <v>14</v>
      </c>
      <c r="H643" s="31" t="s">
        <v>15</v>
      </c>
      <c r="I643" s="31" t="s">
        <v>16</v>
      </c>
      <c r="J643" s="28" t="s">
        <v>13</v>
      </c>
      <c r="K643" s="28" t="s">
        <v>14</v>
      </c>
      <c r="L643" s="31" t="s">
        <v>15</v>
      </c>
      <c r="M643" s="31" t="s">
        <v>16</v>
      </c>
      <c r="N643" s="28" t="s">
        <v>13</v>
      </c>
      <c r="O643" s="28" t="s">
        <v>14</v>
      </c>
      <c r="P643" s="31" t="s">
        <v>15</v>
      </c>
      <c r="Q643" s="31" t="s">
        <v>16</v>
      </c>
      <c r="R643" s="28" t="s">
        <v>13</v>
      </c>
      <c r="S643" s="28" t="s">
        <v>14</v>
      </c>
      <c r="T643" s="28" t="s">
        <v>15</v>
      </c>
      <c r="U643" s="28" t="s">
        <v>16</v>
      </c>
      <c r="V643" s="49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</row>
    <row r="644" spans="1:44" ht="15.6" customHeight="1" x14ac:dyDescent="0.25">
      <c r="A644" s="33"/>
      <c r="B644" s="34"/>
      <c r="C644" s="34"/>
      <c r="D644" s="35"/>
      <c r="E644" s="36"/>
      <c r="F644" s="34"/>
      <c r="G644" s="34"/>
      <c r="H644" s="35"/>
      <c r="I644" s="36"/>
      <c r="J644" s="34"/>
      <c r="K644" s="34"/>
      <c r="L644" s="35"/>
      <c r="M644" s="36"/>
      <c r="N644" s="34"/>
      <c r="O644" s="34"/>
      <c r="P644" s="35"/>
      <c r="Q644" s="36"/>
      <c r="R644" s="34"/>
      <c r="S644" s="34"/>
      <c r="T644" s="34"/>
      <c r="U644" s="34"/>
      <c r="V644" s="50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</row>
    <row r="645" spans="1:44" ht="15.6" customHeight="1" x14ac:dyDescent="0.25">
      <c r="A645" s="3"/>
      <c r="B645" s="30"/>
      <c r="C645" s="30"/>
      <c r="D645" s="54"/>
      <c r="E645" s="5"/>
      <c r="F645" s="30"/>
      <c r="G645" s="30"/>
      <c r="H645" s="54"/>
      <c r="I645" s="5"/>
      <c r="J645" s="30"/>
      <c r="K645" s="30"/>
      <c r="L645" s="54"/>
      <c r="M645" s="5"/>
      <c r="N645" s="30"/>
      <c r="O645" s="30"/>
      <c r="P645" s="54"/>
      <c r="Q645" s="5"/>
      <c r="R645" s="30"/>
      <c r="S645" s="30"/>
      <c r="T645" s="30"/>
      <c r="U645" s="30"/>
      <c r="V645" s="32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</row>
    <row r="646" spans="1:44" ht="15.6" customHeight="1" x14ac:dyDescent="0.25">
      <c r="A646" s="3"/>
      <c r="B646" s="95"/>
      <c r="C646" s="96"/>
      <c r="D646" s="97"/>
      <c r="E646" s="98"/>
      <c r="F646" s="95"/>
      <c r="G646" s="96"/>
      <c r="H646" s="97"/>
      <c r="I646" s="98"/>
      <c r="J646" s="95"/>
      <c r="K646" s="96"/>
      <c r="L646" s="97"/>
      <c r="M646" s="98"/>
      <c r="N646" s="95"/>
      <c r="O646" s="96"/>
      <c r="P646" s="97"/>
      <c r="Q646" s="98"/>
      <c r="R646" s="30"/>
      <c r="S646" s="30"/>
      <c r="T646" s="30"/>
      <c r="U646" s="30"/>
      <c r="V646" s="32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</row>
    <row r="647" spans="1:44" ht="15.6" customHeight="1" x14ac:dyDescent="0.25">
      <c r="A647" s="3"/>
      <c r="B647" s="83" t="str">
        <f>IF(D646&lt;1,"","пом.")</f>
        <v/>
      </c>
      <c r="C647" s="83"/>
      <c r="D647" s="85"/>
      <c r="E647" s="86"/>
      <c r="F647" s="83" t="str">
        <f>IF(H646&lt;1,"","пом.")</f>
        <v/>
      </c>
      <c r="G647" s="83"/>
      <c r="H647" s="85"/>
      <c r="I647" s="86"/>
      <c r="J647" s="83" t="str">
        <f>IF(L646&lt;1,"","пом.")</f>
        <v/>
      </c>
      <c r="K647" s="83"/>
      <c r="L647" s="85"/>
      <c r="M647" s="86"/>
      <c r="N647" s="83" t="str">
        <f>IF(P646&lt;1,"","пом.")</f>
        <v/>
      </c>
      <c r="O647" s="83"/>
      <c r="P647" s="85"/>
      <c r="Q647" s="86"/>
      <c r="R647" s="30"/>
      <c r="S647" s="30"/>
      <c r="T647" s="30"/>
      <c r="U647" s="30"/>
      <c r="V647" s="32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</row>
    <row r="648" spans="1:44" ht="15.6" customHeight="1" x14ac:dyDescent="0.25">
      <c r="A648" s="3"/>
      <c r="B648" s="3"/>
      <c r="C648" s="3"/>
      <c r="D648" s="4"/>
      <c r="E648" s="4"/>
      <c r="F648" s="3"/>
      <c r="G648" s="3"/>
      <c r="H648" s="4"/>
      <c r="I648" s="4"/>
      <c r="J648" s="3"/>
      <c r="K648" s="3"/>
      <c r="L648" s="4"/>
      <c r="M648" s="4"/>
      <c r="N648" s="3"/>
      <c r="O648" s="3"/>
      <c r="P648" s="4"/>
      <c r="Q648" s="4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</row>
    <row r="649" spans="1:44" ht="15.6" customHeight="1" x14ac:dyDescent="0.25">
      <c r="A649" s="3"/>
      <c r="B649" s="3"/>
      <c r="C649" s="3"/>
      <c r="D649" s="4"/>
      <c r="E649" s="5" t="s">
        <v>30</v>
      </c>
      <c r="F649" s="87" t="s">
        <v>31</v>
      </c>
      <c r="G649" s="87"/>
      <c r="H649" s="87"/>
      <c r="I649" s="117" t="s">
        <v>32</v>
      </c>
      <c r="J649" s="117"/>
      <c r="K649" s="58"/>
      <c r="L649" s="4"/>
      <c r="M649" s="4"/>
      <c r="N649" s="3"/>
      <c r="O649" s="30" t="s">
        <v>33</v>
      </c>
      <c r="P649" s="87" t="s">
        <v>34</v>
      </c>
      <c r="Q649" s="87"/>
      <c r="R649" s="87"/>
      <c r="S649" s="117" t="s">
        <v>35</v>
      </c>
      <c r="T649" s="117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</row>
    <row r="650" spans="1:44" ht="15.6" customHeight="1" x14ac:dyDescent="0.25">
      <c r="A650" s="3"/>
      <c r="B650" s="3"/>
      <c r="C650" s="3"/>
      <c r="D650" s="4"/>
      <c r="E650" s="5" t="s">
        <v>36</v>
      </c>
      <c r="F650" s="87" t="s">
        <v>37</v>
      </c>
      <c r="G650" s="87"/>
      <c r="H650" s="87"/>
      <c r="I650" s="117" t="s">
        <v>38</v>
      </c>
      <c r="J650" s="117"/>
      <c r="K650" s="117"/>
      <c r="L650" s="4"/>
      <c r="M650" s="4"/>
      <c r="N650" s="3"/>
      <c r="O650" s="30" t="s">
        <v>39</v>
      </c>
      <c r="P650" s="87" t="s">
        <v>34</v>
      </c>
      <c r="Q650" s="87"/>
      <c r="R650" s="87"/>
      <c r="S650" s="118" t="s">
        <v>40</v>
      </c>
      <c r="T650" s="118"/>
      <c r="U650" s="118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</row>
    <row r="651" spans="1:44" ht="15.6" customHeight="1" x14ac:dyDescent="0.25">
      <c r="A651" s="41"/>
      <c r="B651" s="41"/>
      <c r="C651" s="41"/>
      <c r="D651" s="42"/>
      <c r="E651" s="43"/>
      <c r="F651" s="41"/>
      <c r="G651" s="41"/>
      <c r="H651" s="42"/>
      <c r="I651" s="42"/>
      <c r="J651" s="41"/>
      <c r="K651" s="41"/>
      <c r="L651" s="42"/>
      <c r="M651" s="42"/>
      <c r="N651" s="41"/>
      <c r="O651" s="41"/>
      <c r="P651" s="42"/>
      <c r="Q651" s="42"/>
      <c r="R651" s="41"/>
      <c r="S651" s="41"/>
      <c r="T651" s="41"/>
      <c r="U651" s="41"/>
      <c r="V651" s="41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</row>
    <row r="652" spans="1:44" ht="15.6" customHeight="1" x14ac:dyDescent="0.3">
      <c r="A652" s="3"/>
      <c r="B652" s="3"/>
      <c r="C652" s="3"/>
      <c r="D652" s="4"/>
      <c r="E652" s="6" t="s">
        <v>1</v>
      </c>
      <c r="F652" s="3"/>
      <c r="G652" s="7"/>
      <c r="H652" s="8"/>
      <c r="I652" s="8"/>
      <c r="J652" s="7"/>
      <c r="K652" s="7"/>
      <c r="L652" s="8"/>
      <c r="M652" s="9" t="s">
        <v>2</v>
      </c>
      <c r="N652" s="12" t="str">
        <f>N632</f>
        <v>1.1</v>
      </c>
      <c r="O652" s="12"/>
      <c r="P652" s="4"/>
      <c r="Q652" s="4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</row>
    <row r="653" spans="1:44" ht="15.6" customHeight="1" x14ac:dyDescent="0.3">
      <c r="A653" s="3"/>
      <c r="B653" s="3"/>
      <c r="C653" s="3"/>
      <c r="D653" s="4"/>
      <c r="E653" s="6" t="s">
        <v>4</v>
      </c>
      <c r="F653" s="3"/>
      <c r="G653" s="3"/>
      <c r="H653" s="4"/>
      <c r="I653" s="4"/>
      <c r="J653" s="13"/>
      <c r="K653" s="13"/>
      <c r="L653" s="14"/>
      <c r="M653" s="9" t="s">
        <v>5</v>
      </c>
      <c r="N653" s="15" t="str">
        <f>N633</f>
        <v>1.1.3</v>
      </c>
      <c r="O653" s="15"/>
      <c r="P653" s="4"/>
      <c r="Q653" s="4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</row>
    <row r="654" spans="1:44" ht="15.6" customHeight="1" x14ac:dyDescent="0.3">
      <c r="A654" s="3"/>
      <c r="B654" s="3"/>
      <c r="C654" s="3"/>
      <c r="D654" s="4"/>
      <c r="E654" s="4" t="s">
        <v>7</v>
      </c>
      <c r="F654" s="3"/>
      <c r="G654" s="3"/>
      <c r="H654" s="8"/>
      <c r="I654" s="8"/>
      <c r="J654" s="7"/>
      <c r="K654" s="7"/>
      <c r="L654" s="8"/>
      <c r="M654" s="16" t="s">
        <v>5</v>
      </c>
      <c r="N654" s="17">
        <f>N634</f>
        <v>16</v>
      </c>
      <c r="O654" s="3"/>
      <c r="P654" s="4"/>
      <c r="Q654" s="4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</row>
    <row r="655" spans="1:44" ht="15.6" customHeight="1" x14ac:dyDescent="0.3">
      <c r="A655" s="3"/>
      <c r="B655" s="3"/>
      <c r="C655" s="3"/>
      <c r="D655" s="4"/>
      <c r="E655" s="4" t="s">
        <v>8</v>
      </c>
      <c r="F655" s="3"/>
      <c r="G655" s="3"/>
      <c r="H655" s="4"/>
      <c r="I655" s="4"/>
      <c r="J655" s="3"/>
      <c r="K655" s="3"/>
      <c r="L655" s="14"/>
      <c r="M655" s="16" t="s">
        <v>99</v>
      </c>
      <c r="N655" s="17" t="str">
        <f>IF(N635="-"&amp;N632&amp;".5",IF(N636=15,"-"&amp;N632&amp;".6","-"&amp;N632&amp;".5"),N635)</f>
        <v>-1.1.6</v>
      </c>
      <c r="O655" s="19"/>
      <c r="P655" s="4"/>
      <c r="Q655" s="4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</row>
    <row r="656" spans="1:44" ht="15.6" customHeight="1" x14ac:dyDescent="0.3">
      <c r="A656" s="3"/>
      <c r="B656" s="3"/>
      <c r="C656" s="3"/>
      <c r="D656" s="4"/>
      <c r="E656" s="21" t="s">
        <v>10</v>
      </c>
      <c r="F656" s="3"/>
      <c r="G656" s="3"/>
      <c r="H656" s="4"/>
      <c r="I656" s="8"/>
      <c r="J656" s="7"/>
      <c r="K656" s="7"/>
      <c r="L656" s="8"/>
      <c r="M656" s="16" t="s">
        <v>5</v>
      </c>
      <c r="N656" s="17">
        <f>IF(N655="-"&amp;N590&amp;".5",N636+1,IF(N635="-"&amp;N590&amp;".5",1,N636+1))</f>
        <v>17</v>
      </c>
      <c r="O656" s="3"/>
      <c r="P656" s="4"/>
      <c r="Q656" s="4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</row>
    <row r="657" spans="1:44" ht="7.15" customHeight="1" x14ac:dyDescent="0.25">
      <c r="A657" s="3"/>
      <c r="B657" s="3"/>
      <c r="C657" s="3"/>
      <c r="D657" s="4"/>
      <c r="E657" s="4"/>
      <c r="F657" s="3"/>
      <c r="G657" s="3"/>
      <c r="H657" s="4"/>
      <c r="I657" s="4"/>
      <c r="J657" s="3"/>
      <c r="K657" s="3"/>
      <c r="L657" s="4"/>
      <c r="M657" s="4"/>
      <c r="N657" s="3"/>
      <c r="O657" s="3"/>
      <c r="P657" s="4"/>
      <c r="Q657" s="4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</row>
    <row r="658" spans="1:44" ht="15.6" customHeight="1" x14ac:dyDescent="0.25">
      <c r="A658" s="24"/>
      <c r="B658" s="25"/>
      <c r="C658" s="25"/>
      <c r="D658" s="26"/>
      <c r="E658" s="26"/>
      <c r="F658" s="25"/>
      <c r="G658" s="25"/>
      <c r="H658" s="26"/>
      <c r="I658" s="26"/>
      <c r="J658" s="25"/>
      <c r="K658" s="25"/>
      <c r="L658" s="26"/>
      <c r="M658" s="26"/>
      <c r="N658" s="25"/>
      <c r="O658" s="25"/>
      <c r="P658" s="26"/>
      <c r="Q658" s="26"/>
      <c r="R658" s="25"/>
      <c r="S658" s="25"/>
      <c r="T658" s="25"/>
      <c r="U658" s="25"/>
      <c r="V658" s="45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</row>
    <row r="659" spans="1:44" ht="15.6" customHeight="1" x14ac:dyDescent="0.25">
      <c r="A659" s="27"/>
      <c r="B659" s="28"/>
      <c r="C659" s="28"/>
      <c r="D659" s="71">
        <v>1</v>
      </c>
      <c r="E659" s="72"/>
      <c r="F659" s="28"/>
      <c r="G659" s="28"/>
      <c r="H659" s="71">
        <v>2</v>
      </c>
      <c r="I659" s="72"/>
      <c r="J659" s="28"/>
      <c r="K659" s="28"/>
      <c r="L659" s="71">
        <v>3</v>
      </c>
      <c r="M659" s="72"/>
      <c r="N659" s="28"/>
      <c r="O659" s="28"/>
      <c r="P659" s="71">
        <v>4</v>
      </c>
      <c r="Q659" s="72"/>
      <c r="R659" s="28"/>
      <c r="S659" s="28"/>
      <c r="T659" s="28"/>
      <c r="U659" s="28"/>
      <c r="V659" s="46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</row>
    <row r="660" spans="1:44" ht="15.6" customHeight="1" x14ac:dyDescent="0.25">
      <c r="A660" s="27"/>
      <c r="B660" s="74" t="s">
        <v>11</v>
      </c>
      <c r="C660" s="74"/>
      <c r="D660" s="71" t="s">
        <v>12</v>
      </c>
      <c r="E660" s="72"/>
      <c r="F660" s="74" t="s">
        <v>11</v>
      </c>
      <c r="G660" s="74"/>
      <c r="H660" s="71" t="s">
        <v>12</v>
      </c>
      <c r="I660" s="72"/>
      <c r="J660" s="74" t="s">
        <v>11</v>
      </c>
      <c r="K660" s="74"/>
      <c r="L660" s="71" t="s">
        <v>12</v>
      </c>
      <c r="M660" s="72"/>
      <c r="N660" s="74" t="s">
        <v>11</v>
      </c>
      <c r="O660" s="74"/>
      <c r="P660" s="71" t="s">
        <v>12</v>
      </c>
      <c r="Q660" s="72"/>
      <c r="R660" s="74"/>
      <c r="S660" s="74"/>
      <c r="T660" s="74"/>
      <c r="U660" s="74"/>
      <c r="V660" s="48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</row>
    <row r="661" spans="1:44" ht="15.6" customHeight="1" x14ac:dyDescent="0.25">
      <c r="A661" s="27"/>
      <c r="B661" s="76"/>
      <c r="C661" s="76"/>
      <c r="D661" s="77"/>
      <c r="E661" s="77"/>
      <c r="F661" s="76"/>
      <c r="G661" s="76"/>
      <c r="H661" s="77"/>
      <c r="I661" s="77"/>
      <c r="J661" s="76"/>
      <c r="K661" s="76"/>
      <c r="L661" s="77"/>
      <c r="M661" s="77"/>
      <c r="N661" s="76"/>
      <c r="O661" s="76"/>
      <c r="P661" s="77"/>
      <c r="Q661" s="77"/>
      <c r="R661" s="76"/>
      <c r="S661" s="76"/>
      <c r="T661" s="76"/>
      <c r="U661" s="76"/>
      <c r="V661" s="48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</row>
    <row r="662" spans="1:44" ht="15.6" customHeight="1" x14ac:dyDescent="0.25">
      <c r="A662" s="27"/>
      <c r="B662" s="74">
        <v>0</v>
      </c>
      <c r="C662" s="74"/>
      <c r="D662" s="78">
        <v>1</v>
      </c>
      <c r="E662" s="78"/>
      <c r="F662" s="74">
        <v>2</v>
      </c>
      <c r="G662" s="74"/>
      <c r="H662" s="78">
        <v>3</v>
      </c>
      <c r="I662" s="78"/>
      <c r="J662" s="74">
        <v>4</v>
      </c>
      <c r="K662" s="74"/>
      <c r="L662" s="78">
        <v>5</v>
      </c>
      <c r="M662" s="78"/>
      <c r="N662" s="74">
        <v>6</v>
      </c>
      <c r="O662" s="74"/>
      <c r="P662" s="78">
        <v>7</v>
      </c>
      <c r="Q662" s="78"/>
      <c r="R662" s="74">
        <v>8</v>
      </c>
      <c r="S662" s="74"/>
      <c r="T662" s="74">
        <v>9</v>
      </c>
      <c r="U662" s="74"/>
      <c r="V662" s="49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</row>
    <row r="663" spans="1:44" ht="15.6" customHeight="1" x14ac:dyDescent="0.25">
      <c r="A663" s="27"/>
      <c r="B663" s="28" t="s">
        <v>13</v>
      </c>
      <c r="C663" s="28" t="s">
        <v>14</v>
      </c>
      <c r="D663" s="31" t="s">
        <v>15</v>
      </c>
      <c r="E663" s="31" t="s">
        <v>16</v>
      </c>
      <c r="F663" s="28" t="s">
        <v>13</v>
      </c>
      <c r="G663" s="28" t="s">
        <v>14</v>
      </c>
      <c r="H663" s="31" t="s">
        <v>15</v>
      </c>
      <c r="I663" s="31" t="s">
        <v>16</v>
      </c>
      <c r="J663" s="28" t="s">
        <v>13</v>
      </c>
      <c r="K663" s="28" t="s">
        <v>14</v>
      </c>
      <c r="L663" s="31" t="s">
        <v>15</v>
      </c>
      <c r="M663" s="31" t="s">
        <v>16</v>
      </c>
      <c r="N663" s="28" t="s">
        <v>13</v>
      </c>
      <c r="O663" s="28" t="s">
        <v>14</v>
      </c>
      <c r="P663" s="31" t="s">
        <v>15</v>
      </c>
      <c r="Q663" s="31" t="s">
        <v>16</v>
      </c>
      <c r="R663" s="28" t="s">
        <v>13</v>
      </c>
      <c r="S663" s="28" t="s">
        <v>14</v>
      </c>
      <c r="T663" s="28" t="s">
        <v>15</v>
      </c>
      <c r="U663" s="28" t="s">
        <v>16</v>
      </c>
      <c r="V663" s="49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</row>
    <row r="664" spans="1:44" ht="15.6" customHeight="1" x14ac:dyDescent="0.25">
      <c r="A664" s="33"/>
      <c r="B664" s="34"/>
      <c r="C664" s="34"/>
      <c r="D664" s="35"/>
      <c r="E664" s="36"/>
      <c r="F664" s="34"/>
      <c r="G664" s="34"/>
      <c r="H664" s="35"/>
      <c r="I664" s="36"/>
      <c r="J664" s="34"/>
      <c r="K664" s="34"/>
      <c r="L664" s="35"/>
      <c r="M664" s="36"/>
      <c r="N664" s="34"/>
      <c r="O664" s="34"/>
      <c r="P664" s="35"/>
      <c r="Q664" s="36"/>
      <c r="R664" s="34"/>
      <c r="S664" s="34"/>
      <c r="T664" s="34"/>
      <c r="U664" s="34"/>
      <c r="V664" s="50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</row>
    <row r="665" spans="1:44" ht="7.15" customHeight="1" x14ac:dyDescent="0.25">
      <c r="A665" s="3"/>
      <c r="B665" s="30"/>
      <c r="C665" s="30"/>
      <c r="D665" s="54"/>
      <c r="E665" s="5"/>
      <c r="F665" s="30"/>
      <c r="G665" s="30"/>
      <c r="H665" s="54"/>
      <c r="I665" s="5"/>
      <c r="J665" s="30"/>
      <c r="K665" s="30"/>
      <c r="L665" s="54"/>
      <c r="M665" s="5"/>
      <c r="N665" s="30"/>
      <c r="O665" s="30"/>
      <c r="P665" s="54"/>
      <c r="Q665" s="5"/>
      <c r="R665" s="30"/>
      <c r="S665" s="30"/>
      <c r="T665" s="30"/>
      <c r="U665" s="30"/>
      <c r="V665" s="32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</row>
    <row r="666" spans="1:44" ht="15.6" customHeight="1" x14ac:dyDescent="0.25">
      <c r="A666" s="3"/>
      <c r="B666" s="95"/>
      <c r="C666" s="96"/>
      <c r="D666" s="97"/>
      <c r="E666" s="98"/>
      <c r="F666" s="95"/>
      <c r="G666" s="96"/>
      <c r="H666" s="97"/>
      <c r="I666" s="98"/>
      <c r="J666" s="95"/>
      <c r="K666" s="96"/>
      <c r="L666" s="97"/>
      <c r="M666" s="98"/>
      <c r="N666" s="95"/>
      <c r="O666" s="96"/>
      <c r="P666" s="97"/>
      <c r="Q666" s="98"/>
      <c r="R666" s="30"/>
      <c r="S666" s="30"/>
      <c r="T666" s="30"/>
      <c r="U666" s="30"/>
      <c r="V666" s="32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</row>
    <row r="667" spans="1:44" ht="15.6" customHeight="1" x14ac:dyDescent="0.25">
      <c r="A667" s="3"/>
      <c r="B667" s="83" t="str">
        <f>IF(D666&lt;1,"","пом.")</f>
        <v/>
      </c>
      <c r="C667" s="83"/>
      <c r="D667" s="85"/>
      <c r="E667" s="86"/>
      <c r="F667" s="83" t="str">
        <f>IF(H666&lt;1,"","пом.")</f>
        <v/>
      </c>
      <c r="G667" s="83"/>
      <c r="H667" s="85"/>
      <c r="I667" s="86"/>
      <c r="J667" s="83" t="str">
        <f>IF(L666&lt;1,"","пом.")</f>
        <v/>
      </c>
      <c r="K667" s="83"/>
      <c r="L667" s="85"/>
      <c r="M667" s="86"/>
      <c r="N667" s="83" t="str">
        <f>IF(P666&lt;1,"","пом.")</f>
        <v/>
      </c>
      <c r="O667" s="83"/>
      <c r="P667" s="85"/>
      <c r="Q667" s="86"/>
      <c r="R667" s="30"/>
      <c r="S667" s="30"/>
      <c r="T667" s="30"/>
      <c r="U667" s="30"/>
      <c r="V667" s="32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</row>
    <row r="668" spans="1:44" ht="9" customHeight="1" x14ac:dyDescent="0.25">
      <c r="A668" s="3"/>
      <c r="B668" s="3"/>
      <c r="C668" s="3"/>
      <c r="D668" s="4"/>
      <c r="E668" s="4"/>
      <c r="F668" s="3"/>
      <c r="G668" s="3"/>
      <c r="H668" s="4"/>
      <c r="I668" s="4"/>
      <c r="J668" s="3"/>
      <c r="K668" s="3"/>
      <c r="L668" s="4"/>
      <c r="M668" s="4"/>
      <c r="N668" s="3"/>
      <c r="O668" s="3"/>
      <c r="P668" s="4"/>
      <c r="Q668" s="4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</row>
    <row r="669" spans="1:44" ht="15.6" customHeight="1" x14ac:dyDescent="0.25">
      <c r="A669" s="3"/>
      <c r="B669" s="3"/>
      <c r="C669" s="3"/>
      <c r="D669" s="4"/>
      <c r="E669" s="5" t="s">
        <v>30</v>
      </c>
      <c r="F669" s="87" t="s">
        <v>31</v>
      </c>
      <c r="G669" s="87"/>
      <c r="H669" s="87"/>
      <c r="I669" s="117" t="s">
        <v>32</v>
      </c>
      <c r="J669" s="117"/>
      <c r="K669" s="58"/>
      <c r="L669" s="4"/>
      <c r="M669" s="4"/>
      <c r="N669" s="3"/>
      <c r="O669" s="30" t="s">
        <v>33</v>
      </c>
      <c r="P669" s="87" t="s">
        <v>34</v>
      </c>
      <c r="Q669" s="87"/>
      <c r="R669" s="87"/>
      <c r="S669" s="117" t="s">
        <v>35</v>
      </c>
      <c r="T669" s="117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</row>
    <row r="670" spans="1:44" ht="15.6" customHeight="1" x14ac:dyDescent="0.25">
      <c r="A670" s="3"/>
      <c r="B670" s="3"/>
      <c r="C670" s="3"/>
      <c r="D670" s="4"/>
      <c r="E670" s="5" t="s">
        <v>36</v>
      </c>
      <c r="F670" s="87" t="s">
        <v>37</v>
      </c>
      <c r="G670" s="87"/>
      <c r="H670" s="87"/>
      <c r="I670" s="117" t="s">
        <v>38</v>
      </c>
      <c r="J670" s="117"/>
      <c r="K670" s="117"/>
      <c r="L670" s="4"/>
      <c r="M670" s="4"/>
      <c r="N670" s="3"/>
      <c r="O670" s="30" t="s">
        <v>39</v>
      </c>
      <c r="P670" s="87" t="s">
        <v>34</v>
      </c>
      <c r="Q670" s="87"/>
      <c r="R670" s="87"/>
      <c r="S670" s="118" t="s">
        <v>40</v>
      </c>
      <c r="T670" s="118"/>
      <c r="U670" s="118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</row>
    <row r="671" spans="1:44" ht="15.6" customHeight="1" x14ac:dyDescent="0.25">
      <c r="A671" s="41"/>
      <c r="B671" s="41"/>
      <c r="C671" s="41"/>
      <c r="D671" s="42"/>
      <c r="E671" s="43"/>
      <c r="F671" s="41"/>
      <c r="G671" s="41"/>
      <c r="H671" s="42"/>
      <c r="I671" s="42"/>
      <c r="J671" s="41"/>
      <c r="K671" s="41"/>
      <c r="L671" s="42"/>
      <c r="M671" s="42"/>
      <c r="N671" s="41"/>
      <c r="O671" s="41"/>
      <c r="P671" s="42"/>
      <c r="Q671" s="42"/>
      <c r="R671" s="41"/>
      <c r="S671" s="41"/>
      <c r="T671" s="41"/>
      <c r="U671" s="41"/>
      <c r="V671" s="41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</row>
    <row r="672" spans="1:44" ht="15.6" customHeight="1" x14ac:dyDescent="0.25">
      <c r="A672" s="3"/>
      <c r="B672" s="3"/>
      <c r="C672" s="3"/>
      <c r="D672" s="4"/>
      <c r="E672" s="4"/>
      <c r="F672" s="3"/>
      <c r="G672" s="3"/>
      <c r="H672" s="4"/>
      <c r="I672" s="4"/>
      <c r="J672" s="3"/>
      <c r="K672" s="3"/>
      <c r="L672" s="4"/>
      <c r="M672" s="4"/>
      <c r="N672" s="3"/>
      <c r="O672" s="3"/>
      <c r="P672" s="4"/>
      <c r="Q672" s="4"/>
      <c r="R672" s="3"/>
      <c r="S672" s="3"/>
      <c r="T672" s="3"/>
      <c r="U672" s="3"/>
      <c r="V672" s="3"/>
    </row>
    <row r="673" spans="1:22" ht="15.6" customHeight="1" x14ac:dyDescent="0.25">
      <c r="A673" s="3"/>
      <c r="B673" s="3"/>
      <c r="C673" s="3"/>
      <c r="D673" s="4"/>
      <c r="E673" s="4"/>
      <c r="F673" s="3"/>
      <c r="G673" s="3"/>
      <c r="H673" s="4"/>
      <c r="I673" s="4"/>
      <c r="J673" s="3"/>
      <c r="K673" s="3"/>
      <c r="L673" s="4"/>
      <c r="M673" s="4"/>
      <c r="N673" s="3"/>
      <c r="O673" s="3"/>
      <c r="P673" s="4"/>
      <c r="Q673" s="4"/>
      <c r="R673" s="3"/>
      <c r="S673" s="3"/>
      <c r="T673" s="3"/>
      <c r="U673" s="3"/>
      <c r="V673" s="3"/>
    </row>
  </sheetData>
  <mergeCells count="1854">
    <mergeCell ref="B667:C667"/>
    <mergeCell ref="D667:E667"/>
    <mergeCell ref="F667:G667"/>
    <mergeCell ref="H667:I667"/>
    <mergeCell ref="J667:K667"/>
    <mergeCell ref="L667:M667"/>
    <mergeCell ref="N667:O667"/>
    <mergeCell ref="P667:Q667"/>
    <mergeCell ref="F669:H669"/>
    <mergeCell ref="I669:J669"/>
    <mergeCell ref="P669:R669"/>
    <mergeCell ref="S669:T669"/>
    <mergeCell ref="F670:H670"/>
    <mergeCell ref="I670:K670"/>
    <mergeCell ref="P670:R670"/>
    <mergeCell ref="S670:U670"/>
    <mergeCell ref="B662:C662"/>
    <mergeCell ref="D662:E662"/>
    <mergeCell ref="F662:G662"/>
    <mergeCell ref="H662:I662"/>
    <mergeCell ref="J662:K662"/>
    <mergeCell ref="L662:M662"/>
    <mergeCell ref="N662:O662"/>
    <mergeCell ref="P662:Q662"/>
    <mergeCell ref="R662:S662"/>
    <mergeCell ref="T662:U662"/>
    <mergeCell ref="B666:C666"/>
    <mergeCell ref="D666:E666"/>
    <mergeCell ref="F666:G666"/>
    <mergeCell ref="H666:I666"/>
    <mergeCell ref="J666:K666"/>
    <mergeCell ref="L666:M666"/>
    <mergeCell ref="N666:O666"/>
    <mergeCell ref="P666:Q666"/>
    <mergeCell ref="B660:C660"/>
    <mergeCell ref="D660:E660"/>
    <mergeCell ref="F660:G660"/>
    <mergeCell ref="H660:I660"/>
    <mergeCell ref="J660:K660"/>
    <mergeCell ref="L660:M660"/>
    <mergeCell ref="N660:O660"/>
    <mergeCell ref="P660:Q660"/>
    <mergeCell ref="R660:S660"/>
    <mergeCell ref="T660:U660"/>
    <mergeCell ref="B661:C661"/>
    <mergeCell ref="D661:E661"/>
    <mergeCell ref="F661:G661"/>
    <mergeCell ref="H661:I661"/>
    <mergeCell ref="J661:K661"/>
    <mergeCell ref="L661:M661"/>
    <mergeCell ref="N661:O661"/>
    <mergeCell ref="P661:Q661"/>
    <mergeCell ref="R661:S661"/>
    <mergeCell ref="T661:U661"/>
    <mergeCell ref="B647:C647"/>
    <mergeCell ref="D647:E647"/>
    <mergeCell ref="F647:G647"/>
    <mergeCell ref="H647:I647"/>
    <mergeCell ref="J647:K647"/>
    <mergeCell ref="L647:M647"/>
    <mergeCell ref="N647:O647"/>
    <mergeCell ref="P647:Q647"/>
    <mergeCell ref="F649:H649"/>
    <mergeCell ref="I649:J649"/>
    <mergeCell ref="P649:R649"/>
    <mergeCell ref="S649:T649"/>
    <mergeCell ref="F650:H650"/>
    <mergeCell ref="I650:K650"/>
    <mergeCell ref="P650:R650"/>
    <mergeCell ref="S650:U650"/>
    <mergeCell ref="D659:E659"/>
    <mergeCell ref="H659:I659"/>
    <mergeCell ref="L659:M659"/>
    <mergeCell ref="P659:Q659"/>
    <mergeCell ref="B642:C642"/>
    <mergeCell ref="D642:E642"/>
    <mergeCell ref="F642:G642"/>
    <mergeCell ref="H642:I642"/>
    <mergeCell ref="J642:K642"/>
    <mergeCell ref="L642:M642"/>
    <mergeCell ref="N642:O642"/>
    <mergeCell ref="P642:Q642"/>
    <mergeCell ref="R642:S642"/>
    <mergeCell ref="T642:U642"/>
    <mergeCell ref="B646:C646"/>
    <mergeCell ref="D646:E646"/>
    <mergeCell ref="F646:G646"/>
    <mergeCell ref="H646:I646"/>
    <mergeCell ref="J646:K646"/>
    <mergeCell ref="L646:M646"/>
    <mergeCell ref="N646:O646"/>
    <mergeCell ref="P646:Q646"/>
    <mergeCell ref="B640:C640"/>
    <mergeCell ref="D640:E640"/>
    <mergeCell ref="F640:G640"/>
    <mergeCell ref="H640:I640"/>
    <mergeCell ref="J640:K640"/>
    <mergeCell ref="L640:M640"/>
    <mergeCell ref="N640:O640"/>
    <mergeCell ref="P640:Q640"/>
    <mergeCell ref="R640:S640"/>
    <mergeCell ref="T640:U640"/>
    <mergeCell ref="B641:C641"/>
    <mergeCell ref="D641:E641"/>
    <mergeCell ref="F641:G641"/>
    <mergeCell ref="H641:I641"/>
    <mergeCell ref="J641:K641"/>
    <mergeCell ref="L641:M641"/>
    <mergeCell ref="N641:O641"/>
    <mergeCell ref="P641:Q641"/>
    <mergeCell ref="R641:S641"/>
    <mergeCell ref="T641:U641"/>
    <mergeCell ref="B625:C625"/>
    <mergeCell ref="D625:E625"/>
    <mergeCell ref="F625:G625"/>
    <mergeCell ref="H625:I625"/>
    <mergeCell ref="J625:K625"/>
    <mergeCell ref="L625:M625"/>
    <mergeCell ref="N625:O625"/>
    <mergeCell ref="P625:Q625"/>
    <mergeCell ref="F627:H627"/>
    <mergeCell ref="I627:J627"/>
    <mergeCell ref="P627:R627"/>
    <mergeCell ref="S627:T627"/>
    <mergeCell ref="F628:H628"/>
    <mergeCell ref="I628:K628"/>
    <mergeCell ref="P628:R628"/>
    <mergeCell ref="S628:U628"/>
    <mergeCell ref="D639:E639"/>
    <mergeCell ref="H639:I639"/>
    <mergeCell ref="L639:M639"/>
    <mergeCell ref="P639:Q639"/>
    <mergeCell ref="B620:C620"/>
    <mergeCell ref="D620:E620"/>
    <mergeCell ref="F620:G620"/>
    <mergeCell ref="H620:I620"/>
    <mergeCell ref="J620:K620"/>
    <mergeCell ref="L620:M620"/>
    <mergeCell ref="N620:O620"/>
    <mergeCell ref="P620:Q620"/>
    <mergeCell ref="R620:S620"/>
    <mergeCell ref="T620:U620"/>
    <mergeCell ref="B624:C624"/>
    <mergeCell ref="D624:E624"/>
    <mergeCell ref="F624:G624"/>
    <mergeCell ref="H624:I624"/>
    <mergeCell ref="J624:K624"/>
    <mergeCell ref="L624:M624"/>
    <mergeCell ref="N624:O624"/>
    <mergeCell ref="P624:Q624"/>
    <mergeCell ref="B618:C618"/>
    <mergeCell ref="D618:E618"/>
    <mergeCell ref="F618:G618"/>
    <mergeCell ref="H618:I618"/>
    <mergeCell ref="J618:K618"/>
    <mergeCell ref="L618:M618"/>
    <mergeCell ref="N618:O618"/>
    <mergeCell ref="P618:Q618"/>
    <mergeCell ref="R618:S618"/>
    <mergeCell ref="T618:U618"/>
    <mergeCell ref="B619:C619"/>
    <mergeCell ref="D619:E619"/>
    <mergeCell ref="F619:G619"/>
    <mergeCell ref="H619:I619"/>
    <mergeCell ref="J619:K619"/>
    <mergeCell ref="L619:M619"/>
    <mergeCell ref="N619:O619"/>
    <mergeCell ref="P619:Q619"/>
    <mergeCell ref="R619:S619"/>
    <mergeCell ref="T619:U619"/>
    <mergeCell ref="B605:C605"/>
    <mergeCell ref="D605:E605"/>
    <mergeCell ref="F605:G605"/>
    <mergeCell ref="H605:I605"/>
    <mergeCell ref="J605:K605"/>
    <mergeCell ref="L605:M605"/>
    <mergeCell ref="N605:O605"/>
    <mergeCell ref="P605:Q605"/>
    <mergeCell ref="F607:H607"/>
    <mergeCell ref="I607:J607"/>
    <mergeCell ref="P607:R607"/>
    <mergeCell ref="S607:T607"/>
    <mergeCell ref="F608:H608"/>
    <mergeCell ref="I608:K608"/>
    <mergeCell ref="P608:R608"/>
    <mergeCell ref="S608:U608"/>
    <mergeCell ref="D617:E617"/>
    <mergeCell ref="H617:I617"/>
    <mergeCell ref="L617:M617"/>
    <mergeCell ref="P617:Q617"/>
    <mergeCell ref="B600:C600"/>
    <mergeCell ref="D600:E600"/>
    <mergeCell ref="F600:G600"/>
    <mergeCell ref="H600:I600"/>
    <mergeCell ref="J600:K600"/>
    <mergeCell ref="L600:M600"/>
    <mergeCell ref="N600:O600"/>
    <mergeCell ref="P600:Q600"/>
    <mergeCell ref="R600:S600"/>
    <mergeCell ref="T600:U600"/>
    <mergeCell ref="B604:C604"/>
    <mergeCell ref="D604:E604"/>
    <mergeCell ref="F604:G604"/>
    <mergeCell ref="H604:I604"/>
    <mergeCell ref="J604:K604"/>
    <mergeCell ref="L604:M604"/>
    <mergeCell ref="N604:O604"/>
    <mergeCell ref="P604:Q604"/>
    <mergeCell ref="B598:C598"/>
    <mergeCell ref="D598:E598"/>
    <mergeCell ref="F598:G598"/>
    <mergeCell ref="H598:I598"/>
    <mergeCell ref="J598:K598"/>
    <mergeCell ref="L598:M598"/>
    <mergeCell ref="N598:O598"/>
    <mergeCell ref="P598:Q598"/>
    <mergeCell ref="R598:S598"/>
    <mergeCell ref="T598:U598"/>
    <mergeCell ref="B599:C599"/>
    <mergeCell ref="D599:E599"/>
    <mergeCell ref="F599:G599"/>
    <mergeCell ref="H599:I599"/>
    <mergeCell ref="J599:K599"/>
    <mergeCell ref="L599:M599"/>
    <mergeCell ref="N599:O599"/>
    <mergeCell ref="P599:Q599"/>
    <mergeCell ref="R599:S599"/>
    <mergeCell ref="T599:U599"/>
    <mergeCell ref="B583:C583"/>
    <mergeCell ref="D583:E583"/>
    <mergeCell ref="F583:G583"/>
    <mergeCell ref="H583:I583"/>
    <mergeCell ref="J583:K583"/>
    <mergeCell ref="L583:M583"/>
    <mergeCell ref="N583:O583"/>
    <mergeCell ref="P583:Q583"/>
    <mergeCell ref="F585:H585"/>
    <mergeCell ref="I585:J585"/>
    <mergeCell ref="P585:R585"/>
    <mergeCell ref="S585:T585"/>
    <mergeCell ref="F586:H586"/>
    <mergeCell ref="I586:K586"/>
    <mergeCell ref="P586:R586"/>
    <mergeCell ref="S586:U586"/>
    <mergeCell ref="D597:E597"/>
    <mergeCell ref="H597:I597"/>
    <mergeCell ref="L597:M597"/>
    <mergeCell ref="P597:Q597"/>
    <mergeCell ref="B578:C578"/>
    <mergeCell ref="D578:E578"/>
    <mergeCell ref="F578:G578"/>
    <mergeCell ref="H578:I578"/>
    <mergeCell ref="J578:K578"/>
    <mergeCell ref="L578:M578"/>
    <mergeCell ref="N578:O578"/>
    <mergeCell ref="P578:Q578"/>
    <mergeCell ref="R578:S578"/>
    <mergeCell ref="T578:U578"/>
    <mergeCell ref="B582:C582"/>
    <mergeCell ref="D582:E582"/>
    <mergeCell ref="F582:G582"/>
    <mergeCell ref="H582:I582"/>
    <mergeCell ref="J582:K582"/>
    <mergeCell ref="L582:M582"/>
    <mergeCell ref="N582:O582"/>
    <mergeCell ref="P582:Q582"/>
    <mergeCell ref="B576:C576"/>
    <mergeCell ref="D576:E576"/>
    <mergeCell ref="F576:G576"/>
    <mergeCell ref="H576:I576"/>
    <mergeCell ref="J576:K576"/>
    <mergeCell ref="L576:M576"/>
    <mergeCell ref="N576:O576"/>
    <mergeCell ref="P576:Q576"/>
    <mergeCell ref="R576:S576"/>
    <mergeCell ref="T576:U576"/>
    <mergeCell ref="B577:C577"/>
    <mergeCell ref="D577:E577"/>
    <mergeCell ref="F577:G577"/>
    <mergeCell ref="H577:I577"/>
    <mergeCell ref="J577:K577"/>
    <mergeCell ref="L577:M577"/>
    <mergeCell ref="N577:O577"/>
    <mergeCell ref="P577:Q577"/>
    <mergeCell ref="R577:S577"/>
    <mergeCell ref="T577:U577"/>
    <mergeCell ref="B563:C563"/>
    <mergeCell ref="D563:E563"/>
    <mergeCell ref="F563:G563"/>
    <mergeCell ref="H563:I563"/>
    <mergeCell ref="J563:K563"/>
    <mergeCell ref="L563:M563"/>
    <mergeCell ref="N563:O563"/>
    <mergeCell ref="P563:Q563"/>
    <mergeCell ref="F565:H565"/>
    <mergeCell ref="I565:J565"/>
    <mergeCell ref="P565:R565"/>
    <mergeCell ref="S565:T565"/>
    <mergeCell ref="F566:H566"/>
    <mergeCell ref="I566:K566"/>
    <mergeCell ref="P566:R566"/>
    <mergeCell ref="S566:U566"/>
    <mergeCell ref="D575:E575"/>
    <mergeCell ref="H575:I575"/>
    <mergeCell ref="L575:M575"/>
    <mergeCell ref="P575:Q575"/>
    <mergeCell ref="B558:C558"/>
    <mergeCell ref="D558:E558"/>
    <mergeCell ref="F558:G558"/>
    <mergeCell ref="H558:I558"/>
    <mergeCell ref="J558:K558"/>
    <mergeCell ref="L558:M558"/>
    <mergeCell ref="N558:O558"/>
    <mergeCell ref="P558:Q558"/>
    <mergeCell ref="R558:S558"/>
    <mergeCell ref="T558:U558"/>
    <mergeCell ref="B562:C562"/>
    <mergeCell ref="D562:E562"/>
    <mergeCell ref="F562:G562"/>
    <mergeCell ref="H562:I562"/>
    <mergeCell ref="J562:K562"/>
    <mergeCell ref="L562:M562"/>
    <mergeCell ref="N562:O562"/>
    <mergeCell ref="P562:Q562"/>
    <mergeCell ref="B556:C556"/>
    <mergeCell ref="D556:E556"/>
    <mergeCell ref="F556:G556"/>
    <mergeCell ref="H556:I556"/>
    <mergeCell ref="J556:K556"/>
    <mergeCell ref="L556:M556"/>
    <mergeCell ref="N556:O556"/>
    <mergeCell ref="P556:Q556"/>
    <mergeCell ref="R556:S556"/>
    <mergeCell ref="T556:U556"/>
    <mergeCell ref="B557:C557"/>
    <mergeCell ref="D557:E557"/>
    <mergeCell ref="F557:G557"/>
    <mergeCell ref="H557:I557"/>
    <mergeCell ref="J557:K557"/>
    <mergeCell ref="L557:M557"/>
    <mergeCell ref="N557:O557"/>
    <mergeCell ref="P557:Q557"/>
    <mergeCell ref="R557:S557"/>
    <mergeCell ref="T557:U557"/>
    <mergeCell ref="B541:C541"/>
    <mergeCell ref="D541:E541"/>
    <mergeCell ref="F541:G541"/>
    <mergeCell ref="H541:I541"/>
    <mergeCell ref="J541:K541"/>
    <mergeCell ref="L541:M541"/>
    <mergeCell ref="N541:O541"/>
    <mergeCell ref="P541:Q541"/>
    <mergeCell ref="F543:H543"/>
    <mergeCell ref="I543:J543"/>
    <mergeCell ref="P543:R543"/>
    <mergeCell ref="S543:T543"/>
    <mergeCell ref="F544:H544"/>
    <mergeCell ref="I544:K544"/>
    <mergeCell ref="P544:R544"/>
    <mergeCell ref="S544:U544"/>
    <mergeCell ref="D555:E555"/>
    <mergeCell ref="H555:I555"/>
    <mergeCell ref="L555:M555"/>
    <mergeCell ref="P555:Q555"/>
    <mergeCell ref="B536:C536"/>
    <mergeCell ref="D536:E536"/>
    <mergeCell ref="F536:G536"/>
    <mergeCell ref="H536:I536"/>
    <mergeCell ref="J536:K536"/>
    <mergeCell ref="L536:M536"/>
    <mergeCell ref="N536:O536"/>
    <mergeCell ref="P536:Q536"/>
    <mergeCell ref="R536:S536"/>
    <mergeCell ref="T536:U536"/>
    <mergeCell ref="B540:C540"/>
    <mergeCell ref="D540:E540"/>
    <mergeCell ref="F540:G540"/>
    <mergeCell ref="H540:I540"/>
    <mergeCell ref="J540:K540"/>
    <mergeCell ref="L540:M540"/>
    <mergeCell ref="N540:O540"/>
    <mergeCell ref="P540:Q540"/>
    <mergeCell ref="B534:C534"/>
    <mergeCell ref="D534:E534"/>
    <mergeCell ref="F534:G534"/>
    <mergeCell ref="H534:I534"/>
    <mergeCell ref="J534:K534"/>
    <mergeCell ref="L534:M534"/>
    <mergeCell ref="N534:O534"/>
    <mergeCell ref="P534:Q534"/>
    <mergeCell ref="R534:S534"/>
    <mergeCell ref="T534:U534"/>
    <mergeCell ref="B535:C535"/>
    <mergeCell ref="D535:E535"/>
    <mergeCell ref="F535:G535"/>
    <mergeCell ref="H535:I535"/>
    <mergeCell ref="J535:K535"/>
    <mergeCell ref="L535:M535"/>
    <mergeCell ref="N535:O535"/>
    <mergeCell ref="P535:Q535"/>
    <mergeCell ref="R535:S535"/>
    <mergeCell ref="T535:U535"/>
    <mergeCell ref="B521:C521"/>
    <mergeCell ref="D521:E521"/>
    <mergeCell ref="F521:G521"/>
    <mergeCell ref="H521:I521"/>
    <mergeCell ref="J521:K521"/>
    <mergeCell ref="L521:M521"/>
    <mergeCell ref="N521:O521"/>
    <mergeCell ref="P521:Q521"/>
    <mergeCell ref="F523:H523"/>
    <mergeCell ref="I523:J523"/>
    <mergeCell ref="P523:R523"/>
    <mergeCell ref="S523:T523"/>
    <mergeCell ref="F524:H524"/>
    <mergeCell ref="I524:K524"/>
    <mergeCell ref="P524:R524"/>
    <mergeCell ref="S524:U524"/>
    <mergeCell ref="D533:E533"/>
    <mergeCell ref="H533:I533"/>
    <mergeCell ref="L533:M533"/>
    <mergeCell ref="P533:Q533"/>
    <mergeCell ref="B516:C516"/>
    <mergeCell ref="D516:E516"/>
    <mergeCell ref="F516:G516"/>
    <mergeCell ref="H516:I516"/>
    <mergeCell ref="J516:K516"/>
    <mergeCell ref="L516:M516"/>
    <mergeCell ref="N516:O516"/>
    <mergeCell ref="P516:Q516"/>
    <mergeCell ref="R516:S516"/>
    <mergeCell ref="T516:U516"/>
    <mergeCell ref="B520:C520"/>
    <mergeCell ref="D520:E520"/>
    <mergeCell ref="F520:G520"/>
    <mergeCell ref="H520:I520"/>
    <mergeCell ref="J520:K520"/>
    <mergeCell ref="L520:M520"/>
    <mergeCell ref="N520:O520"/>
    <mergeCell ref="P520:Q520"/>
    <mergeCell ref="B514:C514"/>
    <mergeCell ref="D514:E514"/>
    <mergeCell ref="F514:G514"/>
    <mergeCell ref="H514:I514"/>
    <mergeCell ref="J514:K514"/>
    <mergeCell ref="L514:M514"/>
    <mergeCell ref="N514:O514"/>
    <mergeCell ref="P514:Q514"/>
    <mergeCell ref="R514:S514"/>
    <mergeCell ref="T514:U514"/>
    <mergeCell ref="B515:C515"/>
    <mergeCell ref="D515:E515"/>
    <mergeCell ref="F515:G515"/>
    <mergeCell ref="H515:I515"/>
    <mergeCell ref="J515:K515"/>
    <mergeCell ref="L515:M515"/>
    <mergeCell ref="N515:O515"/>
    <mergeCell ref="P515:Q515"/>
    <mergeCell ref="R515:S515"/>
    <mergeCell ref="T515:U515"/>
    <mergeCell ref="B499:C499"/>
    <mergeCell ref="D499:E499"/>
    <mergeCell ref="F499:G499"/>
    <mergeCell ref="H499:I499"/>
    <mergeCell ref="J499:K499"/>
    <mergeCell ref="L499:M499"/>
    <mergeCell ref="N499:O499"/>
    <mergeCell ref="P499:Q499"/>
    <mergeCell ref="F501:H501"/>
    <mergeCell ref="I501:J501"/>
    <mergeCell ref="P501:R501"/>
    <mergeCell ref="S501:T501"/>
    <mergeCell ref="F502:H502"/>
    <mergeCell ref="I502:K502"/>
    <mergeCell ref="P502:R502"/>
    <mergeCell ref="S502:U502"/>
    <mergeCell ref="D513:E513"/>
    <mergeCell ref="H513:I513"/>
    <mergeCell ref="L513:M513"/>
    <mergeCell ref="P513:Q513"/>
    <mergeCell ref="B494:C494"/>
    <mergeCell ref="D494:E494"/>
    <mergeCell ref="F494:G494"/>
    <mergeCell ref="H494:I494"/>
    <mergeCell ref="J494:K494"/>
    <mergeCell ref="L494:M494"/>
    <mergeCell ref="N494:O494"/>
    <mergeCell ref="P494:Q494"/>
    <mergeCell ref="R494:S494"/>
    <mergeCell ref="T494:U494"/>
    <mergeCell ref="B498:C498"/>
    <mergeCell ref="D498:E498"/>
    <mergeCell ref="F498:G498"/>
    <mergeCell ref="H498:I498"/>
    <mergeCell ref="J498:K498"/>
    <mergeCell ref="L498:M498"/>
    <mergeCell ref="N498:O498"/>
    <mergeCell ref="P498:Q498"/>
    <mergeCell ref="B492:C492"/>
    <mergeCell ref="D492:E492"/>
    <mergeCell ref="F492:G492"/>
    <mergeCell ref="H492:I492"/>
    <mergeCell ref="J492:K492"/>
    <mergeCell ref="L492:M492"/>
    <mergeCell ref="N492:O492"/>
    <mergeCell ref="P492:Q492"/>
    <mergeCell ref="R492:S492"/>
    <mergeCell ref="T492:U492"/>
    <mergeCell ref="B493:C493"/>
    <mergeCell ref="D493:E493"/>
    <mergeCell ref="F493:G493"/>
    <mergeCell ref="H493:I493"/>
    <mergeCell ref="J493:K493"/>
    <mergeCell ref="L493:M493"/>
    <mergeCell ref="N493:O493"/>
    <mergeCell ref="P493:Q493"/>
    <mergeCell ref="R493:S493"/>
    <mergeCell ref="T493:U493"/>
    <mergeCell ref="B479:C479"/>
    <mergeCell ref="D479:E479"/>
    <mergeCell ref="F479:G479"/>
    <mergeCell ref="H479:I479"/>
    <mergeCell ref="J479:K479"/>
    <mergeCell ref="L479:M479"/>
    <mergeCell ref="N479:O479"/>
    <mergeCell ref="P479:Q479"/>
    <mergeCell ref="F481:H481"/>
    <mergeCell ref="I481:J481"/>
    <mergeCell ref="P481:R481"/>
    <mergeCell ref="S481:T481"/>
    <mergeCell ref="F482:H482"/>
    <mergeCell ref="I482:K482"/>
    <mergeCell ref="P482:R482"/>
    <mergeCell ref="S482:U482"/>
    <mergeCell ref="D491:E491"/>
    <mergeCell ref="H491:I491"/>
    <mergeCell ref="L491:M491"/>
    <mergeCell ref="P491:Q491"/>
    <mergeCell ref="B474:C474"/>
    <mergeCell ref="D474:E474"/>
    <mergeCell ref="F474:G474"/>
    <mergeCell ref="H474:I474"/>
    <mergeCell ref="J474:K474"/>
    <mergeCell ref="L474:M474"/>
    <mergeCell ref="N474:O474"/>
    <mergeCell ref="P474:Q474"/>
    <mergeCell ref="R474:S474"/>
    <mergeCell ref="T474:U474"/>
    <mergeCell ref="B478:C478"/>
    <mergeCell ref="D478:E478"/>
    <mergeCell ref="F478:G478"/>
    <mergeCell ref="H478:I478"/>
    <mergeCell ref="J478:K478"/>
    <mergeCell ref="L478:M478"/>
    <mergeCell ref="N478:O478"/>
    <mergeCell ref="P478:Q478"/>
    <mergeCell ref="B472:C472"/>
    <mergeCell ref="D472:E472"/>
    <mergeCell ref="F472:G472"/>
    <mergeCell ref="H472:I472"/>
    <mergeCell ref="J472:K472"/>
    <mergeCell ref="L472:M472"/>
    <mergeCell ref="N472:O472"/>
    <mergeCell ref="P472:Q472"/>
    <mergeCell ref="R472:S472"/>
    <mergeCell ref="T472:U472"/>
    <mergeCell ref="B473:C473"/>
    <mergeCell ref="D473:E473"/>
    <mergeCell ref="F473:G473"/>
    <mergeCell ref="H473:I473"/>
    <mergeCell ref="J473:K473"/>
    <mergeCell ref="L473:M473"/>
    <mergeCell ref="N473:O473"/>
    <mergeCell ref="P473:Q473"/>
    <mergeCell ref="R473:S473"/>
    <mergeCell ref="T473:U473"/>
    <mergeCell ref="B457:C457"/>
    <mergeCell ref="D457:E457"/>
    <mergeCell ref="F457:G457"/>
    <mergeCell ref="H457:I457"/>
    <mergeCell ref="J457:K457"/>
    <mergeCell ref="L457:M457"/>
    <mergeCell ref="N457:O457"/>
    <mergeCell ref="P457:Q457"/>
    <mergeCell ref="F459:H459"/>
    <mergeCell ref="I459:J459"/>
    <mergeCell ref="P459:R459"/>
    <mergeCell ref="S459:T459"/>
    <mergeCell ref="F460:H460"/>
    <mergeCell ref="I460:K460"/>
    <mergeCell ref="P460:R460"/>
    <mergeCell ref="S460:U460"/>
    <mergeCell ref="D471:E471"/>
    <mergeCell ref="H471:I471"/>
    <mergeCell ref="L471:M471"/>
    <mergeCell ref="P471:Q471"/>
    <mergeCell ref="B452:C452"/>
    <mergeCell ref="D452:E452"/>
    <mergeCell ref="F452:G452"/>
    <mergeCell ref="H452:I452"/>
    <mergeCell ref="J452:K452"/>
    <mergeCell ref="L452:M452"/>
    <mergeCell ref="N452:O452"/>
    <mergeCell ref="P452:Q452"/>
    <mergeCell ref="R452:S452"/>
    <mergeCell ref="T452:U452"/>
    <mergeCell ref="B456:C456"/>
    <mergeCell ref="D456:E456"/>
    <mergeCell ref="F456:G456"/>
    <mergeCell ref="H456:I456"/>
    <mergeCell ref="J456:K456"/>
    <mergeCell ref="L456:M456"/>
    <mergeCell ref="N456:O456"/>
    <mergeCell ref="P456:Q456"/>
    <mergeCell ref="B450:C450"/>
    <mergeCell ref="D450:E450"/>
    <mergeCell ref="F450:G450"/>
    <mergeCell ref="H450:I450"/>
    <mergeCell ref="J450:K450"/>
    <mergeCell ref="L450:M450"/>
    <mergeCell ref="N450:O450"/>
    <mergeCell ref="P450:Q450"/>
    <mergeCell ref="R450:S450"/>
    <mergeCell ref="T450:U450"/>
    <mergeCell ref="B451:C451"/>
    <mergeCell ref="D451:E451"/>
    <mergeCell ref="F451:G451"/>
    <mergeCell ref="H451:I451"/>
    <mergeCell ref="J451:K451"/>
    <mergeCell ref="L451:M451"/>
    <mergeCell ref="N451:O451"/>
    <mergeCell ref="P451:Q451"/>
    <mergeCell ref="R451:S451"/>
    <mergeCell ref="T451:U451"/>
    <mergeCell ref="B437:C437"/>
    <mergeCell ref="D437:E437"/>
    <mergeCell ref="F437:G437"/>
    <mergeCell ref="H437:I437"/>
    <mergeCell ref="J437:K437"/>
    <mergeCell ref="L437:M437"/>
    <mergeCell ref="N437:O437"/>
    <mergeCell ref="P437:Q437"/>
    <mergeCell ref="F439:H439"/>
    <mergeCell ref="I439:J439"/>
    <mergeCell ref="P439:R439"/>
    <mergeCell ref="S439:T439"/>
    <mergeCell ref="F440:H440"/>
    <mergeCell ref="I440:K440"/>
    <mergeCell ref="P440:R440"/>
    <mergeCell ref="S440:U440"/>
    <mergeCell ref="D449:E449"/>
    <mergeCell ref="H449:I449"/>
    <mergeCell ref="L449:M449"/>
    <mergeCell ref="P449:Q449"/>
    <mergeCell ref="B432:C432"/>
    <mergeCell ref="D432:E432"/>
    <mergeCell ref="F432:G432"/>
    <mergeCell ref="H432:I432"/>
    <mergeCell ref="J432:K432"/>
    <mergeCell ref="L432:M432"/>
    <mergeCell ref="N432:O432"/>
    <mergeCell ref="P432:Q432"/>
    <mergeCell ref="R432:S432"/>
    <mergeCell ref="T432:U432"/>
    <mergeCell ref="B436:C436"/>
    <mergeCell ref="D436:E436"/>
    <mergeCell ref="F436:G436"/>
    <mergeCell ref="H436:I436"/>
    <mergeCell ref="J436:K436"/>
    <mergeCell ref="L436:M436"/>
    <mergeCell ref="N436:O436"/>
    <mergeCell ref="P436:Q436"/>
    <mergeCell ref="B430:C430"/>
    <mergeCell ref="D430:E430"/>
    <mergeCell ref="F430:G430"/>
    <mergeCell ref="H430:I430"/>
    <mergeCell ref="J430:K430"/>
    <mergeCell ref="L430:M430"/>
    <mergeCell ref="N430:O430"/>
    <mergeCell ref="P430:Q430"/>
    <mergeCell ref="R430:S430"/>
    <mergeCell ref="T430:U430"/>
    <mergeCell ref="B431:C431"/>
    <mergeCell ref="D431:E431"/>
    <mergeCell ref="F431:G431"/>
    <mergeCell ref="H431:I431"/>
    <mergeCell ref="J431:K431"/>
    <mergeCell ref="L431:M431"/>
    <mergeCell ref="N431:O431"/>
    <mergeCell ref="P431:Q431"/>
    <mergeCell ref="R431:S431"/>
    <mergeCell ref="T431:U431"/>
    <mergeCell ref="B415:C415"/>
    <mergeCell ref="D415:E415"/>
    <mergeCell ref="F415:G415"/>
    <mergeCell ref="H415:I415"/>
    <mergeCell ref="J415:K415"/>
    <mergeCell ref="L415:M415"/>
    <mergeCell ref="N415:O415"/>
    <mergeCell ref="P415:Q415"/>
    <mergeCell ref="F417:H417"/>
    <mergeCell ref="I417:J417"/>
    <mergeCell ref="P417:R417"/>
    <mergeCell ref="S417:T417"/>
    <mergeCell ref="F418:H418"/>
    <mergeCell ref="I418:K418"/>
    <mergeCell ref="P418:R418"/>
    <mergeCell ref="S418:U418"/>
    <mergeCell ref="D429:E429"/>
    <mergeCell ref="H429:I429"/>
    <mergeCell ref="L429:M429"/>
    <mergeCell ref="P429:Q429"/>
    <mergeCell ref="B410:C410"/>
    <mergeCell ref="D410:E410"/>
    <mergeCell ref="F410:G410"/>
    <mergeCell ref="H410:I410"/>
    <mergeCell ref="J410:K410"/>
    <mergeCell ref="L410:M410"/>
    <mergeCell ref="N410:O410"/>
    <mergeCell ref="P410:Q410"/>
    <mergeCell ref="R410:S410"/>
    <mergeCell ref="T410:U410"/>
    <mergeCell ref="B414:C414"/>
    <mergeCell ref="D414:E414"/>
    <mergeCell ref="F414:G414"/>
    <mergeCell ref="H414:I414"/>
    <mergeCell ref="J414:K414"/>
    <mergeCell ref="L414:M414"/>
    <mergeCell ref="N414:O414"/>
    <mergeCell ref="P414:Q414"/>
    <mergeCell ref="D407:E407"/>
    <mergeCell ref="H407:I407"/>
    <mergeCell ref="L407:M407"/>
    <mergeCell ref="P407:Q407"/>
    <mergeCell ref="B408:C408"/>
    <mergeCell ref="D408:E408"/>
    <mergeCell ref="F408:G408"/>
    <mergeCell ref="H408:I408"/>
    <mergeCell ref="J408:K408"/>
    <mergeCell ref="L408:M408"/>
    <mergeCell ref="N408:O408"/>
    <mergeCell ref="P408:Q408"/>
    <mergeCell ref="R408:S408"/>
    <mergeCell ref="T408:U408"/>
    <mergeCell ref="B409:C409"/>
    <mergeCell ref="D409:E409"/>
    <mergeCell ref="F409:G409"/>
    <mergeCell ref="H409:I409"/>
    <mergeCell ref="J409:K409"/>
    <mergeCell ref="L409:M409"/>
    <mergeCell ref="N409:O409"/>
    <mergeCell ref="P409:Q409"/>
    <mergeCell ref="R409:S409"/>
    <mergeCell ref="T409:U409"/>
    <mergeCell ref="B394:C394"/>
    <mergeCell ref="D394:E394"/>
    <mergeCell ref="F394:G394"/>
    <mergeCell ref="H394:I394"/>
    <mergeCell ref="J394:K394"/>
    <mergeCell ref="L394:M394"/>
    <mergeCell ref="N394:O394"/>
    <mergeCell ref="P394:Q394"/>
    <mergeCell ref="D395:E395"/>
    <mergeCell ref="H395:I395"/>
    <mergeCell ref="L395:M395"/>
    <mergeCell ref="P395:Q395"/>
    <mergeCell ref="F397:H397"/>
    <mergeCell ref="I397:J397"/>
    <mergeCell ref="P397:R397"/>
    <mergeCell ref="S397:T397"/>
    <mergeCell ref="F398:H398"/>
    <mergeCell ref="I398:K398"/>
    <mergeCell ref="P398:R398"/>
    <mergeCell ref="S398:U398"/>
    <mergeCell ref="B389:C389"/>
    <mergeCell ref="D389:E389"/>
    <mergeCell ref="F389:G389"/>
    <mergeCell ref="H389:I389"/>
    <mergeCell ref="J389:K389"/>
    <mergeCell ref="L389:M389"/>
    <mergeCell ref="N389:O389"/>
    <mergeCell ref="P389:Q389"/>
    <mergeCell ref="R389:S389"/>
    <mergeCell ref="T389:U389"/>
    <mergeCell ref="B390:C390"/>
    <mergeCell ref="D390:E390"/>
    <mergeCell ref="F390:G390"/>
    <mergeCell ref="H390:I390"/>
    <mergeCell ref="J390:K390"/>
    <mergeCell ref="L390:M390"/>
    <mergeCell ref="N390:O390"/>
    <mergeCell ref="P390:Q390"/>
    <mergeCell ref="R390:S390"/>
    <mergeCell ref="T390:U390"/>
    <mergeCell ref="D373:E373"/>
    <mergeCell ref="H373:I373"/>
    <mergeCell ref="L373:M373"/>
    <mergeCell ref="P373:Q373"/>
    <mergeCell ref="F375:H375"/>
    <mergeCell ref="I375:J375"/>
    <mergeCell ref="P375:R375"/>
    <mergeCell ref="S375:T375"/>
    <mergeCell ref="F376:H376"/>
    <mergeCell ref="I376:K376"/>
    <mergeCell ref="P376:R376"/>
    <mergeCell ref="S376:U376"/>
    <mergeCell ref="D387:E387"/>
    <mergeCell ref="H387:I387"/>
    <mergeCell ref="L387:M387"/>
    <mergeCell ref="P387:Q387"/>
    <mergeCell ref="B388:C388"/>
    <mergeCell ref="D388:E388"/>
    <mergeCell ref="F388:G388"/>
    <mergeCell ref="H388:I388"/>
    <mergeCell ref="J388:K388"/>
    <mergeCell ref="L388:M388"/>
    <mergeCell ref="N388:O388"/>
    <mergeCell ref="P388:Q388"/>
    <mergeCell ref="R388:S388"/>
    <mergeCell ref="T388:U388"/>
    <mergeCell ref="B368:C368"/>
    <mergeCell ref="D368:E368"/>
    <mergeCell ref="F368:G368"/>
    <mergeCell ref="H368:I368"/>
    <mergeCell ref="J368:K368"/>
    <mergeCell ref="L368:M368"/>
    <mergeCell ref="N368:O368"/>
    <mergeCell ref="P368:Q368"/>
    <mergeCell ref="R368:S368"/>
    <mergeCell ref="T368:U368"/>
    <mergeCell ref="B372:C372"/>
    <mergeCell ref="D372:E372"/>
    <mergeCell ref="F372:G372"/>
    <mergeCell ref="H372:I372"/>
    <mergeCell ref="J372:K372"/>
    <mergeCell ref="L372:M372"/>
    <mergeCell ref="N372:O372"/>
    <mergeCell ref="P372:Q372"/>
    <mergeCell ref="D365:E365"/>
    <mergeCell ref="H365:I365"/>
    <mergeCell ref="L365:M365"/>
    <mergeCell ref="P365:Q365"/>
    <mergeCell ref="B366:C366"/>
    <mergeCell ref="D366:E366"/>
    <mergeCell ref="F366:G366"/>
    <mergeCell ref="H366:I366"/>
    <mergeCell ref="J366:K366"/>
    <mergeCell ref="L366:M366"/>
    <mergeCell ref="N366:O366"/>
    <mergeCell ref="P366:Q366"/>
    <mergeCell ref="R366:S366"/>
    <mergeCell ref="T366:U366"/>
    <mergeCell ref="B367:C367"/>
    <mergeCell ref="D367:E367"/>
    <mergeCell ref="F367:G367"/>
    <mergeCell ref="H367:I367"/>
    <mergeCell ref="J367:K367"/>
    <mergeCell ref="L367:M367"/>
    <mergeCell ref="N367:O367"/>
    <mergeCell ref="P367:Q367"/>
    <mergeCell ref="R367:S367"/>
    <mergeCell ref="T367:U367"/>
    <mergeCell ref="B352:C352"/>
    <mergeCell ref="D352:E352"/>
    <mergeCell ref="F352:G352"/>
    <mergeCell ref="H352:I352"/>
    <mergeCell ref="J352:K352"/>
    <mergeCell ref="L352:M352"/>
    <mergeCell ref="N352:O352"/>
    <mergeCell ref="P352:Q352"/>
    <mergeCell ref="D353:E353"/>
    <mergeCell ref="H353:I353"/>
    <mergeCell ref="L353:M353"/>
    <mergeCell ref="P353:Q353"/>
    <mergeCell ref="F355:H355"/>
    <mergeCell ref="I355:J355"/>
    <mergeCell ref="P355:R355"/>
    <mergeCell ref="S355:T355"/>
    <mergeCell ref="F356:H356"/>
    <mergeCell ref="I356:K356"/>
    <mergeCell ref="P356:R356"/>
    <mergeCell ref="S356:U356"/>
    <mergeCell ref="B347:C347"/>
    <mergeCell ref="D347:E347"/>
    <mergeCell ref="F347:G347"/>
    <mergeCell ref="H347:I347"/>
    <mergeCell ref="J347:K347"/>
    <mergeCell ref="L347:M347"/>
    <mergeCell ref="N347:O347"/>
    <mergeCell ref="P347:Q347"/>
    <mergeCell ref="R347:S347"/>
    <mergeCell ref="T347:U347"/>
    <mergeCell ref="B348:C348"/>
    <mergeCell ref="D348:E348"/>
    <mergeCell ref="F348:G348"/>
    <mergeCell ref="H348:I348"/>
    <mergeCell ref="J348:K348"/>
    <mergeCell ref="L348:M348"/>
    <mergeCell ref="N348:O348"/>
    <mergeCell ref="P348:Q348"/>
    <mergeCell ref="R348:S348"/>
    <mergeCell ref="T348:U348"/>
    <mergeCell ref="D331:E331"/>
    <mergeCell ref="H331:I331"/>
    <mergeCell ref="L331:M331"/>
    <mergeCell ref="P331:Q331"/>
    <mergeCell ref="F333:H333"/>
    <mergeCell ref="I333:J333"/>
    <mergeCell ref="P333:R333"/>
    <mergeCell ref="S333:T333"/>
    <mergeCell ref="F334:H334"/>
    <mergeCell ref="I334:K334"/>
    <mergeCell ref="P334:R334"/>
    <mergeCell ref="S334:U334"/>
    <mergeCell ref="D345:E345"/>
    <mergeCell ref="H345:I345"/>
    <mergeCell ref="L345:M345"/>
    <mergeCell ref="P345:Q345"/>
    <mergeCell ref="B346:C346"/>
    <mergeCell ref="D346:E346"/>
    <mergeCell ref="F346:G346"/>
    <mergeCell ref="H346:I346"/>
    <mergeCell ref="J346:K346"/>
    <mergeCell ref="L346:M346"/>
    <mergeCell ref="N346:O346"/>
    <mergeCell ref="P346:Q346"/>
    <mergeCell ref="R346:S346"/>
    <mergeCell ref="T346:U346"/>
    <mergeCell ref="B326:C326"/>
    <mergeCell ref="D326:E326"/>
    <mergeCell ref="F326:G326"/>
    <mergeCell ref="H326:I326"/>
    <mergeCell ref="J326:K326"/>
    <mergeCell ref="L326:M326"/>
    <mergeCell ref="N326:O326"/>
    <mergeCell ref="P326:Q326"/>
    <mergeCell ref="R326:S326"/>
    <mergeCell ref="T326:U326"/>
    <mergeCell ref="B330:C330"/>
    <mergeCell ref="D330:E330"/>
    <mergeCell ref="F330:G330"/>
    <mergeCell ref="H330:I330"/>
    <mergeCell ref="J330:K330"/>
    <mergeCell ref="L330:M330"/>
    <mergeCell ref="N330:O330"/>
    <mergeCell ref="P330:Q330"/>
    <mergeCell ref="D323:E323"/>
    <mergeCell ref="H323:I323"/>
    <mergeCell ref="L323:M323"/>
    <mergeCell ref="P323:Q323"/>
    <mergeCell ref="B324:C324"/>
    <mergeCell ref="D324:E324"/>
    <mergeCell ref="F324:G324"/>
    <mergeCell ref="H324:I324"/>
    <mergeCell ref="J324:K324"/>
    <mergeCell ref="L324:M324"/>
    <mergeCell ref="N324:O324"/>
    <mergeCell ref="P324:Q324"/>
    <mergeCell ref="R324:S324"/>
    <mergeCell ref="T324:U324"/>
    <mergeCell ref="B325:C325"/>
    <mergeCell ref="D325:E325"/>
    <mergeCell ref="F325:G325"/>
    <mergeCell ref="H325:I325"/>
    <mergeCell ref="J325:K325"/>
    <mergeCell ref="L325:M325"/>
    <mergeCell ref="N325:O325"/>
    <mergeCell ref="P325:Q325"/>
    <mergeCell ref="R325:S325"/>
    <mergeCell ref="T325:U325"/>
    <mergeCell ref="B310:C310"/>
    <mergeCell ref="D310:E310"/>
    <mergeCell ref="F310:G310"/>
    <mergeCell ref="H310:I310"/>
    <mergeCell ref="J310:K310"/>
    <mergeCell ref="L310:M310"/>
    <mergeCell ref="N310:O310"/>
    <mergeCell ref="P310:Q310"/>
    <mergeCell ref="D311:E311"/>
    <mergeCell ref="H311:I311"/>
    <mergeCell ref="L311:M311"/>
    <mergeCell ref="P311:Q311"/>
    <mergeCell ref="F313:H313"/>
    <mergeCell ref="I313:J313"/>
    <mergeCell ref="P313:R313"/>
    <mergeCell ref="S313:T313"/>
    <mergeCell ref="F314:H314"/>
    <mergeCell ref="I314:K314"/>
    <mergeCell ref="P314:R314"/>
    <mergeCell ref="S314:U314"/>
    <mergeCell ref="B305:C305"/>
    <mergeCell ref="D305:E305"/>
    <mergeCell ref="F305:G305"/>
    <mergeCell ref="H305:I305"/>
    <mergeCell ref="J305:K305"/>
    <mergeCell ref="L305:M305"/>
    <mergeCell ref="N305:O305"/>
    <mergeCell ref="P305:Q305"/>
    <mergeCell ref="R305:S305"/>
    <mergeCell ref="T305:U305"/>
    <mergeCell ref="B306:C306"/>
    <mergeCell ref="D306:E306"/>
    <mergeCell ref="F306:G306"/>
    <mergeCell ref="H306:I306"/>
    <mergeCell ref="J306:K306"/>
    <mergeCell ref="L306:M306"/>
    <mergeCell ref="N306:O306"/>
    <mergeCell ref="P306:Q306"/>
    <mergeCell ref="R306:S306"/>
    <mergeCell ref="T306:U306"/>
    <mergeCell ref="D289:E289"/>
    <mergeCell ref="H289:I289"/>
    <mergeCell ref="L289:M289"/>
    <mergeCell ref="P289:Q289"/>
    <mergeCell ref="F291:H291"/>
    <mergeCell ref="I291:J291"/>
    <mergeCell ref="P291:R291"/>
    <mergeCell ref="S291:T291"/>
    <mergeCell ref="F292:H292"/>
    <mergeCell ref="I292:K292"/>
    <mergeCell ref="P292:R292"/>
    <mergeCell ref="S292:U292"/>
    <mergeCell ref="D303:E303"/>
    <mergeCell ref="H303:I303"/>
    <mergeCell ref="L303:M303"/>
    <mergeCell ref="P303:Q303"/>
    <mergeCell ref="B304:C304"/>
    <mergeCell ref="D304:E304"/>
    <mergeCell ref="F304:G304"/>
    <mergeCell ref="H304:I304"/>
    <mergeCell ref="J304:K304"/>
    <mergeCell ref="L304:M304"/>
    <mergeCell ref="N304:O304"/>
    <mergeCell ref="P304:Q304"/>
    <mergeCell ref="R304:S304"/>
    <mergeCell ref="T304:U304"/>
    <mergeCell ref="B284:C284"/>
    <mergeCell ref="D284:E284"/>
    <mergeCell ref="F284:G284"/>
    <mergeCell ref="H284:I284"/>
    <mergeCell ref="J284:K284"/>
    <mergeCell ref="L284:M284"/>
    <mergeCell ref="N284:O284"/>
    <mergeCell ref="P284:Q284"/>
    <mergeCell ref="R284:S284"/>
    <mergeCell ref="T284:U284"/>
    <mergeCell ref="B288:C288"/>
    <mergeCell ref="D288:E288"/>
    <mergeCell ref="F288:G288"/>
    <mergeCell ref="H288:I288"/>
    <mergeCell ref="J288:K288"/>
    <mergeCell ref="L288:M288"/>
    <mergeCell ref="N288:O288"/>
    <mergeCell ref="P288:Q288"/>
    <mergeCell ref="D281:E281"/>
    <mergeCell ref="H281:I281"/>
    <mergeCell ref="L281:M281"/>
    <mergeCell ref="P281:Q281"/>
    <mergeCell ref="B282:C282"/>
    <mergeCell ref="D282:E282"/>
    <mergeCell ref="F282:G282"/>
    <mergeCell ref="H282:I282"/>
    <mergeCell ref="J282:K282"/>
    <mergeCell ref="L282:M282"/>
    <mergeCell ref="N282:O282"/>
    <mergeCell ref="P282:Q282"/>
    <mergeCell ref="R282:S282"/>
    <mergeCell ref="T282:U282"/>
    <mergeCell ref="B283:C283"/>
    <mergeCell ref="D283:E283"/>
    <mergeCell ref="F283:G283"/>
    <mergeCell ref="H283:I283"/>
    <mergeCell ref="J283:K283"/>
    <mergeCell ref="L283:M283"/>
    <mergeCell ref="N283:O283"/>
    <mergeCell ref="P283:Q283"/>
    <mergeCell ref="R283:S283"/>
    <mergeCell ref="T283:U283"/>
    <mergeCell ref="B268:C268"/>
    <mergeCell ref="D268:E268"/>
    <mergeCell ref="F268:G268"/>
    <mergeCell ref="H268:I268"/>
    <mergeCell ref="J268:K268"/>
    <mergeCell ref="L268:M268"/>
    <mergeCell ref="N268:O268"/>
    <mergeCell ref="P268:Q268"/>
    <mergeCell ref="D269:E269"/>
    <mergeCell ref="H269:I269"/>
    <mergeCell ref="L269:M269"/>
    <mergeCell ref="P269:Q269"/>
    <mergeCell ref="F271:H271"/>
    <mergeCell ref="I271:J271"/>
    <mergeCell ref="P271:R271"/>
    <mergeCell ref="S271:T271"/>
    <mergeCell ref="F272:H272"/>
    <mergeCell ref="I272:K272"/>
    <mergeCell ref="P272:R272"/>
    <mergeCell ref="S272:U272"/>
    <mergeCell ref="B263:C263"/>
    <mergeCell ref="D263:E263"/>
    <mergeCell ref="F263:G263"/>
    <mergeCell ref="H263:I263"/>
    <mergeCell ref="J263:K263"/>
    <mergeCell ref="L263:M263"/>
    <mergeCell ref="N263:O263"/>
    <mergeCell ref="P263:Q263"/>
    <mergeCell ref="R263:S263"/>
    <mergeCell ref="T263:U263"/>
    <mergeCell ref="B264:C264"/>
    <mergeCell ref="D264:E264"/>
    <mergeCell ref="F264:G264"/>
    <mergeCell ref="H264:I264"/>
    <mergeCell ref="J264:K264"/>
    <mergeCell ref="L264:M264"/>
    <mergeCell ref="N264:O264"/>
    <mergeCell ref="P264:Q264"/>
    <mergeCell ref="R264:S264"/>
    <mergeCell ref="T264:U264"/>
    <mergeCell ref="D247:E247"/>
    <mergeCell ref="H247:I247"/>
    <mergeCell ref="L247:M247"/>
    <mergeCell ref="P247:Q247"/>
    <mergeCell ref="F249:H249"/>
    <mergeCell ref="I249:J249"/>
    <mergeCell ref="P249:R249"/>
    <mergeCell ref="S249:T249"/>
    <mergeCell ref="F250:H250"/>
    <mergeCell ref="I250:K250"/>
    <mergeCell ref="P250:R250"/>
    <mergeCell ref="S250:U250"/>
    <mergeCell ref="D261:E261"/>
    <mergeCell ref="H261:I261"/>
    <mergeCell ref="L261:M261"/>
    <mergeCell ref="P261:Q261"/>
    <mergeCell ref="B262:C262"/>
    <mergeCell ref="D262:E262"/>
    <mergeCell ref="F262:G262"/>
    <mergeCell ref="H262:I262"/>
    <mergeCell ref="J262:K262"/>
    <mergeCell ref="L262:M262"/>
    <mergeCell ref="N262:O262"/>
    <mergeCell ref="P262:Q262"/>
    <mergeCell ref="R262:S262"/>
    <mergeCell ref="T262:U262"/>
    <mergeCell ref="B242:C242"/>
    <mergeCell ref="D242:E242"/>
    <mergeCell ref="F242:G242"/>
    <mergeCell ref="H242:I242"/>
    <mergeCell ref="J242:K242"/>
    <mergeCell ref="L242:M242"/>
    <mergeCell ref="N242:O242"/>
    <mergeCell ref="P242:Q242"/>
    <mergeCell ref="R242:S242"/>
    <mergeCell ref="T242:U242"/>
    <mergeCell ref="B246:C246"/>
    <mergeCell ref="D246:E246"/>
    <mergeCell ref="F246:G246"/>
    <mergeCell ref="H246:I246"/>
    <mergeCell ref="J246:K246"/>
    <mergeCell ref="L246:M246"/>
    <mergeCell ref="N246:O246"/>
    <mergeCell ref="P246:Q246"/>
    <mergeCell ref="D239:E239"/>
    <mergeCell ref="H239:I239"/>
    <mergeCell ref="L239:M239"/>
    <mergeCell ref="P239:Q239"/>
    <mergeCell ref="B240:C240"/>
    <mergeCell ref="D240:E240"/>
    <mergeCell ref="F240:G240"/>
    <mergeCell ref="H240:I240"/>
    <mergeCell ref="J240:K240"/>
    <mergeCell ref="L240:M240"/>
    <mergeCell ref="N240:O240"/>
    <mergeCell ref="P240:Q240"/>
    <mergeCell ref="R240:S240"/>
    <mergeCell ref="T240:U240"/>
    <mergeCell ref="B241:C241"/>
    <mergeCell ref="D241:E241"/>
    <mergeCell ref="F241:G241"/>
    <mergeCell ref="H241:I241"/>
    <mergeCell ref="J241:K241"/>
    <mergeCell ref="L241:M241"/>
    <mergeCell ref="N241:O241"/>
    <mergeCell ref="P241:Q241"/>
    <mergeCell ref="R241:S241"/>
    <mergeCell ref="T241:U241"/>
    <mergeCell ref="B226:C226"/>
    <mergeCell ref="D226:E226"/>
    <mergeCell ref="F226:G226"/>
    <mergeCell ref="H226:I226"/>
    <mergeCell ref="J226:K226"/>
    <mergeCell ref="L226:M226"/>
    <mergeCell ref="N226:O226"/>
    <mergeCell ref="P226:Q226"/>
    <mergeCell ref="D227:E227"/>
    <mergeCell ref="H227:I227"/>
    <mergeCell ref="L227:M227"/>
    <mergeCell ref="P227:Q227"/>
    <mergeCell ref="F229:H229"/>
    <mergeCell ref="I229:J229"/>
    <mergeCell ref="P229:R229"/>
    <mergeCell ref="S229:T229"/>
    <mergeCell ref="F230:H230"/>
    <mergeCell ref="I230:K230"/>
    <mergeCell ref="P230:R230"/>
    <mergeCell ref="S230:U230"/>
    <mergeCell ref="B221:C221"/>
    <mergeCell ref="D221:E221"/>
    <mergeCell ref="F221:G221"/>
    <mergeCell ref="H221:I221"/>
    <mergeCell ref="J221:K221"/>
    <mergeCell ref="L221:M221"/>
    <mergeCell ref="N221:O221"/>
    <mergeCell ref="P221:Q221"/>
    <mergeCell ref="R221:S221"/>
    <mergeCell ref="T221:U221"/>
    <mergeCell ref="B222:C222"/>
    <mergeCell ref="D222:E222"/>
    <mergeCell ref="F222:G222"/>
    <mergeCell ref="H222:I222"/>
    <mergeCell ref="J222:K222"/>
    <mergeCell ref="L222:M222"/>
    <mergeCell ref="N222:O222"/>
    <mergeCell ref="P222:Q222"/>
    <mergeCell ref="R222:S222"/>
    <mergeCell ref="T222:U222"/>
    <mergeCell ref="D205:E205"/>
    <mergeCell ref="H205:I205"/>
    <mergeCell ref="L205:M205"/>
    <mergeCell ref="P205:Q205"/>
    <mergeCell ref="F207:H207"/>
    <mergeCell ref="I207:J207"/>
    <mergeCell ref="P207:R207"/>
    <mergeCell ref="S207:T207"/>
    <mergeCell ref="F208:H208"/>
    <mergeCell ref="I208:K208"/>
    <mergeCell ref="P208:R208"/>
    <mergeCell ref="S208:U208"/>
    <mergeCell ref="D219:E219"/>
    <mergeCell ref="H219:I219"/>
    <mergeCell ref="L219:M219"/>
    <mergeCell ref="P219:Q219"/>
    <mergeCell ref="B220:C220"/>
    <mergeCell ref="D220:E220"/>
    <mergeCell ref="F220:G220"/>
    <mergeCell ref="H220:I220"/>
    <mergeCell ref="J220:K220"/>
    <mergeCell ref="L220:M220"/>
    <mergeCell ref="N220:O220"/>
    <mergeCell ref="P220:Q220"/>
    <mergeCell ref="R220:S220"/>
    <mergeCell ref="T220:U220"/>
    <mergeCell ref="B200:C200"/>
    <mergeCell ref="D200:E200"/>
    <mergeCell ref="F200:G200"/>
    <mergeCell ref="H200:I200"/>
    <mergeCell ref="J200:K200"/>
    <mergeCell ref="L200:M200"/>
    <mergeCell ref="N200:O200"/>
    <mergeCell ref="P200:Q200"/>
    <mergeCell ref="R200:S200"/>
    <mergeCell ref="T200:U200"/>
    <mergeCell ref="B204:C204"/>
    <mergeCell ref="D204:E204"/>
    <mergeCell ref="F204:G204"/>
    <mergeCell ref="H204:I204"/>
    <mergeCell ref="J204:K204"/>
    <mergeCell ref="L204:M204"/>
    <mergeCell ref="N204:O204"/>
    <mergeCell ref="P204:Q204"/>
    <mergeCell ref="D197:E197"/>
    <mergeCell ref="H197:I197"/>
    <mergeCell ref="L197:M197"/>
    <mergeCell ref="P197:Q197"/>
    <mergeCell ref="B198:C198"/>
    <mergeCell ref="D198:E198"/>
    <mergeCell ref="F198:G198"/>
    <mergeCell ref="H198:I198"/>
    <mergeCell ref="J198:K198"/>
    <mergeCell ref="L198:M198"/>
    <mergeCell ref="N198:O198"/>
    <mergeCell ref="P198:Q198"/>
    <mergeCell ref="R198:S198"/>
    <mergeCell ref="T198:U198"/>
    <mergeCell ref="B199:C199"/>
    <mergeCell ref="D199:E199"/>
    <mergeCell ref="F199:G199"/>
    <mergeCell ref="H199:I199"/>
    <mergeCell ref="J199:K199"/>
    <mergeCell ref="L199:M199"/>
    <mergeCell ref="N199:O199"/>
    <mergeCell ref="P199:Q199"/>
    <mergeCell ref="R199:S199"/>
    <mergeCell ref="T199:U199"/>
    <mergeCell ref="B184:C184"/>
    <mergeCell ref="D184:E184"/>
    <mergeCell ref="F184:G184"/>
    <mergeCell ref="H184:I184"/>
    <mergeCell ref="J184:K184"/>
    <mergeCell ref="L184:M184"/>
    <mergeCell ref="N184:O184"/>
    <mergeCell ref="P184:Q184"/>
    <mergeCell ref="D185:E185"/>
    <mergeCell ref="H185:I185"/>
    <mergeCell ref="L185:M185"/>
    <mergeCell ref="P185:Q185"/>
    <mergeCell ref="F187:H187"/>
    <mergeCell ref="I187:J187"/>
    <mergeCell ref="P187:R187"/>
    <mergeCell ref="S187:T187"/>
    <mergeCell ref="F188:H188"/>
    <mergeCell ref="I188:K188"/>
    <mergeCell ref="P188:R188"/>
    <mergeCell ref="S188:U188"/>
    <mergeCell ref="B179:C179"/>
    <mergeCell ref="D179:E179"/>
    <mergeCell ref="F179:G179"/>
    <mergeCell ref="H179:I179"/>
    <mergeCell ref="J179:K179"/>
    <mergeCell ref="L179:M179"/>
    <mergeCell ref="N179:O179"/>
    <mergeCell ref="P179:Q179"/>
    <mergeCell ref="R179:S179"/>
    <mergeCell ref="T179:U179"/>
    <mergeCell ref="B180:C180"/>
    <mergeCell ref="D180:E180"/>
    <mergeCell ref="F180:G180"/>
    <mergeCell ref="H180:I180"/>
    <mergeCell ref="J180:K180"/>
    <mergeCell ref="L180:M180"/>
    <mergeCell ref="N180:O180"/>
    <mergeCell ref="P180:Q180"/>
    <mergeCell ref="R180:S180"/>
    <mergeCell ref="T180:U180"/>
    <mergeCell ref="D163:E163"/>
    <mergeCell ref="H163:I163"/>
    <mergeCell ref="L163:M163"/>
    <mergeCell ref="P163:Q163"/>
    <mergeCell ref="F165:H165"/>
    <mergeCell ref="I165:J165"/>
    <mergeCell ref="P165:R165"/>
    <mergeCell ref="S165:T165"/>
    <mergeCell ref="F166:H166"/>
    <mergeCell ref="I166:K166"/>
    <mergeCell ref="P166:R166"/>
    <mergeCell ref="S166:U166"/>
    <mergeCell ref="D177:E177"/>
    <mergeCell ref="H177:I177"/>
    <mergeCell ref="L177:M177"/>
    <mergeCell ref="P177:Q177"/>
    <mergeCell ref="B178:C178"/>
    <mergeCell ref="D178:E178"/>
    <mergeCell ref="F178:G178"/>
    <mergeCell ref="H178:I178"/>
    <mergeCell ref="J178:K178"/>
    <mergeCell ref="L178:M178"/>
    <mergeCell ref="N178:O178"/>
    <mergeCell ref="P178:Q178"/>
    <mergeCell ref="R178:S178"/>
    <mergeCell ref="T178:U178"/>
    <mergeCell ref="B158:C158"/>
    <mergeCell ref="D158:E158"/>
    <mergeCell ref="F158:G158"/>
    <mergeCell ref="H158:I158"/>
    <mergeCell ref="J158:K158"/>
    <mergeCell ref="L158:M158"/>
    <mergeCell ref="N158:O158"/>
    <mergeCell ref="P158:Q158"/>
    <mergeCell ref="R158:S158"/>
    <mergeCell ref="T158:U158"/>
    <mergeCell ref="B162:C162"/>
    <mergeCell ref="D162:E162"/>
    <mergeCell ref="F162:G162"/>
    <mergeCell ref="H162:I162"/>
    <mergeCell ref="J162:K162"/>
    <mergeCell ref="L162:M162"/>
    <mergeCell ref="N162:O162"/>
    <mergeCell ref="P162:Q162"/>
    <mergeCell ref="D155:E155"/>
    <mergeCell ref="H155:I155"/>
    <mergeCell ref="L155:M155"/>
    <mergeCell ref="P155:Q155"/>
    <mergeCell ref="B156:C156"/>
    <mergeCell ref="D156:E156"/>
    <mergeCell ref="F156:G156"/>
    <mergeCell ref="H156:I156"/>
    <mergeCell ref="J156:K156"/>
    <mergeCell ref="L156:M156"/>
    <mergeCell ref="N156:O156"/>
    <mergeCell ref="P156:Q156"/>
    <mergeCell ref="R156:S156"/>
    <mergeCell ref="T156:U156"/>
    <mergeCell ref="B157:C157"/>
    <mergeCell ref="D157:E157"/>
    <mergeCell ref="F157:G157"/>
    <mergeCell ref="H157:I157"/>
    <mergeCell ref="J157:K157"/>
    <mergeCell ref="L157:M157"/>
    <mergeCell ref="N157:O157"/>
    <mergeCell ref="P157:Q157"/>
    <mergeCell ref="R157:S157"/>
    <mergeCell ref="T157:U157"/>
    <mergeCell ref="B142:C142"/>
    <mergeCell ref="D142:E142"/>
    <mergeCell ref="F142:G142"/>
    <mergeCell ref="H142:I142"/>
    <mergeCell ref="J142:K142"/>
    <mergeCell ref="L142:M142"/>
    <mergeCell ref="N142:O142"/>
    <mergeCell ref="P142:Q142"/>
    <mergeCell ref="D143:E143"/>
    <mergeCell ref="H143:I143"/>
    <mergeCell ref="L143:M143"/>
    <mergeCell ref="P143:Q143"/>
    <mergeCell ref="F145:H145"/>
    <mergeCell ref="I145:J145"/>
    <mergeCell ref="P145:R145"/>
    <mergeCell ref="S145:T145"/>
    <mergeCell ref="F146:H146"/>
    <mergeCell ref="I146:K146"/>
    <mergeCell ref="P146:R146"/>
    <mergeCell ref="S146:U146"/>
    <mergeCell ref="B137:C137"/>
    <mergeCell ref="D137:E137"/>
    <mergeCell ref="F137:G137"/>
    <mergeCell ref="H137:I137"/>
    <mergeCell ref="J137:K137"/>
    <mergeCell ref="L137:M137"/>
    <mergeCell ref="N137:O137"/>
    <mergeCell ref="P137:Q137"/>
    <mergeCell ref="R137:S137"/>
    <mergeCell ref="T137:U137"/>
    <mergeCell ref="B138:C138"/>
    <mergeCell ref="D138:E138"/>
    <mergeCell ref="F138:G138"/>
    <mergeCell ref="H138:I138"/>
    <mergeCell ref="J138:K138"/>
    <mergeCell ref="L138:M138"/>
    <mergeCell ref="N138:O138"/>
    <mergeCell ref="P138:Q138"/>
    <mergeCell ref="R138:S138"/>
    <mergeCell ref="T138:U138"/>
    <mergeCell ref="D121:E121"/>
    <mergeCell ref="H121:I121"/>
    <mergeCell ref="L121:M121"/>
    <mergeCell ref="P121:Q121"/>
    <mergeCell ref="F123:H123"/>
    <mergeCell ref="I123:J123"/>
    <mergeCell ref="P123:R123"/>
    <mergeCell ref="S123:T123"/>
    <mergeCell ref="F124:H124"/>
    <mergeCell ref="I124:K124"/>
    <mergeCell ref="P124:R124"/>
    <mergeCell ref="S124:U124"/>
    <mergeCell ref="D135:E135"/>
    <mergeCell ref="H135:I135"/>
    <mergeCell ref="L135:M135"/>
    <mergeCell ref="P135:Q135"/>
    <mergeCell ref="B136:C136"/>
    <mergeCell ref="D136:E136"/>
    <mergeCell ref="F136:G136"/>
    <mergeCell ref="H136:I136"/>
    <mergeCell ref="J136:K136"/>
    <mergeCell ref="L136:M136"/>
    <mergeCell ref="N136:O136"/>
    <mergeCell ref="P136:Q136"/>
    <mergeCell ref="R136:S136"/>
    <mergeCell ref="T136:U136"/>
    <mergeCell ref="B116:C116"/>
    <mergeCell ref="D116:E116"/>
    <mergeCell ref="F116:G116"/>
    <mergeCell ref="H116:I116"/>
    <mergeCell ref="J116:K116"/>
    <mergeCell ref="L116:M116"/>
    <mergeCell ref="N116:O116"/>
    <mergeCell ref="P116:Q116"/>
    <mergeCell ref="R116:S116"/>
    <mergeCell ref="T116:U116"/>
    <mergeCell ref="B120:C120"/>
    <mergeCell ref="D120:E120"/>
    <mergeCell ref="F120:G120"/>
    <mergeCell ref="H120:I120"/>
    <mergeCell ref="J120:K120"/>
    <mergeCell ref="L120:M120"/>
    <mergeCell ref="N120:O120"/>
    <mergeCell ref="P120:Q120"/>
    <mergeCell ref="D113:E113"/>
    <mergeCell ref="H113:I113"/>
    <mergeCell ref="L113:M113"/>
    <mergeCell ref="P113:Q113"/>
    <mergeCell ref="B114:C114"/>
    <mergeCell ref="D114:E114"/>
    <mergeCell ref="F114:G114"/>
    <mergeCell ref="H114:I114"/>
    <mergeCell ref="J114:K114"/>
    <mergeCell ref="L114:M114"/>
    <mergeCell ref="N114:O114"/>
    <mergeCell ref="P114:Q114"/>
    <mergeCell ref="R114:S114"/>
    <mergeCell ref="T114:U114"/>
    <mergeCell ref="B115:C115"/>
    <mergeCell ref="D115:E115"/>
    <mergeCell ref="F115:G115"/>
    <mergeCell ref="H115:I115"/>
    <mergeCell ref="J115:K115"/>
    <mergeCell ref="L115:M115"/>
    <mergeCell ref="N115:O115"/>
    <mergeCell ref="P115:Q115"/>
    <mergeCell ref="R115:S115"/>
    <mergeCell ref="T115:U115"/>
    <mergeCell ref="B100:C100"/>
    <mergeCell ref="D100:E100"/>
    <mergeCell ref="F100:G100"/>
    <mergeCell ref="H100:I100"/>
    <mergeCell ref="J100:K100"/>
    <mergeCell ref="L100:M100"/>
    <mergeCell ref="N100:O100"/>
    <mergeCell ref="P100:Q100"/>
    <mergeCell ref="D101:E101"/>
    <mergeCell ref="H101:I101"/>
    <mergeCell ref="L101:M101"/>
    <mergeCell ref="P101:Q101"/>
    <mergeCell ref="F103:H103"/>
    <mergeCell ref="I103:J103"/>
    <mergeCell ref="P103:R103"/>
    <mergeCell ref="S103:T103"/>
    <mergeCell ref="F104:H104"/>
    <mergeCell ref="I104:K104"/>
    <mergeCell ref="P104:R104"/>
    <mergeCell ref="S104:U104"/>
    <mergeCell ref="B95:C95"/>
    <mergeCell ref="D95:E95"/>
    <mergeCell ref="F95:G95"/>
    <mergeCell ref="H95:I95"/>
    <mergeCell ref="J95:K95"/>
    <mergeCell ref="L95:M95"/>
    <mergeCell ref="N95:O95"/>
    <mergeCell ref="P95:Q95"/>
    <mergeCell ref="R95:S95"/>
    <mergeCell ref="T95:U95"/>
    <mergeCell ref="B96:C96"/>
    <mergeCell ref="D96:E96"/>
    <mergeCell ref="F96:G96"/>
    <mergeCell ref="H96:I96"/>
    <mergeCell ref="J96:K96"/>
    <mergeCell ref="L96:M96"/>
    <mergeCell ref="N96:O96"/>
    <mergeCell ref="P96:Q96"/>
    <mergeCell ref="R96:S96"/>
    <mergeCell ref="T96:U96"/>
    <mergeCell ref="D79:E79"/>
    <mergeCell ref="H79:I79"/>
    <mergeCell ref="L79:M79"/>
    <mergeCell ref="P79:Q79"/>
    <mergeCell ref="F81:H81"/>
    <mergeCell ref="I81:J81"/>
    <mergeCell ref="P81:R81"/>
    <mergeCell ref="S81:T81"/>
    <mergeCell ref="F82:H82"/>
    <mergeCell ref="I82:K82"/>
    <mergeCell ref="P82:R82"/>
    <mergeCell ref="S82:U82"/>
    <mergeCell ref="D93:E93"/>
    <mergeCell ref="H93:I93"/>
    <mergeCell ref="L93:M93"/>
    <mergeCell ref="P93:Q93"/>
    <mergeCell ref="B94:C94"/>
    <mergeCell ref="D94:E94"/>
    <mergeCell ref="F94:G94"/>
    <mergeCell ref="H94:I94"/>
    <mergeCell ref="J94:K94"/>
    <mergeCell ref="L94:M94"/>
    <mergeCell ref="N94:O94"/>
    <mergeCell ref="P94:Q94"/>
    <mergeCell ref="R94:S94"/>
    <mergeCell ref="T94:U94"/>
    <mergeCell ref="B74:C74"/>
    <mergeCell ref="D74:E74"/>
    <mergeCell ref="F74:G74"/>
    <mergeCell ref="H74:I74"/>
    <mergeCell ref="J74:K74"/>
    <mergeCell ref="L74:M74"/>
    <mergeCell ref="N74:O74"/>
    <mergeCell ref="P74:Q74"/>
    <mergeCell ref="R74:S74"/>
    <mergeCell ref="T74:U74"/>
    <mergeCell ref="B78:C78"/>
    <mergeCell ref="D78:E78"/>
    <mergeCell ref="F78:G78"/>
    <mergeCell ref="H78:I78"/>
    <mergeCell ref="J78:K78"/>
    <mergeCell ref="L78:M78"/>
    <mergeCell ref="N78:O78"/>
    <mergeCell ref="P78:Q78"/>
    <mergeCell ref="D71:E71"/>
    <mergeCell ref="H71:I71"/>
    <mergeCell ref="L71:M71"/>
    <mergeCell ref="P71:Q71"/>
    <mergeCell ref="B72:C72"/>
    <mergeCell ref="D72:E72"/>
    <mergeCell ref="F72:G72"/>
    <mergeCell ref="H72:I72"/>
    <mergeCell ref="J72:K72"/>
    <mergeCell ref="L72:M72"/>
    <mergeCell ref="N72:O72"/>
    <mergeCell ref="P72:Q72"/>
    <mergeCell ref="R72:S72"/>
    <mergeCell ref="T72:U72"/>
    <mergeCell ref="B73:C73"/>
    <mergeCell ref="D73:E73"/>
    <mergeCell ref="F73:G73"/>
    <mergeCell ref="H73:I73"/>
    <mergeCell ref="J73:K73"/>
    <mergeCell ref="L73:M73"/>
    <mergeCell ref="N73:O73"/>
    <mergeCell ref="P73:Q73"/>
    <mergeCell ref="R73:S73"/>
    <mergeCell ref="T73:U73"/>
    <mergeCell ref="B58:C58"/>
    <mergeCell ref="D58:E58"/>
    <mergeCell ref="F58:G58"/>
    <mergeCell ref="H58:I58"/>
    <mergeCell ref="J58:K58"/>
    <mergeCell ref="L58:M58"/>
    <mergeCell ref="N58:O58"/>
    <mergeCell ref="P58:Q58"/>
    <mergeCell ref="D59:E59"/>
    <mergeCell ref="H59:I59"/>
    <mergeCell ref="L59:M59"/>
    <mergeCell ref="P59:Q59"/>
    <mergeCell ref="F61:H61"/>
    <mergeCell ref="I61:J61"/>
    <mergeCell ref="P61:R61"/>
    <mergeCell ref="F62:H62"/>
    <mergeCell ref="I62:K62"/>
    <mergeCell ref="P62:R62"/>
    <mergeCell ref="T52:U52"/>
    <mergeCell ref="B53:C53"/>
    <mergeCell ref="D53:E53"/>
    <mergeCell ref="F53:G53"/>
    <mergeCell ref="H53:I53"/>
    <mergeCell ref="J53:K53"/>
    <mergeCell ref="L53:M53"/>
    <mergeCell ref="N53:O53"/>
    <mergeCell ref="P53:Q53"/>
    <mergeCell ref="R53:S53"/>
    <mergeCell ref="T53:U53"/>
    <mergeCell ref="B54:C54"/>
    <mergeCell ref="D54:E54"/>
    <mergeCell ref="F54:G54"/>
    <mergeCell ref="H54:I54"/>
    <mergeCell ref="J54:K54"/>
    <mergeCell ref="L54:M54"/>
    <mergeCell ref="N54:O54"/>
    <mergeCell ref="P54:Q54"/>
    <mergeCell ref="R54:S54"/>
    <mergeCell ref="T54:U54"/>
    <mergeCell ref="D37:E37"/>
    <mergeCell ref="H37:I37"/>
    <mergeCell ref="L37:M37"/>
    <mergeCell ref="P37:Q37"/>
    <mergeCell ref="F39:H39"/>
    <mergeCell ref="I39:J39"/>
    <mergeCell ref="P39:R39"/>
    <mergeCell ref="F40:H40"/>
    <mergeCell ref="I40:K40"/>
    <mergeCell ref="P40:R40"/>
    <mergeCell ref="D51:E51"/>
    <mergeCell ref="H51:I51"/>
    <mergeCell ref="L51:M51"/>
    <mergeCell ref="P51:Q51"/>
    <mergeCell ref="B52:C52"/>
    <mergeCell ref="D52:E52"/>
    <mergeCell ref="F52:G52"/>
    <mergeCell ref="H52:I52"/>
    <mergeCell ref="J52:K52"/>
    <mergeCell ref="L52:M52"/>
    <mergeCell ref="N52:O52"/>
    <mergeCell ref="P52:Q52"/>
    <mergeCell ref="R52:S52"/>
    <mergeCell ref="B32:C32"/>
    <mergeCell ref="D32:E32"/>
    <mergeCell ref="F32:G32"/>
    <mergeCell ref="H32:I32"/>
    <mergeCell ref="J32:K32"/>
    <mergeCell ref="L32:M32"/>
    <mergeCell ref="N32:O32"/>
    <mergeCell ref="P32:Q32"/>
    <mergeCell ref="R32:S32"/>
    <mergeCell ref="T32:U32"/>
    <mergeCell ref="B36:C36"/>
    <mergeCell ref="D36:E36"/>
    <mergeCell ref="F36:G36"/>
    <mergeCell ref="H36:I36"/>
    <mergeCell ref="J36:K36"/>
    <mergeCell ref="L36:M36"/>
    <mergeCell ref="N36:O36"/>
    <mergeCell ref="P36:Q36"/>
    <mergeCell ref="R36:U36"/>
    <mergeCell ref="D29:E29"/>
    <mergeCell ref="H29:I29"/>
    <mergeCell ref="L29:M29"/>
    <mergeCell ref="P29:Q29"/>
    <mergeCell ref="B30:C30"/>
    <mergeCell ref="D30:E30"/>
    <mergeCell ref="F30:G30"/>
    <mergeCell ref="H30:I30"/>
    <mergeCell ref="J30:K30"/>
    <mergeCell ref="L30:M30"/>
    <mergeCell ref="N30:O30"/>
    <mergeCell ref="P30:Q30"/>
    <mergeCell ref="R30:S30"/>
    <mergeCell ref="T30:U30"/>
    <mergeCell ref="B31:C31"/>
    <mergeCell ref="D31:E31"/>
    <mergeCell ref="F31:G31"/>
    <mergeCell ref="H31:I31"/>
    <mergeCell ref="J31:K31"/>
    <mergeCell ref="L31:M31"/>
    <mergeCell ref="N31:O31"/>
    <mergeCell ref="P31:Q31"/>
    <mergeCell ref="R31:S31"/>
    <mergeCell ref="T31:U31"/>
    <mergeCell ref="N22:O22"/>
    <mergeCell ref="X22:Y22"/>
    <mergeCell ref="Z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N23:O23"/>
    <mergeCell ref="X23:Y23"/>
    <mergeCell ref="Z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D17:E17"/>
    <mergeCell ref="H17:I17"/>
    <mergeCell ref="L17:M17"/>
    <mergeCell ref="P17:Q17"/>
    <mergeCell ref="F19:H19"/>
    <mergeCell ref="I19:J19"/>
    <mergeCell ref="X19:AQ19"/>
    <mergeCell ref="F20:H20"/>
    <mergeCell ref="X20:AA20"/>
    <mergeCell ref="AB20:AE20"/>
    <mergeCell ref="AF20:AI20"/>
    <mergeCell ref="AJ20:AM20"/>
    <mergeCell ref="AN20:AQ20"/>
    <mergeCell ref="X21:Y21"/>
    <mergeCell ref="Z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L12:AM12"/>
    <mergeCell ref="AN12:AO12"/>
    <mergeCell ref="AP12:AQ12"/>
    <mergeCell ref="X15:AA15"/>
    <mergeCell ref="AB15:AE15"/>
    <mergeCell ref="AF15:AI15"/>
    <mergeCell ref="AJ15:AM15"/>
    <mergeCell ref="AN15:AQ15"/>
    <mergeCell ref="B16:C16"/>
    <mergeCell ref="D16:E16"/>
    <mergeCell ref="F16:G16"/>
    <mergeCell ref="H16:I16"/>
    <mergeCell ref="J16:K16"/>
    <mergeCell ref="L16:M16"/>
    <mergeCell ref="N16:O16"/>
    <mergeCell ref="P16:Q16"/>
    <mergeCell ref="R16:U16"/>
    <mergeCell ref="X16:AA16"/>
    <mergeCell ref="AB16:AE16"/>
    <mergeCell ref="AF16:AI16"/>
    <mergeCell ref="AJ16:AM16"/>
    <mergeCell ref="AN16:AQ16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  <mergeCell ref="X12:Y12"/>
    <mergeCell ref="Z12:AA12"/>
    <mergeCell ref="AB12:AC12"/>
    <mergeCell ref="AD12:AE12"/>
    <mergeCell ref="AF12:AG12"/>
    <mergeCell ref="AH12:AI12"/>
    <mergeCell ref="AJ12:AK12"/>
    <mergeCell ref="AN10:AO10"/>
    <mergeCell ref="AP10:AQ10"/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X11:AA11"/>
    <mergeCell ref="AB11:AE11"/>
    <mergeCell ref="AF11:AI11"/>
    <mergeCell ref="AJ11:AM11"/>
    <mergeCell ref="AN11:AQ11"/>
    <mergeCell ref="N2:O2"/>
    <mergeCell ref="AK2:AL2"/>
    <mergeCell ref="N3:O3"/>
    <mergeCell ref="AK3:AL3"/>
    <mergeCell ref="D9:E9"/>
    <mergeCell ref="H9:I9"/>
    <mergeCell ref="L9:M9"/>
    <mergeCell ref="P9:Q9"/>
    <mergeCell ref="X9:AA9"/>
    <mergeCell ref="AB9:AE9"/>
    <mergeCell ref="AF9:AI9"/>
    <mergeCell ref="AJ9:AM9"/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X10:Y10"/>
    <mergeCell ref="Z10:AA10"/>
    <mergeCell ref="AB10:AC10"/>
    <mergeCell ref="AD10:AE10"/>
    <mergeCell ref="AF10:AG10"/>
    <mergeCell ref="AH10:AI10"/>
    <mergeCell ref="AJ10:AK10"/>
    <mergeCell ref="AL10:AM10"/>
  </mergeCells>
  <pageMargins left="0.98425196850393704" right="0.39370078740157483" top="0.39370078740157483" bottom="2.5590551181102366" header="0.31496062992125984" footer="0.31496062992125984"/>
  <pageSetup paperSize="9" orientation="portrait" useFirstPageNumber="1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187"/>
  <sheetViews>
    <sheetView zoomScaleNormal="100" workbookViewId="0">
      <selection activeCell="D128" sqref="D128"/>
    </sheetView>
  </sheetViews>
  <sheetFormatPr defaultRowHeight="15" x14ac:dyDescent="0.25"/>
  <cols>
    <col min="2" max="2" width="11.5703125" customWidth="1"/>
    <col min="3" max="3" width="12.85546875" customWidth="1"/>
    <col min="4" max="4" width="21.140625" customWidth="1"/>
    <col min="5" max="5" width="11.5703125" customWidth="1"/>
    <col min="6" max="7" width="10" customWidth="1"/>
  </cols>
  <sheetData>
    <row r="2" spans="1:7" x14ac:dyDescent="0.25">
      <c r="C2" t="s">
        <v>114</v>
      </c>
    </row>
    <row r="3" spans="1:7" x14ac:dyDescent="0.25">
      <c r="B3" t="s">
        <v>115</v>
      </c>
    </row>
    <row r="4" spans="1:7" x14ac:dyDescent="0.25">
      <c r="A4" t="s">
        <v>3</v>
      </c>
      <c r="B4">
        <v>1</v>
      </c>
      <c r="C4" s="59" t="s">
        <v>116</v>
      </c>
      <c r="D4" s="60" t="s">
        <v>17</v>
      </c>
      <c r="E4" t="s">
        <v>117</v>
      </c>
      <c r="F4" t="s">
        <v>118</v>
      </c>
      <c r="G4">
        <v>1</v>
      </c>
    </row>
    <row r="5" spans="1:7" x14ac:dyDescent="0.25">
      <c r="A5" t="s">
        <v>3</v>
      </c>
      <c r="B5">
        <v>1</v>
      </c>
      <c r="C5" s="59" t="s">
        <v>119</v>
      </c>
      <c r="D5" s="60" t="s">
        <v>19</v>
      </c>
      <c r="E5" t="s">
        <v>120</v>
      </c>
      <c r="F5" t="s">
        <v>121</v>
      </c>
      <c r="G5">
        <v>2</v>
      </c>
    </row>
    <row r="6" spans="1:7" x14ac:dyDescent="0.25">
      <c r="A6" t="s">
        <v>3</v>
      </c>
      <c r="B6">
        <v>1</v>
      </c>
      <c r="C6" s="59" t="s">
        <v>122</v>
      </c>
      <c r="D6" s="60" t="s">
        <v>21</v>
      </c>
      <c r="E6" t="s">
        <v>123</v>
      </c>
      <c r="F6" t="s">
        <v>124</v>
      </c>
      <c r="G6">
        <v>3</v>
      </c>
    </row>
    <row r="7" spans="1:7" x14ac:dyDescent="0.25">
      <c r="A7" t="s">
        <v>3</v>
      </c>
      <c r="B7">
        <v>1</v>
      </c>
      <c r="C7" s="59" t="s">
        <v>125</v>
      </c>
      <c r="D7" s="60" t="s">
        <v>23</v>
      </c>
      <c r="E7" t="s">
        <v>126</v>
      </c>
      <c r="F7" t="s">
        <v>127</v>
      </c>
      <c r="G7">
        <v>4</v>
      </c>
    </row>
    <row r="8" spans="1:7" x14ac:dyDescent="0.25">
      <c r="C8" s="59"/>
      <c r="D8" s="60"/>
    </row>
    <row r="9" spans="1:7" x14ac:dyDescent="0.25">
      <c r="A9" t="s">
        <v>3</v>
      </c>
      <c r="B9">
        <v>2</v>
      </c>
      <c r="C9" s="59" t="s">
        <v>116</v>
      </c>
      <c r="D9" s="60" t="s">
        <v>41</v>
      </c>
      <c r="E9" t="s">
        <v>128</v>
      </c>
      <c r="F9" t="s">
        <v>129</v>
      </c>
      <c r="G9">
        <v>5</v>
      </c>
    </row>
    <row r="10" spans="1:7" x14ac:dyDescent="0.25">
      <c r="A10" t="s">
        <v>3</v>
      </c>
      <c r="B10">
        <v>2</v>
      </c>
      <c r="C10" s="59" t="s">
        <v>119</v>
      </c>
      <c r="D10" s="60" t="s">
        <v>43</v>
      </c>
      <c r="E10" t="s">
        <v>130</v>
      </c>
      <c r="F10" t="s">
        <v>131</v>
      </c>
      <c r="G10">
        <v>6</v>
      </c>
    </row>
    <row r="11" spans="1:7" x14ac:dyDescent="0.25">
      <c r="A11" t="s">
        <v>3</v>
      </c>
      <c r="B11">
        <v>2</v>
      </c>
      <c r="C11" s="59" t="s">
        <v>122</v>
      </c>
      <c r="D11" s="60" t="s">
        <v>45</v>
      </c>
      <c r="E11" t="s">
        <v>132</v>
      </c>
      <c r="F11" t="s">
        <v>133</v>
      </c>
      <c r="G11">
        <v>7</v>
      </c>
    </row>
    <row r="12" spans="1:7" x14ac:dyDescent="0.25">
      <c r="A12" t="s">
        <v>3</v>
      </c>
      <c r="B12">
        <v>2</v>
      </c>
      <c r="C12" t="s">
        <v>125</v>
      </c>
      <c r="D12" t="s">
        <v>47</v>
      </c>
      <c r="E12" t="s">
        <v>134</v>
      </c>
      <c r="F12" t="s">
        <v>135</v>
      </c>
      <c r="G12">
        <v>8</v>
      </c>
    </row>
    <row r="13" spans="1:7" x14ac:dyDescent="0.25">
      <c r="C13" s="59"/>
      <c r="D13" s="60"/>
    </row>
    <row r="14" spans="1:7" x14ac:dyDescent="0.25">
      <c r="A14" t="s">
        <v>3</v>
      </c>
      <c r="B14">
        <v>3</v>
      </c>
      <c r="C14" s="59" t="s">
        <v>116</v>
      </c>
      <c r="D14" s="60" t="s">
        <v>53</v>
      </c>
      <c r="E14" t="s">
        <v>136</v>
      </c>
      <c r="F14" t="s">
        <v>137</v>
      </c>
      <c r="G14">
        <v>9</v>
      </c>
    </row>
    <row r="15" spans="1:7" x14ac:dyDescent="0.25">
      <c r="A15" t="s">
        <v>3</v>
      </c>
      <c r="B15">
        <v>3</v>
      </c>
      <c r="C15" s="59" t="s">
        <v>119</v>
      </c>
      <c r="D15" s="60" t="s">
        <v>19</v>
      </c>
      <c r="E15" t="s">
        <v>138</v>
      </c>
      <c r="F15" t="s">
        <v>139</v>
      </c>
      <c r="G15">
        <v>10</v>
      </c>
    </row>
    <row r="16" spans="1:7" x14ac:dyDescent="0.25">
      <c r="A16" t="s">
        <v>3</v>
      </c>
      <c r="B16">
        <v>3</v>
      </c>
      <c r="C16" s="59" t="s">
        <v>122</v>
      </c>
      <c r="D16" s="60" t="s">
        <v>45</v>
      </c>
      <c r="E16" t="s">
        <v>140</v>
      </c>
      <c r="F16" t="s">
        <v>141</v>
      </c>
      <c r="G16">
        <v>11</v>
      </c>
    </row>
    <row r="17" spans="1:7" x14ac:dyDescent="0.25">
      <c r="A17" t="s">
        <v>3</v>
      </c>
      <c r="B17">
        <v>3</v>
      </c>
      <c r="C17" s="59" t="s">
        <v>125</v>
      </c>
      <c r="D17" s="60" t="s">
        <v>57</v>
      </c>
      <c r="E17" t="s">
        <v>142</v>
      </c>
      <c r="F17" t="s">
        <v>143</v>
      </c>
      <c r="G17">
        <v>12</v>
      </c>
    </row>
    <row r="18" spans="1:7" x14ac:dyDescent="0.25">
      <c r="C18" s="59"/>
      <c r="D18" s="60"/>
    </row>
    <row r="19" spans="1:7" x14ac:dyDescent="0.25">
      <c r="A19" t="s">
        <v>3</v>
      </c>
      <c r="B19">
        <v>4</v>
      </c>
      <c r="C19" s="59" t="s">
        <v>116</v>
      </c>
      <c r="D19" s="60" t="s">
        <v>63</v>
      </c>
      <c r="E19" t="s">
        <v>144</v>
      </c>
      <c r="F19" t="s">
        <v>145</v>
      </c>
      <c r="G19">
        <v>13</v>
      </c>
    </row>
    <row r="20" spans="1:7" x14ac:dyDescent="0.25">
      <c r="A20" t="s">
        <v>3</v>
      </c>
      <c r="B20">
        <v>4</v>
      </c>
      <c r="C20" s="59" t="s">
        <v>119</v>
      </c>
      <c r="D20" s="60" t="s">
        <v>19</v>
      </c>
      <c r="E20" t="s">
        <v>146</v>
      </c>
      <c r="F20" t="s">
        <v>147</v>
      </c>
      <c r="G20">
        <v>14</v>
      </c>
    </row>
    <row r="21" spans="1:7" x14ac:dyDescent="0.25">
      <c r="A21" t="s">
        <v>3</v>
      </c>
      <c r="B21">
        <v>4</v>
      </c>
      <c r="C21" s="59" t="s">
        <v>122</v>
      </c>
      <c r="D21" s="60" t="s">
        <v>66</v>
      </c>
      <c r="E21" t="s">
        <v>148</v>
      </c>
      <c r="F21" t="s">
        <v>149</v>
      </c>
      <c r="G21">
        <v>15</v>
      </c>
    </row>
    <row r="22" spans="1:7" x14ac:dyDescent="0.25">
      <c r="A22" t="s">
        <v>3</v>
      </c>
      <c r="B22">
        <v>4</v>
      </c>
      <c r="C22" s="59" t="s">
        <v>125</v>
      </c>
      <c r="D22" s="60" t="s">
        <v>68</v>
      </c>
      <c r="E22" t="s">
        <v>150</v>
      </c>
      <c r="F22" t="s">
        <v>151</v>
      </c>
      <c r="G22">
        <v>16</v>
      </c>
    </row>
    <row r="23" spans="1:7" x14ac:dyDescent="0.25">
      <c r="C23" s="59"/>
      <c r="D23" s="60"/>
    </row>
    <row r="24" spans="1:7" x14ac:dyDescent="0.25">
      <c r="A24" t="s">
        <v>3</v>
      </c>
      <c r="B24">
        <v>5</v>
      </c>
      <c r="C24" s="59" t="s">
        <v>116</v>
      </c>
      <c r="D24" s="60" t="s">
        <v>74</v>
      </c>
      <c r="E24" t="s">
        <v>152</v>
      </c>
      <c r="F24" t="s">
        <v>153</v>
      </c>
      <c r="G24">
        <v>17</v>
      </c>
    </row>
    <row r="25" spans="1:7" x14ac:dyDescent="0.25">
      <c r="A25" t="s">
        <v>3</v>
      </c>
      <c r="B25">
        <v>5</v>
      </c>
      <c r="C25" s="59" t="s">
        <v>119</v>
      </c>
      <c r="D25" s="60" t="s">
        <v>76</v>
      </c>
      <c r="E25" t="s">
        <v>154</v>
      </c>
      <c r="F25" t="s">
        <v>155</v>
      </c>
      <c r="G25">
        <v>18</v>
      </c>
    </row>
    <row r="26" spans="1:7" x14ac:dyDescent="0.25">
      <c r="A26" t="s">
        <v>3</v>
      </c>
      <c r="B26">
        <v>5</v>
      </c>
      <c r="C26" s="59" t="s">
        <v>122</v>
      </c>
      <c r="D26" s="60" t="s">
        <v>21</v>
      </c>
      <c r="E26" t="s">
        <v>156</v>
      </c>
      <c r="F26" t="s">
        <v>157</v>
      </c>
      <c r="G26">
        <v>19</v>
      </c>
    </row>
    <row r="27" spans="1:7" x14ac:dyDescent="0.25">
      <c r="A27" t="s">
        <v>3</v>
      </c>
      <c r="B27">
        <v>5</v>
      </c>
      <c r="C27" s="59" t="s">
        <v>125</v>
      </c>
      <c r="D27" s="60" t="s">
        <v>79</v>
      </c>
      <c r="E27" t="s">
        <v>158</v>
      </c>
      <c r="F27" t="s">
        <v>159</v>
      </c>
      <c r="G27">
        <v>20</v>
      </c>
    </row>
    <row r="28" spans="1:7" x14ac:dyDescent="0.25">
      <c r="C28" s="59"/>
      <c r="D28" s="60"/>
    </row>
    <row r="29" spans="1:7" x14ac:dyDescent="0.25">
      <c r="A29" t="s">
        <v>3</v>
      </c>
      <c r="B29">
        <v>6</v>
      </c>
      <c r="C29" s="59" t="s">
        <v>116</v>
      </c>
      <c r="D29" s="60" t="s">
        <v>74</v>
      </c>
      <c r="E29" t="s">
        <v>160</v>
      </c>
      <c r="F29" t="s">
        <v>161</v>
      </c>
      <c r="G29">
        <v>21</v>
      </c>
    </row>
    <row r="30" spans="1:7" x14ac:dyDescent="0.25">
      <c r="A30" t="s">
        <v>3</v>
      </c>
      <c r="B30">
        <v>6</v>
      </c>
      <c r="C30" s="59" t="s">
        <v>119</v>
      </c>
      <c r="D30" s="60" t="s">
        <v>86</v>
      </c>
      <c r="E30" t="s">
        <v>162</v>
      </c>
      <c r="F30" t="s">
        <v>163</v>
      </c>
      <c r="G30">
        <v>22</v>
      </c>
    </row>
    <row r="31" spans="1:7" x14ac:dyDescent="0.25">
      <c r="A31" t="s">
        <v>3</v>
      </c>
      <c r="B31">
        <v>6</v>
      </c>
      <c r="C31" s="59" t="s">
        <v>122</v>
      </c>
      <c r="D31" s="60" t="s">
        <v>88</v>
      </c>
      <c r="E31" t="s">
        <v>164</v>
      </c>
      <c r="F31" t="s">
        <v>165</v>
      </c>
      <c r="G31">
        <v>23</v>
      </c>
    </row>
    <row r="32" spans="1:7" x14ac:dyDescent="0.25">
      <c r="A32" t="s">
        <v>3</v>
      </c>
      <c r="B32">
        <v>6</v>
      </c>
      <c r="C32" s="59" t="s">
        <v>125</v>
      </c>
      <c r="D32" s="60" t="s">
        <v>90</v>
      </c>
      <c r="E32" t="s">
        <v>166</v>
      </c>
      <c r="F32" t="s">
        <v>167</v>
      </c>
      <c r="G32">
        <v>24</v>
      </c>
    </row>
    <row r="33" spans="1:7" x14ac:dyDescent="0.25">
      <c r="C33" s="59"/>
      <c r="D33" s="60"/>
    </row>
    <row r="34" spans="1:7" x14ac:dyDescent="0.25">
      <c r="A34" t="s">
        <v>3</v>
      </c>
      <c r="B34">
        <v>7</v>
      </c>
      <c r="C34" s="59" t="s">
        <v>116</v>
      </c>
      <c r="D34" s="60" t="s">
        <v>3</v>
      </c>
      <c r="E34" t="s">
        <v>96</v>
      </c>
      <c r="F34" t="s">
        <v>3</v>
      </c>
      <c r="G34">
        <v>25</v>
      </c>
    </row>
    <row r="35" spans="1:7" x14ac:dyDescent="0.25">
      <c r="A35" t="s">
        <v>3</v>
      </c>
      <c r="B35">
        <v>7</v>
      </c>
      <c r="C35" s="59" t="s">
        <v>119</v>
      </c>
      <c r="D35" s="60" t="s">
        <v>3</v>
      </c>
      <c r="E35" t="s">
        <v>96</v>
      </c>
      <c r="F35" t="s">
        <v>3</v>
      </c>
      <c r="G35">
        <v>26</v>
      </c>
    </row>
    <row r="36" spans="1:7" x14ac:dyDescent="0.25">
      <c r="A36" t="s">
        <v>3</v>
      </c>
      <c r="B36">
        <v>7</v>
      </c>
      <c r="C36" s="59" t="s">
        <v>122</v>
      </c>
      <c r="D36" s="60" t="s">
        <v>3</v>
      </c>
      <c r="E36" t="s">
        <v>96</v>
      </c>
      <c r="F36" t="s">
        <v>3</v>
      </c>
      <c r="G36">
        <v>27</v>
      </c>
    </row>
    <row r="37" spans="1:7" x14ac:dyDescent="0.25">
      <c r="A37" t="s">
        <v>3</v>
      </c>
      <c r="B37">
        <v>7</v>
      </c>
      <c r="C37" s="59" t="s">
        <v>125</v>
      </c>
      <c r="D37" s="60" t="s">
        <v>3</v>
      </c>
      <c r="E37" t="s">
        <v>96</v>
      </c>
      <c r="F37" t="s">
        <v>3</v>
      </c>
      <c r="G37">
        <v>28</v>
      </c>
    </row>
    <row r="38" spans="1:7" x14ac:dyDescent="0.25">
      <c r="C38" s="59"/>
      <c r="D38" s="60"/>
    </row>
    <row r="39" spans="1:7" x14ac:dyDescent="0.25">
      <c r="A39" t="s">
        <v>3</v>
      </c>
      <c r="B39">
        <v>8</v>
      </c>
      <c r="C39" s="59" t="s">
        <v>116</v>
      </c>
      <c r="D39" s="60" t="s">
        <v>3</v>
      </c>
      <c r="E39" t="s">
        <v>96</v>
      </c>
      <c r="F39" t="s">
        <v>3</v>
      </c>
      <c r="G39">
        <v>29</v>
      </c>
    </row>
    <row r="40" spans="1:7" x14ac:dyDescent="0.25">
      <c r="A40" t="s">
        <v>3</v>
      </c>
      <c r="B40">
        <v>8</v>
      </c>
      <c r="C40" s="59" t="s">
        <v>119</v>
      </c>
      <c r="D40" s="60" t="s">
        <v>3</v>
      </c>
      <c r="E40" t="s">
        <v>96</v>
      </c>
      <c r="F40" t="s">
        <v>3</v>
      </c>
      <c r="G40">
        <v>30</v>
      </c>
    </row>
    <row r="41" spans="1:7" x14ac:dyDescent="0.25">
      <c r="A41" t="s">
        <v>3</v>
      </c>
      <c r="B41">
        <v>8</v>
      </c>
      <c r="C41" s="59" t="s">
        <v>122</v>
      </c>
      <c r="D41" s="60" t="s">
        <v>3</v>
      </c>
      <c r="E41" t="s">
        <v>96</v>
      </c>
      <c r="F41" t="s">
        <v>3</v>
      </c>
      <c r="G41">
        <v>31</v>
      </c>
    </row>
    <row r="42" spans="1:7" x14ac:dyDescent="0.25">
      <c r="A42" t="s">
        <v>3</v>
      </c>
      <c r="B42">
        <v>8</v>
      </c>
      <c r="C42" s="59" t="s">
        <v>125</v>
      </c>
      <c r="D42" s="60" t="s">
        <v>3</v>
      </c>
      <c r="E42" t="s">
        <v>96</v>
      </c>
      <c r="F42" t="s">
        <v>3</v>
      </c>
      <c r="G42">
        <v>32</v>
      </c>
    </row>
    <row r="43" spans="1:7" x14ac:dyDescent="0.25">
      <c r="C43" s="59"/>
      <c r="D43" s="60"/>
    </row>
    <row r="44" spans="1:7" x14ac:dyDescent="0.25">
      <c r="C44" s="59"/>
      <c r="D44" s="60"/>
    </row>
    <row r="45" spans="1:7" x14ac:dyDescent="0.25">
      <c r="C45" s="59"/>
      <c r="D45" s="60"/>
    </row>
    <row r="46" spans="1:7" x14ac:dyDescent="0.25">
      <c r="C46" s="59"/>
      <c r="D46" s="60"/>
    </row>
    <row r="47" spans="1:7" x14ac:dyDescent="0.25">
      <c r="C47" s="59"/>
      <c r="D47" s="60"/>
    </row>
    <row r="49" spans="3:4" x14ac:dyDescent="0.25">
      <c r="C49" s="59"/>
      <c r="D49" s="60"/>
    </row>
    <row r="50" spans="3:4" x14ac:dyDescent="0.25">
      <c r="C50" s="59"/>
      <c r="D50" s="60"/>
    </row>
    <row r="51" spans="3:4" x14ac:dyDescent="0.25">
      <c r="C51" s="59"/>
      <c r="D51" s="60"/>
    </row>
    <row r="52" spans="3:4" x14ac:dyDescent="0.25">
      <c r="C52" s="59"/>
      <c r="D52" s="60"/>
    </row>
    <row r="53" spans="3:4" x14ac:dyDescent="0.25">
      <c r="C53" s="59"/>
      <c r="D53" s="60"/>
    </row>
    <row r="54" spans="3:4" x14ac:dyDescent="0.25">
      <c r="C54" s="59"/>
      <c r="D54" s="60"/>
    </row>
    <row r="55" spans="3:4" x14ac:dyDescent="0.25">
      <c r="C55" s="59"/>
      <c r="D55" s="60"/>
    </row>
    <row r="56" spans="3:4" x14ac:dyDescent="0.25">
      <c r="C56" s="59"/>
      <c r="D56" s="60"/>
    </row>
    <row r="58" spans="3:4" x14ac:dyDescent="0.25">
      <c r="C58" s="59"/>
      <c r="D58" s="60"/>
    </row>
    <row r="59" spans="3:4" x14ac:dyDescent="0.25">
      <c r="C59" s="59"/>
      <c r="D59" s="60"/>
    </row>
    <row r="60" spans="3:4" x14ac:dyDescent="0.25">
      <c r="C60" s="59"/>
      <c r="D60" s="60"/>
    </row>
    <row r="61" spans="3:4" x14ac:dyDescent="0.25">
      <c r="C61" s="59"/>
      <c r="D61" s="60"/>
    </row>
    <row r="62" spans="3:4" x14ac:dyDescent="0.25">
      <c r="C62" s="59"/>
      <c r="D62" s="60"/>
    </row>
    <row r="63" spans="3:4" x14ac:dyDescent="0.25">
      <c r="C63" s="59"/>
      <c r="D63" s="60"/>
    </row>
    <row r="64" spans="3:4" x14ac:dyDescent="0.25">
      <c r="C64" s="59"/>
      <c r="D64" s="60"/>
    </row>
    <row r="65" spans="3:4" x14ac:dyDescent="0.25">
      <c r="C65" s="59"/>
      <c r="D65" s="60"/>
    </row>
    <row r="67" spans="3:4" x14ac:dyDescent="0.25">
      <c r="C67" s="59"/>
      <c r="D67" s="60"/>
    </row>
    <row r="68" spans="3:4" x14ac:dyDescent="0.25">
      <c r="C68" s="59"/>
      <c r="D68" s="60"/>
    </row>
    <row r="69" spans="3:4" x14ac:dyDescent="0.25">
      <c r="C69" s="59"/>
      <c r="D69" s="60"/>
    </row>
    <row r="70" spans="3:4" x14ac:dyDescent="0.25">
      <c r="C70" s="59"/>
      <c r="D70" s="60"/>
    </row>
    <row r="71" spans="3:4" x14ac:dyDescent="0.25">
      <c r="C71" s="59"/>
      <c r="D71" s="60"/>
    </row>
    <row r="72" spans="3:4" x14ac:dyDescent="0.25">
      <c r="C72" s="59"/>
      <c r="D72" s="60"/>
    </row>
    <row r="73" spans="3:4" x14ac:dyDescent="0.25">
      <c r="C73" s="59"/>
      <c r="D73" s="60"/>
    </row>
    <row r="74" spans="3:4" x14ac:dyDescent="0.25">
      <c r="C74" s="59"/>
      <c r="D74" s="60"/>
    </row>
    <row r="76" spans="3:4" x14ac:dyDescent="0.25">
      <c r="C76" s="59"/>
      <c r="D76" s="60"/>
    </row>
    <row r="77" spans="3:4" x14ac:dyDescent="0.25">
      <c r="C77" s="59"/>
      <c r="D77" s="60"/>
    </row>
    <row r="78" spans="3:4" x14ac:dyDescent="0.25">
      <c r="C78" s="59"/>
      <c r="D78" s="60"/>
    </row>
    <row r="79" spans="3:4" x14ac:dyDescent="0.25">
      <c r="C79" s="59"/>
      <c r="D79" s="60"/>
    </row>
    <row r="80" spans="3:4" x14ac:dyDescent="0.25">
      <c r="C80" s="59"/>
      <c r="D80" s="60"/>
    </row>
    <row r="81" spans="3:4" x14ac:dyDescent="0.25">
      <c r="C81" s="59"/>
      <c r="D81" s="60"/>
    </row>
    <row r="82" spans="3:4" x14ac:dyDescent="0.25">
      <c r="C82" s="59"/>
      <c r="D82" s="60"/>
    </row>
    <row r="83" spans="3:4" x14ac:dyDescent="0.25">
      <c r="C83" s="59"/>
      <c r="D83" s="60"/>
    </row>
    <row r="85" spans="3:4" x14ac:dyDescent="0.25">
      <c r="C85" s="59"/>
      <c r="D85" s="60"/>
    </row>
    <row r="86" spans="3:4" x14ac:dyDescent="0.25">
      <c r="C86" s="59"/>
      <c r="D86" s="60"/>
    </row>
    <row r="87" spans="3:4" x14ac:dyDescent="0.25">
      <c r="C87" s="59"/>
      <c r="D87" s="60"/>
    </row>
    <row r="88" spans="3:4" x14ac:dyDescent="0.25">
      <c r="C88" s="59"/>
      <c r="D88" s="60"/>
    </row>
    <row r="89" spans="3:4" x14ac:dyDescent="0.25">
      <c r="C89" s="59"/>
      <c r="D89" s="60"/>
    </row>
    <row r="90" spans="3:4" x14ac:dyDescent="0.25">
      <c r="C90" s="59"/>
      <c r="D90" s="60"/>
    </row>
    <row r="91" spans="3:4" x14ac:dyDescent="0.25">
      <c r="C91" s="59"/>
      <c r="D91" s="60"/>
    </row>
    <row r="92" spans="3:4" x14ac:dyDescent="0.25">
      <c r="C92" s="59"/>
      <c r="D92" s="60"/>
    </row>
    <row r="94" spans="3:4" x14ac:dyDescent="0.25">
      <c r="C94" s="59"/>
      <c r="D94" s="60"/>
    </row>
    <row r="95" spans="3:4" x14ac:dyDescent="0.25">
      <c r="C95" s="59"/>
      <c r="D95" s="60"/>
    </row>
    <row r="96" spans="3:4" x14ac:dyDescent="0.25">
      <c r="C96" s="59"/>
      <c r="D96" s="60"/>
    </row>
    <row r="97" spans="3:4" x14ac:dyDescent="0.25">
      <c r="C97" s="59"/>
      <c r="D97" s="60"/>
    </row>
    <row r="98" spans="3:4" x14ac:dyDescent="0.25">
      <c r="C98" s="59"/>
      <c r="D98" s="60"/>
    </row>
    <row r="99" spans="3:4" x14ac:dyDescent="0.25">
      <c r="C99" s="59"/>
      <c r="D99" s="60"/>
    </row>
    <row r="100" spans="3:4" x14ac:dyDescent="0.25">
      <c r="C100" s="59"/>
      <c r="D100" s="60"/>
    </row>
    <row r="101" spans="3:4" x14ac:dyDescent="0.25">
      <c r="C101" s="59"/>
      <c r="D101" s="60"/>
    </row>
    <row r="103" spans="3:4" x14ac:dyDescent="0.25">
      <c r="C103" s="59"/>
      <c r="D103" s="60"/>
    </row>
    <row r="104" spans="3:4" x14ac:dyDescent="0.25">
      <c r="C104" s="59"/>
      <c r="D104" s="60"/>
    </row>
    <row r="105" spans="3:4" x14ac:dyDescent="0.25">
      <c r="C105" s="59"/>
      <c r="D105" s="60"/>
    </row>
    <row r="106" spans="3:4" x14ac:dyDescent="0.25">
      <c r="C106" s="59"/>
      <c r="D106" s="60"/>
    </row>
    <row r="107" spans="3:4" x14ac:dyDescent="0.25">
      <c r="C107" s="59"/>
      <c r="D107" s="60"/>
    </row>
    <row r="108" spans="3:4" x14ac:dyDescent="0.25">
      <c r="C108" s="59"/>
      <c r="D108" s="60"/>
    </row>
    <row r="109" spans="3:4" x14ac:dyDescent="0.25">
      <c r="C109" s="59"/>
      <c r="D109" s="60"/>
    </row>
    <row r="110" spans="3:4" x14ac:dyDescent="0.25">
      <c r="C110" s="59"/>
      <c r="D110" s="60"/>
    </row>
    <row r="112" spans="3:4" x14ac:dyDescent="0.25">
      <c r="C112" s="59"/>
      <c r="D112" s="60"/>
    </row>
    <row r="113" spans="3:4" x14ac:dyDescent="0.25">
      <c r="C113" s="59"/>
      <c r="D113" s="60"/>
    </row>
    <row r="114" spans="3:4" x14ac:dyDescent="0.25">
      <c r="C114" s="59"/>
      <c r="D114" s="60"/>
    </row>
    <row r="115" spans="3:4" x14ac:dyDescent="0.25">
      <c r="C115" s="59"/>
      <c r="D115" s="60"/>
    </row>
    <row r="116" spans="3:4" x14ac:dyDescent="0.25">
      <c r="C116" s="59"/>
      <c r="D116" s="60"/>
    </row>
    <row r="117" spans="3:4" x14ac:dyDescent="0.25">
      <c r="C117" s="59"/>
      <c r="D117" s="60"/>
    </row>
    <row r="118" spans="3:4" x14ac:dyDescent="0.25">
      <c r="C118" s="59"/>
      <c r="D118" s="60"/>
    </row>
    <row r="119" spans="3:4" x14ac:dyDescent="0.25">
      <c r="C119" s="59"/>
      <c r="D119" s="60"/>
    </row>
    <row r="121" spans="3:4" x14ac:dyDescent="0.25">
      <c r="C121" s="59"/>
      <c r="D121" s="60"/>
    </row>
    <row r="122" spans="3:4" x14ac:dyDescent="0.25">
      <c r="C122" s="59"/>
      <c r="D122" s="60"/>
    </row>
    <row r="123" spans="3:4" x14ac:dyDescent="0.25">
      <c r="C123" s="59"/>
      <c r="D123" s="60"/>
    </row>
    <row r="124" spans="3:4" x14ac:dyDescent="0.25">
      <c r="C124" s="59"/>
      <c r="D124" s="60"/>
    </row>
    <row r="125" spans="3:4" x14ac:dyDescent="0.25">
      <c r="C125" s="59"/>
      <c r="D125" s="60"/>
    </row>
    <row r="126" spans="3:4" x14ac:dyDescent="0.25">
      <c r="C126" s="59"/>
      <c r="D126" s="60"/>
    </row>
    <row r="127" spans="3:4" x14ac:dyDescent="0.25">
      <c r="C127" s="59"/>
      <c r="D127" s="60"/>
    </row>
    <row r="128" spans="3:4" x14ac:dyDescent="0.25">
      <c r="C128" s="59"/>
      <c r="D128" s="60"/>
    </row>
    <row r="129" spans="3:4" hidden="1" x14ac:dyDescent="0.25"/>
    <row r="130" spans="3:4" hidden="1" x14ac:dyDescent="0.25">
      <c r="C130" s="59"/>
      <c r="D130" s="60"/>
    </row>
    <row r="131" spans="3:4" hidden="1" x14ac:dyDescent="0.25">
      <c r="C131" s="59"/>
      <c r="D131" s="60"/>
    </row>
    <row r="132" spans="3:4" hidden="1" x14ac:dyDescent="0.25">
      <c r="C132" s="59"/>
      <c r="D132" s="60"/>
    </row>
    <row r="133" spans="3:4" hidden="1" x14ac:dyDescent="0.25">
      <c r="C133" s="59"/>
      <c r="D133" s="60"/>
    </row>
    <row r="134" spans="3:4" hidden="1" x14ac:dyDescent="0.25">
      <c r="C134" s="59"/>
      <c r="D134" s="60"/>
    </row>
    <row r="135" spans="3:4" hidden="1" x14ac:dyDescent="0.25">
      <c r="C135" s="59"/>
      <c r="D135" s="60"/>
    </row>
    <row r="136" spans="3:4" hidden="1" x14ac:dyDescent="0.25">
      <c r="C136" s="59"/>
      <c r="D136" s="60"/>
    </row>
    <row r="137" spans="3:4" hidden="1" x14ac:dyDescent="0.25">
      <c r="C137" s="59"/>
      <c r="D137" s="60"/>
    </row>
    <row r="138" spans="3:4" hidden="1" x14ac:dyDescent="0.25"/>
    <row r="139" spans="3:4" hidden="1" x14ac:dyDescent="0.25">
      <c r="C139" s="59"/>
      <c r="D139" s="60"/>
    </row>
    <row r="140" spans="3:4" hidden="1" x14ac:dyDescent="0.25">
      <c r="C140" s="59"/>
      <c r="D140" s="60"/>
    </row>
    <row r="141" spans="3:4" hidden="1" x14ac:dyDescent="0.25">
      <c r="C141" s="59"/>
      <c r="D141" s="60"/>
    </row>
    <row r="142" spans="3:4" hidden="1" x14ac:dyDescent="0.25">
      <c r="C142" s="59"/>
      <c r="D142" s="60"/>
    </row>
    <row r="143" spans="3:4" hidden="1" x14ac:dyDescent="0.25">
      <c r="C143" s="59"/>
      <c r="D143" s="60"/>
    </row>
    <row r="144" spans="3:4" hidden="1" x14ac:dyDescent="0.25">
      <c r="C144" s="59"/>
      <c r="D144" s="60"/>
    </row>
    <row r="145" spans="3:4" hidden="1" x14ac:dyDescent="0.25">
      <c r="C145" s="59"/>
      <c r="D145" s="60"/>
    </row>
    <row r="146" spans="3:4" hidden="1" x14ac:dyDescent="0.25">
      <c r="C146" s="59"/>
      <c r="D146" s="60"/>
    </row>
    <row r="147" spans="3:4" hidden="1" x14ac:dyDescent="0.25">
      <c r="C147" s="59"/>
      <c r="D147" s="60"/>
    </row>
    <row r="148" spans="3:4" hidden="1" x14ac:dyDescent="0.25">
      <c r="C148" s="59"/>
      <c r="D148" s="60"/>
    </row>
    <row r="149" spans="3:4" hidden="1" x14ac:dyDescent="0.25">
      <c r="C149" s="59"/>
      <c r="D149" s="60"/>
    </row>
    <row r="150" spans="3:4" hidden="1" x14ac:dyDescent="0.25">
      <c r="C150" s="59"/>
      <c r="D150" s="60"/>
    </row>
    <row r="151" spans="3:4" hidden="1" x14ac:dyDescent="0.25">
      <c r="C151" s="59"/>
      <c r="D151" s="60"/>
    </row>
    <row r="152" spans="3:4" x14ac:dyDescent="0.25">
      <c r="C152" s="59"/>
      <c r="D152" s="60"/>
    </row>
    <row r="153" spans="3:4" x14ac:dyDescent="0.25">
      <c r="C153" s="59"/>
      <c r="D153" s="60"/>
    </row>
    <row r="154" spans="3:4" x14ac:dyDescent="0.25">
      <c r="C154" s="59"/>
      <c r="D154" s="60"/>
    </row>
    <row r="180" spans="3:4" x14ac:dyDescent="0.25">
      <c r="C180" s="59"/>
      <c r="D180" s="60"/>
    </row>
    <row r="181" spans="3:4" x14ac:dyDescent="0.25">
      <c r="C181" s="59"/>
      <c r="D181" s="60"/>
    </row>
    <row r="182" spans="3:4" x14ac:dyDescent="0.25">
      <c r="C182" s="59"/>
      <c r="D182" s="60"/>
    </row>
    <row r="183" spans="3:4" x14ac:dyDescent="0.25">
      <c r="C183" s="59"/>
      <c r="D183" s="60"/>
    </row>
    <row r="184" spans="3:4" x14ac:dyDescent="0.25">
      <c r="C184" s="59"/>
      <c r="D184" s="60"/>
    </row>
    <row r="185" spans="3:4" x14ac:dyDescent="0.25">
      <c r="C185" s="59"/>
      <c r="D185" s="60"/>
    </row>
    <row r="186" spans="3:4" x14ac:dyDescent="0.25">
      <c r="C186" s="59"/>
      <c r="D186" s="60"/>
    </row>
    <row r="187" spans="3:4" x14ac:dyDescent="0.25">
      <c r="C187" s="59"/>
      <c r="D187" s="60"/>
    </row>
  </sheetData>
  <pageMargins left="0.7" right="0.7" top="0.75" bottom="0.75" header="0.3" footer="0.3"/>
  <pageSetup paperSize="9" orientation="portrait" useFirstPageNumber="1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E146"/>
  <sheetViews>
    <sheetView zoomScaleNormal="100" workbookViewId="0">
      <selection activeCell="E14" sqref="E14"/>
    </sheetView>
  </sheetViews>
  <sheetFormatPr defaultRowHeight="15" x14ac:dyDescent="0.25"/>
  <cols>
    <col min="1" max="1" width="10" customWidth="1"/>
    <col min="2" max="2" width="14" customWidth="1"/>
    <col min="3" max="3" width="12.85546875" customWidth="1"/>
  </cols>
  <sheetData>
    <row r="2" spans="1:5" x14ac:dyDescent="0.25">
      <c r="C2" t="s">
        <v>168</v>
      </c>
    </row>
    <row r="3" spans="1:5" x14ac:dyDescent="0.25">
      <c r="B3" t="s">
        <v>169</v>
      </c>
    </row>
    <row r="4" spans="1:5" x14ac:dyDescent="0.25">
      <c r="A4">
        <v>1</v>
      </c>
      <c r="B4" t="str">
        <f>IF('SV777-2 (SV004)'!B16&lt;1,"резерв",'SV777-2 (SV004)'!B16)</f>
        <v>резерв</v>
      </c>
      <c r="C4" s="59">
        <f>'SV777-2 (SV004)'!B17</f>
        <v>0</v>
      </c>
      <c r="D4" s="60" t="str">
        <f>IF(B4="резерв","",'SV777-2 (SV004)'!D17)</f>
        <v/>
      </c>
      <c r="E4" t="str">
        <f>IF('SV777-2 (SV004)'!D16&lt;1,"","ШЛ."&amp;'SV777-2 (SV004)'!D16)</f>
        <v/>
      </c>
    </row>
    <row r="5" spans="1:5" x14ac:dyDescent="0.25">
      <c r="A5">
        <v>2</v>
      </c>
      <c r="B5" t="str">
        <f>IF('SV777-2 (SV004)'!F16&lt;1,"резерв",'SV777-2 (SV004)'!F16)</f>
        <v>резерв</v>
      </c>
      <c r="C5" s="59" t="str">
        <f>'SV777-2 (SV004)'!F17</f>
        <v/>
      </c>
      <c r="D5" s="60" t="str">
        <f>IF(B5="резерв","",'SV777-2 (SV004)'!H17)</f>
        <v/>
      </c>
      <c r="E5" t="str">
        <f>IF('SV777-2 (SV004)'!H16&lt;1,"","ШЛ."&amp;'SV777-2 (SV004)'!H16)</f>
        <v/>
      </c>
    </row>
    <row r="6" spans="1:5" x14ac:dyDescent="0.25">
      <c r="A6">
        <v>3</v>
      </c>
      <c r="B6" t="str">
        <f>IF('SV777-2 (SV004)'!J16&lt;1,"резерв",'SV777-2 (SV004)'!J16)</f>
        <v>резерв</v>
      </c>
      <c r="C6" s="59" t="str">
        <f>'SV777-2 (SV004)'!J17</f>
        <v/>
      </c>
      <c r="D6" s="60" t="str">
        <f>IF(B6="резерв","",'SV777-2 (SV004)'!L17)</f>
        <v/>
      </c>
      <c r="E6" t="str">
        <f>IF('SV777-2 (SV004)'!L16&lt;1,"","ШЛ."&amp;'SV777-2 (SV004)'!L16)</f>
        <v/>
      </c>
    </row>
    <row r="7" spans="1:5" x14ac:dyDescent="0.25">
      <c r="A7">
        <v>4</v>
      </c>
      <c r="B7" t="str">
        <f>IF('SV777-2 (SV004)'!N16&lt;1,"резерв",'SV777-2 (SV004)'!N16)</f>
        <v>резерв</v>
      </c>
      <c r="C7" s="59" t="str">
        <f>'SV777-2 (SV004)'!N17</f>
        <v/>
      </c>
      <c r="D7" s="60" t="str">
        <f>IF(B7="резерв","",'SV777-2 (SV004)'!P17)</f>
        <v/>
      </c>
      <c r="E7" t="str">
        <f>IF('SV777-2 (SV004)'!P16&lt;1,"","ШЛ."&amp;'SV777-2 (SV004)'!P16)</f>
        <v/>
      </c>
    </row>
    <row r="8" spans="1:5" x14ac:dyDescent="0.25">
      <c r="A8">
        <v>5</v>
      </c>
      <c r="B8" t="str">
        <f>IF('SV777-2 (SV004)'!B36&lt;1,"резерв",'SV777-2 (SV004)'!B36)</f>
        <v>резерв</v>
      </c>
      <c r="C8" s="59" t="str">
        <f>'SV777-2 (SV004)'!B37</f>
        <v/>
      </c>
      <c r="D8" s="60" t="str">
        <f>IF(B8="резерв","",'SV777-2 (SV004)'!D37)</f>
        <v/>
      </c>
      <c r="E8" t="str">
        <f>IF('SV777-2 (SV004)'!D36&lt;1,"","ШЛ."&amp;'SV777-2 (SV004)'!D36)</f>
        <v/>
      </c>
    </row>
    <row r="9" spans="1:5" x14ac:dyDescent="0.25">
      <c r="A9">
        <v>6</v>
      </c>
      <c r="B9" t="str">
        <f>IF('SV777-2 (SV004)'!F36&lt;1,"резерв",'SV777-2 (SV004)'!F36)</f>
        <v>резерв</v>
      </c>
      <c r="C9" s="59" t="str">
        <f>'SV777-2 (SV004)'!F37</f>
        <v/>
      </c>
      <c r="D9" s="60" t="str">
        <f>IF(B9="резерв","",'SV777-2 (SV004)'!H37)</f>
        <v/>
      </c>
      <c r="E9" t="str">
        <f>IF('SV777-2 (SV004)'!H36&lt;1,"","ШЛ."&amp;'SV777-2 (SV004)'!H36)</f>
        <v/>
      </c>
    </row>
    <row r="10" spans="1:5" x14ac:dyDescent="0.25">
      <c r="A10">
        <v>7</v>
      </c>
      <c r="B10" t="str">
        <f>IF('SV777-2 (SV004)'!J36&lt;1,"резерв",'SV777-2 (SV004)'!J36)</f>
        <v>резерв</v>
      </c>
      <c r="C10" s="59" t="str">
        <f>'SV777-2 (SV004)'!J37</f>
        <v/>
      </c>
      <c r="D10" s="60" t="str">
        <f>IF(B10="резерв","",'SV777-2 (SV004)'!L37)</f>
        <v/>
      </c>
      <c r="E10" t="str">
        <f>IF('SV777-2 (SV004)'!L36&lt;1,"","ШЛ."&amp;'SV777-2 (SV004)'!L36)</f>
        <v/>
      </c>
    </row>
    <row r="11" spans="1:5" x14ac:dyDescent="0.25">
      <c r="A11">
        <v>8</v>
      </c>
      <c r="B11" t="str">
        <f>IF('SV777-2 (SV004)'!N36&lt;1,"резерв",'SV777-2 (SV004)'!N36)</f>
        <v>резерв</v>
      </c>
      <c r="C11" s="59" t="str">
        <f>'SV777-2 (SV004)'!N37</f>
        <v/>
      </c>
      <c r="D11" s="60" t="str">
        <f>IF(B11="резерв","",'SV777-2 (SV004)'!P37)</f>
        <v/>
      </c>
      <c r="E11" t="str">
        <f>IF('SV777-2 (SV004)'!P36&lt;1,"","ШЛ."&amp;'SV777-2 (SV004)'!P36)</f>
        <v/>
      </c>
    </row>
    <row r="12" spans="1:5" x14ac:dyDescent="0.25">
      <c r="B12" t="s">
        <v>170</v>
      </c>
    </row>
    <row r="13" spans="1:5" x14ac:dyDescent="0.25">
      <c r="A13">
        <v>1</v>
      </c>
      <c r="B13" t="str">
        <f>IF('SV777-2 (SV004)'!B58&lt;1,"резерв",'SV777-2 (SV004)'!B58)</f>
        <v>резерв</v>
      </c>
      <c r="C13" s="59" t="str">
        <f>'SV777-2 (SV004)'!B59</f>
        <v/>
      </c>
      <c r="D13" s="60" t="str">
        <f>IF(B13="резерв","",'SV777-2 (SV004)'!D59)</f>
        <v/>
      </c>
      <c r="E13" t="str">
        <f>IF('SV777-2 (SV004)'!D58&lt;1,"","ШЛ."&amp;'SV777-2 (SV004)'!D58)</f>
        <v/>
      </c>
    </row>
    <row r="14" spans="1:5" x14ac:dyDescent="0.25">
      <c r="A14">
        <v>2</v>
      </c>
      <c r="B14" t="str">
        <f>IF('SV777-2 (SV004)'!F58&lt;1,"резерв",'SV777-2 (SV004)'!F58)</f>
        <v>резерв</v>
      </c>
      <c r="C14" s="59" t="str">
        <f>'SV777-2 (SV004)'!F59</f>
        <v/>
      </c>
      <c r="D14" s="60" t="str">
        <f>IF(B14="резерв","",'SV777-2 (SV004)'!H59)</f>
        <v/>
      </c>
      <c r="E14" t="str">
        <f>IF('SV777-2 (SV004)'!H58&lt;1,"","ШЛ."&amp;'SV777-2 (SV004)'!H58)</f>
        <v/>
      </c>
    </row>
    <row r="15" spans="1:5" x14ac:dyDescent="0.25">
      <c r="A15">
        <v>3</v>
      </c>
      <c r="B15" t="str">
        <f>IF('SV777-2 (SV004)'!J58&lt;1,"резерв",'SV777-2 (SV004)'!J58)</f>
        <v>резерв</v>
      </c>
      <c r="C15" s="59" t="str">
        <f>'SV777-2 (SV004)'!J59</f>
        <v/>
      </c>
      <c r="D15" s="60" t="str">
        <f>IF(B15="резерв","",'SV777-2 (SV004)'!L59)</f>
        <v/>
      </c>
      <c r="E15" t="str">
        <f>IF('SV777-2 (SV004)'!L58&lt;1,"","ШЛ."&amp;'SV777-2 (SV004)'!L58)</f>
        <v/>
      </c>
    </row>
    <row r="16" spans="1:5" x14ac:dyDescent="0.25">
      <c r="A16">
        <v>4</v>
      </c>
      <c r="B16" t="str">
        <f>IF('SV777-2 (SV004)'!N58&lt;1,"резерв",'SV777-2 (SV004)'!N58)</f>
        <v>резерв</v>
      </c>
      <c r="C16" s="59" t="str">
        <f>'SV777-2 (SV004)'!N59</f>
        <v/>
      </c>
      <c r="D16" s="60" t="str">
        <f>IF(B16="резерв","",'SV777-2 (SV004)'!P59)</f>
        <v/>
      </c>
      <c r="E16" t="str">
        <f>IF('SV777-2 (SV004)'!P58&lt;1,"","ШЛ."&amp;'SV777-2 (SV004)'!P58)</f>
        <v/>
      </c>
    </row>
    <row r="17" spans="1:5" x14ac:dyDescent="0.25">
      <c r="A17">
        <v>5</v>
      </c>
      <c r="B17" t="str">
        <f>IF('SV777-2 (SV004)'!B78&lt;1,"резерв",'SV777-2 (SV004)'!B78)</f>
        <v>резерв</v>
      </c>
      <c r="C17" s="59" t="str">
        <f>'SV777-2 (SV004)'!B79</f>
        <v/>
      </c>
      <c r="D17" s="60" t="str">
        <f>IF(B17="резерв","",'SV777-2 (SV004)'!D79)</f>
        <v/>
      </c>
      <c r="E17" t="str">
        <f>IF('SV777-2 (SV004)'!D78&lt;1,"","ШЛ."&amp;'SV777-2 (SV004)'!D78)</f>
        <v/>
      </c>
    </row>
    <row r="18" spans="1:5" x14ac:dyDescent="0.25">
      <c r="A18">
        <v>6</v>
      </c>
      <c r="B18" t="str">
        <f>IF('SV777-2 (SV004)'!F78&lt;1,"резерв",'SV777-2 (SV004)'!F78)</f>
        <v>резерв</v>
      </c>
      <c r="C18" s="59" t="str">
        <f>'SV777-2 (SV004)'!F79</f>
        <v/>
      </c>
      <c r="D18" s="60" t="str">
        <f>IF(B18="резерв","",'SV777-2 (SV004)'!H79)</f>
        <v/>
      </c>
      <c r="E18" t="str">
        <f>IF('SV777-2 (SV004)'!H78&lt;1,"","ШЛ."&amp;'SV777-2 (SV004)'!H78)</f>
        <v/>
      </c>
    </row>
    <row r="19" spans="1:5" x14ac:dyDescent="0.25">
      <c r="A19">
        <v>7</v>
      </c>
      <c r="B19" t="str">
        <f>IF('SV777-2 (SV004)'!J78&lt;1,"резерв",'SV777-2 (SV004)'!J78)</f>
        <v>резерв</v>
      </c>
      <c r="C19" s="59" t="str">
        <f>'SV777-2 (SV004)'!J79</f>
        <v/>
      </c>
      <c r="D19" s="60" t="str">
        <f>IF(B19="резерв","",'SV777-2 (SV004)'!L79)</f>
        <v/>
      </c>
      <c r="E19" t="str">
        <f>IF('SV777-2 (SV004)'!L78&lt;1,"","ШЛ."&amp;'SV777-2 (SV004)'!L78)</f>
        <v/>
      </c>
    </row>
    <row r="20" spans="1:5" x14ac:dyDescent="0.25">
      <c r="A20">
        <v>8</v>
      </c>
      <c r="B20" t="str">
        <f>IF('SV777-2 (SV004)'!N78&lt;1,"резерв",'SV777-2 (SV004)'!N78)</f>
        <v>резерв</v>
      </c>
      <c r="C20" s="59" t="str">
        <f>'SV777-2 (SV004)'!N79</f>
        <v/>
      </c>
      <c r="D20" s="60" t="str">
        <f>IF(B20="резерв","",'SV777-2 (SV004)'!P79)</f>
        <v/>
      </c>
      <c r="E20" t="str">
        <f>IF('SV777-2 (SV004)'!P78&lt;1,"","ШЛ."&amp;'SV777-2 (SV004)'!P78)</f>
        <v/>
      </c>
    </row>
    <row r="21" spans="1:5" x14ac:dyDescent="0.25">
      <c r="B21" t="s">
        <v>171</v>
      </c>
      <c r="C21" s="59"/>
      <c r="D21" s="60"/>
    </row>
    <row r="22" spans="1:5" x14ac:dyDescent="0.25">
      <c r="A22">
        <v>1</v>
      </c>
      <c r="B22" t="str">
        <f>IF('SV777-2 (SV004)'!B100&lt;1,"резерв",'SV777-2 (SV004)'!B100)</f>
        <v>резерв</v>
      </c>
      <c r="C22" s="59" t="str">
        <f>'SV777-2 (SV004)'!B101</f>
        <v/>
      </c>
      <c r="D22" s="60" t="str">
        <f>IF(B22="резерв","",'SV777-2 (SV004)'!D101)</f>
        <v/>
      </c>
      <c r="E22" t="str">
        <f>IF('SV777-2 (SV004)'!D100&lt;1,"","ШЛ."&amp;'SV777-2 (SV004)'!D100)</f>
        <v/>
      </c>
    </row>
    <row r="23" spans="1:5" x14ac:dyDescent="0.25">
      <c r="A23">
        <v>2</v>
      </c>
      <c r="B23" t="str">
        <f>IF('SV777-2 (SV004)'!F100&lt;1,"резерв",'SV777-2 (SV004)'!F100)</f>
        <v>резерв</v>
      </c>
      <c r="C23" s="59" t="str">
        <f>'SV777-2 (SV004)'!F101</f>
        <v/>
      </c>
      <c r="D23" s="60" t="str">
        <f>IF(B23="резерв","",'SV777-2 (SV004)'!H101)</f>
        <v/>
      </c>
      <c r="E23" t="str">
        <f>IF('SV777-2 (SV004)'!H100&lt;1,"","ШЛ."&amp;'SV777-2 (SV004)'!H100)</f>
        <v/>
      </c>
    </row>
    <row r="24" spans="1:5" x14ac:dyDescent="0.25">
      <c r="A24">
        <v>3</v>
      </c>
      <c r="B24" t="str">
        <f>IF('SV777-2 (SV004)'!J100&lt;1,"резерв",'SV777-2 (SV004)'!J100)</f>
        <v>резерв</v>
      </c>
      <c r="C24" s="59" t="str">
        <f>'SV777-2 (SV004)'!J101</f>
        <v/>
      </c>
      <c r="D24" s="60" t="str">
        <f>IF(B24="резерв","",'SV777-2 (SV004)'!L101)</f>
        <v/>
      </c>
      <c r="E24" t="str">
        <f>IF('SV777-2 (SV004)'!L100&lt;1,"","ШЛ."&amp;'SV777-2 (SV004)'!L100)</f>
        <v/>
      </c>
    </row>
    <row r="25" spans="1:5" x14ac:dyDescent="0.25">
      <c r="A25">
        <v>4</v>
      </c>
      <c r="B25" t="str">
        <f>IF('SV777-2 (SV004)'!N100&lt;1,"резерв",'SV777-2 (SV004)'!N100)</f>
        <v>резерв</v>
      </c>
      <c r="C25" s="59" t="str">
        <f>'SV777-2 (SV004)'!N101</f>
        <v/>
      </c>
      <c r="D25" s="60" t="str">
        <f>IF(B25="резерв","",'SV777-2 (SV004)'!P101)</f>
        <v/>
      </c>
      <c r="E25" t="str">
        <f>IF('SV777-2 (SV004)'!P100&lt;1,"","ШЛ."&amp;'SV777-2 (SV004)'!P100)</f>
        <v/>
      </c>
    </row>
    <row r="26" spans="1:5" x14ac:dyDescent="0.25">
      <c r="A26">
        <v>5</v>
      </c>
      <c r="B26" t="str">
        <f>IF('SV777-2 (SV004)'!B120&lt;1,"резерв",'SV777-2 (SV004)'!B120)</f>
        <v>резерв</v>
      </c>
      <c r="C26" s="59" t="str">
        <f>'SV777-2 (SV004)'!B121</f>
        <v/>
      </c>
      <c r="D26" s="60" t="str">
        <f>IF(B26="резерв","",'SV777-2 (SV004)'!D121)</f>
        <v/>
      </c>
      <c r="E26" t="str">
        <f>IF('SV777-2 (SV004)'!D120&lt;1,"","ШЛ."&amp;'SV777-2 (SV004)'!D120)</f>
        <v/>
      </c>
    </row>
    <row r="27" spans="1:5" x14ac:dyDescent="0.25">
      <c r="A27">
        <v>6</v>
      </c>
      <c r="B27" t="str">
        <f>IF('SV777-2 (SV004)'!F120&lt;1,"резерв",'SV777-2 (SV004)'!F120)</f>
        <v>резерв</v>
      </c>
      <c r="C27" s="59" t="str">
        <f>'SV777-2 (SV004)'!F121</f>
        <v/>
      </c>
      <c r="D27" s="60" t="str">
        <f>IF(B27="резерв","",'SV777-2 (SV004)'!H121)</f>
        <v/>
      </c>
      <c r="E27" t="str">
        <f>IF('SV777-2 (SV004)'!H120&lt;1,"","ШЛ."&amp;'SV777-2 (SV004)'!H120)</f>
        <v/>
      </c>
    </row>
    <row r="28" spans="1:5" x14ac:dyDescent="0.25">
      <c r="A28">
        <v>7</v>
      </c>
      <c r="B28" t="str">
        <f>IF('SV777-2 (SV004)'!J120&lt;1,"резерв",'SV777-2 (SV004)'!J120)</f>
        <v>резерв</v>
      </c>
      <c r="C28" s="59" t="str">
        <f>'SV777-2 (SV004)'!J121</f>
        <v/>
      </c>
      <c r="D28" s="60" t="str">
        <f>IF(B28="резерв","",'SV777-2 (SV004)'!L121)</f>
        <v/>
      </c>
      <c r="E28" t="str">
        <f>IF('SV777-2 (SV004)'!L120&lt;1,"","ШЛ."&amp;'SV777-2 (SV004)'!L120)</f>
        <v/>
      </c>
    </row>
    <row r="29" spans="1:5" x14ac:dyDescent="0.25">
      <c r="A29">
        <v>8</v>
      </c>
      <c r="B29" t="str">
        <f>IF('SV777-2 (SV004)'!N120&lt;1,"резерв",'SV777-2 (SV004)'!N120)</f>
        <v>резерв</v>
      </c>
      <c r="C29" s="59" t="str">
        <f>'SV777-2 (SV004)'!N121</f>
        <v/>
      </c>
      <c r="D29" s="60" t="str">
        <f>IF(B29="резерв","",'SV777-2 (SV004)'!P121)</f>
        <v/>
      </c>
      <c r="E29" t="str">
        <f>IF('SV777-2 (SV004)'!P120&lt;1,"","ШЛ."&amp;'SV777-2 (SV004)'!P120)</f>
        <v/>
      </c>
    </row>
    <row r="30" spans="1:5" x14ac:dyDescent="0.25">
      <c r="B30" t="s">
        <v>172</v>
      </c>
      <c r="C30" s="59"/>
      <c r="D30" s="60"/>
    </row>
    <row r="31" spans="1:5" x14ac:dyDescent="0.25">
      <c r="A31">
        <v>1</v>
      </c>
      <c r="B31" t="str">
        <f>IF('SV777-2 (SV004)'!B142&lt;1,"резерв",'SV777-2 (SV004)'!B142)</f>
        <v>резерв</v>
      </c>
      <c r="C31" s="59" t="str">
        <f>'SV777-2 (SV004)'!B143</f>
        <v/>
      </c>
      <c r="D31" s="60" t="str">
        <f>IF(B31="резерв","",'SV777-2 (SV004)'!D143)</f>
        <v/>
      </c>
      <c r="E31" t="str">
        <f>IF('SV777-2 (SV004)'!D142&lt;1,"","ШЛ."&amp;'SV777-2 (SV004)'!D142)</f>
        <v/>
      </c>
    </row>
    <row r="32" spans="1:5" x14ac:dyDescent="0.25">
      <c r="A32">
        <v>2</v>
      </c>
      <c r="B32" t="str">
        <f>IF('SV777-2 (SV004)'!F142&lt;1,"резерв",'SV777-2 (SV004)'!F142)</f>
        <v>резерв</v>
      </c>
      <c r="C32" s="59" t="str">
        <f>'SV777-2 (SV004)'!F143</f>
        <v/>
      </c>
      <c r="D32" s="60" t="str">
        <f>IF(B32="резерв","",'SV777-2 (SV004)'!H143)</f>
        <v/>
      </c>
      <c r="E32" t="str">
        <f>IF('SV777-2 (SV004)'!H142&lt;1,"","ШЛ."&amp;'SV777-2 (SV004)'!H142)</f>
        <v/>
      </c>
    </row>
    <row r="33" spans="1:5" x14ac:dyDescent="0.25">
      <c r="A33">
        <v>3</v>
      </c>
      <c r="B33" t="str">
        <f>IF('SV777-2 (SV004)'!J142&lt;1,"резерв",'SV777-2 (SV004)'!J142)</f>
        <v>резерв</v>
      </c>
      <c r="C33" s="59" t="str">
        <f>'SV777-2 (SV004)'!J143</f>
        <v/>
      </c>
      <c r="D33" s="60" t="str">
        <f>IF(B33="резерв","",'SV777-2 (SV004)'!L143)</f>
        <v/>
      </c>
      <c r="E33" t="str">
        <f>IF('SV777-2 (SV004)'!L142&lt;1,"","ШЛ."&amp;'SV777-2 (SV004)'!L142)</f>
        <v/>
      </c>
    </row>
    <row r="34" spans="1:5" x14ac:dyDescent="0.25">
      <c r="A34">
        <v>4</v>
      </c>
      <c r="B34" t="str">
        <f>IF('SV777-2 (SV004)'!N142&lt;1,"резерв",'SV777-2 (SV004)'!N142)</f>
        <v>резерв</v>
      </c>
      <c r="C34" s="59" t="str">
        <f>'SV777-2 (SV004)'!N143</f>
        <v/>
      </c>
      <c r="D34" s="60" t="str">
        <f>IF(B34="резерв","",'SV777-2 (SV004)'!P143)</f>
        <v/>
      </c>
      <c r="E34" t="str">
        <f>IF('SV777-2 (SV004)'!P142&lt;1,"","ШЛ."&amp;'SV777-2 (SV004)'!P142)</f>
        <v/>
      </c>
    </row>
    <row r="35" spans="1:5" x14ac:dyDescent="0.25">
      <c r="A35">
        <v>5</v>
      </c>
      <c r="B35" t="str">
        <f>IF('SV777-2 (SV004)'!B162&lt;1,"резерв",'SV777-2 (SV004)'!B162)</f>
        <v>резерв</v>
      </c>
      <c r="C35" s="59" t="str">
        <f>'SV777-2 (SV004)'!B163</f>
        <v/>
      </c>
      <c r="D35" s="60" t="str">
        <f>IF(B35="резерв","",'SV777-2 (SV004)'!D163)</f>
        <v/>
      </c>
      <c r="E35" t="str">
        <f>IF('SV777-2 (SV004)'!D162&lt;1,"","ШЛ."&amp;'SV777-2 (SV004)'!D162)</f>
        <v/>
      </c>
    </row>
    <row r="36" spans="1:5" x14ac:dyDescent="0.25">
      <c r="A36">
        <v>6</v>
      </c>
      <c r="B36" t="str">
        <f>IF('SV777-2 (SV004)'!F162&lt;1,"резерв",'SV777-2 (SV004)'!F162)</f>
        <v>резерв</v>
      </c>
      <c r="C36" s="59" t="str">
        <f>'SV777-2 (SV004)'!F163</f>
        <v/>
      </c>
      <c r="D36" s="60" t="str">
        <f>IF(B36="резерв","",'SV777-2 (SV004)'!H163)</f>
        <v/>
      </c>
      <c r="E36" t="str">
        <f>IF('SV777-2 (SV004)'!H162&lt;1,"","ШЛ."&amp;'SV777-2 (SV004)'!H162)</f>
        <v/>
      </c>
    </row>
    <row r="37" spans="1:5" x14ac:dyDescent="0.25">
      <c r="A37">
        <v>7</v>
      </c>
      <c r="B37" t="str">
        <f>IF('SV777-2 (SV004)'!J162&lt;1,"резерв",'SV777-2 (SV004)'!J162)</f>
        <v>резерв</v>
      </c>
      <c r="C37" s="59" t="str">
        <f>'SV777-2 (SV004)'!J163</f>
        <v/>
      </c>
      <c r="D37" s="60" t="str">
        <f>IF(B37="резерв","",'SV777-2 (SV004)'!L163)</f>
        <v/>
      </c>
      <c r="E37" t="str">
        <f>IF('SV777-2 (SV004)'!L162&lt;1,"","ШЛ."&amp;'SV777-2 (SV004)'!L162)</f>
        <v/>
      </c>
    </row>
    <row r="38" spans="1:5" x14ac:dyDescent="0.25">
      <c r="A38">
        <v>8</v>
      </c>
      <c r="B38" t="str">
        <f>IF('SV777-2 (SV004)'!N162&lt;1,"резерв",'SV777-2 (SV004)'!N162)</f>
        <v>резерв</v>
      </c>
      <c r="C38" s="59" t="str">
        <f>'SV777-2 (SV004)'!N163</f>
        <v/>
      </c>
      <c r="D38" s="60" t="str">
        <f>IF(B38="резерв","",'SV777-2 (SV004)'!P163)</f>
        <v/>
      </c>
      <c r="E38" t="str">
        <f>IF('SV777-2 (SV004)'!P162&lt;1,"","ШЛ."&amp;'SV777-2 (SV004)'!P162)</f>
        <v/>
      </c>
    </row>
    <row r="39" spans="1:5" x14ac:dyDescent="0.25">
      <c r="B39" t="s">
        <v>173</v>
      </c>
      <c r="C39" s="59"/>
      <c r="D39" s="60"/>
    </row>
    <row r="40" spans="1:5" x14ac:dyDescent="0.25">
      <c r="A40">
        <v>1</v>
      </c>
      <c r="B40" t="str">
        <f>IF('SV777-2 (SV004)'!B184&lt;1,"резерв",'SV777-2 (SV004)'!B184)</f>
        <v>резерв</v>
      </c>
      <c r="C40" s="59" t="str">
        <f>'SV777-2 (SV004)'!B185</f>
        <v/>
      </c>
      <c r="D40" s="60" t="str">
        <f>IF(B40="резерв","",'SV777-2 (SV004)'!D185)</f>
        <v/>
      </c>
      <c r="E40" t="str">
        <f>IF('SV777-2 (SV004)'!D184&lt;1,"","ШЛ."&amp;'SV777-2 (SV004)'!D184)</f>
        <v/>
      </c>
    </row>
    <row r="41" spans="1:5" x14ac:dyDescent="0.25">
      <c r="A41">
        <v>2</v>
      </c>
      <c r="B41" t="str">
        <f>IF('SV777-2 (SV004)'!F184&lt;1,"резерв",'SV777-2 (SV004)'!F184)</f>
        <v>резерв</v>
      </c>
      <c r="C41" s="59" t="str">
        <f>'SV777-2 (SV004)'!F185</f>
        <v/>
      </c>
      <c r="D41" s="60" t="str">
        <f>IF(B41="резерв","",'SV777-2 (SV004)'!H185)</f>
        <v/>
      </c>
      <c r="E41" t="str">
        <f>IF('SV777-2 (SV004)'!H184&lt;1,"","ШЛ."&amp;'SV777-2 (SV004)'!H184)</f>
        <v/>
      </c>
    </row>
    <row r="42" spans="1:5" x14ac:dyDescent="0.25">
      <c r="A42">
        <v>3</v>
      </c>
      <c r="B42" t="str">
        <f>IF('SV777-2 (SV004)'!J184&lt;1,"резерв",'SV777-2 (SV004)'!J184)</f>
        <v>резерв</v>
      </c>
      <c r="C42" s="59" t="str">
        <f>'SV777-2 (SV004)'!J185</f>
        <v/>
      </c>
      <c r="D42" s="60" t="str">
        <f>IF(B42="резерв","",'SV777-2 (SV004)'!L185)</f>
        <v/>
      </c>
      <c r="E42" t="str">
        <f>IF('SV777-2 (SV004)'!L184&lt;1,"","ШЛ."&amp;'SV777-2 (SV004)'!L184)</f>
        <v/>
      </c>
    </row>
    <row r="43" spans="1:5" x14ac:dyDescent="0.25">
      <c r="A43">
        <v>4</v>
      </c>
      <c r="B43" t="str">
        <f>IF('SV777-2 (SV004)'!N184&lt;1,"резерв",'SV777-2 (SV004)'!N184)</f>
        <v>резерв</v>
      </c>
      <c r="C43" s="59" t="str">
        <f>'SV777-2 (SV004)'!N185</f>
        <v/>
      </c>
      <c r="D43" s="60" t="str">
        <f>IF(B43="резерв","",'SV777-2 (SV004)'!P185)</f>
        <v/>
      </c>
      <c r="E43" t="str">
        <f>IF('SV777-2 (SV004)'!P184&lt;1,"","ШЛ."&amp;'SV777-2 (SV004)'!P184)</f>
        <v/>
      </c>
    </row>
    <row r="44" spans="1:5" x14ac:dyDescent="0.25">
      <c r="A44">
        <v>5</v>
      </c>
      <c r="B44" t="str">
        <f>IF('SV777-2 (SV004)'!B204&lt;1,"резерв",'SV777-2 (SV004)'!B204)</f>
        <v>резерв</v>
      </c>
      <c r="C44" s="59" t="str">
        <f>'SV777-2 (SV004)'!B205</f>
        <v/>
      </c>
      <c r="D44" s="60" t="str">
        <f>IF(B44="резерв","",'SV777-2 (SV004)'!D205)</f>
        <v/>
      </c>
      <c r="E44" t="str">
        <f>IF('SV777-2 (SV004)'!D204&lt;1,"","ШЛ."&amp;'SV777-2 (SV004)'!D204)</f>
        <v/>
      </c>
    </row>
    <row r="45" spans="1:5" x14ac:dyDescent="0.25">
      <c r="A45">
        <v>6</v>
      </c>
      <c r="B45" t="str">
        <f>IF('SV777-2 (SV004)'!F204&lt;1,"резерв",'SV777-2 (SV004)'!F204)</f>
        <v>резерв</v>
      </c>
      <c r="C45" s="59" t="str">
        <f>'SV777-2 (SV004)'!F205</f>
        <v/>
      </c>
      <c r="D45" s="60" t="str">
        <f>IF(B45="резерв","",'SV777-2 (SV004)'!H205)</f>
        <v/>
      </c>
      <c r="E45" t="str">
        <f>IF('SV777-2 (SV004)'!H204&lt;1,"","ШЛ."&amp;'SV777-2 (SV004)'!H204)</f>
        <v/>
      </c>
    </row>
    <row r="46" spans="1:5" x14ac:dyDescent="0.25">
      <c r="A46">
        <v>7</v>
      </c>
      <c r="B46" t="str">
        <f>IF('SV777-2 (SV004)'!J204&lt;1,"резерв",'SV777-2 (SV004)'!J204)</f>
        <v>резерв</v>
      </c>
      <c r="C46" s="59" t="str">
        <f>'SV777-2 (SV004)'!J205</f>
        <v/>
      </c>
      <c r="D46" s="60" t="str">
        <f>IF(B46="резерв","",'SV777-2 (SV004)'!L205)</f>
        <v/>
      </c>
      <c r="E46" t="str">
        <f>IF('SV777-2 (SV004)'!L204&lt;1,"","ШЛ."&amp;'SV777-2 (SV004)'!L204)</f>
        <v/>
      </c>
    </row>
    <row r="47" spans="1:5" x14ac:dyDescent="0.25">
      <c r="A47">
        <v>8</v>
      </c>
      <c r="B47" t="str">
        <f>IF('SV777-2 (SV004)'!N204&lt;1,"резерв",'SV777-2 (SV004)'!N204)</f>
        <v>резерв</v>
      </c>
      <c r="C47" s="59" t="str">
        <f>'SV777-2 (SV004)'!N205</f>
        <v/>
      </c>
      <c r="D47" s="60" t="str">
        <f>IF(B47="резерв","",'SV777-2 (SV004)'!P205)</f>
        <v/>
      </c>
      <c r="E47" t="str">
        <f>IF('SV777-2 (SV004)'!P204&lt;1,"","ШЛ."&amp;'SV777-2 (SV004)'!P204)</f>
        <v/>
      </c>
    </row>
    <row r="48" spans="1:5" x14ac:dyDescent="0.25">
      <c r="B48" t="s">
        <v>174</v>
      </c>
    </row>
    <row r="49" spans="1:5" x14ac:dyDescent="0.25">
      <c r="A49">
        <v>1</v>
      </c>
      <c r="B49" t="str">
        <f>IF('SV777-2 (SV004)'!B226&lt;1,"резерв",'SV777-2 (SV004)'!B226)</f>
        <v>резерв</v>
      </c>
      <c r="C49" s="59" t="str">
        <f>'SV777-2 (SV004)'!B227</f>
        <v/>
      </c>
      <c r="D49" s="60" t="str">
        <f>IF(B49="резерв","",'SV777-2 (SV004)'!D227)</f>
        <v/>
      </c>
      <c r="E49" t="str">
        <f>IF('SV777-2 (SV004)'!D226&lt;1,"","ШЛ."&amp;'SV777-2 (SV004)'!D226)</f>
        <v/>
      </c>
    </row>
    <row r="50" spans="1:5" x14ac:dyDescent="0.25">
      <c r="A50">
        <v>2</v>
      </c>
      <c r="B50" t="str">
        <f>IF('SV777-2 (SV004)'!F226&lt;1,"резерв",'SV777-2 (SV004)'!F226)</f>
        <v>резерв</v>
      </c>
      <c r="C50" s="59" t="str">
        <f>'SV777-2 (SV004)'!F227</f>
        <v/>
      </c>
      <c r="D50" s="60" t="str">
        <f>IF(B50="резерв","",'SV777-2 (SV004)'!H227)</f>
        <v/>
      </c>
      <c r="E50" t="str">
        <f>IF('SV777-2 (SV004)'!H226&lt;1,"","ШЛ."&amp;'SV777-2 (SV004)'!H226)</f>
        <v/>
      </c>
    </row>
    <row r="51" spans="1:5" x14ac:dyDescent="0.25">
      <c r="A51">
        <v>3</v>
      </c>
      <c r="B51" t="str">
        <f>IF('SV777-2 (SV004)'!J226&lt;1,"резерв",'SV777-2 (SV004)'!J226)</f>
        <v>резерв</v>
      </c>
      <c r="C51" s="59" t="str">
        <f>'SV777-2 (SV004)'!J227</f>
        <v/>
      </c>
      <c r="D51" s="60" t="str">
        <f>IF(B51="резерв","",'SV777-2 (SV004)'!L227)</f>
        <v/>
      </c>
      <c r="E51" t="str">
        <f>IF('SV777-2 (SV004)'!L226&lt;1,"","ШЛ."&amp;'SV777-2 (SV004)'!L226)</f>
        <v/>
      </c>
    </row>
    <row r="52" spans="1:5" x14ac:dyDescent="0.25">
      <c r="A52">
        <v>4</v>
      </c>
      <c r="B52" t="str">
        <f>IF('SV777-2 (SV004)'!N226&lt;1,"резерв",'SV777-2 (SV004)'!N226)</f>
        <v>резерв</v>
      </c>
      <c r="C52" s="59" t="str">
        <f>'SV777-2 (SV004)'!N227</f>
        <v/>
      </c>
      <c r="D52" s="60" t="str">
        <f>IF(B52="резерв","",'SV777-2 (SV004)'!P227)</f>
        <v/>
      </c>
      <c r="E52" t="str">
        <f>IF('SV777-2 (SV004)'!P226&lt;1,"","ШЛ."&amp;'SV777-2 (SV004)'!P226)</f>
        <v/>
      </c>
    </row>
    <row r="53" spans="1:5" x14ac:dyDescent="0.25">
      <c r="A53">
        <v>5</v>
      </c>
      <c r="B53" t="str">
        <f>IF('SV777-2 (SV004)'!B246&lt;1,"резерв",'SV777-2 (SV004)'!B246)</f>
        <v>резерв</v>
      </c>
      <c r="C53" s="59" t="str">
        <f>'SV777-2 (SV004)'!B247</f>
        <v/>
      </c>
      <c r="D53" s="60" t="str">
        <f>IF(B53="резерв","",'SV777-2 (SV004)'!D247)</f>
        <v/>
      </c>
      <c r="E53" t="str">
        <f>IF('SV777-2 (SV004)'!D246&lt;1,"","ШЛ."&amp;'SV777-2 (SV004)'!D246)</f>
        <v/>
      </c>
    </row>
    <row r="54" spans="1:5" x14ac:dyDescent="0.25">
      <c r="A54">
        <v>6</v>
      </c>
      <c r="B54" t="str">
        <f>IF('SV777-2 (SV004)'!F246&lt;1,"резерв",'SV777-2 (SV004)'!F246)</f>
        <v>резерв</v>
      </c>
      <c r="C54" s="59" t="str">
        <f>'SV777-2 (SV004)'!F247</f>
        <v/>
      </c>
      <c r="D54" s="60" t="str">
        <f>IF(B54="резерв","",'SV777-2 (SV004)'!H247)</f>
        <v/>
      </c>
      <c r="E54" t="str">
        <f>IF('SV777-2 (SV004)'!H246&lt;1,"","ШЛ."&amp;'SV777-2 (SV004)'!H246)</f>
        <v/>
      </c>
    </row>
    <row r="55" spans="1:5" x14ac:dyDescent="0.25">
      <c r="A55">
        <v>7</v>
      </c>
      <c r="B55" t="str">
        <f>IF('SV777-2 (SV004)'!J246&lt;1,"резерв",'SV777-2 (SV004)'!J246)</f>
        <v>резерв</v>
      </c>
      <c r="C55" s="59" t="str">
        <f>'SV777-2 (SV004)'!J247</f>
        <v/>
      </c>
      <c r="D55" s="60" t="str">
        <f>IF(B55="резерв","",'SV777-2 (SV004)'!L247)</f>
        <v/>
      </c>
      <c r="E55" t="str">
        <f>IF('SV777-2 (SV004)'!L246&lt;1,"","ШЛ."&amp;'SV777-2 (SV004)'!L246)</f>
        <v/>
      </c>
    </row>
    <row r="56" spans="1:5" x14ac:dyDescent="0.25">
      <c r="A56">
        <v>8</v>
      </c>
      <c r="B56" t="str">
        <f>IF('SV777-2 (SV004)'!N246&lt;1,"резерв",'SV777-2 (SV004)'!N246)</f>
        <v>резерв</v>
      </c>
      <c r="C56" s="59" t="str">
        <f>'SV777-2 (SV004)'!N247</f>
        <v/>
      </c>
      <c r="D56" s="60" t="str">
        <f>IF(B56="резерв","",'SV777-2 (SV004)'!P247)</f>
        <v/>
      </c>
      <c r="E56" t="str">
        <f>IF('SV777-2 (SV004)'!P246&lt;1,"","ШЛ."&amp;'SV777-2 (SV004)'!P246)</f>
        <v/>
      </c>
    </row>
    <row r="57" spans="1:5" x14ac:dyDescent="0.25">
      <c r="B57" t="s">
        <v>175</v>
      </c>
    </row>
    <row r="58" spans="1:5" x14ac:dyDescent="0.25">
      <c r="A58">
        <v>1</v>
      </c>
      <c r="B58" t="str">
        <f>IF('SV777-2 (SV004)'!B268&lt;1,"резерв",'SV777-2 (SV004)'!B268)</f>
        <v>резерв</v>
      </c>
      <c r="C58" s="59" t="str">
        <f>'SV777-2 (SV004)'!B269</f>
        <v/>
      </c>
      <c r="D58" s="60" t="str">
        <f>IF(B58="резерв","",'SV777-2 (SV004)'!D269)</f>
        <v/>
      </c>
      <c r="E58" t="str">
        <f>IF('SV777-2 (SV004)'!D268&lt;1,"","ШЛ."&amp;'SV777-2 (SV004)'!D268)</f>
        <v/>
      </c>
    </row>
    <row r="59" spans="1:5" x14ac:dyDescent="0.25">
      <c r="A59">
        <v>2</v>
      </c>
      <c r="B59" t="str">
        <f>IF('SV777-2 (SV004)'!F268&lt;1,"резерв",'SV777-2 (SV004)'!F268)</f>
        <v>резерв</v>
      </c>
      <c r="C59" s="59" t="str">
        <f>'SV777-2 (SV004)'!F269</f>
        <v/>
      </c>
      <c r="D59" s="60" t="str">
        <f>IF(B59="резерв","",'SV777-2 (SV004)'!H269)</f>
        <v/>
      </c>
      <c r="E59" t="str">
        <f>IF('SV777-2 (SV004)'!H268&lt;1,"","ШЛ."&amp;'SV777-2 (SV004)'!H268)</f>
        <v/>
      </c>
    </row>
    <row r="60" spans="1:5" x14ac:dyDescent="0.25">
      <c r="A60">
        <v>3</v>
      </c>
      <c r="B60" t="str">
        <f>IF('SV777-2 (SV004)'!J268&lt;1,"резерв",'SV777-2 (SV004)'!J268)</f>
        <v>резерв</v>
      </c>
      <c r="C60" s="59" t="str">
        <f>'SV777-2 (SV004)'!J269</f>
        <v/>
      </c>
      <c r="D60" s="60" t="str">
        <f>IF(B60="резерв","",'SV777-2 (SV004)'!L269)</f>
        <v/>
      </c>
      <c r="E60" t="str">
        <f>IF('SV777-2 (SV004)'!L268&lt;1,"","ШЛ."&amp;'SV777-2 (SV004)'!L268)</f>
        <v/>
      </c>
    </row>
    <row r="61" spans="1:5" x14ac:dyDescent="0.25">
      <c r="A61">
        <v>4</v>
      </c>
      <c r="B61" t="str">
        <f>IF('SV777-2 (SV004)'!N268&lt;1,"резерв",'SV777-2 (SV004)'!N268)</f>
        <v>резерв</v>
      </c>
      <c r="C61" s="59" t="str">
        <f>'SV777-2 (SV004)'!N269</f>
        <v/>
      </c>
      <c r="D61" s="60" t="str">
        <f>IF(B61="резерв","",'SV777-2 (SV004)'!P269)</f>
        <v/>
      </c>
      <c r="E61" t="str">
        <f>IF('SV777-2 (SV004)'!P268&lt;1,"","ШЛ."&amp;'SV777-2 (SV004)'!P268)</f>
        <v/>
      </c>
    </row>
    <row r="62" spans="1:5" x14ac:dyDescent="0.25">
      <c r="A62">
        <v>5</v>
      </c>
      <c r="B62" t="str">
        <f>IF('SV777-2 (SV004)'!B288&lt;1,"резерв",'SV777-2 (SV004)'!B288)</f>
        <v>резерв</v>
      </c>
      <c r="C62" s="59" t="str">
        <f>'SV777-2 (SV004)'!B289</f>
        <v/>
      </c>
      <c r="D62" s="60" t="str">
        <f>IF(B62="резерв","",'SV777-2 (SV004)'!D289)</f>
        <v/>
      </c>
      <c r="E62" t="str">
        <f>IF('SV777-2 (SV004)'!D288&lt;1,"","ШЛ."&amp;'SV777-2 (SV004)'!D288)</f>
        <v/>
      </c>
    </row>
    <row r="63" spans="1:5" x14ac:dyDescent="0.25">
      <c r="A63">
        <v>6</v>
      </c>
      <c r="B63" t="str">
        <f>IF('SV777-2 (SV004)'!F288&lt;1,"резерв",'SV777-2 (SV004)'!F288)</f>
        <v>резерв</v>
      </c>
      <c r="C63" s="59" t="str">
        <f>'SV777-2 (SV004)'!F289</f>
        <v/>
      </c>
      <c r="D63" s="60" t="str">
        <f>IF(B63="резерв","",'SV777-2 (SV004)'!H289)</f>
        <v/>
      </c>
      <c r="E63" t="str">
        <f>IF('SV777-2 (SV004)'!H288&lt;1,"","ШЛ."&amp;'SV777-2 (SV004)'!H288)</f>
        <v/>
      </c>
    </row>
    <row r="64" spans="1:5" x14ac:dyDescent="0.25">
      <c r="A64">
        <v>7</v>
      </c>
      <c r="B64" t="str">
        <f>IF('SV777-2 (SV004)'!J288&lt;1,"резерв",'SV777-2 (SV004)'!J288)</f>
        <v>резерв</v>
      </c>
      <c r="C64" s="59" t="str">
        <f>'SV777-2 (SV004)'!J289</f>
        <v/>
      </c>
      <c r="D64" s="60" t="str">
        <f>IF(B64="резерв","",'SV777-2 (SV004)'!L289)</f>
        <v/>
      </c>
      <c r="E64" t="str">
        <f>IF('SV777-2 (SV004)'!L288&lt;1,"","ШЛ."&amp;'SV777-2 (SV004)'!L288)</f>
        <v/>
      </c>
    </row>
    <row r="65" spans="1:5" x14ac:dyDescent="0.25">
      <c r="A65">
        <v>8</v>
      </c>
      <c r="B65" t="str">
        <f>IF('SV777-2 (SV004)'!N288&lt;1,"резерв",'SV777-2 (SV004)'!N288)</f>
        <v>резерв</v>
      </c>
      <c r="C65" s="59" t="str">
        <f>'SV777-2 (SV004)'!N289</f>
        <v/>
      </c>
      <c r="D65" s="60" t="str">
        <f>IF(B65="резерв","",'SV777-2 (SV004)'!P289)</f>
        <v/>
      </c>
      <c r="E65" t="str">
        <f>IF('SV777-2 (SV004)'!P288&lt;1,"","ШЛ."&amp;'SV777-2 (SV004)'!P288)</f>
        <v/>
      </c>
    </row>
    <row r="66" spans="1:5" x14ac:dyDescent="0.25">
      <c r="B66" t="s">
        <v>176</v>
      </c>
    </row>
    <row r="67" spans="1:5" x14ac:dyDescent="0.25">
      <c r="A67">
        <v>1</v>
      </c>
      <c r="B67" t="str">
        <f>IF('SV777-2 (SV004)'!B310&lt;1,"резерв",'SV777-2 (SV004)'!B310)</f>
        <v>резерв</v>
      </c>
      <c r="C67" s="59" t="str">
        <f>'SV777-2 (SV004)'!B311</f>
        <v/>
      </c>
      <c r="D67" s="60" t="str">
        <f>IF(B67="резерв","",'SV777-2 (SV004)'!D311)</f>
        <v/>
      </c>
      <c r="E67" t="str">
        <f>IF('SV777-2 (SV004)'!D310&lt;1,"","ШЛ."&amp;'SV777-2 (SV004)'!D310)</f>
        <v/>
      </c>
    </row>
    <row r="68" spans="1:5" x14ac:dyDescent="0.25">
      <c r="A68">
        <v>2</v>
      </c>
      <c r="B68" t="str">
        <f>IF('SV777-2 (SV004)'!F310&lt;1,"резерв",'SV777-2 (SV004)'!F310)</f>
        <v>резерв</v>
      </c>
      <c r="C68" s="59" t="str">
        <f>'SV777-2 (SV004)'!F311</f>
        <v/>
      </c>
      <c r="D68" s="60" t="str">
        <f>IF(B68="резерв","",'SV777-2 (SV004)'!H311)</f>
        <v/>
      </c>
      <c r="E68" t="str">
        <f>IF('SV777-2 (SV004)'!H310&lt;1,"","ШЛ."&amp;'SV777-2 (SV004)'!H310)</f>
        <v/>
      </c>
    </row>
    <row r="69" spans="1:5" x14ac:dyDescent="0.25">
      <c r="A69">
        <v>3</v>
      </c>
      <c r="B69" t="str">
        <f>IF('SV777-2 (SV004)'!J310&lt;1,"резерв",'SV777-2 (SV004)'!J310)</f>
        <v>резерв</v>
      </c>
      <c r="C69" s="59" t="str">
        <f>'SV777-2 (SV004)'!J311</f>
        <v/>
      </c>
      <c r="D69" s="60" t="str">
        <f>IF(B69="резерв","",'SV777-2 (SV004)'!L311)</f>
        <v/>
      </c>
      <c r="E69" t="str">
        <f>IF('SV777-2 (SV004)'!L310&lt;1,"","ШЛ."&amp;'SV777-2 (SV004)'!L310)</f>
        <v/>
      </c>
    </row>
    <row r="70" spans="1:5" x14ac:dyDescent="0.25">
      <c r="A70">
        <v>4</v>
      </c>
      <c r="B70" t="str">
        <f>IF('SV777-2 (SV004)'!N310&lt;1,"резерв",'SV777-2 (SV004)'!N310)</f>
        <v>резерв</v>
      </c>
      <c r="C70" s="59" t="str">
        <f>'SV777-2 (SV004)'!N311</f>
        <v/>
      </c>
      <c r="D70" s="60" t="str">
        <f>IF(B70="резерв","",'SV777-2 (SV004)'!P311)</f>
        <v/>
      </c>
      <c r="E70" t="str">
        <f>IF('SV777-2 (SV004)'!P310&lt;1,"","ШЛ."&amp;'SV777-2 (SV004)'!P310)</f>
        <v/>
      </c>
    </row>
    <row r="71" spans="1:5" x14ac:dyDescent="0.25">
      <c r="A71">
        <v>5</v>
      </c>
      <c r="B71" t="str">
        <f>IF('SV777-2 (SV004)'!B330&lt;1,"резерв",'SV777-2 (SV004)'!B330)</f>
        <v>резерв</v>
      </c>
      <c r="C71" s="59" t="str">
        <f>'SV777-2 (SV004)'!B331</f>
        <v/>
      </c>
      <c r="D71" s="60" t="str">
        <f>IF(B71="резерв","",'SV777-2 (SV004)'!D331)</f>
        <v/>
      </c>
      <c r="E71" t="str">
        <f>IF('SV777-2 (SV004)'!D330&lt;1,"","ШЛ."&amp;'SV777-2 (SV004)'!D330)</f>
        <v/>
      </c>
    </row>
    <row r="72" spans="1:5" x14ac:dyDescent="0.25">
      <c r="A72">
        <v>6</v>
      </c>
      <c r="B72" t="str">
        <f>IF('SV777-2 (SV004)'!F330&lt;1,"резерв",'SV777-2 (SV004)'!F330)</f>
        <v>резерв</v>
      </c>
      <c r="C72" s="59" t="str">
        <f>'SV777-2 (SV004)'!F331</f>
        <v/>
      </c>
      <c r="D72" s="60" t="str">
        <f>IF(B72="резерв","",'SV777-2 (SV004)'!H331)</f>
        <v/>
      </c>
      <c r="E72" t="str">
        <f>IF('SV777-2 (SV004)'!H330&lt;1,"","ШЛ."&amp;'SV777-2 (SV004)'!H330)</f>
        <v/>
      </c>
    </row>
    <row r="73" spans="1:5" x14ac:dyDescent="0.25">
      <c r="A73">
        <v>7</v>
      </c>
      <c r="B73" t="str">
        <f>IF('SV777-2 (SV004)'!J330&lt;1,"резерв",'SV777-2 (SV004)'!J330)</f>
        <v>резерв</v>
      </c>
      <c r="C73" s="59" t="str">
        <f>'SV777-2 (SV004)'!J331</f>
        <v/>
      </c>
      <c r="D73" s="60" t="str">
        <f>IF(B73="резерв","",'SV777-2 (SV004)'!L331)</f>
        <v/>
      </c>
      <c r="E73" t="str">
        <f>IF('SV777-2 (SV004)'!L330&lt;1,"","ШЛ."&amp;'SV777-2 (SV004)'!L330)</f>
        <v/>
      </c>
    </row>
    <row r="74" spans="1:5" x14ac:dyDescent="0.25">
      <c r="A74">
        <v>8</v>
      </c>
      <c r="B74" t="str">
        <f>IF('SV777-2 (SV004)'!N330&lt;1,"резерв",'SV777-2 (SV004)'!N330)</f>
        <v>резерв</v>
      </c>
      <c r="C74" s="59" t="str">
        <f>'SV777-2 (SV004)'!N331</f>
        <v/>
      </c>
      <c r="D74" s="60" t="str">
        <f>IF(B74="резерв","",'SV777-2 (SV004)'!P331)</f>
        <v/>
      </c>
      <c r="E74" t="str">
        <f>IF('SV777-2 (SV004)'!P330&lt;1,"","ШЛ."&amp;'SV777-2 (SV004)'!P330)</f>
        <v/>
      </c>
    </row>
    <row r="75" spans="1:5" x14ac:dyDescent="0.25">
      <c r="B75" t="s">
        <v>177</v>
      </c>
    </row>
    <row r="76" spans="1:5" x14ac:dyDescent="0.25">
      <c r="A76">
        <v>1</v>
      </c>
      <c r="B76" t="str">
        <f>IF('SV777-2 (SV004)'!B352&lt;1,"резерв",'SV777-2 (SV004)'!B352)</f>
        <v>резерв</v>
      </c>
      <c r="C76" s="59" t="str">
        <f>'SV777-2 (SV004)'!B353</f>
        <v/>
      </c>
      <c r="D76" s="60" t="str">
        <f>IF(B76="резерв","",'SV777-2 (SV004)'!D353)</f>
        <v/>
      </c>
      <c r="E76" t="str">
        <f>IF('SV777-2 (SV004)'!D352&lt;1,"","ШЛ."&amp;'SV777-2 (SV004)'!D352)</f>
        <v/>
      </c>
    </row>
    <row r="77" spans="1:5" x14ac:dyDescent="0.25">
      <c r="A77">
        <v>2</v>
      </c>
      <c r="B77" t="str">
        <f>IF('SV777-2 (SV004)'!F352&lt;1,"резерв",'SV777-2 (SV004)'!F352)</f>
        <v>резерв</v>
      </c>
      <c r="C77" s="59" t="str">
        <f>'SV777-2 (SV004)'!F353</f>
        <v/>
      </c>
      <c r="D77" s="60" t="str">
        <f>IF(B77="резерв","",'SV777-2 (SV004)'!H353)</f>
        <v/>
      </c>
      <c r="E77" t="str">
        <f>IF('SV777-2 (SV004)'!H352&lt;1,"","ШЛ."&amp;'SV777-2 (SV004)'!H352)</f>
        <v/>
      </c>
    </row>
    <row r="78" spans="1:5" x14ac:dyDescent="0.25">
      <c r="A78">
        <v>3</v>
      </c>
      <c r="B78" t="str">
        <f>IF('SV777-2 (SV004)'!J352&lt;1,"резерв",'SV777-2 (SV004)'!J352)</f>
        <v>резерв</v>
      </c>
      <c r="C78" s="59" t="str">
        <f>'SV777-2 (SV004)'!J353</f>
        <v/>
      </c>
      <c r="D78" s="60" t="str">
        <f>IF(B78="резерв","",'SV777-2 (SV004)'!L353)</f>
        <v/>
      </c>
      <c r="E78" t="str">
        <f>IF('SV777-2 (SV004)'!L352&lt;1,"","ШЛ."&amp;'SV777-2 (SV004)'!L352)</f>
        <v/>
      </c>
    </row>
    <row r="79" spans="1:5" x14ac:dyDescent="0.25">
      <c r="A79">
        <v>4</v>
      </c>
      <c r="B79" t="str">
        <f>IF('SV777-2 (SV004)'!N352&lt;1,"резерв",'SV777-2 (SV004)'!N352)</f>
        <v>резерв</v>
      </c>
      <c r="C79" s="59" t="str">
        <f>'SV777-2 (SV004)'!N353</f>
        <v/>
      </c>
      <c r="D79" s="60" t="str">
        <f>IF(B79="резерв","",'SV777-2 (SV004)'!P353)</f>
        <v/>
      </c>
      <c r="E79" t="str">
        <f>IF('SV777-2 (SV004)'!P352&lt;1,"","ШЛ."&amp;'SV777-2 (SV004)'!P352)</f>
        <v/>
      </c>
    </row>
    <row r="80" spans="1:5" x14ac:dyDescent="0.25">
      <c r="A80">
        <v>5</v>
      </c>
      <c r="B80" t="str">
        <f>IF('SV777-2 (SV004)'!B372&lt;1,"резерв",'SV777-2 (SV004)'!B372)</f>
        <v>резерв</v>
      </c>
      <c r="C80" s="59" t="str">
        <f>'SV777-2 (SV004)'!B373</f>
        <v/>
      </c>
      <c r="D80" s="60" t="str">
        <f>IF(B80="резерв","",'SV777-2 (SV004)'!D373)</f>
        <v/>
      </c>
      <c r="E80" t="str">
        <f>IF('SV777-2 (SV004)'!D372&lt;1,"","ШЛ."&amp;'SV777-2 (SV004)'!D372)</f>
        <v/>
      </c>
    </row>
    <row r="81" spans="1:5" x14ac:dyDescent="0.25">
      <c r="A81">
        <v>6</v>
      </c>
      <c r="B81" t="str">
        <f>IF('SV777-2 (SV004)'!F372&lt;1,"резерв",'SV777-2 (SV004)'!F372)</f>
        <v>резерв</v>
      </c>
      <c r="C81" s="59" t="str">
        <f>'SV777-2 (SV004)'!F373</f>
        <v/>
      </c>
      <c r="D81" s="60" t="str">
        <f>IF(B81="резерв","",'SV777-2 (SV004)'!H373)</f>
        <v/>
      </c>
      <c r="E81" t="str">
        <f>IF('SV777-2 (SV004)'!H372&lt;1,"","ШЛ."&amp;'SV777-2 (SV004)'!H372)</f>
        <v/>
      </c>
    </row>
    <row r="82" spans="1:5" x14ac:dyDescent="0.25">
      <c r="A82">
        <v>7</v>
      </c>
      <c r="B82" t="str">
        <f>IF('SV777-2 (SV004)'!J372&lt;1,"резерв",'SV777-2 (SV004)'!J372)</f>
        <v>резерв</v>
      </c>
      <c r="C82" s="59" t="str">
        <f>'SV777-2 (SV004)'!J373</f>
        <v/>
      </c>
      <c r="D82" s="60" t="str">
        <f>IF(B82="резерв","",'SV777-2 (SV004)'!L373)</f>
        <v/>
      </c>
      <c r="E82" t="str">
        <f>IF('SV777-2 (SV004)'!L372&lt;1,"","ШЛ."&amp;'SV777-2 (SV004)'!L372)</f>
        <v/>
      </c>
    </row>
    <row r="83" spans="1:5" x14ac:dyDescent="0.25">
      <c r="A83">
        <v>8</v>
      </c>
      <c r="B83" t="str">
        <f>IF('SV777-2 (SV004)'!N372&lt;1,"резерв",'SV777-2 (SV004)'!N372)</f>
        <v>резерв</v>
      </c>
      <c r="C83" s="59" t="str">
        <f>'SV777-2 (SV004)'!N373</f>
        <v/>
      </c>
      <c r="D83" s="60" t="str">
        <f>IF(B83="резерв","",'SV777-2 (SV004)'!P373)</f>
        <v/>
      </c>
      <c r="E83" t="str">
        <f>IF('SV777-2 (SV004)'!P372&lt;1,"","ШЛ."&amp;'SV777-2 (SV004)'!P372)</f>
        <v/>
      </c>
    </row>
    <row r="84" spans="1:5" x14ac:dyDescent="0.25">
      <c r="B84" t="s">
        <v>178</v>
      </c>
    </row>
    <row r="85" spans="1:5" x14ac:dyDescent="0.25">
      <c r="A85">
        <v>1</v>
      </c>
      <c r="B85" t="str">
        <f>IF('SV777-2 (SV004)'!B394&lt;1,"резерв",'SV777-2 (SV004)'!B394)</f>
        <v>резерв</v>
      </c>
      <c r="C85" s="59" t="str">
        <f>'SV777-2 (SV004)'!B395</f>
        <v/>
      </c>
      <c r="D85" s="60" t="str">
        <f>IF(B85="резерв","",'SV777-2 (SV004)'!D395)</f>
        <v/>
      </c>
      <c r="E85" t="str">
        <f>IF('SV777-2 (SV004)'!D394&lt;1,"","ШЛ."&amp;'SV777-2 (SV004)'!D394)</f>
        <v/>
      </c>
    </row>
    <row r="86" spans="1:5" x14ac:dyDescent="0.25">
      <c r="A86">
        <v>2</v>
      </c>
      <c r="B86" t="str">
        <f>IF('SV777-2 (SV004)'!F394&lt;1,"резерв",'SV777-2 (SV004)'!F394)</f>
        <v>резерв</v>
      </c>
      <c r="C86" s="59" t="str">
        <f>'SV777-2 (SV004)'!F395</f>
        <v/>
      </c>
      <c r="D86" s="60" t="str">
        <f>IF(B86="резерв","",'SV777-2 (SV004)'!H395)</f>
        <v/>
      </c>
      <c r="E86" t="str">
        <f>IF('SV777-2 (SV004)'!H394&lt;1,"","ШЛ."&amp;'SV777-2 (SV004)'!H394)</f>
        <v/>
      </c>
    </row>
    <row r="87" spans="1:5" x14ac:dyDescent="0.25">
      <c r="A87">
        <v>3</v>
      </c>
      <c r="B87" t="str">
        <f>IF('SV777-2 (SV004)'!J394&lt;1,"резерв",'SV777-2 (SV004)'!J394)</f>
        <v>резерв</v>
      </c>
      <c r="C87" s="59" t="str">
        <f>'SV777-2 (SV004)'!J395</f>
        <v/>
      </c>
      <c r="D87" s="60" t="str">
        <f>IF(B87="резерв","",'SV777-2 (SV004)'!L395)</f>
        <v/>
      </c>
      <c r="E87" t="str">
        <f>IF('SV777-2 (SV004)'!L394&lt;1,"","ШЛ."&amp;'SV777-2 (SV004)'!L394)</f>
        <v/>
      </c>
    </row>
    <row r="88" spans="1:5" x14ac:dyDescent="0.25">
      <c r="A88">
        <v>4</v>
      </c>
      <c r="B88" t="str">
        <f>IF('SV777-2 (SV004)'!N394&lt;1,"резерв",'SV777-2 (SV004)'!N394)</f>
        <v>резерв</v>
      </c>
      <c r="C88" s="59" t="str">
        <f>'SV777-2 (SV004)'!N395</f>
        <v/>
      </c>
      <c r="D88" s="60" t="str">
        <f>IF(B88="резерв","",'SV777-2 (SV004)'!P395)</f>
        <v/>
      </c>
      <c r="E88" t="str">
        <f>IF('SV777-2 (SV004)'!P394&lt;1,"","ШЛ."&amp;'SV777-2 (SV004)'!P394)</f>
        <v/>
      </c>
    </row>
    <row r="89" spans="1:5" x14ac:dyDescent="0.25">
      <c r="A89">
        <v>5</v>
      </c>
      <c r="B89" t="str">
        <f>IF('SV777-2 (SV004)'!B414&lt;1,"резерв",'SV777-2 (SV004)'!B414)</f>
        <v>резерв</v>
      </c>
      <c r="C89" s="59" t="str">
        <f>'SV777-2 (SV004)'!B415</f>
        <v/>
      </c>
      <c r="D89" s="60" t="str">
        <f>IF(B89="резерв","",'SV777-2 (SV004)'!D415)</f>
        <v/>
      </c>
      <c r="E89" t="str">
        <f>IF('SV777-2 (SV004)'!D414&lt;1,"","ШЛ."&amp;'SV777-2 (SV004)'!D414)</f>
        <v/>
      </c>
    </row>
    <row r="90" spans="1:5" x14ac:dyDescent="0.25">
      <c r="A90">
        <v>6</v>
      </c>
      <c r="B90" t="str">
        <f>IF('SV777-2 (SV004)'!F414&lt;1,"резерв",'SV777-2 (SV004)'!F414)</f>
        <v>резерв</v>
      </c>
      <c r="C90" s="59" t="str">
        <f>'SV777-2 (SV004)'!F415</f>
        <v/>
      </c>
      <c r="D90" s="60" t="str">
        <f>IF(B90="резерв","",'SV777-2 (SV004)'!H415)</f>
        <v/>
      </c>
      <c r="E90" t="str">
        <f>IF('SV777-2 (SV004)'!H414&lt;1,"","ШЛ."&amp;'SV777-2 (SV004)'!H414)</f>
        <v/>
      </c>
    </row>
    <row r="91" spans="1:5" x14ac:dyDescent="0.25">
      <c r="A91">
        <v>7</v>
      </c>
      <c r="B91" t="str">
        <f>IF('SV777-2 (SV004)'!J414&lt;1,"резерв",'SV777-2 (SV004)'!J414)</f>
        <v>резерв</v>
      </c>
      <c r="C91" s="59" t="str">
        <f>'SV777-2 (SV004)'!J415</f>
        <v/>
      </c>
      <c r="D91" s="60" t="str">
        <f>IF(B91="резерв","",'SV777-2 (SV004)'!L415)</f>
        <v/>
      </c>
      <c r="E91" t="str">
        <f>IF('SV777-2 (SV004)'!L414&lt;1,"","ШЛ."&amp;'SV777-2 (SV004)'!L414)</f>
        <v/>
      </c>
    </row>
    <row r="92" spans="1:5" x14ac:dyDescent="0.25">
      <c r="A92">
        <v>8</v>
      </c>
      <c r="B92" t="str">
        <f>IF('SV777-2 (SV004)'!N414&lt;1,"резерв",'SV777-2 (SV004)'!N414)</f>
        <v>резерв</v>
      </c>
      <c r="C92" s="59" t="str">
        <f>'SV777-2 (SV004)'!N415</f>
        <v/>
      </c>
      <c r="D92" s="60" t="str">
        <f>IF(B92="резерв","",'SV777-2 (SV004)'!P415)</f>
        <v/>
      </c>
      <c r="E92" t="str">
        <f>IF('SV777-2 (SV004)'!P414&lt;1,"","ШЛ."&amp;'SV777-2 (SV004)'!P414)</f>
        <v/>
      </c>
    </row>
    <row r="93" spans="1:5" x14ac:dyDescent="0.25">
      <c r="B93" t="s">
        <v>179</v>
      </c>
    </row>
    <row r="94" spans="1:5" x14ac:dyDescent="0.25">
      <c r="A94">
        <v>1</v>
      </c>
      <c r="B94" t="str">
        <f>IF('SV777-2 (SV004)'!B436&lt;1,"резерв",'SV777-2 (SV004)'!B436)</f>
        <v>резерв</v>
      </c>
      <c r="C94" s="59" t="str">
        <f>'SV777-2 (SV004)'!B437</f>
        <v/>
      </c>
      <c r="D94" s="60" t="str">
        <f>IF(B94="резерв","",'SV777-2 (SV004)'!D437)</f>
        <v/>
      </c>
      <c r="E94" t="str">
        <f>IF('SV777-2 (SV004)'!D436&lt;1,"","ШЛ."&amp;'SV777-2 (SV004)'!D436)</f>
        <v/>
      </c>
    </row>
    <row r="95" spans="1:5" x14ac:dyDescent="0.25">
      <c r="A95">
        <v>2</v>
      </c>
      <c r="B95" t="str">
        <f>IF('SV777-2 (SV004)'!F436&lt;1,"резерв",'SV777-2 (SV004)'!F436)</f>
        <v>резерв</v>
      </c>
      <c r="C95" s="59" t="str">
        <f>'SV777-2 (SV004)'!F437</f>
        <v/>
      </c>
      <c r="D95" s="60" t="str">
        <f>IF(B95="резерв","",'SV777-2 (SV004)'!H437)</f>
        <v/>
      </c>
      <c r="E95" t="str">
        <f>IF('SV777-2 (SV004)'!H436&lt;1,"","ШЛ."&amp;'SV777-2 (SV004)'!H436)</f>
        <v/>
      </c>
    </row>
    <row r="96" spans="1:5" x14ac:dyDescent="0.25">
      <c r="A96">
        <v>3</v>
      </c>
      <c r="B96" t="str">
        <f>IF('SV777-2 (SV004)'!J436&lt;1,"резерв",'SV777-2 (SV004)'!J436)</f>
        <v>резерв</v>
      </c>
      <c r="C96" s="59" t="str">
        <f>'SV777-2 (SV004)'!J437</f>
        <v/>
      </c>
      <c r="D96" s="60" t="str">
        <f>IF(B96="резерв","",'SV777-2 (SV004)'!L437)</f>
        <v/>
      </c>
      <c r="E96" t="str">
        <f>IF('SV777-2 (SV004)'!L436&lt;1,"","ШЛ."&amp;'SV777-2 (SV004)'!L436)</f>
        <v/>
      </c>
    </row>
    <row r="97" spans="1:5" x14ac:dyDescent="0.25">
      <c r="A97">
        <v>4</v>
      </c>
      <c r="B97" t="str">
        <f>IF('SV777-2 (SV004)'!N436&lt;1,"резерв",'SV777-2 (SV004)'!N436)</f>
        <v>резерв</v>
      </c>
      <c r="C97" s="59" t="str">
        <f>'SV777-2 (SV004)'!N437</f>
        <v/>
      </c>
      <c r="D97" s="60" t="str">
        <f>IF(B97="резерв","",'SV777-2 (SV004)'!P437)</f>
        <v/>
      </c>
      <c r="E97" t="str">
        <f>IF('SV777-2 (SV004)'!P436&lt;1,"","ШЛ."&amp;'SV777-2 (SV004)'!P436)</f>
        <v/>
      </c>
    </row>
    <row r="98" spans="1:5" x14ac:dyDescent="0.25">
      <c r="A98">
        <v>5</v>
      </c>
      <c r="B98" t="str">
        <f>IF('SV777-2 (SV004)'!B456&lt;1,"резерв",'SV777-2 (SV004)'!B456)</f>
        <v>резерв</v>
      </c>
      <c r="C98" s="59" t="str">
        <f>'SV777-2 (SV004)'!B457</f>
        <v/>
      </c>
      <c r="D98" s="60" t="str">
        <f>IF(B98="резерв","",'SV777-2 (SV004)'!D457)</f>
        <v/>
      </c>
      <c r="E98" t="str">
        <f>IF('SV777-2 (SV004)'!D456&lt;1,"","ШЛ."&amp;'SV777-2 (SV004)'!D456)</f>
        <v/>
      </c>
    </row>
    <row r="99" spans="1:5" x14ac:dyDescent="0.25">
      <c r="A99">
        <v>6</v>
      </c>
      <c r="B99" t="str">
        <f>IF('SV777-2 (SV004)'!F456&lt;1,"резерв",'SV777-2 (SV004)'!F456)</f>
        <v>резерв</v>
      </c>
      <c r="C99" s="59" t="str">
        <f>'SV777-2 (SV004)'!F457</f>
        <v/>
      </c>
      <c r="D99" s="60" t="str">
        <f>IF(B99="резерв","",'SV777-2 (SV004)'!H457)</f>
        <v/>
      </c>
      <c r="E99" t="str">
        <f>IF('SV777-2 (SV004)'!H456&lt;1,"","ШЛ."&amp;'SV777-2 (SV004)'!H456)</f>
        <v/>
      </c>
    </row>
    <row r="100" spans="1:5" x14ac:dyDescent="0.25">
      <c r="A100">
        <v>7</v>
      </c>
      <c r="B100" t="str">
        <f>IF('SV777-2 (SV004)'!J456&lt;1,"резерв",'SV777-2 (SV004)'!J456)</f>
        <v>резерв</v>
      </c>
      <c r="C100" s="59" t="str">
        <f>'SV777-2 (SV004)'!J457</f>
        <v/>
      </c>
      <c r="D100" s="60" t="str">
        <f>IF(B100="резерв","",'SV777-2 (SV004)'!L457)</f>
        <v/>
      </c>
      <c r="E100" t="str">
        <f>IF('SV777-2 (SV004)'!L456&lt;1,"","ШЛ."&amp;'SV777-2 (SV004)'!L456)</f>
        <v/>
      </c>
    </row>
    <row r="101" spans="1:5" x14ac:dyDescent="0.25">
      <c r="A101">
        <v>8</v>
      </c>
      <c r="B101" t="str">
        <f>IF('SV777-2 (SV004)'!N456&lt;1,"резерв",'SV777-2 (SV004)'!N456)</f>
        <v>резерв</v>
      </c>
      <c r="C101" s="59" t="str">
        <f>'SV777-2 (SV004)'!N457</f>
        <v/>
      </c>
      <c r="D101" s="60" t="str">
        <f>IF(B101="резерв","",'SV777-2 (SV004)'!P457)</f>
        <v/>
      </c>
      <c r="E101" t="str">
        <f>IF('SV777-2 (SV004)'!P456&lt;1,"","ШЛ."&amp;'SV777-2 (SV004)'!P456)</f>
        <v/>
      </c>
    </row>
    <row r="102" spans="1:5" x14ac:dyDescent="0.25">
      <c r="B102" t="s">
        <v>180</v>
      </c>
    </row>
    <row r="103" spans="1:5" x14ac:dyDescent="0.25">
      <c r="A103">
        <v>1</v>
      </c>
      <c r="B103" t="str">
        <f>IF('SV777-2 (SV004)'!B478&lt;1,"резерв",'SV777-2 (SV004)'!B478)</f>
        <v>резерв</v>
      </c>
      <c r="C103" s="59" t="str">
        <f>'SV777-2 (SV004)'!B479</f>
        <v/>
      </c>
      <c r="D103" s="60" t="str">
        <f>IF(B103="резерв","",'SV777-2 (SV004)'!D479)</f>
        <v/>
      </c>
      <c r="E103" t="str">
        <f>IF('SV777-2 (SV004)'!D478&lt;1,"","ШЛ."&amp;'SV777-2 (SV004)'!D478)</f>
        <v/>
      </c>
    </row>
    <row r="104" spans="1:5" x14ac:dyDescent="0.25">
      <c r="A104">
        <v>2</v>
      </c>
      <c r="B104" t="str">
        <f>IF('SV777-2 (SV004)'!F478&lt;1,"резерв",'SV777-2 (SV004)'!F478)</f>
        <v>резерв</v>
      </c>
      <c r="C104" s="59" t="str">
        <f>'SV777-2 (SV004)'!F479</f>
        <v/>
      </c>
      <c r="D104" s="60" t="str">
        <f>IF(B104="резерв","",'SV777-2 (SV004)'!H479)</f>
        <v/>
      </c>
      <c r="E104" t="str">
        <f>IF('SV777-2 (SV004)'!H478&lt;1,"","ШЛ."&amp;'SV777-2 (SV004)'!H478)</f>
        <v/>
      </c>
    </row>
    <row r="105" spans="1:5" x14ac:dyDescent="0.25">
      <c r="A105">
        <v>3</v>
      </c>
      <c r="B105" t="str">
        <f>IF('SV777-2 (SV004)'!J478&lt;1,"резерв",'SV777-2 (SV004)'!J478)</f>
        <v>резерв</v>
      </c>
      <c r="C105" s="59" t="str">
        <f>'SV777-2 (SV004)'!J479</f>
        <v/>
      </c>
      <c r="D105" s="60" t="str">
        <f>IF(B105="резерв","",'SV777-2 (SV004)'!L479)</f>
        <v/>
      </c>
      <c r="E105" t="str">
        <f>IF('SV777-2 (SV004)'!L478&lt;1,"","ШЛ."&amp;'SV777-2 (SV004)'!L478)</f>
        <v/>
      </c>
    </row>
    <row r="106" spans="1:5" x14ac:dyDescent="0.25">
      <c r="A106">
        <v>4</v>
      </c>
      <c r="B106" t="str">
        <f>IF('SV777-2 (SV004)'!N478&lt;1,"резерв",'SV777-2 (SV004)'!N478)</f>
        <v>резерв</v>
      </c>
      <c r="C106" s="59" t="str">
        <f>'SV777-2 (SV004)'!N479</f>
        <v/>
      </c>
      <c r="D106" s="60" t="str">
        <f>IF(B106="резерв","",'SV777-2 (SV004)'!P479)</f>
        <v/>
      </c>
      <c r="E106" t="str">
        <f>IF('SV777-2 (SV004)'!P478&lt;1,"","ШЛ."&amp;'SV777-2 (SV004)'!P478)</f>
        <v/>
      </c>
    </row>
    <row r="107" spans="1:5" x14ac:dyDescent="0.25">
      <c r="A107">
        <v>5</v>
      </c>
      <c r="B107" t="str">
        <f>IF('SV777-2 (SV004)'!B498&lt;1,"резерв",'SV777-2 (SV004)'!B498)</f>
        <v>резерв</v>
      </c>
      <c r="C107" s="59" t="str">
        <f>'SV777-2 (SV004)'!B499</f>
        <v/>
      </c>
      <c r="D107" s="60" t="str">
        <f>IF(B107="резерв","",'SV777-2 (SV004)'!D499)</f>
        <v/>
      </c>
      <c r="E107" t="str">
        <f>IF('SV777-2 (SV004)'!D498&lt;1,"","ШЛ."&amp;'SV777-2 (SV004)'!D498)</f>
        <v/>
      </c>
    </row>
    <row r="108" spans="1:5" x14ac:dyDescent="0.25">
      <c r="A108">
        <v>6</v>
      </c>
      <c r="B108" t="str">
        <f>IF('SV777-2 (SV004)'!F498&lt;1,"резерв",'SV777-2 (SV004)'!F498)</f>
        <v>резерв</v>
      </c>
      <c r="C108" s="59" t="str">
        <f>'SV777-2 (SV004)'!F499</f>
        <v/>
      </c>
      <c r="D108" s="60" t="str">
        <f>IF(B108="резерв","",'SV777-2 (SV004)'!H499)</f>
        <v/>
      </c>
      <c r="E108" t="str">
        <f>IF('SV777-2 (SV004)'!H498&lt;1,"","ШЛ."&amp;'SV777-2 (SV004)'!H498)</f>
        <v/>
      </c>
    </row>
    <row r="109" spans="1:5" x14ac:dyDescent="0.25">
      <c r="A109">
        <v>7</v>
      </c>
      <c r="B109" t="str">
        <f>IF('SV777-2 (SV004)'!J498&lt;1,"резерв",'SV777-2 (SV004)'!J498)</f>
        <v>резерв</v>
      </c>
      <c r="C109" s="59" t="str">
        <f>'SV777-2 (SV004)'!J499</f>
        <v/>
      </c>
      <c r="D109" s="60" t="str">
        <f>IF(B109="резерв","",'SV777-2 (SV004)'!L499)</f>
        <v/>
      </c>
      <c r="E109" t="str">
        <f>IF('SV777-2 (SV004)'!L498&lt;1,"","ШЛ."&amp;'SV777-2 (SV004)'!L498)</f>
        <v/>
      </c>
    </row>
    <row r="110" spans="1:5" x14ac:dyDescent="0.25">
      <c r="A110">
        <v>8</v>
      </c>
      <c r="B110" t="str">
        <f>IF('SV777-2 (SV004)'!N498&lt;1,"резерв",'SV777-2 (SV004)'!N498)</f>
        <v>резерв</v>
      </c>
      <c r="C110" s="59" t="str">
        <f>'SV777-2 (SV004)'!N499</f>
        <v/>
      </c>
      <c r="D110" s="60" t="str">
        <f>IF(B110="резерв","",'SV777-2 (SV004)'!P499)</f>
        <v/>
      </c>
      <c r="E110" t="str">
        <f>IF('SV777-2 (SV004)'!P498&lt;1,"","ШЛ."&amp;'SV777-2 (SV004)'!P498)</f>
        <v/>
      </c>
    </row>
    <row r="111" spans="1:5" x14ac:dyDescent="0.25">
      <c r="B111" t="s">
        <v>181</v>
      </c>
    </row>
    <row r="112" spans="1:5" x14ac:dyDescent="0.25">
      <c r="A112">
        <v>1</v>
      </c>
      <c r="B112" t="str">
        <f>IF('SV777-2 (SV004)'!B520&lt;1,"резерв",'SV777-2 (SV004)'!B520)</f>
        <v>резерв</v>
      </c>
      <c r="C112" s="59" t="str">
        <f>'SV777-2 (SV004)'!B521</f>
        <v/>
      </c>
      <c r="D112" s="60" t="str">
        <f>IF(B112="резерв","",'SV777-2 (SV004)'!D521)</f>
        <v/>
      </c>
      <c r="E112" t="str">
        <f>IF('SV777-2 (SV004)'!D520&lt;1,"","ШЛ."&amp;'SV777-2 (SV004)'!D520)</f>
        <v/>
      </c>
    </row>
    <row r="113" spans="1:5" x14ac:dyDescent="0.25">
      <c r="A113">
        <v>2</v>
      </c>
      <c r="B113" t="str">
        <f>IF('SV777-2 (SV004)'!F520&lt;1,"резерв",'SV777-2 (SV004)'!F520)</f>
        <v>резерв</v>
      </c>
      <c r="C113" s="59" t="str">
        <f>'SV777-2 (SV004)'!F521</f>
        <v/>
      </c>
      <c r="D113" s="60" t="str">
        <f>IF(B113="резерв","",'SV777-2 (SV004)'!H521)</f>
        <v/>
      </c>
      <c r="E113" t="str">
        <f>IF('SV777-2 (SV004)'!H520&lt;1,"","ШЛ."&amp;'SV777-2 (SV004)'!H520)</f>
        <v/>
      </c>
    </row>
    <row r="114" spans="1:5" x14ac:dyDescent="0.25">
      <c r="A114">
        <v>3</v>
      </c>
      <c r="B114" t="str">
        <f>IF('SV777-2 (SV004)'!J520&lt;1,"резерв",'SV777-2 (SV004)'!J520)</f>
        <v>резерв</v>
      </c>
      <c r="C114" s="59" t="str">
        <f>'SV777-2 (SV004)'!J521</f>
        <v/>
      </c>
      <c r="D114" s="60" t="str">
        <f>IF(B114="резерв","",'SV777-2 (SV004)'!L521)</f>
        <v/>
      </c>
      <c r="E114" t="str">
        <f>IF('SV777-2 (SV004)'!L520&lt;1,"","ШЛ."&amp;'SV777-2 (SV004)'!L520)</f>
        <v/>
      </c>
    </row>
    <row r="115" spans="1:5" x14ac:dyDescent="0.25">
      <c r="A115">
        <v>4</v>
      </c>
      <c r="B115" t="str">
        <f>IF('SV777-2 (SV004)'!N520&lt;1,"резерв",'SV777-2 (SV004)'!N520)</f>
        <v>резерв</v>
      </c>
      <c r="C115" s="59" t="str">
        <f>'SV777-2 (SV004)'!N521</f>
        <v/>
      </c>
      <c r="D115" s="60" t="str">
        <f>IF(B115="резерв","",'SV777-2 (SV004)'!P521)</f>
        <v/>
      </c>
      <c r="E115" t="str">
        <f>IF('SV777-2 (SV004)'!P520&lt;1,"","ШЛ."&amp;'SV777-2 (SV004)'!P520)</f>
        <v/>
      </c>
    </row>
    <row r="116" spans="1:5" x14ac:dyDescent="0.25">
      <c r="A116">
        <v>5</v>
      </c>
      <c r="B116" t="str">
        <f>IF('SV777-2 (SV004)'!B540&lt;1,"резерв",'SV777-2 (SV004)'!B540)</f>
        <v>резерв</v>
      </c>
      <c r="C116" s="59" t="str">
        <f>'SV777-2 (SV004)'!B541</f>
        <v/>
      </c>
      <c r="D116" s="60" t="str">
        <f>IF(B116="резерв","",'SV777-2 (SV004)'!D541)</f>
        <v/>
      </c>
      <c r="E116" t="str">
        <f>IF('SV777-2 (SV004)'!D540&lt;1,"","ШЛ."&amp;'SV777-2 (SV004)'!D540)</f>
        <v/>
      </c>
    </row>
    <row r="117" spans="1:5" x14ac:dyDescent="0.25">
      <c r="A117">
        <v>6</v>
      </c>
      <c r="B117" t="str">
        <f>IF('SV777-2 (SV004)'!F540&lt;1,"резерв",'SV777-2 (SV004)'!F540)</f>
        <v>резерв</v>
      </c>
      <c r="C117" s="59" t="str">
        <f>'SV777-2 (SV004)'!F541</f>
        <v/>
      </c>
      <c r="D117" s="60" t="str">
        <f>IF(B117="резерв","",'SV777-2 (SV004)'!H541)</f>
        <v/>
      </c>
      <c r="E117" t="str">
        <f>IF('SV777-2 (SV004)'!H540&lt;1,"","ШЛ."&amp;'SV777-2 (SV004)'!H540)</f>
        <v/>
      </c>
    </row>
    <row r="118" spans="1:5" x14ac:dyDescent="0.25">
      <c r="A118">
        <v>7</v>
      </c>
      <c r="B118" t="str">
        <f>IF('SV777-2 (SV004)'!J540&lt;1,"резерв",'SV777-2 (SV004)'!J540)</f>
        <v>резерв</v>
      </c>
      <c r="C118" s="59" t="str">
        <f>'SV777-2 (SV004)'!J541</f>
        <v/>
      </c>
      <c r="D118" s="60" t="str">
        <f>IF(B118="резерв","",'SV777-2 (SV004)'!L541)</f>
        <v/>
      </c>
      <c r="E118" t="str">
        <f>IF('SV777-2 (SV004)'!L540&lt;1,"","ШЛ."&amp;'SV777-2 (SV004)'!L540)</f>
        <v/>
      </c>
    </row>
    <row r="119" spans="1:5" x14ac:dyDescent="0.25">
      <c r="A119">
        <v>8</v>
      </c>
      <c r="B119" t="str">
        <f>IF('SV777-2 (SV004)'!N540&lt;1,"резерв",'SV777-2 (SV004)'!N540)</f>
        <v>резерв</v>
      </c>
      <c r="C119" s="59" t="str">
        <f>'SV777-2 (SV004)'!N541</f>
        <v/>
      </c>
      <c r="D119" s="60" t="str">
        <f>IF(B119="резерв","",'SV777-2 (SV004)'!P541)</f>
        <v/>
      </c>
      <c r="E119" t="str">
        <f>IF('SV777-2 (SV004)'!P540&lt;1,"","ШЛ."&amp;'SV777-2 (SV004)'!P540)</f>
        <v/>
      </c>
    </row>
    <row r="120" spans="1:5" x14ac:dyDescent="0.25">
      <c r="B120" t="s">
        <v>182</v>
      </c>
    </row>
    <row r="121" spans="1:5" x14ac:dyDescent="0.25">
      <c r="A121">
        <v>1</v>
      </c>
      <c r="B121" t="str">
        <f>IF('SV777-2 (SV004)'!B562&lt;1,"резерв",'SV777-2 (SV004)'!B562)</f>
        <v>резерв</v>
      </c>
      <c r="C121" s="59" t="str">
        <f>'SV777-2 (SV004)'!B563</f>
        <v/>
      </c>
      <c r="D121" s="60" t="str">
        <f>IF(B121="резерв","",'SV777-2 (SV004)'!D563)</f>
        <v/>
      </c>
      <c r="E121" t="str">
        <f>IF('SV777-2 (SV004)'!D562&lt;1,"","ШЛ."&amp;'SV777-2 (SV004)'!D562)</f>
        <v/>
      </c>
    </row>
    <row r="122" spans="1:5" x14ac:dyDescent="0.25">
      <c r="A122">
        <v>2</v>
      </c>
      <c r="B122" t="str">
        <f>IF('SV777-2 (SV004)'!F562&lt;1,"резерв",'SV777-2 (SV004)'!F562)</f>
        <v>резерв</v>
      </c>
      <c r="C122" s="59" t="str">
        <f>'SV777-2 (SV004)'!F563</f>
        <v/>
      </c>
      <c r="D122" s="60" t="str">
        <f>IF(B122="резерв","",'SV777-2 (SV004)'!H563)</f>
        <v/>
      </c>
      <c r="E122" t="str">
        <f>IF('SV777-2 (SV004)'!H562&lt;1,"","ШЛ."&amp;'SV777-2 (SV004)'!H562)</f>
        <v/>
      </c>
    </row>
    <row r="123" spans="1:5" x14ac:dyDescent="0.25">
      <c r="A123">
        <v>3</v>
      </c>
      <c r="B123" t="str">
        <f>IF('SV777-2 (SV004)'!J562&lt;1,"резерв",'SV777-2 (SV004)'!J562)</f>
        <v>резерв</v>
      </c>
      <c r="C123" s="59" t="str">
        <f>'SV777-2 (SV004)'!J563</f>
        <v/>
      </c>
      <c r="D123" s="60" t="str">
        <f>IF(B123="резерв","",'SV777-2 (SV004)'!L563)</f>
        <v/>
      </c>
      <c r="E123" t="str">
        <f>IF('SV777-2 (SV004)'!L562&lt;1,"","ШЛ."&amp;'SV777-2 (SV004)'!L562)</f>
        <v/>
      </c>
    </row>
    <row r="124" spans="1:5" x14ac:dyDescent="0.25">
      <c r="A124">
        <v>4</v>
      </c>
      <c r="B124" t="str">
        <f>IF('SV777-2 (SV004)'!N562&lt;1,"резерв",'SV777-2 (SV004)'!N562)</f>
        <v>резерв</v>
      </c>
      <c r="C124" s="59" t="str">
        <f>'SV777-2 (SV004)'!N563</f>
        <v/>
      </c>
      <c r="D124" s="60" t="str">
        <f>IF(B124="резерв","",'SV777-2 (SV004)'!P563)</f>
        <v/>
      </c>
      <c r="E124" t="str">
        <f>IF('SV777-2 (SV004)'!P562&lt;1,"","ШЛ."&amp;'SV777-2 (SV004)'!P562)</f>
        <v/>
      </c>
    </row>
    <row r="125" spans="1:5" x14ac:dyDescent="0.25">
      <c r="A125">
        <v>5</v>
      </c>
      <c r="B125" t="str">
        <f>IF('SV777-2 (SV004)'!B582&lt;1,"резерв",'SV777-2 (SV004)'!B582)</f>
        <v>резерв</v>
      </c>
      <c r="C125" s="59" t="str">
        <f>'SV777-2 (SV004)'!B583</f>
        <v/>
      </c>
      <c r="D125" s="60" t="str">
        <f>IF(B125="резерв","",'SV777-2 (SV004)'!D583)</f>
        <v/>
      </c>
      <c r="E125" t="str">
        <f>IF('SV777-2 (SV004)'!D582&lt;1,"","ШЛ."&amp;'SV777-2 (SV004)'!D582)</f>
        <v/>
      </c>
    </row>
    <row r="126" spans="1:5" x14ac:dyDescent="0.25">
      <c r="A126">
        <v>6</v>
      </c>
      <c r="B126" t="str">
        <f>IF('SV777-2 (SV004)'!F582&lt;1,"резерв",'SV777-2 (SV004)'!F582)</f>
        <v>резерв</v>
      </c>
      <c r="C126" s="59" t="str">
        <f>'SV777-2 (SV004)'!F583</f>
        <v/>
      </c>
      <c r="D126" s="60" t="str">
        <f>IF(B126="резерв","",'SV777-2 (SV004)'!H583)</f>
        <v/>
      </c>
      <c r="E126" t="str">
        <f>IF('SV777-2 (SV004)'!H582&lt;1,"","ШЛ."&amp;'SV777-2 (SV004)'!H582)</f>
        <v/>
      </c>
    </row>
    <row r="127" spans="1:5" x14ac:dyDescent="0.25">
      <c r="A127">
        <v>7</v>
      </c>
      <c r="B127" t="str">
        <f>IF('SV777-2 (SV004)'!J582&lt;1,"резерв",'SV777-2 (SV004)'!J582)</f>
        <v>резерв</v>
      </c>
      <c r="C127" s="59" t="str">
        <f>'SV777-2 (SV004)'!J583</f>
        <v/>
      </c>
      <c r="D127" s="60" t="str">
        <f>IF(B127="резерв","",'SV777-2 (SV004)'!L583)</f>
        <v/>
      </c>
      <c r="E127" t="str">
        <f>IF('SV777-2 (SV004)'!L582&lt;1,"","ШЛ."&amp;'SV777-2 (SV004)'!L582)</f>
        <v/>
      </c>
    </row>
    <row r="128" spans="1:5" x14ac:dyDescent="0.25">
      <c r="A128">
        <v>8</v>
      </c>
      <c r="B128" t="str">
        <f>IF('SV777-2 (SV004)'!N582&lt;1,"резерв",'SV777-2 (SV004)'!N582)</f>
        <v>резерв</v>
      </c>
      <c r="C128" s="59" t="str">
        <f>'SV777-2 (SV004)'!N583</f>
        <v/>
      </c>
      <c r="D128" s="60" t="str">
        <f>IF(B128="резерв","",'SV777-2 (SV004)'!P583)</f>
        <v/>
      </c>
      <c r="E128" t="str">
        <f>IF('SV777-2 (SV004)'!P582&lt;1,"","ШЛ."&amp;'SV777-2 (SV004)'!P582)</f>
        <v/>
      </c>
    </row>
    <row r="129" spans="1:5" x14ac:dyDescent="0.25">
      <c r="B129" t="s">
        <v>183</v>
      </c>
    </row>
    <row r="130" spans="1:5" x14ac:dyDescent="0.25">
      <c r="A130">
        <v>1</v>
      </c>
      <c r="B130" t="str">
        <f>IF('SV777-2 (SV004)'!B604&lt;1,"резерв",'SV777-2 (SV004)'!B604)</f>
        <v>резерв</v>
      </c>
      <c r="C130" s="59" t="str">
        <f>'SV777-2 (SV004)'!B605</f>
        <v/>
      </c>
      <c r="D130" s="60" t="str">
        <f>IF(B130="резерв","",'SV777-2 (SV004)'!D605)</f>
        <v/>
      </c>
      <c r="E130" t="str">
        <f>IF('SV777-2 (SV004)'!D604&lt;1,"","ШЛ."&amp;'SV777-2 (SV004)'!D604)</f>
        <v/>
      </c>
    </row>
    <row r="131" spans="1:5" x14ac:dyDescent="0.25">
      <c r="A131">
        <v>2</v>
      </c>
      <c r="B131" t="str">
        <f>IF('SV777-2 (SV004)'!F604&lt;1,"резерв",'SV777-2 (SV004)'!F604)</f>
        <v>резерв</v>
      </c>
      <c r="C131" s="59" t="str">
        <f>'SV777-2 (SV004)'!F605</f>
        <v/>
      </c>
      <c r="D131" s="60" t="str">
        <f>IF(B131="резерв","",'SV777-2 (SV004)'!H605)</f>
        <v/>
      </c>
      <c r="E131" t="str">
        <f>IF('SV777-2 (SV004)'!H604&lt;1,"","ШЛ."&amp;'SV777-2 (SV004)'!H604)</f>
        <v/>
      </c>
    </row>
    <row r="132" spans="1:5" x14ac:dyDescent="0.25">
      <c r="A132">
        <v>3</v>
      </c>
      <c r="B132" t="str">
        <f>IF('SV777-2 (SV004)'!J604&lt;1,"резерв",'SV777-2 (SV004)'!J604)</f>
        <v>резерв</v>
      </c>
      <c r="C132" s="59" t="str">
        <f>'SV777-2 (SV004)'!J605</f>
        <v/>
      </c>
      <c r="D132" s="60" t="str">
        <f>IF(B132="резерв","",'SV777-2 (SV004)'!L605)</f>
        <v/>
      </c>
      <c r="E132" t="str">
        <f>IF('SV777-2 (SV004)'!L604&lt;1,"","ШЛ."&amp;'SV777-2 (SV004)'!L604)</f>
        <v/>
      </c>
    </row>
    <row r="133" spans="1:5" x14ac:dyDescent="0.25">
      <c r="A133">
        <v>4</v>
      </c>
      <c r="B133" t="str">
        <f>IF('SV777-2 (SV004)'!N604&lt;1,"резерв",'SV777-2 (SV004)'!N604)</f>
        <v>резерв</v>
      </c>
      <c r="C133" s="59" t="str">
        <f>'SV777-2 (SV004)'!N605</f>
        <v/>
      </c>
      <c r="D133" s="60" t="str">
        <f>IF(B133="резерв","",'SV777-2 (SV004)'!P605)</f>
        <v/>
      </c>
      <c r="E133" t="str">
        <f>IF('SV777-2 (SV004)'!P604&lt;1,"","ШЛ."&amp;'SV777-2 (SV004)'!P604)</f>
        <v/>
      </c>
    </row>
    <row r="134" spans="1:5" x14ac:dyDescent="0.25">
      <c r="A134">
        <v>5</v>
      </c>
      <c r="B134" t="str">
        <f>IF('SV777-2 (SV004)'!B624&lt;1,"резерв",'SV777-2 (SV004)'!B624)</f>
        <v>резерв</v>
      </c>
      <c r="C134" s="59" t="str">
        <f>'SV777-2 (SV004)'!B625</f>
        <v/>
      </c>
      <c r="D134" s="60" t="str">
        <f>IF(B134="резерв","",'SV777-2 (SV004)'!D625)</f>
        <v/>
      </c>
      <c r="E134" t="str">
        <f>IF('SV777-2 (SV004)'!D624&lt;1,"","ШЛ."&amp;'SV777-2 (SV004)'!D624)</f>
        <v/>
      </c>
    </row>
    <row r="135" spans="1:5" x14ac:dyDescent="0.25">
      <c r="A135">
        <v>6</v>
      </c>
      <c r="B135" t="str">
        <f>IF('SV777-2 (SV004)'!F624&lt;1,"резерв",'SV777-2 (SV004)'!F624)</f>
        <v>резерв</v>
      </c>
      <c r="C135" s="59" t="str">
        <f>'SV777-2 (SV004)'!F625</f>
        <v/>
      </c>
      <c r="D135" s="60" t="str">
        <f>IF(B135="резерв","",'SV777-2 (SV004)'!H625)</f>
        <v/>
      </c>
      <c r="E135" t="str">
        <f>IF('SV777-2 (SV004)'!H624&lt;1,"","ШЛ."&amp;'SV777-2 (SV004)'!H624)</f>
        <v/>
      </c>
    </row>
    <row r="136" spans="1:5" x14ac:dyDescent="0.25">
      <c r="A136">
        <v>7</v>
      </c>
      <c r="B136" t="str">
        <f>IF('SV777-2 (SV004)'!J624&lt;1,"резерв",'SV777-2 (SV004)'!J624)</f>
        <v>резерв</v>
      </c>
      <c r="C136" s="59" t="str">
        <f>'SV777-2 (SV004)'!J625</f>
        <v/>
      </c>
      <c r="D136" s="60" t="str">
        <f>IF(B136="резерв","",'SV777-2 (SV004)'!L625)</f>
        <v/>
      </c>
      <c r="E136" t="str">
        <f>IF('SV777-2 (SV004)'!L624&lt;1,"","ШЛ."&amp;'SV777-2 (SV004)'!L624)</f>
        <v/>
      </c>
    </row>
    <row r="137" spans="1:5" x14ac:dyDescent="0.25">
      <c r="A137">
        <v>8</v>
      </c>
      <c r="B137" t="str">
        <f>IF('SV777-2 (SV004)'!N624&lt;1,"резерв",'SV777-2 (SV004)'!N624)</f>
        <v>резерв</v>
      </c>
      <c r="C137" s="59" t="str">
        <f>'SV777-2 (SV004)'!N625</f>
        <v/>
      </c>
      <c r="D137" s="60" t="str">
        <f>IF(B137="резерв","",'SV777-2 (SV004)'!P625)</f>
        <v/>
      </c>
      <c r="E137" t="str">
        <f>IF('SV777-2 (SV004)'!P624&lt;1,"","ШЛ."&amp;'SV777-2 (SV004)'!P624)</f>
        <v/>
      </c>
    </row>
    <row r="138" spans="1:5" x14ac:dyDescent="0.25">
      <c r="B138" t="s">
        <v>184</v>
      </c>
    </row>
    <row r="139" spans="1:5" x14ac:dyDescent="0.25">
      <c r="A139">
        <v>1</v>
      </c>
      <c r="B139" t="str">
        <f>IF('SV777-2 (SV004)'!B646&lt;1,"резерв",'SV777-2 (SV004)'!B646)</f>
        <v>резерв</v>
      </c>
      <c r="C139" s="59" t="str">
        <f>'SV777-2 (SV004)'!B647</f>
        <v/>
      </c>
      <c r="D139" s="60" t="str">
        <f>IF(B139="резерв","",'SV777-2 (SV004)'!D647)</f>
        <v/>
      </c>
      <c r="E139" t="str">
        <f>IF('SV777-2 (SV004)'!D646&lt;1,"","ШЛ."&amp;'SV777-2 (SV004)'!D646)</f>
        <v/>
      </c>
    </row>
    <row r="140" spans="1:5" x14ac:dyDescent="0.25">
      <c r="A140">
        <v>2</v>
      </c>
      <c r="B140" t="str">
        <f>IF('SV777-2 (SV004)'!F646&lt;1,"резерв",'SV777-2 (SV004)'!F646)</f>
        <v>резерв</v>
      </c>
      <c r="C140" s="59" t="str">
        <f>'SV777-2 (SV004)'!F647</f>
        <v/>
      </c>
      <c r="D140" s="60" t="str">
        <f>IF(B140="резерв","",'SV777-2 (SV004)'!H647)</f>
        <v/>
      </c>
      <c r="E140" t="str">
        <f>IF('SV777-2 (SV004)'!H646&lt;1,"","ШЛ."&amp;'SV777-2 (SV004)'!H646)</f>
        <v/>
      </c>
    </row>
    <row r="141" spans="1:5" x14ac:dyDescent="0.25">
      <c r="A141">
        <v>3</v>
      </c>
      <c r="B141" t="str">
        <f>IF('SV777-2 (SV004)'!J646&lt;1,"резерв",'SV777-2 (SV004)'!J646)</f>
        <v>резерв</v>
      </c>
      <c r="C141" s="59" t="str">
        <f>'SV777-2 (SV004)'!J647</f>
        <v/>
      </c>
      <c r="D141" s="60" t="str">
        <f>IF(B141="резерв","",'SV777-2 (SV004)'!L647)</f>
        <v/>
      </c>
      <c r="E141" t="str">
        <f>IF('SV777-2 (SV004)'!L646&lt;1,"","ШЛ."&amp;'SV777-2 (SV004)'!L646)</f>
        <v/>
      </c>
    </row>
    <row r="142" spans="1:5" x14ac:dyDescent="0.25">
      <c r="A142">
        <v>4</v>
      </c>
      <c r="B142" t="str">
        <f>IF('SV777-2 (SV004)'!N646&lt;1,"резерв",'SV777-2 (SV004)'!N646)</f>
        <v>резерв</v>
      </c>
      <c r="C142" s="59" t="str">
        <f>'SV777-2 (SV004)'!N647</f>
        <v/>
      </c>
      <c r="D142" s="60" t="str">
        <f>IF(B142="резерв","",'SV777-2 (SV004)'!P647)</f>
        <v/>
      </c>
      <c r="E142" t="str">
        <f>IF('SV777-2 (SV004)'!P646&lt;1,"","ШЛ."&amp;'SV777-2 (SV004)'!P646)</f>
        <v/>
      </c>
    </row>
    <row r="143" spans="1:5" x14ac:dyDescent="0.25">
      <c r="A143">
        <v>5</v>
      </c>
      <c r="B143" t="str">
        <f>IF('SV777-2 (SV004)'!B666&lt;1,"резерв",'SV777-2 (SV004)'!B666)</f>
        <v>резерв</v>
      </c>
      <c r="C143" s="59" t="str">
        <f>'SV777-2 (SV004)'!B667</f>
        <v/>
      </c>
      <c r="D143" s="60" t="str">
        <f>IF(B143="резерв","",'SV777-2 (SV004)'!D667)</f>
        <v/>
      </c>
      <c r="E143" t="str">
        <f>IF('SV777-2 (SV004)'!D666&lt;1,"","ШЛ."&amp;'SV777-2 (SV004)'!D666)</f>
        <v/>
      </c>
    </row>
    <row r="144" spans="1:5" x14ac:dyDescent="0.25">
      <c r="A144">
        <v>6</v>
      </c>
      <c r="B144" t="str">
        <f>IF('SV777-2 (SV004)'!F666&lt;1,"резерв",'SV777-2 (SV004)'!F666)</f>
        <v>резерв</v>
      </c>
      <c r="C144" s="59" t="str">
        <f>'SV777-2 (SV004)'!F667</f>
        <v/>
      </c>
      <c r="D144" s="60" t="str">
        <f>IF(B144="резерв","",'SV777-2 (SV004)'!H667)</f>
        <v/>
      </c>
      <c r="E144" t="str">
        <f>IF('SV777-2 (SV004)'!H666&lt;1,"","ШЛ."&amp;'SV777-2 (SV004)'!H666)</f>
        <v/>
      </c>
    </row>
    <row r="145" spans="1:5" x14ac:dyDescent="0.25">
      <c r="A145">
        <v>7</v>
      </c>
      <c r="B145" t="str">
        <f>IF('SV777-2 (SV004)'!J666&lt;1,"резерв",'SV777-2 (SV004)'!J666)</f>
        <v>резерв</v>
      </c>
      <c r="C145" s="59" t="str">
        <f>'SV777-2 (SV004)'!J667</f>
        <v/>
      </c>
      <c r="D145" s="60" t="str">
        <f>IF(B145="резерв","",'SV777-2 (SV004)'!L667)</f>
        <v/>
      </c>
      <c r="E145" t="str">
        <f>IF('SV777-2 (SV004)'!L666&lt;1,"","ШЛ."&amp;'SV777-2 (SV004)'!L666)</f>
        <v/>
      </c>
    </row>
    <row r="146" spans="1:5" x14ac:dyDescent="0.25">
      <c r="A146">
        <v>8</v>
      </c>
      <c r="B146" t="str">
        <f>IF('SV777-2 (SV004)'!N666&lt;1,"резерв",'SV777-2 (SV004)'!N666)</f>
        <v>резерв</v>
      </c>
      <c r="C146" s="59" t="str">
        <f>'SV777-2 (SV004)'!N667</f>
        <v/>
      </c>
      <c r="D146" s="60" t="str">
        <f>IF(B146="резерв","",'SV777-2 (SV004)'!P667)</f>
        <v/>
      </c>
      <c r="E146" t="str">
        <f>IF('SV777-2 (SV004)'!P666&lt;1,"","ШЛ."&amp;'SV777-2 (SV004)'!P666)</f>
        <v/>
      </c>
    </row>
  </sheetData>
  <pageMargins left="0.7" right="0.7" top="0.75" bottom="0.75" header="0.3" footer="0.3"/>
  <pageSetup paperSize="9" orientation="portrait" useFirstPageNumber="1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E146"/>
  <sheetViews>
    <sheetView zoomScaleNormal="100" workbookViewId="0">
      <selection activeCell="E14" sqref="E14"/>
    </sheetView>
  </sheetViews>
  <sheetFormatPr defaultRowHeight="15" x14ac:dyDescent="0.25"/>
  <cols>
    <col min="1" max="1" width="10" customWidth="1"/>
    <col min="2" max="2" width="14" customWidth="1"/>
    <col min="3" max="3" width="12.85546875" customWidth="1"/>
  </cols>
  <sheetData>
    <row r="2" spans="1:5" x14ac:dyDescent="0.25">
      <c r="C2" t="s">
        <v>185</v>
      </c>
    </row>
    <row r="3" spans="1:5" x14ac:dyDescent="0.25">
      <c r="B3" t="s">
        <v>169</v>
      </c>
    </row>
    <row r="4" spans="1:5" x14ac:dyDescent="0.25">
      <c r="A4">
        <v>1</v>
      </c>
      <c r="B4" t="str">
        <f>IF('SV777-3 (SV004)'!B16&lt;1,"резерв",'SV777-3 (SV004)'!B16)</f>
        <v>резерв</v>
      </c>
      <c r="C4" s="59" t="str">
        <f>'SV777-3 (SV004)'!B17</f>
        <v/>
      </c>
      <c r="D4" s="60" t="str">
        <f>IF(B4="резерв","",'SV777-3 (SV004)'!D17)</f>
        <v/>
      </c>
      <c r="E4" t="str">
        <f>IF('SV777-3 (SV004)'!D16&lt;1,"","ШЛ."&amp;'SV777-3 (SV004)'!D16)</f>
        <v/>
      </c>
    </row>
    <row r="5" spans="1:5" x14ac:dyDescent="0.25">
      <c r="A5">
        <v>2</v>
      </c>
      <c r="B5" t="str">
        <f>IF('SV777-3 (SV004)'!F16&lt;1,"резерв",'SV777-3 (SV004)'!F16)</f>
        <v>резерв</v>
      </c>
      <c r="C5" s="59" t="str">
        <f>'SV777-3 (SV004)'!F17</f>
        <v/>
      </c>
      <c r="D5" s="60" t="str">
        <f>IF(B5="резерв","",'SV777-3 (SV004)'!H17)</f>
        <v/>
      </c>
      <c r="E5" t="str">
        <f>IF('SV777-3 (SV004)'!H16&lt;1,"","ШЛ."&amp;'SV777-3 (SV004)'!H16)</f>
        <v/>
      </c>
    </row>
    <row r="6" spans="1:5" x14ac:dyDescent="0.25">
      <c r="A6">
        <v>3</v>
      </c>
      <c r="B6" t="str">
        <f>IF('SV777-3 (SV004)'!J16&lt;1,"резерв",'SV777-3 (SV004)'!J16)</f>
        <v>резерв</v>
      </c>
      <c r="C6" s="59" t="str">
        <f>'SV777-3 (SV004)'!J17</f>
        <v/>
      </c>
      <c r="D6" s="60" t="str">
        <f>IF(B6="резерв","",'SV777-3 (SV004)'!L17)</f>
        <v/>
      </c>
      <c r="E6" t="str">
        <f>IF('SV777-3 (SV004)'!L16&lt;1,"","ШЛ."&amp;'SV777-3 (SV004)'!L16)</f>
        <v/>
      </c>
    </row>
    <row r="7" spans="1:5" x14ac:dyDescent="0.25">
      <c r="A7">
        <v>4</v>
      </c>
      <c r="B7" t="str">
        <f>IF('SV777-3 (SV004)'!N16&lt;1,"резерв",'SV777-3 (SV004)'!N16)</f>
        <v>резерв</v>
      </c>
      <c r="C7" s="59" t="str">
        <f>'SV777-3 (SV004)'!N17</f>
        <v/>
      </c>
      <c r="D7" s="60" t="str">
        <f>IF(B7="резерв","",'SV777-3 (SV004)'!P17)</f>
        <v/>
      </c>
      <c r="E7" t="str">
        <f>IF('SV777-3 (SV004)'!P16&lt;1,"","ШЛ."&amp;'SV777-3 (SV004)'!P16)</f>
        <v/>
      </c>
    </row>
    <row r="8" spans="1:5" x14ac:dyDescent="0.25">
      <c r="A8">
        <v>5</v>
      </c>
      <c r="B8" t="str">
        <f>IF('SV777-3 (SV004)'!B36&lt;1,"резерв",'SV777-3 (SV004)'!B36)</f>
        <v>резерв</v>
      </c>
      <c r="C8" s="59" t="str">
        <f>'SV777-3 (SV004)'!B37</f>
        <v/>
      </c>
      <c r="D8" s="60" t="str">
        <f>IF(B8="резерв","",'SV777-3 (SV004)'!D37)</f>
        <v/>
      </c>
      <c r="E8" t="str">
        <f>IF('SV777-3 (SV004)'!D36&lt;1,"","ШЛ."&amp;'SV777-3 (SV004)'!D36)</f>
        <v/>
      </c>
    </row>
    <row r="9" spans="1:5" x14ac:dyDescent="0.25">
      <c r="A9">
        <v>6</v>
      </c>
      <c r="B9" t="str">
        <f>IF('SV777-3 (SV004)'!F36&lt;1,"резерв",'SV777-3 (SV004)'!F36)</f>
        <v>резерв</v>
      </c>
      <c r="C9" s="59" t="str">
        <f>'SV777-3 (SV004)'!F37</f>
        <v/>
      </c>
      <c r="D9" s="60" t="str">
        <f>IF(B9="резерв","",'SV777-3 (SV004)'!H37)</f>
        <v/>
      </c>
      <c r="E9" t="str">
        <f>IF('SV777-3 (SV004)'!H36&lt;1,"","ШЛ."&amp;'SV777-3 (SV004)'!H36)</f>
        <v/>
      </c>
    </row>
    <row r="10" spans="1:5" x14ac:dyDescent="0.25">
      <c r="A10">
        <v>7</v>
      </c>
      <c r="B10" t="str">
        <f>IF('SV777-3 (SV004)'!J36&lt;1,"резерв",'SV777-3 (SV004)'!J36)</f>
        <v>резерв</v>
      </c>
      <c r="C10" s="59" t="str">
        <f>'SV777-3 (SV004)'!J37</f>
        <v/>
      </c>
      <c r="D10" s="60" t="str">
        <f>IF(B10="резерв","",'SV777-3 (SV004)'!L37)</f>
        <v/>
      </c>
      <c r="E10" t="str">
        <f>IF('SV777-3 (SV004)'!L36&lt;1,"","ШЛ."&amp;'SV777-3 (SV004)'!L36)</f>
        <v/>
      </c>
    </row>
    <row r="11" spans="1:5" x14ac:dyDescent="0.25">
      <c r="A11">
        <v>8</v>
      </c>
      <c r="B11" t="str">
        <f>IF('SV777-3 (SV004)'!N36&lt;1,"резерв",'SV777-3 (SV004)'!N36)</f>
        <v>резерв</v>
      </c>
      <c r="C11" s="59" t="str">
        <f>'SV777-3 (SV004)'!N37</f>
        <v/>
      </c>
      <c r="D11" s="60" t="str">
        <f>IF(B11="резерв","",'SV777-3 (SV004)'!P37)</f>
        <v/>
      </c>
      <c r="E11" t="str">
        <f>IF('SV777-3 (SV004)'!P36&lt;1,"","ШЛ."&amp;'SV777-3 (SV004)'!P36)</f>
        <v/>
      </c>
    </row>
    <row r="12" spans="1:5" x14ac:dyDescent="0.25">
      <c r="B12" t="s">
        <v>170</v>
      </c>
    </row>
    <row r="13" spans="1:5" x14ac:dyDescent="0.25">
      <c r="A13">
        <v>1</v>
      </c>
      <c r="B13" t="str">
        <f>IF('SV777-3 (SV004)'!B58&lt;1,"резерв",'SV777-3 (SV004)'!B58)</f>
        <v>резерв</v>
      </c>
      <c r="C13" s="59" t="str">
        <f>'SV777-3 (SV004)'!B59</f>
        <v/>
      </c>
      <c r="D13" s="60" t="str">
        <f>IF(B13="резерв","",'SV777-3 (SV004)'!D59)</f>
        <v/>
      </c>
      <c r="E13" t="str">
        <f>IF('SV777-3 (SV004)'!D58&lt;1,"","ШЛ."&amp;'SV777-3 (SV004)'!D58)</f>
        <v/>
      </c>
    </row>
    <row r="14" spans="1:5" x14ac:dyDescent="0.25">
      <c r="A14">
        <v>2</v>
      </c>
      <c r="B14" t="str">
        <f>IF('SV777-3 (SV004)'!F58&lt;1,"резерв",'SV777-3 (SV004)'!F58)</f>
        <v>резерв</v>
      </c>
      <c r="C14" s="59" t="str">
        <f>'SV777-3 (SV004)'!F59</f>
        <v/>
      </c>
      <c r="D14" s="60" t="str">
        <f>IF(B14="резерв","",'SV777-3 (SV004)'!H59)</f>
        <v/>
      </c>
      <c r="E14" t="str">
        <f>IF('SV777-3 (SV004)'!H58&lt;1,"","ШЛ."&amp;'SV777-3 (SV004)'!H58)</f>
        <v/>
      </c>
    </row>
    <row r="15" spans="1:5" x14ac:dyDescent="0.25">
      <c r="A15">
        <v>3</v>
      </c>
      <c r="B15" t="str">
        <f>IF('SV777-3 (SV004)'!J58&lt;1,"резерв",'SV777-3 (SV004)'!J58)</f>
        <v>резерв</v>
      </c>
      <c r="C15" s="59" t="str">
        <f>'SV777-3 (SV004)'!J59</f>
        <v/>
      </c>
      <c r="D15" s="60" t="str">
        <f>IF(B15="резерв","",'SV777-3 (SV004)'!L59)</f>
        <v/>
      </c>
      <c r="E15" t="str">
        <f>IF('SV777-3 (SV004)'!L58&lt;1,"","ШЛ."&amp;'SV777-3 (SV004)'!L58)</f>
        <v/>
      </c>
    </row>
    <row r="16" spans="1:5" x14ac:dyDescent="0.25">
      <c r="A16">
        <v>4</v>
      </c>
      <c r="B16" t="str">
        <f>IF('SV777-3 (SV004)'!N58&lt;1,"резерв",'SV777-3 (SV004)'!N58)</f>
        <v>резерв</v>
      </c>
      <c r="C16" s="59" t="str">
        <f>'SV777-3 (SV004)'!N59</f>
        <v/>
      </c>
      <c r="D16" s="60" t="str">
        <f>IF(B16="резерв","",'SV777-3 (SV004)'!P59)</f>
        <v/>
      </c>
      <c r="E16" t="str">
        <f>IF('SV777-3 (SV004)'!P58&lt;1,"","ШЛ."&amp;'SV777-3 (SV004)'!P58)</f>
        <v/>
      </c>
    </row>
    <row r="17" spans="1:5" x14ac:dyDescent="0.25">
      <c r="A17">
        <v>5</v>
      </c>
      <c r="B17" t="str">
        <f>IF('SV777-3 (SV004)'!B78&lt;1,"резерв",'SV777-3 (SV004)'!B78)</f>
        <v>резерв</v>
      </c>
      <c r="C17" s="59" t="str">
        <f>'SV777-3 (SV004)'!B79</f>
        <v/>
      </c>
      <c r="D17" s="60" t="str">
        <f>IF(B17="резерв","",'SV777-3 (SV004)'!D79)</f>
        <v/>
      </c>
      <c r="E17" t="str">
        <f>IF('SV777-3 (SV004)'!D78&lt;1,"","ШЛ."&amp;'SV777-3 (SV004)'!D78)</f>
        <v/>
      </c>
    </row>
    <row r="18" spans="1:5" x14ac:dyDescent="0.25">
      <c r="A18">
        <v>6</v>
      </c>
      <c r="B18" t="str">
        <f>IF('SV777-3 (SV004)'!F78&lt;1,"резерв",'SV777-3 (SV004)'!F78)</f>
        <v>резерв</v>
      </c>
      <c r="C18" s="59" t="str">
        <f>'SV777-3 (SV004)'!F79</f>
        <v/>
      </c>
      <c r="D18" s="60" t="str">
        <f>IF(B18="резерв","",'SV777-3 (SV004)'!H79)</f>
        <v/>
      </c>
      <c r="E18" t="str">
        <f>IF('SV777-3 (SV004)'!H78&lt;1,"","ШЛ."&amp;'SV777-3 (SV004)'!H78)</f>
        <v/>
      </c>
    </row>
    <row r="19" spans="1:5" x14ac:dyDescent="0.25">
      <c r="A19">
        <v>7</v>
      </c>
      <c r="B19" t="str">
        <f>IF('SV777-3 (SV004)'!J78&lt;1,"резерв",'SV777-3 (SV004)'!J78)</f>
        <v>резерв</v>
      </c>
      <c r="C19" s="59" t="str">
        <f>'SV777-3 (SV004)'!J79</f>
        <v/>
      </c>
      <c r="D19" s="60" t="str">
        <f>IF(B19="резерв","",'SV777-3 (SV004)'!L79)</f>
        <v/>
      </c>
      <c r="E19" t="str">
        <f>IF('SV777-3 (SV004)'!L78&lt;1,"","ШЛ."&amp;'SV777-3 (SV004)'!L78)</f>
        <v/>
      </c>
    </row>
    <row r="20" spans="1:5" x14ac:dyDescent="0.25">
      <c r="A20">
        <v>8</v>
      </c>
      <c r="B20" t="str">
        <f>IF('SV777-3 (SV004)'!N78&lt;1,"резерв",'SV777-3 (SV004)'!N78)</f>
        <v>резерв</v>
      </c>
      <c r="C20" s="59" t="str">
        <f>'SV777-3 (SV004)'!N79</f>
        <v/>
      </c>
      <c r="D20" s="60" t="str">
        <f>IF(B20="резерв","",'SV777-3 (SV004)'!P79)</f>
        <v/>
      </c>
      <c r="E20" t="str">
        <f>IF('SV777-3 (SV004)'!P78&lt;1,"","ШЛ."&amp;'SV777-3 (SV004)'!P78)</f>
        <v/>
      </c>
    </row>
    <row r="21" spans="1:5" x14ac:dyDescent="0.25">
      <c r="B21" t="s">
        <v>186</v>
      </c>
      <c r="C21" s="59"/>
      <c r="D21" s="60"/>
    </row>
    <row r="22" spans="1:5" x14ac:dyDescent="0.25">
      <c r="A22">
        <v>1</v>
      </c>
      <c r="B22" t="str">
        <f>IF('SV777-3 (SV004)'!B100&lt;1,"резерв",'SV777-3 (SV004)'!B100)</f>
        <v>резерв</v>
      </c>
      <c r="C22" s="59" t="str">
        <f>'SV777-3 (SV004)'!B101</f>
        <v/>
      </c>
      <c r="D22" s="60" t="str">
        <f>IF(B22="резерв","",'SV777-3 (SV004)'!D101)</f>
        <v/>
      </c>
      <c r="E22" t="str">
        <f>IF('SV777-3 (SV004)'!D100&lt;1,"","ШЛ."&amp;'SV777-3 (SV004)'!D100)</f>
        <v/>
      </c>
    </row>
    <row r="23" spans="1:5" x14ac:dyDescent="0.25">
      <c r="A23">
        <v>2</v>
      </c>
      <c r="B23" t="str">
        <f>IF('SV777-3 (SV004)'!F100&lt;1,"резерв",'SV777-3 (SV004)'!F100)</f>
        <v>резерв</v>
      </c>
      <c r="C23" s="59" t="str">
        <f>'SV777-3 (SV004)'!F101</f>
        <v/>
      </c>
      <c r="D23" s="60" t="str">
        <f>IF(B23="резерв","",'SV777-3 (SV004)'!H101)</f>
        <v/>
      </c>
      <c r="E23" t="str">
        <f>IF('SV777-3 (SV004)'!H100&lt;1,"","ШЛ."&amp;'SV777-3 (SV004)'!H100)</f>
        <v/>
      </c>
    </row>
    <row r="24" spans="1:5" x14ac:dyDescent="0.25">
      <c r="A24">
        <v>3</v>
      </c>
      <c r="B24" t="str">
        <f>IF('SV777-3 (SV004)'!J100&lt;1,"резерв",'SV777-3 (SV004)'!J100)</f>
        <v>резерв</v>
      </c>
      <c r="C24" s="59" t="str">
        <f>'SV777-3 (SV004)'!J101</f>
        <v/>
      </c>
      <c r="D24" s="60" t="str">
        <f>IF(B24="резерв","",'SV777-3 (SV004)'!L101)</f>
        <v/>
      </c>
      <c r="E24" t="str">
        <f>IF('SV777-3 (SV004)'!L100&lt;1,"","ШЛ."&amp;'SV777-3 (SV004)'!L100)</f>
        <v/>
      </c>
    </row>
    <row r="25" spans="1:5" x14ac:dyDescent="0.25">
      <c r="A25">
        <v>4</v>
      </c>
      <c r="B25" t="str">
        <f>IF('SV777-3 (SV004)'!N100&lt;1,"резерв",'SV777-3 (SV004)'!N100)</f>
        <v>резерв</v>
      </c>
      <c r="C25" s="59" t="str">
        <f>'SV777-3 (SV004)'!N101</f>
        <v/>
      </c>
      <c r="D25" s="60" t="str">
        <f>IF(B25="резерв","",'SV777-3 (SV004)'!P101)</f>
        <v/>
      </c>
      <c r="E25" t="str">
        <f>IF('SV777-3 (SV004)'!P100&lt;1,"","ШЛ."&amp;'SV777-3 (SV004)'!P100)</f>
        <v/>
      </c>
    </row>
    <row r="26" spans="1:5" x14ac:dyDescent="0.25">
      <c r="A26">
        <v>5</v>
      </c>
      <c r="B26" t="str">
        <f>IF('SV777-3 (SV004)'!B120&lt;1,"резерв",'SV777-3 (SV004)'!B120)</f>
        <v>резерв</v>
      </c>
      <c r="C26" s="59" t="str">
        <f>'SV777-3 (SV004)'!B121</f>
        <v/>
      </c>
      <c r="D26" s="60" t="str">
        <f>IF(B26="резерв","",'SV777-3 (SV004)'!D121)</f>
        <v/>
      </c>
      <c r="E26" t="str">
        <f>IF('SV777-3 (SV004)'!D120&lt;1,"","ШЛ."&amp;'SV777-3 (SV004)'!D120)</f>
        <v/>
      </c>
    </row>
    <row r="27" spans="1:5" x14ac:dyDescent="0.25">
      <c r="A27">
        <v>6</v>
      </c>
      <c r="B27" t="str">
        <f>IF('SV777-3 (SV004)'!F120&lt;1,"резерв",'SV777-3 (SV004)'!F120)</f>
        <v>резерв</v>
      </c>
      <c r="C27" s="59" t="str">
        <f>'SV777-3 (SV004)'!F121</f>
        <v/>
      </c>
      <c r="D27" s="60" t="str">
        <f>IF(B27="резерв","",'SV777-3 (SV004)'!H121)</f>
        <v/>
      </c>
      <c r="E27" t="str">
        <f>IF('SV777-3 (SV004)'!H120&lt;1,"","ШЛ."&amp;'SV777-3 (SV004)'!H120)</f>
        <v/>
      </c>
    </row>
    <row r="28" spans="1:5" x14ac:dyDescent="0.25">
      <c r="A28">
        <v>7</v>
      </c>
      <c r="B28" t="str">
        <f>IF('SV777-3 (SV004)'!J120&lt;1,"резерв",'SV777-3 (SV004)'!J120)</f>
        <v>резерв</v>
      </c>
      <c r="C28" s="59" t="str">
        <f>'SV777-3 (SV004)'!J121</f>
        <v/>
      </c>
      <c r="D28" s="60" t="str">
        <f>IF(B28="резерв","",'SV777-3 (SV004)'!L121)</f>
        <v/>
      </c>
      <c r="E28" t="str">
        <f>IF('SV777-3 (SV004)'!L120&lt;1,"","ШЛ."&amp;'SV777-3 (SV004)'!L120)</f>
        <v/>
      </c>
    </row>
    <row r="29" spans="1:5" x14ac:dyDescent="0.25">
      <c r="A29">
        <v>8</v>
      </c>
      <c r="B29" t="str">
        <f>IF('SV777-3 (SV004)'!N120&lt;1,"резерв",'SV777-3 (SV004)'!N120)</f>
        <v>резерв</v>
      </c>
      <c r="C29" s="59" t="str">
        <f>'SV777-3 (SV004)'!N121</f>
        <v/>
      </c>
      <c r="D29" s="60" t="str">
        <f>IF(B29="резерв","",'SV777-3 (SV004)'!P121)</f>
        <v/>
      </c>
      <c r="E29" t="str">
        <f>IF('SV777-3 (SV004)'!P120&lt;1,"","ШЛ."&amp;'SV777-3 (SV004)'!P120)</f>
        <v/>
      </c>
    </row>
    <row r="30" spans="1:5" x14ac:dyDescent="0.25">
      <c r="B30" t="s">
        <v>172</v>
      </c>
      <c r="C30" s="59"/>
      <c r="D30" s="60"/>
    </row>
    <row r="31" spans="1:5" x14ac:dyDescent="0.25">
      <c r="A31">
        <v>1</v>
      </c>
      <c r="B31" t="str">
        <f>IF('SV777-3 (SV004)'!B142&lt;1,"резерв",'SV777-3 (SV004)'!B142)</f>
        <v>резерв</v>
      </c>
      <c r="C31" s="59" t="str">
        <f>'SV777-3 (SV004)'!B143</f>
        <v/>
      </c>
      <c r="D31" s="60" t="str">
        <f>IF(B31="резерв","",'SV777-3 (SV004)'!D143)</f>
        <v/>
      </c>
      <c r="E31" t="str">
        <f>IF('SV777-3 (SV004)'!D142&lt;1,"","ШЛ."&amp;'SV777-3 (SV004)'!D142)</f>
        <v/>
      </c>
    </row>
    <row r="32" spans="1:5" x14ac:dyDescent="0.25">
      <c r="A32">
        <v>2</v>
      </c>
      <c r="B32" t="str">
        <f>IF('SV777-3 (SV004)'!F142&lt;1,"резерв",'SV777-3 (SV004)'!F142)</f>
        <v>резерв</v>
      </c>
      <c r="C32" s="59" t="str">
        <f>'SV777-3 (SV004)'!F143</f>
        <v/>
      </c>
      <c r="D32" s="60" t="str">
        <f>IF(B32="резерв","",'SV777-3 (SV004)'!H143)</f>
        <v/>
      </c>
      <c r="E32" t="str">
        <f>IF('SV777-3 (SV004)'!H142&lt;1,"","ШЛ."&amp;'SV777-3 (SV004)'!H142)</f>
        <v/>
      </c>
    </row>
    <row r="33" spans="1:5" x14ac:dyDescent="0.25">
      <c r="A33">
        <v>3</v>
      </c>
      <c r="B33" t="str">
        <f>IF('SV777-3 (SV004)'!J142&lt;1,"резерв",'SV777-3 (SV004)'!J142)</f>
        <v>резерв</v>
      </c>
      <c r="C33" s="59" t="str">
        <f>'SV777-3 (SV004)'!J143</f>
        <v/>
      </c>
      <c r="D33" s="60" t="str">
        <f>IF(B33="резерв","",'SV777-3 (SV004)'!L143)</f>
        <v/>
      </c>
      <c r="E33" t="str">
        <f>IF('SV777-3 (SV004)'!L142&lt;1,"","ШЛ."&amp;'SV777-3 (SV004)'!L142)</f>
        <v/>
      </c>
    </row>
    <row r="34" spans="1:5" x14ac:dyDescent="0.25">
      <c r="A34">
        <v>4</v>
      </c>
      <c r="B34" t="str">
        <f>IF('SV777-3 (SV004)'!N142&lt;1,"резерв",'SV777-3 (SV004)'!N142)</f>
        <v>резерв</v>
      </c>
      <c r="C34" s="59" t="str">
        <f>'SV777-3 (SV004)'!N143</f>
        <v/>
      </c>
      <c r="D34" s="60" t="str">
        <f>IF(B34="резерв","",'SV777-3 (SV004)'!P143)</f>
        <v/>
      </c>
      <c r="E34" t="str">
        <f>IF('SV777-3 (SV004)'!P142&lt;1,"","ШЛ."&amp;'SV777-3 (SV004)'!P142)</f>
        <v/>
      </c>
    </row>
    <row r="35" spans="1:5" x14ac:dyDescent="0.25">
      <c r="A35">
        <v>5</v>
      </c>
      <c r="B35" t="str">
        <f>IF('SV777-3 (SV004)'!B162&lt;1,"резерв",'SV777-3 (SV004)'!B162)</f>
        <v>резерв</v>
      </c>
      <c r="C35" s="59" t="str">
        <f>'SV777-3 (SV004)'!B163</f>
        <v/>
      </c>
      <c r="D35" s="60" t="str">
        <f>IF(B35="резерв","",'SV777-3 (SV004)'!D163)</f>
        <v/>
      </c>
      <c r="E35" t="str">
        <f>IF('SV777-3 (SV004)'!D162&lt;1,"","ШЛ."&amp;'SV777-3 (SV004)'!D162)</f>
        <v/>
      </c>
    </row>
    <row r="36" spans="1:5" x14ac:dyDescent="0.25">
      <c r="A36">
        <v>6</v>
      </c>
      <c r="B36" t="str">
        <f>IF('SV777-3 (SV004)'!F162&lt;1,"резерв",'SV777-3 (SV004)'!F162)</f>
        <v>резерв</v>
      </c>
      <c r="C36" s="59" t="str">
        <f>'SV777-3 (SV004)'!F163</f>
        <v/>
      </c>
      <c r="D36" s="60" t="str">
        <f>IF(B36="резерв","",'SV777-3 (SV004)'!H163)</f>
        <v/>
      </c>
      <c r="E36" t="str">
        <f>IF('SV777-3 (SV004)'!H162&lt;1,"","ШЛ."&amp;'SV777-3 (SV004)'!H162)</f>
        <v/>
      </c>
    </row>
    <row r="37" spans="1:5" x14ac:dyDescent="0.25">
      <c r="A37">
        <v>7</v>
      </c>
      <c r="B37" t="str">
        <f>IF('SV777-3 (SV004)'!J162&lt;1,"резерв",'SV777-3 (SV004)'!J162)</f>
        <v>резерв</v>
      </c>
      <c r="C37" s="59" t="str">
        <f>'SV777-3 (SV004)'!J163</f>
        <v/>
      </c>
      <c r="D37" s="60" t="str">
        <f>IF(B37="резерв","",'SV777-3 (SV004)'!L163)</f>
        <v/>
      </c>
      <c r="E37" t="str">
        <f>IF('SV777-3 (SV004)'!L162&lt;1,"","ШЛ."&amp;'SV777-3 (SV004)'!L162)</f>
        <v/>
      </c>
    </row>
    <row r="38" spans="1:5" x14ac:dyDescent="0.25">
      <c r="A38">
        <v>8</v>
      </c>
      <c r="B38" t="str">
        <f>IF('SV777-3 (SV004)'!N162&lt;1,"резерв",'SV777-3 (SV004)'!N162)</f>
        <v>резерв</v>
      </c>
      <c r="C38" s="59" t="str">
        <f>'SV777-3 (SV004)'!N163</f>
        <v/>
      </c>
      <c r="D38" s="60" t="str">
        <f>IF(B38="резерв","",'SV777-3 (SV004)'!P163)</f>
        <v/>
      </c>
      <c r="E38" t="str">
        <f>IF('SV777-3 (SV004)'!P162&lt;1,"","ШЛ."&amp;'SV777-3 (SV004)'!P162)</f>
        <v/>
      </c>
    </row>
    <row r="39" spans="1:5" x14ac:dyDescent="0.25">
      <c r="B39" t="s">
        <v>187</v>
      </c>
      <c r="C39" s="59"/>
      <c r="D39" s="60"/>
    </row>
    <row r="40" spans="1:5" x14ac:dyDescent="0.25">
      <c r="A40">
        <v>1</v>
      </c>
      <c r="B40" t="str">
        <f>IF('SV777-3 (SV004)'!B184&lt;1,"резерв",'SV777-3 (SV004)'!B184)</f>
        <v>резерв</v>
      </c>
      <c r="C40" s="59" t="str">
        <f>'SV777-3 (SV004)'!B185</f>
        <v/>
      </c>
      <c r="D40" s="60" t="str">
        <f>IF(B40="резерв","",'SV777-3 (SV004)'!D185)</f>
        <v/>
      </c>
      <c r="E40" t="str">
        <f>IF('SV777-3 (SV004)'!D184&lt;1,"","ШЛ."&amp;'SV777-3 (SV004)'!D184)</f>
        <v/>
      </c>
    </row>
    <row r="41" spans="1:5" x14ac:dyDescent="0.25">
      <c r="A41">
        <v>2</v>
      </c>
      <c r="B41" t="str">
        <f>IF('SV777-3 (SV004)'!F184&lt;1,"резерв",'SV777-3 (SV004)'!F184)</f>
        <v>резерв</v>
      </c>
      <c r="C41" s="59" t="str">
        <f>'SV777-3 (SV004)'!F185</f>
        <v/>
      </c>
      <c r="D41" s="60" t="str">
        <f>IF(B41="резерв","",'SV777-3 (SV004)'!H185)</f>
        <v/>
      </c>
      <c r="E41" t="str">
        <f>IF('SV777-3 (SV004)'!H184&lt;1,"","ШЛ."&amp;'SV777-3 (SV004)'!H184)</f>
        <v/>
      </c>
    </row>
    <row r="42" spans="1:5" x14ac:dyDescent="0.25">
      <c r="A42">
        <v>3</v>
      </c>
      <c r="B42" t="str">
        <f>IF('SV777-3 (SV004)'!J184&lt;1,"резерв",'SV777-3 (SV004)'!J184)</f>
        <v>резерв</v>
      </c>
      <c r="C42" s="59" t="str">
        <f>'SV777-3 (SV004)'!J185</f>
        <v/>
      </c>
      <c r="D42" s="60" t="str">
        <f>IF(B42="резерв","",'SV777-3 (SV004)'!L185)</f>
        <v/>
      </c>
      <c r="E42" t="str">
        <f>IF('SV777-3 (SV004)'!L184&lt;1,"","ШЛ."&amp;'SV777-3 (SV004)'!L184)</f>
        <v/>
      </c>
    </row>
    <row r="43" spans="1:5" x14ac:dyDescent="0.25">
      <c r="A43">
        <v>4</v>
      </c>
      <c r="B43" t="str">
        <f>IF('SV777-3 (SV004)'!N184&lt;1,"резерв",'SV777-3 (SV004)'!N184)</f>
        <v>резерв</v>
      </c>
      <c r="C43" s="59" t="str">
        <f>'SV777-3 (SV004)'!N185</f>
        <v/>
      </c>
      <c r="D43" s="60" t="str">
        <f>IF(B43="резерв","",'SV777-3 (SV004)'!P185)</f>
        <v/>
      </c>
      <c r="E43" t="str">
        <f>IF('SV777-3 (SV004)'!P184&lt;1,"","ШЛ."&amp;'SV777-3 (SV004)'!P184)</f>
        <v/>
      </c>
    </row>
    <row r="44" spans="1:5" x14ac:dyDescent="0.25">
      <c r="A44">
        <v>5</v>
      </c>
      <c r="B44" t="str">
        <f>IF('SV777-3 (SV004)'!B204&lt;1,"резерв",'SV777-3 (SV004)'!B204)</f>
        <v>резерв</v>
      </c>
      <c r="C44" s="59" t="str">
        <f>'SV777-3 (SV004)'!B205</f>
        <v/>
      </c>
      <c r="D44" s="60" t="str">
        <f>IF(B44="резерв","",'SV777-3 (SV004)'!D205)</f>
        <v/>
      </c>
      <c r="E44" t="str">
        <f>IF('SV777-3 (SV004)'!D204&lt;1,"","ШЛ."&amp;'SV777-3 (SV004)'!D204)</f>
        <v/>
      </c>
    </row>
    <row r="45" spans="1:5" x14ac:dyDescent="0.25">
      <c r="A45">
        <v>6</v>
      </c>
      <c r="B45" t="str">
        <f>IF('SV777-3 (SV004)'!F204&lt;1,"резерв",'SV777-3 (SV004)'!F204)</f>
        <v>резерв</v>
      </c>
      <c r="C45" s="59" t="str">
        <f>'SV777-3 (SV004)'!F205</f>
        <v/>
      </c>
      <c r="D45" s="60" t="str">
        <f>IF(B45="резерв","",'SV777-3 (SV004)'!H205)</f>
        <v/>
      </c>
      <c r="E45" t="str">
        <f>IF('SV777-3 (SV004)'!H204&lt;1,"","ШЛ."&amp;'SV777-3 (SV004)'!H204)</f>
        <v/>
      </c>
    </row>
    <row r="46" spans="1:5" x14ac:dyDescent="0.25">
      <c r="A46">
        <v>7</v>
      </c>
      <c r="B46" t="str">
        <f>IF('SV777-3 (SV004)'!J204&lt;1,"резерв",'SV777-3 (SV004)'!J204)</f>
        <v>резерв</v>
      </c>
      <c r="C46" s="59" t="str">
        <f>'SV777-3 (SV004)'!J205</f>
        <v/>
      </c>
      <c r="D46" s="60" t="str">
        <f>IF(B46="резерв","",'SV777-3 (SV004)'!L205)</f>
        <v/>
      </c>
      <c r="E46" t="str">
        <f>IF('SV777-3 (SV004)'!L204&lt;1,"","ШЛ."&amp;'SV777-3 (SV004)'!L204)</f>
        <v/>
      </c>
    </row>
    <row r="47" spans="1:5" x14ac:dyDescent="0.25">
      <c r="A47">
        <v>8</v>
      </c>
      <c r="B47" t="str">
        <f>IF('SV777-3 (SV004)'!N204&lt;1,"резерв",'SV777-3 (SV004)'!N204)</f>
        <v>резерв</v>
      </c>
      <c r="C47" s="59" t="str">
        <f>'SV777-3 (SV004)'!N205</f>
        <v/>
      </c>
      <c r="D47" s="60" t="str">
        <f>IF(B47="резерв","",'SV777-3 (SV004)'!P205)</f>
        <v/>
      </c>
      <c r="E47" t="str">
        <f>IF('SV777-3 (SV004)'!P204&lt;1,"","ШЛ."&amp;'SV777-3 (SV004)'!P204)</f>
        <v/>
      </c>
    </row>
    <row r="48" spans="1:5" x14ac:dyDescent="0.25">
      <c r="B48" t="s">
        <v>174</v>
      </c>
    </row>
    <row r="49" spans="1:5" x14ac:dyDescent="0.25">
      <c r="A49">
        <v>1</v>
      </c>
      <c r="B49" t="str">
        <f>IF('SV777-3 (SV004)'!B226&lt;1,"резерв",'SV777-3 (SV004)'!B226)</f>
        <v>резерв</v>
      </c>
      <c r="C49" s="59" t="str">
        <f>'SV777-3 (SV004)'!B227</f>
        <v/>
      </c>
      <c r="D49" s="60" t="str">
        <f>IF(B49="резерв","",'SV777-3 (SV004)'!D227)</f>
        <v/>
      </c>
      <c r="E49" t="str">
        <f>IF('SV777-3 (SV004)'!D226&lt;1,"","ШЛ."&amp;'SV777-3 (SV004)'!D226)</f>
        <v/>
      </c>
    </row>
    <row r="50" spans="1:5" x14ac:dyDescent="0.25">
      <c r="A50">
        <v>2</v>
      </c>
      <c r="B50" t="str">
        <f>IF('SV777-3 (SV004)'!F226&lt;1,"резерв",'SV777-3 (SV004)'!F226)</f>
        <v>резерв</v>
      </c>
      <c r="C50" s="59" t="str">
        <f>'SV777-3 (SV004)'!F227</f>
        <v/>
      </c>
      <c r="D50" s="60" t="str">
        <f>IF(B50="резерв","",'SV777-3 (SV004)'!H227)</f>
        <v/>
      </c>
      <c r="E50" t="str">
        <f>IF('SV777-3 (SV004)'!H226&lt;1,"","ШЛ."&amp;'SV777-3 (SV004)'!H226)</f>
        <v/>
      </c>
    </row>
    <row r="51" spans="1:5" x14ac:dyDescent="0.25">
      <c r="A51">
        <v>3</v>
      </c>
      <c r="B51" t="str">
        <f>IF('SV777-3 (SV004)'!J226&lt;1,"резерв",'SV777-3 (SV004)'!J226)</f>
        <v>резерв</v>
      </c>
      <c r="C51" s="59" t="str">
        <f>'SV777-3 (SV004)'!J227</f>
        <v/>
      </c>
      <c r="D51" s="60" t="str">
        <f>IF(B51="резерв","",'SV777-3 (SV004)'!L227)</f>
        <v/>
      </c>
      <c r="E51" t="str">
        <f>IF('SV777-3 (SV004)'!L226&lt;1,"","ШЛ."&amp;'SV777-3 (SV004)'!L226)</f>
        <v/>
      </c>
    </row>
    <row r="52" spans="1:5" x14ac:dyDescent="0.25">
      <c r="A52">
        <v>4</v>
      </c>
      <c r="B52" t="str">
        <f>IF('SV777-3 (SV004)'!N226&lt;1,"резерв",'SV777-3 (SV004)'!N226)</f>
        <v>резерв</v>
      </c>
      <c r="C52" s="59" t="str">
        <f>'SV777-3 (SV004)'!N227</f>
        <v/>
      </c>
      <c r="D52" s="60" t="str">
        <f>IF(B52="резерв","",'SV777-3 (SV004)'!P227)</f>
        <v/>
      </c>
      <c r="E52" t="str">
        <f>IF('SV777-3 (SV004)'!P226&lt;1,"","ШЛ."&amp;'SV777-3 (SV004)'!P226)</f>
        <v/>
      </c>
    </row>
    <row r="53" spans="1:5" x14ac:dyDescent="0.25">
      <c r="A53">
        <v>5</v>
      </c>
      <c r="B53" t="str">
        <f>IF('SV777-3 (SV004)'!B246&lt;1,"резерв",'SV777-3 (SV004)'!B246)</f>
        <v>резерв</v>
      </c>
      <c r="C53" s="59" t="str">
        <f>'SV777-3 (SV004)'!B247</f>
        <v/>
      </c>
      <c r="D53" s="60" t="str">
        <f>IF(B53="резерв","",'SV777-3 (SV004)'!D247)</f>
        <v/>
      </c>
      <c r="E53" t="str">
        <f>IF('SV777-3 (SV004)'!D246&lt;1,"","ШЛ."&amp;'SV777-3 (SV004)'!D246)</f>
        <v/>
      </c>
    </row>
    <row r="54" spans="1:5" x14ac:dyDescent="0.25">
      <c r="A54">
        <v>6</v>
      </c>
      <c r="B54" t="str">
        <f>IF('SV777-3 (SV004)'!F246&lt;1,"резерв",'SV777-3 (SV004)'!F246)</f>
        <v>резерв</v>
      </c>
      <c r="C54" s="59" t="str">
        <f>'SV777-3 (SV004)'!F247</f>
        <v/>
      </c>
      <c r="D54" s="60" t="str">
        <f>IF(B54="резерв","",'SV777-3 (SV004)'!H247)</f>
        <v/>
      </c>
      <c r="E54" t="str">
        <f>IF('SV777-3 (SV004)'!H246&lt;1,"","ШЛ."&amp;'SV777-3 (SV004)'!H246)</f>
        <v/>
      </c>
    </row>
    <row r="55" spans="1:5" x14ac:dyDescent="0.25">
      <c r="A55">
        <v>7</v>
      </c>
      <c r="B55" t="str">
        <f>IF('SV777-3 (SV004)'!J246&lt;1,"резерв",'SV777-3 (SV004)'!J246)</f>
        <v>резерв</v>
      </c>
      <c r="C55" s="59" t="str">
        <f>'SV777-3 (SV004)'!J247</f>
        <v/>
      </c>
      <c r="D55" s="60" t="str">
        <f>IF(B55="резерв","",'SV777-3 (SV004)'!L247)</f>
        <v/>
      </c>
      <c r="E55" t="str">
        <f>IF('SV777-3 (SV004)'!L246&lt;1,"","ШЛ."&amp;'SV777-3 (SV004)'!L246)</f>
        <v/>
      </c>
    </row>
    <row r="56" spans="1:5" x14ac:dyDescent="0.25">
      <c r="A56">
        <v>8</v>
      </c>
      <c r="B56" t="str">
        <f>IF('SV777-3 (SV004)'!N246&lt;1,"резерв",'SV777-3 (SV004)'!N246)</f>
        <v>резерв</v>
      </c>
      <c r="C56" s="59" t="str">
        <f>'SV777-3 (SV004)'!N247</f>
        <v/>
      </c>
      <c r="D56" s="60" t="str">
        <f>IF(B56="резерв","",'SV777-3 (SV004)'!P247)</f>
        <v/>
      </c>
      <c r="E56" t="str">
        <f>IF('SV777-3 (SV004)'!P246&lt;1,"","ШЛ."&amp;'SV777-3 (SV004)'!P246)</f>
        <v/>
      </c>
    </row>
    <row r="57" spans="1:5" x14ac:dyDescent="0.25">
      <c r="B57" t="s">
        <v>188</v>
      </c>
    </row>
    <row r="58" spans="1:5" x14ac:dyDescent="0.25">
      <c r="A58">
        <v>1</v>
      </c>
      <c r="B58" t="str">
        <f>IF('SV777-3 (SV004)'!B268&lt;1,"резерв",'SV777-3 (SV004)'!B268)</f>
        <v>резерв</v>
      </c>
      <c r="C58" s="59" t="str">
        <f>'SV777-3 (SV004)'!B269</f>
        <v/>
      </c>
      <c r="D58" s="60" t="str">
        <f>IF(B58="резерв","",'SV777-3 (SV004)'!D269)</f>
        <v/>
      </c>
      <c r="E58" t="str">
        <f>IF('SV777-3 (SV004)'!D268&lt;1,"","ШЛ."&amp;'SV777-3 (SV004)'!D268)</f>
        <v/>
      </c>
    </row>
    <row r="59" spans="1:5" x14ac:dyDescent="0.25">
      <c r="A59">
        <v>2</v>
      </c>
      <c r="B59" t="str">
        <f>IF('SV777-3 (SV004)'!F268&lt;1,"резерв",'SV777-3 (SV004)'!F268)</f>
        <v>резерв</v>
      </c>
      <c r="C59" s="59" t="str">
        <f>'SV777-3 (SV004)'!F269</f>
        <v/>
      </c>
      <c r="D59" s="60" t="str">
        <f>IF(B59="резерв","",'SV777-3 (SV004)'!H269)</f>
        <v/>
      </c>
      <c r="E59" t="str">
        <f>IF('SV777-3 (SV004)'!H268&lt;1,"","ШЛ."&amp;'SV777-3 (SV004)'!H268)</f>
        <v/>
      </c>
    </row>
    <row r="60" spans="1:5" x14ac:dyDescent="0.25">
      <c r="A60">
        <v>3</v>
      </c>
      <c r="B60" t="str">
        <f>IF('SV777-3 (SV004)'!J268&lt;1,"резерв",'SV777-3 (SV004)'!J268)</f>
        <v>резерв</v>
      </c>
      <c r="C60" s="59" t="str">
        <f>'SV777-3 (SV004)'!J269</f>
        <v/>
      </c>
      <c r="D60" s="60" t="str">
        <f>IF(B60="резерв","",'SV777-3 (SV004)'!L269)</f>
        <v/>
      </c>
      <c r="E60" t="str">
        <f>IF('SV777-3 (SV004)'!L268&lt;1,"","ШЛ."&amp;'SV777-3 (SV004)'!L268)</f>
        <v/>
      </c>
    </row>
    <row r="61" spans="1:5" x14ac:dyDescent="0.25">
      <c r="A61">
        <v>4</v>
      </c>
      <c r="B61" t="str">
        <f>IF('SV777-3 (SV004)'!N268&lt;1,"резерв",'SV777-3 (SV004)'!N268)</f>
        <v>резерв</v>
      </c>
      <c r="C61" s="59" t="str">
        <f>'SV777-3 (SV004)'!N269</f>
        <v/>
      </c>
      <c r="D61" s="60" t="str">
        <f>IF(B61="резерв","",'SV777-3 (SV004)'!P269)</f>
        <v/>
      </c>
      <c r="E61" t="str">
        <f>IF('SV777-3 (SV004)'!P268&lt;1,"","ШЛ."&amp;'SV777-3 (SV004)'!P268)</f>
        <v/>
      </c>
    </row>
    <row r="62" spans="1:5" x14ac:dyDescent="0.25">
      <c r="A62">
        <v>5</v>
      </c>
      <c r="B62" t="str">
        <f>IF('SV777-3 (SV004)'!B288&lt;1,"резерв",'SV777-3 (SV004)'!B288)</f>
        <v>резерв</v>
      </c>
      <c r="C62" s="59" t="str">
        <f>'SV777-3 (SV004)'!B289</f>
        <v/>
      </c>
      <c r="D62" s="60" t="str">
        <f>IF(B62="резерв","",'SV777-3 (SV004)'!D289)</f>
        <v/>
      </c>
      <c r="E62" t="str">
        <f>IF('SV777-3 (SV004)'!D288&lt;1,"","ШЛ."&amp;'SV777-3 (SV004)'!D288)</f>
        <v/>
      </c>
    </row>
    <row r="63" spans="1:5" x14ac:dyDescent="0.25">
      <c r="A63">
        <v>6</v>
      </c>
      <c r="B63" t="str">
        <f>IF('SV777-3 (SV004)'!F288&lt;1,"резерв",'SV777-3 (SV004)'!F288)</f>
        <v>резерв</v>
      </c>
      <c r="C63" s="59" t="str">
        <f>'SV777-3 (SV004)'!F289</f>
        <v/>
      </c>
      <c r="D63" s="60" t="str">
        <f>IF(B63="резерв","",'SV777-3 (SV004)'!H289)</f>
        <v/>
      </c>
      <c r="E63" t="str">
        <f>IF('SV777-3 (SV004)'!H288&lt;1,"","ШЛ."&amp;'SV777-3 (SV004)'!H288)</f>
        <v/>
      </c>
    </row>
    <row r="64" spans="1:5" x14ac:dyDescent="0.25">
      <c r="A64">
        <v>7</v>
      </c>
      <c r="B64" t="str">
        <f>IF('SV777-3 (SV004)'!J288&lt;1,"резерв",'SV777-3 (SV004)'!J288)</f>
        <v>резерв</v>
      </c>
      <c r="C64" s="59" t="str">
        <f>'SV777-3 (SV004)'!J289</f>
        <v/>
      </c>
      <c r="D64" s="60" t="str">
        <f>IF(B64="резерв","",'SV777-3 (SV004)'!L289)</f>
        <v/>
      </c>
      <c r="E64" t="str">
        <f>IF('SV777-3 (SV004)'!L288&lt;1,"","ШЛ."&amp;'SV777-3 (SV004)'!L288)</f>
        <v/>
      </c>
    </row>
    <row r="65" spans="1:5" x14ac:dyDescent="0.25">
      <c r="A65">
        <v>8</v>
      </c>
      <c r="B65" t="str">
        <f>IF('SV777-3 (SV004)'!N288&lt;1,"резерв",'SV777-3 (SV004)'!N288)</f>
        <v>резерв</v>
      </c>
      <c r="C65" s="59" t="str">
        <f>'SV777-3 (SV004)'!N289</f>
        <v/>
      </c>
      <c r="D65" s="60" t="str">
        <f>IF(B65="резерв","",'SV777-3 (SV004)'!P289)</f>
        <v/>
      </c>
      <c r="E65" t="str">
        <f>IF('SV777-3 (SV004)'!P288&lt;1,"","ШЛ."&amp;'SV777-3 (SV004)'!P288)</f>
        <v/>
      </c>
    </row>
    <row r="66" spans="1:5" x14ac:dyDescent="0.25">
      <c r="B66" t="s">
        <v>189</v>
      </c>
    </row>
    <row r="67" spans="1:5" x14ac:dyDescent="0.25">
      <c r="A67">
        <v>1</v>
      </c>
      <c r="B67" t="str">
        <f>IF('SV777-3 (SV004)'!B310&lt;1,"резерв",'SV777-3 (SV004)'!B310)</f>
        <v>резерв</v>
      </c>
      <c r="C67" s="59" t="str">
        <f>'SV777-3 (SV004)'!B311</f>
        <v/>
      </c>
      <c r="D67" s="60" t="str">
        <f>IF(B67="резерв","",'SV777-3 (SV004)'!D311)</f>
        <v/>
      </c>
      <c r="E67" t="str">
        <f>IF('SV777-3 (SV004)'!D310&lt;1,"","ШЛ."&amp;'SV777-3 (SV004)'!D310)</f>
        <v/>
      </c>
    </row>
    <row r="68" spans="1:5" x14ac:dyDescent="0.25">
      <c r="A68">
        <v>2</v>
      </c>
      <c r="B68" t="str">
        <f>IF('SV777-3 (SV004)'!F310&lt;1,"резерв",'SV777-3 (SV004)'!F310)</f>
        <v>резерв</v>
      </c>
      <c r="C68" s="59" t="str">
        <f>'SV777-3 (SV004)'!F311</f>
        <v/>
      </c>
      <c r="D68" s="60" t="str">
        <f>IF(B68="резерв","",'SV777-3 (SV004)'!H311)</f>
        <v/>
      </c>
      <c r="E68" t="str">
        <f>IF('SV777-3 (SV004)'!H310&lt;1,"","ШЛ."&amp;'SV777-3 (SV004)'!H310)</f>
        <v/>
      </c>
    </row>
    <row r="69" spans="1:5" x14ac:dyDescent="0.25">
      <c r="A69">
        <v>3</v>
      </c>
      <c r="B69" t="str">
        <f>IF('SV777-3 (SV004)'!J310&lt;1,"резерв",'SV777-3 (SV004)'!J310)</f>
        <v>резерв</v>
      </c>
      <c r="C69" s="59" t="str">
        <f>'SV777-3 (SV004)'!J311</f>
        <v/>
      </c>
      <c r="D69" s="60" t="str">
        <f>IF(B69="резерв","",'SV777-3 (SV004)'!L311)</f>
        <v/>
      </c>
      <c r="E69" t="str">
        <f>IF('SV777-3 (SV004)'!L310&lt;1,"","ШЛ."&amp;'SV777-3 (SV004)'!L310)</f>
        <v/>
      </c>
    </row>
    <row r="70" spans="1:5" x14ac:dyDescent="0.25">
      <c r="A70">
        <v>4</v>
      </c>
      <c r="B70" t="str">
        <f>IF('SV777-3 (SV004)'!N310&lt;1,"резерв",'SV777-3 (SV004)'!N310)</f>
        <v>резерв</v>
      </c>
      <c r="C70" s="59" t="str">
        <f>'SV777-3 (SV004)'!N311</f>
        <v/>
      </c>
      <c r="D70" s="60" t="str">
        <f>IF(B70="резерв","",'SV777-3 (SV004)'!P311)</f>
        <v/>
      </c>
      <c r="E70" t="str">
        <f>IF('SV777-3 (SV004)'!P310&lt;1,"","ШЛ."&amp;'SV777-3 (SV004)'!P310)</f>
        <v/>
      </c>
    </row>
    <row r="71" spans="1:5" x14ac:dyDescent="0.25">
      <c r="A71">
        <v>5</v>
      </c>
      <c r="B71" t="str">
        <f>IF('SV777-3 (SV004)'!B330&lt;1,"резерв",'SV777-3 (SV004)'!B330)</f>
        <v>резерв</v>
      </c>
      <c r="C71" s="59" t="str">
        <f>'SV777-3 (SV004)'!B331</f>
        <v/>
      </c>
      <c r="D71" s="60" t="str">
        <f>IF(B71="резерв","",'SV777-3 (SV004)'!D331)</f>
        <v/>
      </c>
      <c r="E71" t="str">
        <f>IF('SV777-3 (SV004)'!D330&lt;1,"","ШЛ."&amp;'SV777-3 (SV004)'!D330)</f>
        <v/>
      </c>
    </row>
    <row r="72" spans="1:5" x14ac:dyDescent="0.25">
      <c r="A72">
        <v>6</v>
      </c>
      <c r="B72" t="str">
        <f>IF('SV777-3 (SV004)'!F330&lt;1,"резерв",'SV777-3 (SV004)'!F330)</f>
        <v>резерв</v>
      </c>
      <c r="C72" s="59" t="str">
        <f>'SV777-3 (SV004)'!F331</f>
        <v/>
      </c>
      <c r="D72" s="60" t="str">
        <f>IF(B72="резерв","",'SV777-3 (SV004)'!H331)</f>
        <v/>
      </c>
      <c r="E72" t="str">
        <f>IF('SV777-3 (SV004)'!H330&lt;1,"","ШЛ."&amp;'SV777-3 (SV004)'!H330)</f>
        <v/>
      </c>
    </row>
    <row r="73" spans="1:5" x14ac:dyDescent="0.25">
      <c r="A73">
        <v>7</v>
      </c>
      <c r="B73" t="str">
        <f>IF('SV777-3 (SV004)'!J330&lt;1,"резерв",'SV777-3 (SV004)'!J330)</f>
        <v>резерв</v>
      </c>
      <c r="C73" s="59" t="str">
        <f>'SV777-3 (SV004)'!J331</f>
        <v/>
      </c>
      <c r="D73" s="60" t="str">
        <f>IF(B73="резерв","",'SV777-3 (SV004)'!L331)</f>
        <v/>
      </c>
      <c r="E73" t="str">
        <f>IF('SV777-3 (SV004)'!L330&lt;1,"","ШЛ."&amp;'SV777-3 (SV004)'!L330)</f>
        <v/>
      </c>
    </row>
    <row r="74" spans="1:5" x14ac:dyDescent="0.25">
      <c r="A74">
        <v>8</v>
      </c>
      <c r="B74" t="str">
        <f>IF('SV777-3 (SV004)'!N330&lt;1,"резерв",'SV777-3 (SV004)'!N330)</f>
        <v>резерв</v>
      </c>
      <c r="C74" s="59" t="str">
        <f>'SV777-3 (SV004)'!N331</f>
        <v/>
      </c>
      <c r="D74" s="60" t="str">
        <f>IF(B74="резерв","",'SV777-3 (SV004)'!P331)</f>
        <v/>
      </c>
      <c r="E74" t="str">
        <f>IF('SV777-3 (SV004)'!P330&lt;1,"","ШЛ."&amp;'SV777-3 (SV004)'!P330)</f>
        <v/>
      </c>
    </row>
    <row r="75" spans="1:5" x14ac:dyDescent="0.25">
      <c r="B75" t="s">
        <v>177</v>
      </c>
    </row>
    <row r="76" spans="1:5" x14ac:dyDescent="0.25">
      <c r="A76">
        <v>1</v>
      </c>
      <c r="B76" t="str">
        <f>IF('SV777-3 (SV004)'!B352&lt;1,"резерв",'SV777-3 (SV004)'!B352)</f>
        <v>резерв</v>
      </c>
      <c r="C76" s="59" t="str">
        <f>'SV777-3 (SV004)'!B353</f>
        <v/>
      </c>
      <c r="D76" s="60" t="str">
        <f>IF(B76="резерв","",'SV777-3 (SV004)'!D353)</f>
        <v/>
      </c>
      <c r="E76" t="str">
        <f>IF('SV777-3 (SV004)'!D352&lt;1,"","ШЛ."&amp;'SV777-3 (SV004)'!D352)</f>
        <v/>
      </c>
    </row>
    <row r="77" spans="1:5" x14ac:dyDescent="0.25">
      <c r="A77">
        <v>2</v>
      </c>
      <c r="B77" t="str">
        <f>IF('SV777-3 (SV004)'!F352&lt;1,"резерв",'SV777-3 (SV004)'!F352)</f>
        <v>резерв</v>
      </c>
      <c r="C77" s="59" t="str">
        <f>'SV777-3 (SV004)'!F353</f>
        <v/>
      </c>
      <c r="D77" s="60" t="str">
        <f>IF(B77="резерв","",'SV777-3 (SV004)'!H353)</f>
        <v/>
      </c>
      <c r="E77" t="str">
        <f>IF('SV777-3 (SV004)'!H352&lt;1,"","ШЛ."&amp;'SV777-3 (SV004)'!H352)</f>
        <v/>
      </c>
    </row>
    <row r="78" spans="1:5" x14ac:dyDescent="0.25">
      <c r="A78">
        <v>3</v>
      </c>
      <c r="B78" t="str">
        <f>IF('SV777-3 (SV004)'!J352&lt;1,"резерв",'SV777-3 (SV004)'!J352)</f>
        <v>резерв</v>
      </c>
      <c r="C78" s="59" t="str">
        <f>'SV777-3 (SV004)'!J353</f>
        <v/>
      </c>
      <c r="D78" s="60" t="str">
        <f>IF(B78="резерв","",'SV777-3 (SV004)'!L353)</f>
        <v/>
      </c>
      <c r="E78" t="str">
        <f>IF('SV777-3 (SV004)'!L352&lt;1,"","ШЛ."&amp;'SV777-3 (SV004)'!L352)</f>
        <v/>
      </c>
    </row>
    <row r="79" spans="1:5" x14ac:dyDescent="0.25">
      <c r="A79">
        <v>4</v>
      </c>
      <c r="B79" t="str">
        <f>IF('SV777-3 (SV004)'!N352&lt;1,"резерв",'SV777-3 (SV004)'!N352)</f>
        <v>резерв</v>
      </c>
      <c r="C79" s="59" t="str">
        <f>'SV777-3 (SV004)'!N353</f>
        <v/>
      </c>
      <c r="D79" s="60" t="str">
        <f>IF(B79="резерв","",'SV777-3 (SV004)'!P353)</f>
        <v/>
      </c>
      <c r="E79" t="str">
        <f>IF('SV777-3 (SV004)'!P352&lt;1,"","ШЛ."&amp;'SV777-3 (SV004)'!P352)</f>
        <v/>
      </c>
    </row>
    <row r="80" spans="1:5" x14ac:dyDescent="0.25">
      <c r="A80">
        <v>5</v>
      </c>
      <c r="B80" t="str">
        <f>IF('SV777-3 (SV004)'!B372&lt;1,"резерв",'SV777-3 (SV004)'!B372)</f>
        <v>резерв</v>
      </c>
      <c r="C80" s="59" t="str">
        <f>'SV777-3 (SV004)'!B373</f>
        <v/>
      </c>
      <c r="D80" s="60" t="str">
        <f>IF(B80="резерв","",'SV777-3 (SV004)'!D373)</f>
        <v/>
      </c>
      <c r="E80" t="str">
        <f>IF('SV777-3 (SV004)'!D372&lt;1,"","ШЛ."&amp;'SV777-3 (SV004)'!D372)</f>
        <v/>
      </c>
    </row>
    <row r="81" spans="1:5" x14ac:dyDescent="0.25">
      <c r="A81">
        <v>6</v>
      </c>
      <c r="B81" t="str">
        <f>IF('SV777-3 (SV004)'!F372&lt;1,"резерв",'SV777-3 (SV004)'!F372)</f>
        <v>резерв</v>
      </c>
      <c r="C81" s="59" t="str">
        <f>'SV777-3 (SV004)'!F373</f>
        <v/>
      </c>
      <c r="D81" s="60" t="str">
        <f>IF(B81="резерв","",'SV777-3 (SV004)'!H373)</f>
        <v/>
      </c>
      <c r="E81" t="str">
        <f>IF('SV777-3 (SV004)'!H372&lt;1,"","ШЛ."&amp;'SV777-3 (SV004)'!H372)</f>
        <v/>
      </c>
    </row>
    <row r="82" spans="1:5" x14ac:dyDescent="0.25">
      <c r="A82">
        <v>7</v>
      </c>
      <c r="B82" t="str">
        <f>IF('SV777-3 (SV004)'!J372&lt;1,"резерв",'SV777-3 (SV004)'!J372)</f>
        <v>резерв</v>
      </c>
      <c r="C82" s="59" t="str">
        <f>'SV777-3 (SV004)'!J373</f>
        <v/>
      </c>
      <c r="D82" s="60" t="str">
        <f>IF(B82="резерв","",'SV777-3 (SV004)'!L373)</f>
        <v/>
      </c>
      <c r="E82" t="str">
        <f>IF('SV777-3 (SV004)'!L372&lt;1,"","ШЛ."&amp;'SV777-3 (SV004)'!L372)</f>
        <v/>
      </c>
    </row>
    <row r="83" spans="1:5" x14ac:dyDescent="0.25">
      <c r="A83">
        <v>8</v>
      </c>
      <c r="B83" t="str">
        <f>IF('SV777-3 (SV004)'!N372&lt;1,"резерв",'SV777-3 (SV004)'!N372)</f>
        <v>резерв</v>
      </c>
      <c r="C83" s="59" t="str">
        <f>'SV777-3 (SV004)'!N373</f>
        <v/>
      </c>
      <c r="D83" s="60" t="str">
        <f>IF(B83="резерв","",'SV777-3 (SV004)'!P373)</f>
        <v/>
      </c>
      <c r="E83" t="str">
        <f>IF('SV777-3 (SV004)'!P372&lt;1,"","ШЛ."&amp;'SV777-3 (SV004)'!P372)</f>
        <v/>
      </c>
    </row>
    <row r="84" spans="1:5" x14ac:dyDescent="0.25">
      <c r="B84" t="s">
        <v>178</v>
      </c>
    </row>
    <row r="85" spans="1:5" x14ac:dyDescent="0.25">
      <c r="A85">
        <v>1</v>
      </c>
      <c r="B85" t="str">
        <f>IF('SV777-3 (SV004)'!B394&lt;1,"резерв",'SV777-3 (SV004)'!B394)</f>
        <v>резерв</v>
      </c>
      <c r="C85" s="59" t="str">
        <f>'SV777-3 (SV004)'!B395</f>
        <v/>
      </c>
      <c r="D85" s="60" t="str">
        <f>IF(B85="резерв","",'SV777-3 (SV004)'!D395)</f>
        <v/>
      </c>
      <c r="E85" t="str">
        <f>IF('SV777-3 (SV004)'!D394&lt;1,"","ШЛ."&amp;'SV777-3 (SV004)'!D394)</f>
        <v/>
      </c>
    </row>
    <row r="86" spans="1:5" x14ac:dyDescent="0.25">
      <c r="A86">
        <v>2</v>
      </c>
      <c r="B86" t="str">
        <f>IF('SV777-3 (SV004)'!F394&lt;1,"резерв",'SV777-3 (SV004)'!F394)</f>
        <v>резерв</v>
      </c>
      <c r="C86" s="59" t="str">
        <f>'SV777-3 (SV004)'!F395</f>
        <v/>
      </c>
      <c r="D86" s="60" t="str">
        <f>IF(B86="резерв","",'SV777-3 (SV004)'!H395)</f>
        <v/>
      </c>
      <c r="E86" t="str">
        <f>IF('SV777-3 (SV004)'!H394&lt;1,"","ШЛ."&amp;'SV777-3 (SV004)'!H394)</f>
        <v/>
      </c>
    </row>
    <row r="87" spans="1:5" x14ac:dyDescent="0.25">
      <c r="A87">
        <v>3</v>
      </c>
      <c r="B87" t="str">
        <f>IF('SV777-3 (SV004)'!J394&lt;1,"резерв",'SV777-3 (SV004)'!J394)</f>
        <v>резерв</v>
      </c>
      <c r="C87" s="59" t="str">
        <f>'SV777-3 (SV004)'!J395</f>
        <v/>
      </c>
      <c r="D87" s="60" t="str">
        <f>IF(B87="резерв","",'SV777-3 (SV004)'!L395)</f>
        <v/>
      </c>
      <c r="E87" t="str">
        <f>IF('SV777-3 (SV004)'!L394&lt;1,"","ШЛ."&amp;'SV777-3 (SV004)'!L394)</f>
        <v/>
      </c>
    </row>
    <row r="88" spans="1:5" x14ac:dyDescent="0.25">
      <c r="A88">
        <v>4</v>
      </c>
      <c r="B88" t="str">
        <f>IF('SV777-3 (SV004)'!N394&lt;1,"резерв",'SV777-3 (SV004)'!N394)</f>
        <v>резерв</v>
      </c>
      <c r="C88" s="59" t="str">
        <f>'SV777-3 (SV004)'!N395</f>
        <v/>
      </c>
      <c r="D88" s="60" t="str">
        <f>IF(B88="резерв","",'SV777-3 (SV004)'!P395)</f>
        <v/>
      </c>
      <c r="E88" t="str">
        <f>IF('SV777-3 (SV004)'!P394&lt;1,"","ШЛ."&amp;'SV777-3 (SV004)'!P394)</f>
        <v/>
      </c>
    </row>
    <row r="89" spans="1:5" x14ac:dyDescent="0.25">
      <c r="A89">
        <v>5</v>
      </c>
      <c r="B89" t="str">
        <f>IF('SV777-3 (SV004)'!B414&lt;1,"резерв",'SV777-3 (SV004)'!B414)</f>
        <v>резерв</v>
      </c>
      <c r="C89" s="59" t="str">
        <f>'SV777-3 (SV004)'!B415</f>
        <v/>
      </c>
      <c r="D89" s="60" t="str">
        <f>IF(B89="резерв","",'SV777-3 (SV004)'!D415)</f>
        <v/>
      </c>
      <c r="E89" t="str">
        <f>IF('SV777-3 (SV004)'!D414&lt;1,"","ШЛ."&amp;'SV777-3 (SV004)'!D414)</f>
        <v/>
      </c>
    </row>
    <row r="90" spans="1:5" x14ac:dyDescent="0.25">
      <c r="A90">
        <v>6</v>
      </c>
      <c r="B90" t="str">
        <f>IF('SV777-3 (SV004)'!F414&lt;1,"резерв",'SV777-3 (SV004)'!F414)</f>
        <v>резерв</v>
      </c>
      <c r="C90" s="59" t="str">
        <f>'SV777-3 (SV004)'!F415</f>
        <v/>
      </c>
      <c r="D90" s="60" t="str">
        <f>IF(B90="резерв","",'SV777-3 (SV004)'!H415)</f>
        <v/>
      </c>
      <c r="E90" t="str">
        <f>IF('SV777-3 (SV004)'!H414&lt;1,"","ШЛ."&amp;'SV777-3 (SV004)'!H414)</f>
        <v/>
      </c>
    </row>
    <row r="91" spans="1:5" x14ac:dyDescent="0.25">
      <c r="A91">
        <v>7</v>
      </c>
      <c r="B91" t="str">
        <f>IF('SV777-3 (SV004)'!J414&lt;1,"резерв",'SV777-3 (SV004)'!J414)</f>
        <v>резерв</v>
      </c>
      <c r="C91" s="59" t="str">
        <f>'SV777-3 (SV004)'!J415</f>
        <v/>
      </c>
      <c r="D91" s="60" t="str">
        <f>IF(B91="резерв","",'SV777-3 (SV004)'!L415)</f>
        <v/>
      </c>
      <c r="E91" t="str">
        <f>IF('SV777-3 (SV004)'!L414&lt;1,"","ШЛ."&amp;'SV777-3 (SV004)'!L414)</f>
        <v/>
      </c>
    </row>
    <row r="92" spans="1:5" x14ac:dyDescent="0.25">
      <c r="A92">
        <v>8</v>
      </c>
      <c r="B92" t="str">
        <f>IF('SV777-3 (SV004)'!N414&lt;1,"резерв",'SV777-3 (SV004)'!N414)</f>
        <v>резерв</v>
      </c>
      <c r="C92" s="59" t="str">
        <f>'SV777-3 (SV004)'!N415</f>
        <v/>
      </c>
      <c r="D92" s="60" t="str">
        <f>IF(B92="резерв","",'SV777-3 (SV004)'!P415)</f>
        <v/>
      </c>
      <c r="E92" t="str">
        <f>IF('SV777-3 (SV004)'!P414&lt;1,"","ШЛ."&amp;'SV777-3 (SV004)'!P414)</f>
        <v/>
      </c>
    </row>
    <row r="93" spans="1:5" x14ac:dyDescent="0.25">
      <c r="B93" t="s">
        <v>179</v>
      </c>
    </row>
    <row r="94" spans="1:5" x14ac:dyDescent="0.25">
      <c r="A94">
        <v>1</v>
      </c>
      <c r="B94" t="str">
        <f>IF('SV777-3 (SV004)'!B436&lt;1,"резерв",'SV777-3 (SV004)'!B436)</f>
        <v>резерв</v>
      </c>
      <c r="C94" s="59" t="str">
        <f>'SV777-3 (SV004)'!B437</f>
        <v/>
      </c>
      <c r="D94" s="60" t="str">
        <f>IF(B94="резерв","",'SV777-3 (SV004)'!D437)</f>
        <v/>
      </c>
      <c r="E94" t="str">
        <f>IF('SV777-3 (SV004)'!D436&lt;1,"","ШЛ."&amp;'SV777-3 (SV004)'!D436)</f>
        <v/>
      </c>
    </row>
    <row r="95" spans="1:5" x14ac:dyDescent="0.25">
      <c r="A95">
        <v>2</v>
      </c>
      <c r="B95" t="str">
        <f>IF('SV777-3 (SV004)'!F436&lt;1,"резерв",'SV777-3 (SV004)'!F436)</f>
        <v>резерв</v>
      </c>
      <c r="C95" s="59" t="str">
        <f>'SV777-3 (SV004)'!F437</f>
        <v/>
      </c>
      <c r="D95" s="60" t="str">
        <f>IF(B95="резерв","",'SV777-3 (SV004)'!H437)</f>
        <v/>
      </c>
      <c r="E95" t="str">
        <f>IF('SV777-3 (SV004)'!H436&lt;1,"","ШЛ."&amp;'SV777-3 (SV004)'!H436)</f>
        <v/>
      </c>
    </row>
    <row r="96" spans="1:5" x14ac:dyDescent="0.25">
      <c r="A96">
        <v>3</v>
      </c>
      <c r="B96" t="str">
        <f>IF('SV777-3 (SV004)'!J436&lt;1,"резерв",'SV777-3 (SV004)'!J436)</f>
        <v>резерв</v>
      </c>
      <c r="C96" s="59" t="str">
        <f>'SV777-3 (SV004)'!J437</f>
        <v/>
      </c>
      <c r="D96" s="60" t="str">
        <f>IF(B96="резерв","",'SV777-3 (SV004)'!L437)</f>
        <v/>
      </c>
      <c r="E96" t="str">
        <f>IF('SV777-3 (SV004)'!L436&lt;1,"","ШЛ."&amp;'SV777-3 (SV004)'!L436)</f>
        <v/>
      </c>
    </row>
    <row r="97" spans="1:5" x14ac:dyDescent="0.25">
      <c r="A97">
        <v>4</v>
      </c>
      <c r="B97" t="str">
        <f>IF('SV777-3 (SV004)'!N436&lt;1,"резерв",'SV777-3 (SV004)'!N436)</f>
        <v>резерв</v>
      </c>
      <c r="C97" s="59" t="str">
        <f>'SV777-3 (SV004)'!N437</f>
        <v/>
      </c>
      <c r="D97" s="60" t="str">
        <f>IF(B97="резерв","",'SV777-3 (SV004)'!P437)</f>
        <v/>
      </c>
      <c r="E97" t="str">
        <f>IF('SV777-3 (SV004)'!P436&lt;1,"","ШЛ."&amp;'SV777-3 (SV004)'!P436)</f>
        <v/>
      </c>
    </row>
    <row r="98" spans="1:5" x14ac:dyDescent="0.25">
      <c r="A98">
        <v>5</v>
      </c>
      <c r="B98" t="str">
        <f>IF('SV777-3 (SV004)'!B456&lt;1,"резерв",'SV777-3 (SV004)'!B456)</f>
        <v>резерв</v>
      </c>
      <c r="C98" s="59" t="str">
        <f>'SV777-3 (SV004)'!B457</f>
        <v/>
      </c>
      <c r="D98" s="60" t="str">
        <f>IF(B98="резерв","",'SV777-3 (SV004)'!D457)</f>
        <v/>
      </c>
      <c r="E98" t="str">
        <f>IF('SV777-3 (SV004)'!D456&lt;1,"","ШЛ."&amp;'SV777-3 (SV004)'!D456)</f>
        <v/>
      </c>
    </row>
    <row r="99" spans="1:5" x14ac:dyDescent="0.25">
      <c r="A99">
        <v>6</v>
      </c>
      <c r="B99" t="str">
        <f>IF('SV777-3 (SV004)'!F456&lt;1,"резерв",'SV777-3 (SV004)'!F456)</f>
        <v>резерв</v>
      </c>
      <c r="C99" s="59" t="str">
        <f>'SV777-3 (SV004)'!F457</f>
        <v/>
      </c>
      <c r="D99" s="60" t="str">
        <f>IF(B99="резерв","",'SV777-3 (SV004)'!H457)</f>
        <v/>
      </c>
      <c r="E99" t="str">
        <f>IF('SV777-3 (SV004)'!H456&lt;1,"","ШЛ."&amp;'SV777-3 (SV004)'!H456)</f>
        <v/>
      </c>
    </row>
    <row r="100" spans="1:5" x14ac:dyDescent="0.25">
      <c r="A100">
        <v>7</v>
      </c>
      <c r="B100" t="str">
        <f>IF('SV777-3 (SV004)'!J456&lt;1,"резерв",'SV777-3 (SV004)'!J456)</f>
        <v>резерв</v>
      </c>
      <c r="C100" s="59" t="str">
        <f>'SV777-3 (SV004)'!J457</f>
        <v/>
      </c>
      <c r="D100" s="60" t="str">
        <f>IF(B100="резерв","",'SV777-3 (SV004)'!L457)</f>
        <v/>
      </c>
      <c r="E100" t="str">
        <f>IF('SV777-3 (SV004)'!L456&lt;1,"","ШЛ."&amp;'SV777-3 (SV004)'!L456)</f>
        <v/>
      </c>
    </row>
    <row r="101" spans="1:5" x14ac:dyDescent="0.25">
      <c r="A101">
        <v>8</v>
      </c>
      <c r="B101" t="str">
        <f>IF('SV777-3 (SV004)'!N456&lt;1,"резерв",'SV777-3 (SV004)'!N456)</f>
        <v>резерв</v>
      </c>
      <c r="C101" s="59" t="str">
        <f>'SV777-3 (SV004)'!N457</f>
        <v/>
      </c>
      <c r="D101" s="60" t="str">
        <f>IF(B101="резерв","",'SV777-3 (SV004)'!P457)</f>
        <v/>
      </c>
      <c r="E101" t="str">
        <f>IF('SV777-3 (SV004)'!P456&lt;1,"","ШЛ."&amp;'SV777-3 (SV004)'!P456)</f>
        <v/>
      </c>
    </row>
    <row r="102" spans="1:5" x14ac:dyDescent="0.25">
      <c r="B102" t="s">
        <v>180</v>
      </c>
    </row>
    <row r="103" spans="1:5" x14ac:dyDescent="0.25">
      <c r="A103">
        <v>1</v>
      </c>
      <c r="B103" t="str">
        <f>IF('SV777-3 (SV004)'!B478&lt;1,"резерв",'SV777-3 (SV004)'!B478)</f>
        <v>резерв</v>
      </c>
      <c r="C103" s="59" t="str">
        <f>'SV777-3 (SV004)'!B479</f>
        <v/>
      </c>
      <c r="D103" s="60" t="str">
        <f>IF(B103="резерв","",'SV777-3 (SV004)'!D479)</f>
        <v/>
      </c>
      <c r="E103" t="str">
        <f>IF('SV777-3 (SV004)'!D478&lt;1,"","ШЛ."&amp;'SV777-3 (SV004)'!D478)</f>
        <v/>
      </c>
    </row>
    <row r="104" spans="1:5" x14ac:dyDescent="0.25">
      <c r="A104">
        <v>2</v>
      </c>
      <c r="B104" t="str">
        <f>IF('SV777-3 (SV004)'!F478&lt;1,"резерв",'SV777-3 (SV004)'!F478)</f>
        <v>резерв</v>
      </c>
      <c r="C104" s="59" t="str">
        <f>'SV777-3 (SV004)'!F479</f>
        <v/>
      </c>
      <c r="D104" s="60" t="str">
        <f>IF(B104="резерв","",'SV777-3 (SV004)'!H479)</f>
        <v/>
      </c>
      <c r="E104" t="str">
        <f>IF('SV777-3 (SV004)'!H478&lt;1,"","ШЛ."&amp;'SV777-3 (SV004)'!H478)</f>
        <v/>
      </c>
    </row>
    <row r="105" spans="1:5" x14ac:dyDescent="0.25">
      <c r="A105">
        <v>3</v>
      </c>
      <c r="B105" t="str">
        <f>IF('SV777-3 (SV004)'!J478&lt;1,"резерв",'SV777-3 (SV004)'!J478)</f>
        <v>резерв</v>
      </c>
      <c r="C105" s="59" t="str">
        <f>'SV777-3 (SV004)'!J479</f>
        <v/>
      </c>
      <c r="D105" s="60" t="str">
        <f>IF(B105="резерв","",'SV777-3 (SV004)'!L479)</f>
        <v/>
      </c>
      <c r="E105" t="str">
        <f>IF('SV777-3 (SV004)'!L478&lt;1,"","ШЛ."&amp;'SV777-3 (SV004)'!L478)</f>
        <v/>
      </c>
    </row>
    <row r="106" spans="1:5" x14ac:dyDescent="0.25">
      <c r="A106">
        <v>4</v>
      </c>
      <c r="B106" t="str">
        <f>IF('SV777-3 (SV004)'!N478&lt;1,"резерв",'SV777-3 (SV004)'!N478)</f>
        <v>резерв</v>
      </c>
      <c r="C106" s="59" t="str">
        <f>'SV777-3 (SV004)'!N479</f>
        <v/>
      </c>
      <c r="D106" s="60" t="str">
        <f>IF(B106="резерв","",'SV777-3 (SV004)'!P479)</f>
        <v/>
      </c>
      <c r="E106" t="str">
        <f>IF('SV777-3 (SV004)'!P478&lt;1,"","ШЛ."&amp;'SV777-3 (SV004)'!P478)</f>
        <v/>
      </c>
    </row>
    <row r="107" spans="1:5" x14ac:dyDescent="0.25">
      <c r="A107">
        <v>5</v>
      </c>
      <c r="B107" t="str">
        <f>IF('SV777-3 (SV004)'!B498&lt;1,"резерв",'SV777-3 (SV004)'!B498)</f>
        <v>резерв</v>
      </c>
      <c r="C107" s="59" t="str">
        <f>'SV777-3 (SV004)'!B499</f>
        <v/>
      </c>
      <c r="D107" s="60" t="str">
        <f>IF(B107="резерв","",'SV777-3 (SV004)'!D499)</f>
        <v/>
      </c>
      <c r="E107" t="str">
        <f>IF('SV777-3 (SV004)'!D498&lt;1,"","ШЛ."&amp;'SV777-3 (SV004)'!D498)</f>
        <v/>
      </c>
    </row>
    <row r="108" spans="1:5" x14ac:dyDescent="0.25">
      <c r="A108">
        <v>6</v>
      </c>
      <c r="B108" t="str">
        <f>IF('SV777-3 (SV004)'!F498&lt;1,"резерв",'SV777-3 (SV004)'!F498)</f>
        <v>резерв</v>
      </c>
      <c r="C108" s="59" t="str">
        <f>'SV777-3 (SV004)'!F499</f>
        <v/>
      </c>
      <c r="D108" s="60" t="str">
        <f>IF(B108="резерв","",'SV777-3 (SV004)'!H499)</f>
        <v/>
      </c>
      <c r="E108" t="str">
        <f>IF('SV777-3 (SV004)'!H498&lt;1,"","ШЛ."&amp;'SV777-3 (SV004)'!H498)</f>
        <v/>
      </c>
    </row>
    <row r="109" spans="1:5" x14ac:dyDescent="0.25">
      <c r="A109">
        <v>7</v>
      </c>
      <c r="B109" t="str">
        <f>IF('SV777-3 (SV004)'!J498&lt;1,"резерв",'SV777-3 (SV004)'!J498)</f>
        <v>резерв</v>
      </c>
      <c r="C109" s="59" t="str">
        <f>'SV777-3 (SV004)'!J499</f>
        <v/>
      </c>
      <c r="D109" s="60" t="str">
        <f>IF(B109="резерв","",'SV777-3 (SV004)'!L499)</f>
        <v/>
      </c>
      <c r="E109" t="str">
        <f>IF('SV777-3 (SV004)'!L498&lt;1,"","ШЛ."&amp;'SV777-3 (SV004)'!L498)</f>
        <v/>
      </c>
    </row>
    <row r="110" spans="1:5" x14ac:dyDescent="0.25">
      <c r="A110">
        <v>8</v>
      </c>
      <c r="B110" t="str">
        <f>IF('SV777-3 (SV004)'!N498&lt;1,"резерв",'SV777-3 (SV004)'!N498)</f>
        <v>резерв</v>
      </c>
      <c r="C110" s="59" t="str">
        <f>'SV777-3 (SV004)'!N499</f>
        <v/>
      </c>
      <c r="D110" s="60" t="str">
        <f>IF(B110="резерв","",'SV777-3 (SV004)'!P499)</f>
        <v/>
      </c>
      <c r="E110" t="str">
        <f>IF('SV777-3 (SV004)'!P498&lt;1,"","ШЛ."&amp;'SV777-3 (SV004)'!P498)</f>
        <v/>
      </c>
    </row>
    <row r="111" spans="1:5" x14ac:dyDescent="0.25">
      <c r="B111" t="s">
        <v>181</v>
      </c>
    </row>
    <row r="112" spans="1:5" x14ac:dyDescent="0.25">
      <c r="A112">
        <v>1</v>
      </c>
      <c r="B112" t="str">
        <f>IF('SV777-3 (SV004)'!B520&lt;1,"резерв",'SV777-3 (SV004)'!B520)</f>
        <v>резерв</v>
      </c>
      <c r="C112" s="59" t="str">
        <f>'SV777-3 (SV004)'!B521</f>
        <v/>
      </c>
      <c r="D112" s="60" t="str">
        <f>IF(B112="резерв","",'SV777-3 (SV004)'!D521)</f>
        <v/>
      </c>
      <c r="E112" t="str">
        <f>IF('SV777-3 (SV004)'!D520&lt;1,"","ШЛ."&amp;'SV777-3 (SV004)'!D520)</f>
        <v/>
      </c>
    </row>
    <row r="113" spans="1:5" x14ac:dyDescent="0.25">
      <c r="A113">
        <v>2</v>
      </c>
      <c r="B113" t="str">
        <f>IF('SV777-3 (SV004)'!F520&lt;1,"резерв",'SV777-3 (SV004)'!F520)</f>
        <v>резерв</v>
      </c>
      <c r="C113" s="59" t="str">
        <f>'SV777-3 (SV004)'!F521</f>
        <v/>
      </c>
      <c r="D113" s="60" t="str">
        <f>IF(B113="резерв","",'SV777-3 (SV004)'!H521)</f>
        <v/>
      </c>
      <c r="E113" t="str">
        <f>IF('SV777-3 (SV004)'!H520&lt;1,"","ШЛ."&amp;'SV777-3 (SV004)'!H520)</f>
        <v/>
      </c>
    </row>
    <row r="114" spans="1:5" x14ac:dyDescent="0.25">
      <c r="A114">
        <v>3</v>
      </c>
      <c r="B114" t="str">
        <f>IF('SV777-3 (SV004)'!J520&lt;1,"резерв",'SV777-3 (SV004)'!J520)</f>
        <v>резерв</v>
      </c>
      <c r="C114" s="59" t="str">
        <f>'SV777-3 (SV004)'!J521</f>
        <v/>
      </c>
      <c r="D114" s="60" t="str">
        <f>IF(B114="резерв","",'SV777-3 (SV004)'!L521)</f>
        <v/>
      </c>
      <c r="E114" t="str">
        <f>IF('SV777-3 (SV004)'!L520&lt;1,"","ШЛ."&amp;'SV777-3 (SV004)'!L520)</f>
        <v/>
      </c>
    </row>
    <row r="115" spans="1:5" x14ac:dyDescent="0.25">
      <c r="A115">
        <v>4</v>
      </c>
      <c r="B115" t="str">
        <f>IF('SV777-3 (SV004)'!N520&lt;1,"резерв",'SV777-3 (SV004)'!N520)</f>
        <v>резерв</v>
      </c>
      <c r="C115" s="59" t="str">
        <f>'SV777-3 (SV004)'!N521</f>
        <v/>
      </c>
      <c r="D115" s="60" t="str">
        <f>IF(B115="резерв","",'SV777-3 (SV004)'!P521)</f>
        <v/>
      </c>
      <c r="E115" t="str">
        <f>IF('SV777-3 (SV004)'!P520&lt;1,"","ШЛ."&amp;'SV777-3 (SV004)'!P520)</f>
        <v/>
      </c>
    </row>
    <row r="116" spans="1:5" x14ac:dyDescent="0.25">
      <c r="A116">
        <v>5</v>
      </c>
      <c r="B116" t="str">
        <f>IF('SV777-3 (SV004)'!B540&lt;1,"резерв",'SV777-3 (SV004)'!B540)</f>
        <v>резерв</v>
      </c>
      <c r="C116" s="59" t="str">
        <f>'SV777-3 (SV004)'!B541</f>
        <v/>
      </c>
      <c r="D116" s="60" t="str">
        <f>IF(B116="резерв","",'SV777-3 (SV004)'!D541)</f>
        <v/>
      </c>
      <c r="E116" t="str">
        <f>IF('SV777-3 (SV004)'!D540&lt;1,"","ШЛ."&amp;'SV777-3 (SV004)'!D540)</f>
        <v/>
      </c>
    </row>
    <row r="117" spans="1:5" x14ac:dyDescent="0.25">
      <c r="A117">
        <v>6</v>
      </c>
      <c r="B117" t="str">
        <f>IF('SV777-3 (SV004)'!F540&lt;1,"резерв",'SV777-3 (SV004)'!F540)</f>
        <v>резерв</v>
      </c>
      <c r="C117" s="59" t="str">
        <f>'SV777-3 (SV004)'!F541</f>
        <v/>
      </c>
      <c r="D117" s="60" t="str">
        <f>IF(B117="резерв","",'SV777-3 (SV004)'!H541)</f>
        <v/>
      </c>
      <c r="E117" t="str">
        <f>IF('SV777-3 (SV004)'!H540&lt;1,"","ШЛ."&amp;'SV777-3 (SV004)'!H540)</f>
        <v/>
      </c>
    </row>
    <row r="118" spans="1:5" x14ac:dyDescent="0.25">
      <c r="A118">
        <v>7</v>
      </c>
      <c r="B118" t="str">
        <f>IF('SV777-3 (SV004)'!J540&lt;1,"резерв",'SV777-3 (SV004)'!J540)</f>
        <v>резерв</v>
      </c>
      <c r="C118" s="59" t="str">
        <f>'SV777-3 (SV004)'!J541</f>
        <v/>
      </c>
      <c r="D118" s="60" t="str">
        <f>IF(B118="резерв","",'SV777-3 (SV004)'!L541)</f>
        <v/>
      </c>
      <c r="E118" t="str">
        <f>IF('SV777-3 (SV004)'!L540&lt;1,"","ШЛ."&amp;'SV777-3 (SV004)'!L540)</f>
        <v/>
      </c>
    </row>
    <row r="119" spans="1:5" x14ac:dyDescent="0.25">
      <c r="A119">
        <v>8</v>
      </c>
      <c r="B119" t="str">
        <f>IF('SV777-3 (SV004)'!N540&lt;1,"резерв",'SV777-3 (SV004)'!N540)</f>
        <v>резерв</v>
      </c>
      <c r="C119" s="59" t="str">
        <f>'SV777-3 (SV004)'!N541</f>
        <v/>
      </c>
      <c r="D119" s="60" t="str">
        <f>IF(B119="резерв","",'SV777-3 (SV004)'!P541)</f>
        <v/>
      </c>
      <c r="E119" t="str">
        <f>IF('SV777-3 (SV004)'!P540&lt;1,"","ШЛ."&amp;'SV777-3 (SV004)'!P540)</f>
        <v/>
      </c>
    </row>
    <row r="120" spans="1:5" x14ac:dyDescent="0.25">
      <c r="B120" t="s">
        <v>182</v>
      </c>
    </row>
    <row r="121" spans="1:5" x14ac:dyDescent="0.25">
      <c r="A121">
        <v>1</v>
      </c>
      <c r="B121" t="str">
        <f>IF('SV777-3 (SV004)'!B562&lt;1,"резерв",'SV777-3 (SV004)'!B562)</f>
        <v>резерв</v>
      </c>
      <c r="C121" s="59" t="str">
        <f>'SV777-3 (SV004)'!B563</f>
        <v/>
      </c>
      <c r="D121" s="60" t="str">
        <f>IF(B121="резерв","",'SV777-3 (SV004)'!D563)</f>
        <v/>
      </c>
      <c r="E121" t="str">
        <f>IF('SV777-3 (SV004)'!D562&lt;1,"","ШЛ."&amp;'SV777-3 (SV004)'!D562)</f>
        <v/>
      </c>
    </row>
    <row r="122" spans="1:5" x14ac:dyDescent="0.25">
      <c r="A122">
        <v>2</v>
      </c>
      <c r="B122" t="str">
        <f>IF('SV777-3 (SV004)'!F562&lt;1,"резерв",'SV777-3 (SV004)'!F562)</f>
        <v>резерв</v>
      </c>
      <c r="C122" s="59" t="str">
        <f>'SV777-3 (SV004)'!F563</f>
        <v/>
      </c>
      <c r="D122" s="60" t="str">
        <f>IF(B122="резерв","",'SV777-3 (SV004)'!H563)</f>
        <v/>
      </c>
      <c r="E122" t="str">
        <f>IF('SV777-3 (SV004)'!H562&lt;1,"","ШЛ."&amp;'SV777-3 (SV004)'!H562)</f>
        <v/>
      </c>
    </row>
    <row r="123" spans="1:5" x14ac:dyDescent="0.25">
      <c r="A123">
        <v>3</v>
      </c>
      <c r="B123" t="str">
        <f>IF('SV777-3 (SV004)'!J562&lt;1,"резерв",'SV777-3 (SV004)'!J562)</f>
        <v>резерв</v>
      </c>
      <c r="C123" s="59" t="str">
        <f>'SV777-3 (SV004)'!J563</f>
        <v/>
      </c>
      <c r="D123" s="60" t="str">
        <f>IF(B123="резерв","",'SV777-3 (SV004)'!L563)</f>
        <v/>
      </c>
      <c r="E123" t="str">
        <f>IF('SV777-3 (SV004)'!L562&lt;1,"","ШЛ."&amp;'SV777-3 (SV004)'!L562)</f>
        <v/>
      </c>
    </row>
    <row r="124" spans="1:5" x14ac:dyDescent="0.25">
      <c r="A124">
        <v>4</v>
      </c>
      <c r="B124" t="str">
        <f>IF('SV777-3 (SV004)'!N562&lt;1,"резерв",'SV777-3 (SV004)'!N562)</f>
        <v>резерв</v>
      </c>
      <c r="C124" s="59" t="str">
        <f>'SV777-3 (SV004)'!N563</f>
        <v/>
      </c>
      <c r="D124" s="60" t="str">
        <f>IF(B124="резерв","",'SV777-3 (SV004)'!P563)</f>
        <v/>
      </c>
      <c r="E124" t="str">
        <f>IF('SV777-3 (SV004)'!P562&lt;1,"","ШЛ."&amp;'SV777-3 (SV004)'!P562)</f>
        <v/>
      </c>
    </row>
    <row r="125" spans="1:5" x14ac:dyDescent="0.25">
      <c r="A125">
        <v>5</v>
      </c>
      <c r="B125" t="str">
        <f>IF('SV777-3 (SV004)'!B582&lt;1,"резерв",'SV777-3 (SV004)'!B582)</f>
        <v>резерв</v>
      </c>
      <c r="C125" s="59" t="str">
        <f>'SV777-3 (SV004)'!B583</f>
        <v/>
      </c>
      <c r="D125" s="60" t="str">
        <f>IF(B125="резерв","",'SV777-3 (SV004)'!D583)</f>
        <v/>
      </c>
      <c r="E125" t="str">
        <f>IF('SV777-3 (SV004)'!D582&lt;1,"","ШЛ."&amp;'SV777-3 (SV004)'!D582)</f>
        <v/>
      </c>
    </row>
    <row r="126" spans="1:5" x14ac:dyDescent="0.25">
      <c r="A126">
        <v>6</v>
      </c>
      <c r="B126" t="str">
        <f>IF('SV777-3 (SV004)'!F582&lt;1,"резерв",'SV777-3 (SV004)'!F582)</f>
        <v>резерв</v>
      </c>
      <c r="C126" s="59" t="str">
        <f>'SV777-3 (SV004)'!F583</f>
        <v/>
      </c>
      <c r="D126" s="60" t="str">
        <f>IF(B126="резерв","",'SV777-3 (SV004)'!H583)</f>
        <v/>
      </c>
      <c r="E126" t="str">
        <f>IF('SV777-3 (SV004)'!H582&lt;1,"","ШЛ."&amp;'SV777-3 (SV004)'!H582)</f>
        <v/>
      </c>
    </row>
    <row r="127" spans="1:5" x14ac:dyDescent="0.25">
      <c r="A127">
        <v>7</v>
      </c>
      <c r="B127" t="str">
        <f>IF('SV777-3 (SV004)'!J582&lt;1,"резерв",'SV777-3 (SV004)'!J582)</f>
        <v>резерв</v>
      </c>
      <c r="C127" s="59" t="str">
        <f>'SV777-3 (SV004)'!J583</f>
        <v/>
      </c>
      <c r="D127" s="60" t="str">
        <f>IF(B127="резерв","",'SV777-3 (SV004)'!L583)</f>
        <v/>
      </c>
      <c r="E127" t="str">
        <f>IF('SV777-3 (SV004)'!L582&lt;1,"","ШЛ."&amp;'SV777-3 (SV004)'!L582)</f>
        <v/>
      </c>
    </row>
    <row r="128" spans="1:5" x14ac:dyDescent="0.25">
      <c r="A128">
        <v>8</v>
      </c>
      <c r="B128" t="str">
        <f>IF('SV777-3 (SV004)'!N582&lt;1,"резерв",'SV777-3 (SV004)'!N582)</f>
        <v>резерв</v>
      </c>
      <c r="C128" s="59" t="str">
        <f>'SV777-3 (SV004)'!N583</f>
        <v/>
      </c>
      <c r="D128" s="60" t="str">
        <f>IF(B128="резерв","",'SV777-3 (SV004)'!P583)</f>
        <v/>
      </c>
      <c r="E128" t="str">
        <f>IF('SV777-3 (SV004)'!P582&lt;1,"","ШЛ."&amp;'SV777-3 (SV004)'!P582)</f>
        <v/>
      </c>
    </row>
    <row r="129" spans="1:5" x14ac:dyDescent="0.25">
      <c r="B129" t="s">
        <v>183</v>
      </c>
    </row>
    <row r="130" spans="1:5" x14ac:dyDescent="0.25">
      <c r="A130">
        <v>1</v>
      </c>
      <c r="B130" t="str">
        <f>IF('SV777-3 (SV004)'!B604&lt;1,"резерв",'SV777-3 (SV004)'!B604)</f>
        <v>резерв</v>
      </c>
      <c r="C130" s="59" t="str">
        <f>'SV777-3 (SV004)'!B605</f>
        <v/>
      </c>
      <c r="D130" s="60" t="str">
        <f>IF(B130="резерв","",'SV777-3 (SV004)'!D605)</f>
        <v/>
      </c>
      <c r="E130" t="str">
        <f>IF('SV777-3 (SV004)'!D604&lt;1,"","ШЛ."&amp;'SV777-3 (SV004)'!D604)</f>
        <v/>
      </c>
    </row>
    <row r="131" spans="1:5" x14ac:dyDescent="0.25">
      <c r="A131">
        <v>2</v>
      </c>
      <c r="B131" t="str">
        <f>IF('SV777-3 (SV004)'!F604&lt;1,"резерв",'SV777-3 (SV004)'!F604)</f>
        <v>резерв</v>
      </c>
      <c r="C131" s="59" t="str">
        <f>'SV777-3 (SV004)'!F605</f>
        <v/>
      </c>
      <c r="D131" s="60" t="str">
        <f>IF(B131="резерв","",'SV777-3 (SV004)'!H605)</f>
        <v/>
      </c>
      <c r="E131" t="str">
        <f>IF('SV777-3 (SV004)'!H604&lt;1,"","ШЛ."&amp;'SV777-3 (SV004)'!H604)</f>
        <v/>
      </c>
    </row>
    <row r="132" spans="1:5" x14ac:dyDescent="0.25">
      <c r="A132">
        <v>3</v>
      </c>
      <c r="B132" t="str">
        <f>IF('SV777-3 (SV004)'!J604&lt;1,"резерв",'SV777-3 (SV004)'!J604)</f>
        <v>резерв</v>
      </c>
      <c r="C132" s="59" t="str">
        <f>'SV777-3 (SV004)'!J605</f>
        <v/>
      </c>
      <c r="D132" s="60" t="str">
        <f>IF(B132="резерв","",'SV777-3 (SV004)'!L605)</f>
        <v/>
      </c>
      <c r="E132" t="str">
        <f>IF('SV777-3 (SV004)'!L604&lt;1,"","ШЛ."&amp;'SV777-3 (SV004)'!L604)</f>
        <v/>
      </c>
    </row>
    <row r="133" spans="1:5" x14ac:dyDescent="0.25">
      <c r="A133">
        <v>4</v>
      </c>
      <c r="B133" t="str">
        <f>IF('SV777-3 (SV004)'!N604&lt;1,"резерв",'SV777-3 (SV004)'!N604)</f>
        <v>резерв</v>
      </c>
      <c r="C133" s="59" t="str">
        <f>'SV777-3 (SV004)'!N605</f>
        <v/>
      </c>
      <c r="D133" s="60" t="str">
        <f>IF(B133="резерв","",'SV777-3 (SV004)'!P605)</f>
        <v/>
      </c>
      <c r="E133" t="str">
        <f>IF('SV777-3 (SV004)'!P604&lt;1,"","ШЛ."&amp;'SV777-3 (SV004)'!P604)</f>
        <v/>
      </c>
    </row>
    <row r="134" spans="1:5" x14ac:dyDescent="0.25">
      <c r="A134">
        <v>5</v>
      </c>
      <c r="B134" t="str">
        <f>IF('SV777-3 (SV004)'!B624&lt;1,"резерв",'SV777-3 (SV004)'!B624)</f>
        <v>резерв</v>
      </c>
      <c r="C134" s="59" t="str">
        <f>'SV777-3 (SV004)'!B625</f>
        <v/>
      </c>
      <c r="D134" s="60" t="str">
        <f>IF(B134="резерв","",'SV777-3 (SV004)'!D625)</f>
        <v/>
      </c>
      <c r="E134" t="str">
        <f>IF('SV777-3 (SV004)'!D624&lt;1,"","ШЛ."&amp;'SV777-3 (SV004)'!D624)</f>
        <v/>
      </c>
    </row>
    <row r="135" spans="1:5" x14ac:dyDescent="0.25">
      <c r="A135">
        <v>6</v>
      </c>
      <c r="B135" t="str">
        <f>IF('SV777-3 (SV004)'!F624&lt;1,"резерв",'SV777-3 (SV004)'!F624)</f>
        <v>резерв</v>
      </c>
      <c r="C135" s="59" t="str">
        <f>'SV777-3 (SV004)'!F625</f>
        <v/>
      </c>
      <c r="D135" s="60" t="str">
        <f>IF(B135="резерв","",'SV777-3 (SV004)'!H625)</f>
        <v/>
      </c>
      <c r="E135" t="str">
        <f>IF('SV777-3 (SV004)'!H624&lt;1,"","ШЛ."&amp;'SV777-3 (SV004)'!H624)</f>
        <v/>
      </c>
    </row>
    <row r="136" spans="1:5" x14ac:dyDescent="0.25">
      <c r="A136">
        <v>7</v>
      </c>
      <c r="B136" t="str">
        <f>IF('SV777-3 (SV004)'!J624&lt;1,"резерв",'SV777-3 (SV004)'!J624)</f>
        <v>резерв</v>
      </c>
      <c r="C136" s="59" t="str">
        <f>'SV777-3 (SV004)'!J625</f>
        <v/>
      </c>
      <c r="D136" s="60" t="str">
        <f>IF(B136="резерв","",'SV777-3 (SV004)'!L625)</f>
        <v/>
      </c>
      <c r="E136" t="str">
        <f>IF('SV777-3 (SV004)'!L624&lt;1,"","ШЛ."&amp;'SV777-3 (SV004)'!L624)</f>
        <v/>
      </c>
    </row>
    <row r="137" spans="1:5" x14ac:dyDescent="0.25">
      <c r="A137">
        <v>8</v>
      </c>
      <c r="B137" t="str">
        <f>IF('SV777-3 (SV004)'!N624&lt;1,"резерв",'SV777-3 (SV004)'!N624)</f>
        <v>резерв</v>
      </c>
      <c r="C137" s="59" t="str">
        <f>'SV777-3 (SV004)'!N625</f>
        <v/>
      </c>
      <c r="D137" s="60" t="str">
        <f>IF(B137="резерв","",'SV777-3 (SV004)'!P625)</f>
        <v/>
      </c>
      <c r="E137" t="str">
        <f>IF('SV777-3 (SV004)'!P624&lt;1,"","ШЛ."&amp;'SV777-3 (SV004)'!P624)</f>
        <v/>
      </c>
    </row>
    <row r="138" spans="1:5" x14ac:dyDescent="0.25">
      <c r="B138" t="s">
        <v>184</v>
      </c>
    </row>
    <row r="139" spans="1:5" x14ac:dyDescent="0.25">
      <c r="A139">
        <v>1</v>
      </c>
      <c r="B139" t="str">
        <f>IF('SV777-3 (SV004)'!B646&lt;1,"резерв",'SV777-3 (SV004)'!B646)</f>
        <v>резерв</v>
      </c>
      <c r="C139" s="59" t="str">
        <f>'SV777-3 (SV004)'!B647</f>
        <v/>
      </c>
      <c r="D139" s="60" t="str">
        <f>IF(B139="резерв","",'SV777-3 (SV004)'!D647)</f>
        <v/>
      </c>
      <c r="E139" t="str">
        <f>IF('SV777-3 (SV004)'!D646&lt;1,"","ШЛ."&amp;'SV777-3 (SV004)'!D646)</f>
        <v/>
      </c>
    </row>
    <row r="140" spans="1:5" x14ac:dyDescent="0.25">
      <c r="A140">
        <v>2</v>
      </c>
      <c r="B140" t="str">
        <f>IF('SV777-3 (SV004)'!F646&lt;1,"резерв",'SV777-3 (SV004)'!F646)</f>
        <v>резерв</v>
      </c>
      <c r="C140" s="59" t="str">
        <f>'SV777-3 (SV004)'!F647</f>
        <v/>
      </c>
      <c r="D140" s="60" t="str">
        <f>IF(B140="резерв","",'SV777-3 (SV004)'!H647)</f>
        <v/>
      </c>
      <c r="E140" t="str">
        <f>IF('SV777-3 (SV004)'!H646&lt;1,"","ШЛ."&amp;'SV777-3 (SV004)'!H646)</f>
        <v/>
      </c>
    </row>
    <row r="141" spans="1:5" x14ac:dyDescent="0.25">
      <c r="A141">
        <v>3</v>
      </c>
      <c r="B141" t="str">
        <f>IF('SV777-3 (SV004)'!J646&lt;1,"резерв",'SV777-3 (SV004)'!J646)</f>
        <v>резерв</v>
      </c>
      <c r="C141" s="59" t="str">
        <f>'SV777-3 (SV004)'!J647</f>
        <v/>
      </c>
      <c r="D141" s="60" t="str">
        <f>IF(B141="резерв","",'SV777-3 (SV004)'!L647)</f>
        <v/>
      </c>
      <c r="E141" t="str">
        <f>IF('SV777-3 (SV004)'!L646&lt;1,"","ШЛ."&amp;'SV777-3 (SV004)'!L646)</f>
        <v/>
      </c>
    </row>
    <row r="142" spans="1:5" x14ac:dyDescent="0.25">
      <c r="A142">
        <v>4</v>
      </c>
      <c r="B142" t="str">
        <f>IF('SV777-3 (SV004)'!N646&lt;1,"резерв",'SV777-3 (SV004)'!N646)</f>
        <v>резерв</v>
      </c>
      <c r="C142" s="59" t="str">
        <f>'SV777-3 (SV004)'!N647</f>
        <v/>
      </c>
      <c r="D142" s="60" t="str">
        <f>IF(B142="резерв","",'SV777-3 (SV004)'!P647)</f>
        <v/>
      </c>
      <c r="E142" t="str">
        <f>IF('SV777-3 (SV004)'!P646&lt;1,"","ШЛ."&amp;'SV777-3 (SV004)'!P646)</f>
        <v/>
      </c>
    </row>
    <row r="143" spans="1:5" x14ac:dyDescent="0.25">
      <c r="A143">
        <v>5</v>
      </c>
      <c r="B143" t="str">
        <f>IF('SV777-3 (SV004)'!B666&lt;1,"резерв",'SV777-3 (SV004)'!B666)</f>
        <v>резерв</v>
      </c>
      <c r="C143" s="59" t="str">
        <f>'SV777-3 (SV004)'!B667</f>
        <v/>
      </c>
      <c r="D143" s="60" t="str">
        <f>IF(B143="резерв","",'SV777-3 (SV004)'!D667)</f>
        <v/>
      </c>
      <c r="E143" t="str">
        <f>IF('SV777-3 (SV004)'!D666&lt;1,"","ШЛ."&amp;'SV777-3 (SV004)'!D666)</f>
        <v/>
      </c>
    </row>
    <row r="144" spans="1:5" x14ac:dyDescent="0.25">
      <c r="A144">
        <v>6</v>
      </c>
      <c r="B144" t="str">
        <f>IF('SV777-3 (SV004)'!F666&lt;1,"резерв",'SV777-3 (SV004)'!F666)</f>
        <v>резерв</v>
      </c>
      <c r="C144" s="59" t="str">
        <f>'SV777-3 (SV004)'!F667</f>
        <v/>
      </c>
      <c r="D144" s="60" t="str">
        <f>IF(B144="резерв","",'SV777-3 (SV004)'!H667)</f>
        <v/>
      </c>
      <c r="E144" t="str">
        <f>IF('SV777-3 (SV004)'!H666&lt;1,"","ШЛ."&amp;'SV777-3 (SV004)'!H666)</f>
        <v/>
      </c>
    </row>
    <row r="145" spans="1:5" x14ac:dyDescent="0.25">
      <c r="A145">
        <v>7</v>
      </c>
      <c r="B145" t="str">
        <f>IF('SV777-3 (SV004)'!J666&lt;1,"резерв",'SV777-3 (SV004)'!J666)</f>
        <v>резерв</v>
      </c>
      <c r="C145" s="59" t="str">
        <f>'SV777-3 (SV004)'!J667</f>
        <v/>
      </c>
      <c r="D145" s="60" t="str">
        <f>IF(B145="резерв","",'SV777-3 (SV004)'!L667)</f>
        <v/>
      </c>
      <c r="E145" t="str">
        <f>IF('SV777-3 (SV004)'!L666&lt;1,"","ШЛ."&amp;'SV777-3 (SV004)'!L666)</f>
        <v/>
      </c>
    </row>
    <row r="146" spans="1:5" x14ac:dyDescent="0.25">
      <c r="A146">
        <v>8</v>
      </c>
      <c r="B146" t="str">
        <f>IF('SV777-3 (SV004)'!N666&lt;1,"резерв",'SV777-3 (SV004)'!N666)</f>
        <v>резерв</v>
      </c>
      <c r="C146" s="59" t="str">
        <f>'SV777-3 (SV004)'!N667</f>
        <v/>
      </c>
      <c r="D146" s="60" t="str">
        <f>IF(B146="резерв","",'SV777-3 (SV004)'!P667)</f>
        <v/>
      </c>
      <c r="E146" t="str">
        <f>IF('SV777-3 (SV004)'!P666&lt;1,"","ШЛ."&amp;'SV777-3 (SV004)'!P666)</f>
        <v/>
      </c>
    </row>
  </sheetData>
  <pageMargins left="0.7" right="0.7" top="0.75" bottom="0.75" header="0.3" footer="0.3"/>
  <pageSetup paperSize="9" orientation="portrait" useFirstPageNumber="1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Q321"/>
  <sheetViews>
    <sheetView zoomScaleNormal="100" workbookViewId="0">
      <selection activeCell="U15" sqref="U15"/>
    </sheetView>
  </sheetViews>
  <sheetFormatPr defaultRowHeight="15" x14ac:dyDescent="0.25"/>
  <cols>
    <col min="1" max="1" width="10" customWidth="1"/>
    <col min="2" max="2" width="14" customWidth="1"/>
    <col min="3" max="3" width="20" style="59" customWidth="1"/>
    <col min="4" max="4" width="21.140625" style="61" customWidth="1"/>
    <col min="5" max="5" width="20" customWidth="1"/>
    <col min="6" max="7" width="10" hidden="1" customWidth="1"/>
    <col min="8" max="8" width="14" hidden="1" customWidth="1"/>
    <col min="9" max="9" width="12.85546875" style="59" hidden="1" customWidth="1"/>
    <col min="10" max="10" width="0" style="61" hidden="1" customWidth="1"/>
    <col min="11" max="12" width="0" hidden="1" customWidth="1"/>
    <col min="13" max="13" width="10" hidden="1" customWidth="1"/>
    <col min="14" max="14" width="14" hidden="1" customWidth="1"/>
    <col min="15" max="15" width="12.85546875" style="59" hidden="1" customWidth="1"/>
    <col min="16" max="16" width="0" style="61" hidden="1" customWidth="1"/>
    <col min="17" max="17" width="0" hidden="1" customWidth="1"/>
  </cols>
  <sheetData>
    <row r="2" spans="1:17" x14ac:dyDescent="0.25">
      <c r="C2" t="s">
        <v>114</v>
      </c>
      <c r="I2" s="59" t="str">
        <f>'шпоргалка-2'!C2</f>
        <v>SV777 - 2</v>
      </c>
      <c r="O2" s="59" t="str">
        <f>'шпоргалка-3'!C2</f>
        <v>SV777 - 3</v>
      </c>
    </row>
    <row r="3" spans="1:17" x14ac:dyDescent="0.25">
      <c r="B3" t="str">
        <f>'шпоргалка-1'!B3</f>
        <v>SV004 -1</v>
      </c>
      <c r="H3" t="str">
        <f>'шпоргалка-2'!B3</f>
        <v>SV004 - 1</v>
      </c>
      <c r="N3" t="str">
        <f>'шпоргалка-3'!B3</f>
        <v>SV004 - 1</v>
      </c>
    </row>
    <row r="4" spans="1:17" x14ac:dyDescent="0.25">
      <c r="A4" t="s">
        <v>3</v>
      </c>
      <c r="B4">
        <v>1</v>
      </c>
      <c r="C4" s="59" t="s">
        <v>116</v>
      </c>
      <c r="D4" s="60" t="s">
        <v>17</v>
      </c>
      <c r="E4" t="s">
        <v>117</v>
      </c>
      <c r="F4" t="s">
        <v>118</v>
      </c>
      <c r="G4">
        <v>1</v>
      </c>
      <c r="H4" t="str">
        <f>'шпоргалка-2'!B4</f>
        <v>резерв</v>
      </c>
      <c r="I4" s="59">
        <f>'шпоргалка-2'!C4</f>
        <v>0</v>
      </c>
      <c r="J4" s="61" t="str">
        <f>'шпоргалка-2'!D4</f>
        <v/>
      </c>
      <c r="K4" t="str">
        <f>'шпоргалка-2'!E4</f>
        <v/>
      </c>
      <c r="M4">
        <f>'шпоргалка-3'!A4</f>
        <v>1</v>
      </c>
      <c r="N4" t="str">
        <f>'шпоргалка-3'!B4</f>
        <v>резерв</v>
      </c>
      <c r="O4" s="59" t="str">
        <f>'шпоргалка-3'!C4</f>
        <v/>
      </c>
      <c r="P4" s="61" t="str">
        <f>'шпоргалка-3'!D4</f>
        <v/>
      </c>
      <c r="Q4" t="str">
        <f>'шпоргалка-3'!E4</f>
        <v/>
      </c>
    </row>
    <row r="5" spans="1:17" x14ac:dyDescent="0.25">
      <c r="A5" t="s">
        <v>3</v>
      </c>
      <c r="B5">
        <v>1</v>
      </c>
      <c r="C5" s="59" t="s">
        <v>119</v>
      </c>
      <c r="D5" s="60" t="s">
        <v>19</v>
      </c>
      <c r="E5" t="s">
        <v>120</v>
      </c>
      <c r="F5" t="s">
        <v>121</v>
      </c>
      <c r="G5">
        <v>2</v>
      </c>
      <c r="H5" t="str">
        <f>'шпоргалка-2'!B5</f>
        <v>резерв</v>
      </c>
      <c r="I5" s="59" t="str">
        <f>'шпоргалка-2'!C5</f>
        <v/>
      </c>
      <c r="J5" s="61" t="str">
        <f>'шпоргалка-2'!D5</f>
        <v/>
      </c>
      <c r="K5" t="str">
        <f>'шпоргалка-2'!E5</f>
        <v/>
      </c>
      <c r="M5">
        <f>'шпоргалка-3'!A5</f>
        <v>2</v>
      </c>
      <c r="N5" t="str">
        <f>'шпоргалка-3'!B5</f>
        <v>резерв</v>
      </c>
      <c r="O5" s="59" t="str">
        <f>'шпоргалка-3'!C5</f>
        <v/>
      </c>
      <c r="P5" s="61" t="str">
        <f>'шпоргалка-3'!D5</f>
        <v/>
      </c>
      <c r="Q5" t="str">
        <f>'шпоргалка-3'!E5</f>
        <v/>
      </c>
    </row>
    <row r="6" spans="1:17" x14ac:dyDescent="0.25">
      <c r="A6" t="s">
        <v>3</v>
      </c>
      <c r="B6">
        <v>1</v>
      </c>
      <c r="C6" s="59" t="s">
        <v>122</v>
      </c>
      <c r="D6" s="60" t="s">
        <v>21</v>
      </c>
      <c r="E6" t="s">
        <v>123</v>
      </c>
      <c r="F6" t="s">
        <v>124</v>
      </c>
      <c r="G6">
        <v>3</v>
      </c>
      <c r="H6" t="str">
        <f>'шпоргалка-2'!B6</f>
        <v>резерв</v>
      </c>
      <c r="I6" s="59" t="str">
        <f>'шпоргалка-2'!C6</f>
        <v/>
      </c>
      <c r="J6" s="61" t="str">
        <f>'шпоргалка-2'!D6</f>
        <v/>
      </c>
      <c r="K6" t="str">
        <f>'шпоргалка-2'!E6</f>
        <v/>
      </c>
      <c r="M6">
        <f>'шпоргалка-3'!A6</f>
        <v>3</v>
      </c>
      <c r="N6" t="str">
        <f>'шпоргалка-3'!B6</f>
        <v>резерв</v>
      </c>
      <c r="O6" s="59" t="str">
        <f>'шпоргалка-3'!C6</f>
        <v/>
      </c>
      <c r="P6" s="61" t="str">
        <f>'шпоргалка-3'!D6</f>
        <v/>
      </c>
      <c r="Q6" t="str">
        <f>'шпоргалка-3'!E6</f>
        <v/>
      </c>
    </row>
    <row r="7" spans="1:17" x14ac:dyDescent="0.25">
      <c r="A7" t="s">
        <v>3</v>
      </c>
      <c r="B7">
        <v>1</v>
      </c>
      <c r="C7" s="59" t="s">
        <v>125</v>
      </c>
      <c r="D7" s="60" t="s">
        <v>23</v>
      </c>
      <c r="E7" t="s">
        <v>126</v>
      </c>
      <c r="F7" t="s">
        <v>127</v>
      </c>
      <c r="G7">
        <v>4</v>
      </c>
      <c r="H7" t="str">
        <f>'шпоргалка-2'!B7</f>
        <v>резерв</v>
      </c>
      <c r="I7" s="59" t="str">
        <f>'шпоргалка-2'!C7</f>
        <v/>
      </c>
      <c r="J7" s="61" t="str">
        <f>'шпоргалка-2'!D7</f>
        <v/>
      </c>
      <c r="K7" t="str">
        <f>'шпоргалка-2'!E7</f>
        <v/>
      </c>
      <c r="M7">
        <f>'шпоргалка-3'!A7</f>
        <v>4</v>
      </c>
      <c r="N7" t="str">
        <f>'шпоргалка-3'!B7</f>
        <v>резерв</v>
      </c>
      <c r="O7" s="59" t="str">
        <f>'шпоргалка-3'!C7</f>
        <v/>
      </c>
      <c r="P7" s="61" t="str">
        <f>'шпоргалка-3'!D7</f>
        <v/>
      </c>
      <c r="Q7" t="str">
        <f>'шпоргалка-3'!E7</f>
        <v/>
      </c>
    </row>
    <row r="8" spans="1:17" x14ac:dyDescent="0.25">
      <c r="A8" t="s">
        <v>3</v>
      </c>
      <c r="B8">
        <v>2</v>
      </c>
      <c r="C8" s="59" t="s">
        <v>116</v>
      </c>
      <c r="D8" s="60" t="s">
        <v>41</v>
      </c>
      <c r="E8" t="s">
        <v>128</v>
      </c>
      <c r="F8" t="s">
        <v>129</v>
      </c>
      <c r="G8">
        <v>5</v>
      </c>
      <c r="H8" t="str">
        <f>'шпоргалка-2'!B8</f>
        <v>резерв</v>
      </c>
      <c r="I8" s="59" t="str">
        <f>'шпоргалка-2'!C8</f>
        <v/>
      </c>
      <c r="J8" s="61" t="str">
        <f>'шпоргалка-2'!D8</f>
        <v/>
      </c>
      <c r="K8" t="str">
        <f>'шпоргалка-2'!E8</f>
        <v/>
      </c>
      <c r="M8">
        <f>'шпоргалка-3'!A8</f>
        <v>5</v>
      </c>
      <c r="N8" t="str">
        <f>'шпоргалка-3'!B8</f>
        <v>резерв</v>
      </c>
      <c r="O8" s="59" t="str">
        <f>'шпоргалка-3'!C8</f>
        <v/>
      </c>
      <c r="P8" s="61" t="str">
        <f>'шпоргалка-3'!D8</f>
        <v/>
      </c>
      <c r="Q8" t="str">
        <f>'шпоргалка-3'!E8</f>
        <v/>
      </c>
    </row>
    <row r="9" spans="1:17" x14ac:dyDescent="0.25">
      <c r="A9" t="s">
        <v>3</v>
      </c>
      <c r="B9">
        <v>2</v>
      </c>
      <c r="C9" s="59" t="s">
        <v>119</v>
      </c>
      <c r="D9" s="60" t="s">
        <v>43</v>
      </c>
      <c r="E9" t="s">
        <v>130</v>
      </c>
      <c r="F9" t="s">
        <v>131</v>
      </c>
      <c r="G9">
        <v>6</v>
      </c>
      <c r="H9" t="str">
        <f>'шпоргалка-2'!B9</f>
        <v>резерв</v>
      </c>
      <c r="I9" s="59" t="str">
        <f>'шпоргалка-2'!C9</f>
        <v/>
      </c>
      <c r="J9" s="61" t="str">
        <f>'шпоргалка-2'!D9</f>
        <v/>
      </c>
      <c r="K9" t="str">
        <f>'шпоргалка-2'!E9</f>
        <v/>
      </c>
      <c r="M9">
        <f>'шпоргалка-3'!A9</f>
        <v>6</v>
      </c>
      <c r="N9" t="str">
        <f>'шпоргалка-3'!B9</f>
        <v>резерв</v>
      </c>
      <c r="O9" s="59" t="str">
        <f>'шпоргалка-3'!C9</f>
        <v/>
      </c>
      <c r="P9" s="61" t="str">
        <f>'шпоргалка-3'!D9</f>
        <v/>
      </c>
      <c r="Q9" t="str">
        <f>'шпоргалка-3'!E9</f>
        <v/>
      </c>
    </row>
    <row r="10" spans="1:17" x14ac:dyDescent="0.25">
      <c r="A10" t="s">
        <v>3</v>
      </c>
      <c r="B10">
        <v>2</v>
      </c>
      <c r="C10" s="59" t="s">
        <v>122</v>
      </c>
      <c r="D10" s="60" t="s">
        <v>45</v>
      </c>
      <c r="E10" t="s">
        <v>132</v>
      </c>
      <c r="F10" t="s">
        <v>133</v>
      </c>
      <c r="G10">
        <v>7</v>
      </c>
      <c r="H10" t="str">
        <f>'шпоргалка-2'!B10</f>
        <v>резерв</v>
      </c>
      <c r="I10" s="59" t="str">
        <f>'шпоргалка-2'!C10</f>
        <v/>
      </c>
      <c r="J10" s="61" t="str">
        <f>'шпоргалка-2'!D10</f>
        <v/>
      </c>
      <c r="K10" t="str">
        <f>'шпоргалка-2'!E10</f>
        <v/>
      </c>
      <c r="M10">
        <f>'шпоргалка-3'!A10</f>
        <v>7</v>
      </c>
      <c r="N10" t="str">
        <f>'шпоргалка-3'!B10</f>
        <v>резерв</v>
      </c>
      <c r="O10" s="59" t="str">
        <f>'шпоргалка-3'!C10</f>
        <v/>
      </c>
      <c r="P10" s="61" t="str">
        <f>'шпоргалка-3'!D10</f>
        <v/>
      </c>
      <c r="Q10" t="str">
        <f>'шпоргалка-3'!E10</f>
        <v/>
      </c>
    </row>
    <row r="11" spans="1:17" x14ac:dyDescent="0.25">
      <c r="A11" t="s">
        <v>3</v>
      </c>
      <c r="B11">
        <v>2</v>
      </c>
      <c r="C11" t="s">
        <v>125</v>
      </c>
      <c r="D11" t="s">
        <v>47</v>
      </c>
      <c r="E11" t="s">
        <v>134</v>
      </c>
      <c r="F11" t="s">
        <v>135</v>
      </c>
      <c r="G11">
        <v>8</v>
      </c>
      <c r="H11" t="str">
        <f>'шпоргалка-2'!B11</f>
        <v>резерв</v>
      </c>
      <c r="I11" s="59" t="str">
        <f>'шпоргалка-2'!C11</f>
        <v/>
      </c>
      <c r="J11" s="61" t="str">
        <f>'шпоргалка-2'!D11</f>
        <v/>
      </c>
      <c r="K11" t="str">
        <f>'шпоргалка-2'!E11</f>
        <v/>
      </c>
      <c r="M11">
        <f>'шпоргалка-3'!A11</f>
        <v>8</v>
      </c>
      <c r="N11" t="str">
        <f>'шпоргалка-3'!B11</f>
        <v>резерв</v>
      </c>
      <c r="O11" s="59" t="str">
        <f>'шпоргалка-3'!C11</f>
        <v/>
      </c>
      <c r="P11" s="61" t="str">
        <f>'шпоргалка-3'!D11</f>
        <v/>
      </c>
      <c r="Q11" t="str">
        <f>'шпоргалка-3'!E11</f>
        <v/>
      </c>
    </row>
    <row r="12" spans="1:17" x14ac:dyDescent="0.25">
      <c r="A12" t="s">
        <v>3</v>
      </c>
      <c r="B12">
        <v>3</v>
      </c>
      <c r="C12" s="59" t="s">
        <v>116</v>
      </c>
      <c r="D12" s="60" t="s">
        <v>53</v>
      </c>
      <c r="E12" t="s">
        <v>136</v>
      </c>
      <c r="F12" t="s">
        <v>137</v>
      </c>
      <c r="G12">
        <v>9</v>
      </c>
      <c r="H12" t="str">
        <f>'шпоргалка-2'!B12</f>
        <v>SV004 - 2</v>
      </c>
      <c r="N12" t="str">
        <f>'шпоргалка-3'!B12</f>
        <v>SV004 - 2</v>
      </c>
    </row>
    <row r="13" spans="1:17" x14ac:dyDescent="0.25">
      <c r="A13" t="s">
        <v>3</v>
      </c>
      <c r="B13">
        <v>3</v>
      </c>
      <c r="C13" s="59" t="s">
        <v>119</v>
      </c>
      <c r="D13" s="60" t="s">
        <v>19</v>
      </c>
      <c r="E13" t="s">
        <v>138</v>
      </c>
      <c r="F13" t="s">
        <v>139</v>
      </c>
      <c r="G13">
        <v>10</v>
      </c>
      <c r="H13" t="str">
        <f>'шпоргалка-2'!B13</f>
        <v>резерв</v>
      </c>
      <c r="I13" s="59" t="str">
        <f>'шпоргалка-2'!C13</f>
        <v/>
      </c>
      <c r="J13" s="61" t="str">
        <f>'шпоргалка-2'!D13</f>
        <v/>
      </c>
      <c r="K13" t="str">
        <f>'шпоргалка-2'!E13</f>
        <v/>
      </c>
      <c r="M13">
        <f>'шпоргалка-3'!A13</f>
        <v>1</v>
      </c>
      <c r="N13" t="str">
        <f>'шпоргалка-3'!B13</f>
        <v>резерв</v>
      </c>
      <c r="O13" s="59" t="str">
        <f>'шпоргалка-3'!C13</f>
        <v/>
      </c>
      <c r="P13" s="61" t="str">
        <f>'шпоргалка-3'!D13</f>
        <v/>
      </c>
      <c r="Q13" t="str">
        <f>'шпоргалка-3'!E13</f>
        <v/>
      </c>
    </row>
    <row r="14" spans="1:17" x14ac:dyDescent="0.25">
      <c r="A14" t="s">
        <v>3</v>
      </c>
      <c r="B14">
        <v>3</v>
      </c>
      <c r="C14" s="59" t="s">
        <v>122</v>
      </c>
      <c r="D14" s="60" t="s">
        <v>45</v>
      </c>
      <c r="E14" t="s">
        <v>140</v>
      </c>
      <c r="F14" t="s">
        <v>141</v>
      </c>
      <c r="G14">
        <v>11</v>
      </c>
      <c r="H14" t="str">
        <f>'шпоргалка-2'!B14</f>
        <v>резерв</v>
      </c>
      <c r="I14" s="59" t="str">
        <f>'шпоргалка-2'!C14</f>
        <v/>
      </c>
      <c r="J14" s="61" t="str">
        <f>'шпоргалка-2'!D14</f>
        <v/>
      </c>
      <c r="K14" t="str">
        <f>'шпоргалка-2'!E14</f>
        <v/>
      </c>
      <c r="M14">
        <f>'шпоргалка-3'!A14</f>
        <v>2</v>
      </c>
      <c r="N14" t="str">
        <f>'шпоргалка-3'!B14</f>
        <v>резерв</v>
      </c>
      <c r="O14" s="59" t="str">
        <f>'шпоргалка-3'!C14</f>
        <v/>
      </c>
      <c r="P14" s="61" t="str">
        <f>'шпоргалка-3'!D14</f>
        <v/>
      </c>
      <c r="Q14" t="str">
        <f>'шпоргалка-3'!E14</f>
        <v/>
      </c>
    </row>
    <row r="15" spans="1:17" x14ac:dyDescent="0.25">
      <c r="A15" t="s">
        <v>3</v>
      </c>
      <c r="B15">
        <v>3</v>
      </c>
      <c r="C15" s="59" t="s">
        <v>125</v>
      </c>
      <c r="D15" s="60" t="s">
        <v>57</v>
      </c>
      <c r="E15" t="s">
        <v>142</v>
      </c>
      <c r="F15" t="s">
        <v>143</v>
      </c>
      <c r="G15">
        <v>12</v>
      </c>
      <c r="H15" t="str">
        <f>'шпоргалка-2'!B15</f>
        <v>резерв</v>
      </c>
      <c r="I15" s="59" t="str">
        <f>'шпоргалка-2'!C15</f>
        <v/>
      </c>
      <c r="J15" s="61" t="str">
        <f>'шпоргалка-2'!D15</f>
        <v/>
      </c>
      <c r="K15" t="str">
        <f>'шпоргалка-2'!E15</f>
        <v/>
      </c>
      <c r="M15">
        <f>'шпоргалка-3'!A15</f>
        <v>3</v>
      </c>
      <c r="N15" t="str">
        <f>'шпоргалка-3'!B15</f>
        <v>резерв</v>
      </c>
      <c r="O15" s="59" t="str">
        <f>'шпоргалка-3'!C15</f>
        <v/>
      </c>
      <c r="P15" s="61" t="str">
        <f>'шпоргалка-3'!D15</f>
        <v/>
      </c>
      <c r="Q15" t="str">
        <f>'шпоргалка-3'!E15</f>
        <v/>
      </c>
    </row>
    <row r="16" spans="1:17" x14ac:dyDescent="0.25">
      <c r="A16" t="s">
        <v>3</v>
      </c>
      <c r="B16">
        <v>4</v>
      </c>
      <c r="C16" s="59" t="s">
        <v>116</v>
      </c>
      <c r="D16" s="60" t="s">
        <v>63</v>
      </c>
      <c r="E16" t="s">
        <v>144</v>
      </c>
      <c r="F16" t="s">
        <v>145</v>
      </c>
      <c r="G16">
        <v>13</v>
      </c>
      <c r="H16" t="str">
        <f>'шпоргалка-2'!B16</f>
        <v>резерв</v>
      </c>
      <c r="I16" s="59" t="str">
        <f>'шпоргалка-2'!C16</f>
        <v/>
      </c>
      <c r="J16" s="61" t="str">
        <f>'шпоргалка-2'!D16</f>
        <v/>
      </c>
      <c r="K16" t="str">
        <f>'шпоргалка-2'!E16</f>
        <v/>
      </c>
      <c r="M16">
        <f>'шпоргалка-3'!A16</f>
        <v>4</v>
      </c>
      <c r="N16" t="str">
        <f>'шпоргалка-3'!B16</f>
        <v>резерв</v>
      </c>
      <c r="O16" s="59" t="str">
        <f>'шпоргалка-3'!C16</f>
        <v/>
      </c>
      <c r="P16" s="61" t="str">
        <f>'шпоргалка-3'!D16</f>
        <v/>
      </c>
      <c r="Q16" t="str">
        <f>'шпоргалка-3'!E16</f>
        <v/>
      </c>
    </row>
    <row r="17" spans="1:17" x14ac:dyDescent="0.25">
      <c r="A17" t="s">
        <v>3</v>
      </c>
      <c r="B17">
        <v>4</v>
      </c>
      <c r="C17" s="59" t="s">
        <v>119</v>
      </c>
      <c r="D17" s="60" t="s">
        <v>19</v>
      </c>
      <c r="E17" t="s">
        <v>146</v>
      </c>
      <c r="F17" t="s">
        <v>147</v>
      </c>
      <c r="G17">
        <v>14</v>
      </c>
      <c r="H17" t="str">
        <f>'шпоргалка-2'!B17</f>
        <v>резерв</v>
      </c>
      <c r="I17" s="59" t="str">
        <f>'шпоргалка-2'!C17</f>
        <v/>
      </c>
      <c r="J17" s="61" t="str">
        <f>'шпоргалка-2'!D17</f>
        <v/>
      </c>
      <c r="K17" t="str">
        <f>'шпоргалка-2'!E17</f>
        <v/>
      </c>
      <c r="M17">
        <f>'шпоргалка-3'!A17</f>
        <v>5</v>
      </c>
      <c r="N17" t="str">
        <f>'шпоргалка-3'!B17</f>
        <v>резерв</v>
      </c>
      <c r="O17" s="59" t="str">
        <f>'шпоргалка-3'!C17</f>
        <v/>
      </c>
      <c r="P17" s="61" t="str">
        <f>'шпоргалка-3'!D17</f>
        <v/>
      </c>
      <c r="Q17" t="str">
        <f>'шпоргалка-3'!E17</f>
        <v/>
      </c>
    </row>
    <row r="18" spans="1:17" x14ac:dyDescent="0.25">
      <c r="A18" t="s">
        <v>3</v>
      </c>
      <c r="B18">
        <v>4</v>
      </c>
      <c r="C18" s="59" t="s">
        <v>122</v>
      </c>
      <c r="D18" s="60" t="s">
        <v>66</v>
      </c>
      <c r="E18" t="s">
        <v>148</v>
      </c>
      <c r="F18" t="s">
        <v>149</v>
      </c>
      <c r="G18">
        <v>15</v>
      </c>
      <c r="H18" t="str">
        <f>'шпоргалка-2'!B18</f>
        <v>резерв</v>
      </c>
      <c r="I18" s="59" t="str">
        <f>'шпоргалка-2'!C18</f>
        <v/>
      </c>
      <c r="J18" s="61" t="str">
        <f>'шпоргалка-2'!D18</f>
        <v/>
      </c>
      <c r="K18" t="str">
        <f>'шпоргалка-2'!E18</f>
        <v/>
      </c>
      <c r="M18">
        <f>'шпоргалка-3'!A18</f>
        <v>6</v>
      </c>
      <c r="N18" t="str">
        <f>'шпоргалка-3'!B18</f>
        <v>резерв</v>
      </c>
      <c r="O18" s="59" t="str">
        <f>'шпоргалка-3'!C18</f>
        <v/>
      </c>
      <c r="P18" s="61" t="str">
        <f>'шпоргалка-3'!D18</f>
        <v/>
      </c>
      <c r="Q18" t="str">
        <f>'шпоргалка-3'!E18</f>
        <v/>
      </c>
    </row>
    <row r="19" spans="1:17" x14ac:dyDescent="0.25">
      <c r="A19" t="s">
        <v>3</v>
      </c>
      <c r="B19">
        <v>4</v>
      </c>
      <c r="C19" s="59" t="s">
        <v>125</v>
      </c>
      <c r="D19" s="60" t="s">
        <v>68</v>
      </c>
      <c r="E19" t="s">
        <v>150</v>
      </c>
      <c r="F19" t="s">
        <v>151</v>
      </c>
      <c r="G19">
        <v>16</v>
      </c>
      <c r="H19" t="str">
        <f>'шпоргалка-2'!B19</f>
        <v>резерв</v>
      </c>
      <c r="I19" s="59" t="str">
        <f>'шпоргалка-2'!C19</f>
        <v/>
      </c>
      <c r="J19" s="61" t="str">
        <f>'шпоргалка-2'!D19</f>
        <v/>
      </c>
      <c r="K19" t="str">
        <f>'шпоргалка-2'!E19</f>
        <v/>
      </c>
      <c r="M19">
        <f>'шпоргалка-3'!A19</f>
        <v>7</v>
      </c>
      <c r="N19" t="str">
        <f>'шпоргалка-3'!B19</f>
        <v>резерв</v>
      </c>
      <c r="O19" s="59" t="str">
        <f>'шпоргалка-3'!C19</f>
        <v/>
      </c>
      <c r="P19" s="61" t="str">
        <f>'шпоргалка-3'!D19</f>
        <v/>
      </c>
      <c r="Q19" t="str">
        <f>'шпоргалка-3'!E19</f>
        <v/>
      </c>
    </row>
    <row r="20" spans="1:17" x14ac:dyDescent="0.25">
      <c r="A20" t="s">
        <v>3</v>
      </c>
      <c r="B20">
        <v>5</v>
      </c>
      <c r="C20" s="59" t="s">
        <v>116</v>
      </c>
      <c r="D20" s="60" t="s">
        <v>74</v>
      </c>
      <c r="E20" t="s">
        <v>152</v>
      </c>
      <c r="F20" t="s">
        <v>153</v>
      </c>
      <c r="G20">
        <v>17</v>
      </c>
      <c r="H20" t="str">
        <f>'шпоргалка-2'!B20</f>
        <v>резерв</v>
      </c>
      <c r="I20" s="59" t="str">
        <f>'шпоргалка-2'!C20</f>
        <v/>
      </c>
      <c r="J20" s="61" t="str">
        <f>'шпоргалка-2'!D20</f>
        <v/>
      </c>
      <c r="K20" t="str">
        <f>'шпоргалка-2'!E20</f>
        <v/>
      </c>
      <c r="M20">
        <f>'шпоргалка-3'!A20</f>
        <v>8</v>
      </c>
      <c r="N20" t="str">
        <f>'шпоргалка-3'!B20</f>
        <v>резерв</v>
      </c>
      <c r="O20" s="59" t="str">
        <f>'шпоргалка-3'!C20</f>
        <v/>
      </c>
      <c r="P20" s="61" t="str">
        <f>'шпоргалка-3'!D20</f>
        <v/>
      </c>
      <c r="Q20" t="str">
        <f>'шпоргалка-3'!E20</f>
        <v/>
      </c>
    </row>
    <row r="21" spans="1:17" x14ac:dyDescent="0.25">
      <c r="A21" t="s">
        <v>3</v>
      </c>
      <c r="B21">
        <v>5</v>
      </c>
      <c r="C21" s="59" t="s">
        <v>119</v>
      </c>
      <c r="D21" s="60" t="s">
        <v>76</v>
      </c>
      <c r="E21" t="s">
        <v>154</v>
      </c>
      <c r="F21" t="s">
        <v>155</v>
      </c>
      <c r="G21">
        <v>18</v>
      </c>
      <c r="H21" t="str">
        <f>'шпоргалка-2'!B21</f>
        <v>SV004 - 3</v>
      </c>
      <c r="N21" t="str">
        <f>'шпоргалка-3'!B21</f>
        <v xml:space="preserve">SV004 - 3 </v>
      </c>
    </row>
    <row r="22" spans="1:17" x14ac:dyDescent="0.25">
      <c r="A22" t="s">
        <v>3</v>
      </c>
      <c r="B22">
        <v>5</v>
      </c>
      <c r="C22" s="59" t="s">
        <v>122</v>
      </c>
      <c r="D22" s="60" t="s">
        <v>21</v>
      </c>
      <c r="E22" t="s">
        <v>156</v>
      </c>
      <c r="F22" t="s">
        <v>157</v>
      </c>
      <c r="G22">
        <v>19</v>
      </c>
      <c r="H22" t="str">
        <f>'шпоргалка-2'!B22</f>
        <v>резерв</v>
      </c>
      <c r="I22" s="59" t="str">
        <f>'шпоргалка-2'!C22</f>
        <v/>
      </c>
      <c r="J22" s="61" t="str">
        <f>'шпоргалка-2'!D22</f>
        <v/>
      </c>
      <c r="K22" t="str">
        <f>'шпоргалка-2'!E22</f>
        <v/>
      </c>
      <c r="M22">
        <f>'шпоргалка-3'!A22</f>
        <v>1</v>
      </c>
      <c r="N22" t="str">
        <f>'шпоргалка-3'!B22</f>
        <v>резерв</v>
      </c>
      <c r="O22" s="59" t="str">
        <f>'шпоргалка-3'!C22</f>
        <v/>
      </c>
      <c r="P22" s="61" t="str">
        <f>'шпоргалка-3'!D22</f>
        <v/>
      </c>
      <c r="Q22" t="str">
        <f>'шпоргалка-3'!E22</f>
        <v/>
      </c>
    </row>
    <row r="23" spans="1:17" x14ac:dyDescent="0.25">
      <c r="A23" t="s">
        <v>3</v>
      </c>
      <c r="B23">
        <v>5</v>
      </c>
      <c r="C23" s="59" t="s">
        <v>125</v>
      </c>
      <c r="D23" s="60" t="s">
        <v>79</v>
      </c>
      <c r="E23" t="s">
        <v>158</v>
      </c>
      <c r="F23" t="s">
        <v>159</v>
      </c>
      <c r="G23">
        <v>20</v>
      </c>
      <c r="H23" t="str">
        <f>'шпоргалка-2'!B23</f>
        <v>резерв</v>
      </c>
      <c r="I23" s="59" t="str">
        <f>'шпоргалка-2'!C23</f>
        <v/>
      </c>
      <c r="J23" s="61" t="str">
        <f>'шпоргалка-2'!D23</f>
        <v/>
      </c>
      <c r="K23" t="str">
        <f>'шпоргалка-2'!E23</f>
        <v/>
      </c>
      <c r="M23">
        <f>'шпоргалка-3'!A23</f>
        <v>2</v>
      </c>
      <c r="N23" t="str">
        <f>'шпоргалка-3'!B23</f>
        <v>резерв</v>
      </c>
      <c r="O23" s="59" t="str">
        <f>'шпоргалка-3'!C23</f>
        <v/>
      </c>
      <c r="P23" s="61" t="str">
        <f>'шпоргалка-3'!D23</f>
        <v/>
      </c>
      <c r="Q23" t="str">
        <f>'шпоргалка-3'!E23</f>
        <v/>
      </c>
    </row>
    <row r="24" spans="1:17" x14ac:dyDescent="0.25">
      <c r="A24" t="s">
        <v>3</v>
      </c>
      <c r="B24">
        <v>6</v>
      </c>
      <c r="C24" s="59" t="s">
        <v>116</v>
      </c>
      <c r="D24" s="60" t="s">
        <v>74</v>
      </c>
      <c r="E24" t="s">
        <v>160</v>
      </c>
      <c r="F24" t="s">
        <v>161</v>
      </c>
      <c r="G24">
        <v>21</v>
      </c>
      <c r="H24" t="str">
        <f>'шпоргалка-2'!B24</f>
        <v>резерв</v>
      </c>
      <c r="I24" s="59" t="str">
        <f>'шпоргалка-2'!C24</f>
        <v/>
      </c>
      <c r="J24" s="61" t="str">
        <f>'шпоргалка-2'!D24</f>
        <v/>
      </c>
      <c r="K24" t="str">
        <f>'шпоргалка-2'!E24</f>
        <v/>
      </c>
      <c r="M24">
        <f>'шпоргалка-3'!A24</f>
        <v>3</v>
      </c>
      <c r="N24" t="str">
        <f>'шпоргалка-3'!B24</f>
        <v>резерв</v>
      </c>
      <c r="O24" s="59" t="str">
        <f>'шпоргалка-3'!C24</f>
        <v/>
      </c>
      <c r="P24" s="61" t="str">
        <f>'шпоргалка-3'!D24</f>
        <v/>
      </c>
      <c r="Q24" t="str">
        <f>'шпоргалка-3'!E24</f>
        <v/>
      </c>
    </row>
    <row r="25" spans="1:17" x14ac:dyDescent="0.25">
      <c r="A25" t="s">
        <v>3</v>
      </c>
      <c r="B25">
        <v>6</v>
      </c>
      <c r="C25" s="59" t="s">
        <v>119</v>
      </c>
      <c r="D25" s="60" t="s">
        <v>86</v>
      </c>
      <c r="E25" t="s">
        <v>162</v>
      </c>
      <c r="F25" t="s">
        <v>163</v>
      </c>
      <c r="G25">
        <v>22</v>
      </c>
      <c r="H25" t="str">
        <f>'шпоргалка-2'!B25</f>
        <v>резерв</v>
      </c>
      <c r="I25" s="59" t="str">
        <f>'шпоргалка-2'!C25</f>
        <v/>
      </c>
      <c r="J25" s="61" t="str">
        <f>'шпоргалка-2'!D25</f>
        <v/>
      </c>
      <c r="K25" t="str">
        <f>'шпоргалка-2'!E25</f>
        <v/>
      </c>
      <c r="M25">
        <f>'шпоргалка-3'!A25</f>
        <v>4</v>
      </c>
      <c r="N25" t="str">
        <f>'шпоргалка-3'!B25</f>
        <v>резерв</v>
      </c>
      <c r="O25" s="59" t="str">
        <f>'шпоргалка-3'!C25</f>
        <v/>
      </c>
      <c r="P25" s="61" t="str">
        <f>'шпоргалка-3'!D25</f>
        <v/>
      </c>
      <c r="Q25" t="str">
        <f>'шпоргалка-3'!E25</f>
        <v/>
      </c>
    </row>
    <row r="26" spans="1:17" x14ac:dyDescent="0.25">
      <c r="A26" t="s">
        <v>3</v>
      </c>
      <c r="B26">
        <v>6</v>
      </c>
      <c r="C26" s="59" t="s">
        <v>122</v>
      </c>
      <c r="D26" s="60" t="s">
        <v>88</v>
      </c>
      <c r="E26" t="s">
        <v>164</v>
      </c>
      <c r="F26" t="s">
        <v>165</v>
      </c>
      <c r="G26">
        <v>23</v>
      </c>
      <c r="H26" t="str">
        <f>'шпоргалка-2'!B26</f>
        <v>резерв</v>
      </c>
      <c r="I26" s="59" t="str">
        <f>'шпоргалка-2'!C26</f>
        <v/>
      </c>
      <c r="J26" s="61" t="str">
        <f>'шпоргалка-2'!D26</f>
        <v/>
      </c>
      <c r="K26" t="str">
        <f>'шпоргалка-2'!E26</f>
        <v/>
      </c>
      <c r="M26">
        <f>'шпоргалка-3'!A26</f>
        <v>5</v>
      </c>
      <c r="N26" t="str">
        <f>'шпоргалка-3'!B26</f>
        <v>резерв</v>
      </c>
      <c r="O26" s="59" t="str">
        <f>'шпоргалка-3'!C26</f>
        <v/>
      </c>
      <c r="P26" s="61" t="str">
        <f>'шпоргалка-3'!D26</f>
        <v/>
      </c>
      <c r="Q26" t="str">
        <f>'шпоргалка-3'!E26</f>
        <v/>
      </c>
    </row>
    <row r="27" spans="1:17" x14ac:dyDescent="0.25">
      <c r="A27" t="s">
        <v>3</v>
      </c>
      <c r="B27">
        <v>6</v>
      </c>
      <c r="C27" s="59" t="s">
        <v>125</v>
      </c>
      <c r="D27" s="60" t="s">
        <v>90</v>
      </c>
      <c r="E27" t="s">
        <v>166</v>
      </c>
      <c r="F27" t="s">
        <v>167</v>
      </c>
      <c r="G27">
        <v>24</v>
      </c>
      <c r="H27" t="str">
        <f>'шпоргалка-2'!B27</f>
        <v>резерв</v>
      </c>
      <c r="I27" s="59" t="str">
        <f>'шпоргалка-2'!C27</f>
        <v/>
      </c>
      <c r="J27" s="61" t="str">
        <f>'шпоргалка-2'!D27</f>
        <v/>
      </c>
      <c r="K27" t="str">
        <f>'шпоргалка-2'!E27</f>
        <v/>
      </c>
      <c r="M27">
        <f>'шпоргалка-3'!A27</f>
        <v>6</v>
      </c>
      <c r="N27" t="str">
        <f>'шпоргалка-3'!B27</f>
        <v>резерв</v>
      </c>
      <c r="O27" s="59" t="str">
        <f>'шпоргалка-3'!C27</f>
        <v/>
      </c>
      <c r="P27" s="61" t="str">
        <f>'шпоргалка-3'!D27</f>
        <v/>
      </c>
      <c r="Q27" t="str">
        <f>'шпоргалка-3'!E27</f>
        <v/>
      </c>
    </row>
    <row r="28" spans="1:17" x14ac:dyDescent="0.25">
      <c r="A28" t="s">
        <v>3</v>
      </c>
      <c r="B28">
        <v>7</v>
      </c>
      <c r="C28" s="59" t="s">
        <v>116</v>
      </c>
      <c r="D28" s="60" t="s">
        <v>3</v>
      </c>
      <c r="E28" t="s">
        <v>96</v>
      </c>
      <c r="F28" t="s">
        <v>3</v>
      </c>
      <c r="G28">
        <v>25</v>
      </c>
      <c r="H28" t="str">
        <f>'шпоргалка-2'!B28</f>
        <v>резерв</v>
      </c>
      <c r="I28" s="59" t="str">
        <f>'шпоргалка-2'!C28</f>
        <v/>
      </c>
      <c r="J28" s="61" t="str">
        <f>'шпоргалка-2'!D28</f>
        <v/>
      </c>
      <c r="K28" t="str">
        <f>'шпоргалка-2'!E28</f>
        <v/>
      </c>
      <c r="M28">
        <f>'шпоргалка-3'!A28</f>
        <v>7</v>
      </c>
      <c r="N28" t="str">
        <f>'шпоргалка-3'!B28</f>
        <v>резерв</v>
      </c>
      <c r="O28" s="59" t="str">
        <f>'шпоргалка-3'!C28</f>
        <v/>
      </c>
      <c r="P28" s="61" t="str">
        <f>'шпоргалка-3'!D28</f>
        <v/>
      </c>
      <c r="Q28" t="str">
        <f>'шпоргалка-3'!E28</f>
        <v/>
      </c>
    </row>
    <row r="29" spans="1:17" x14ac:dyDescent="0.25">
      <c r="A29" t="s">
        <v>3</v>
      </c>
      <c r="B29">
        <v>7</v>
      </c>
      <c r="C29" s="59" t="s">
        <v>119</v>
      </c>
      <c r="D29" s="60" t="s">
        <v>3</v>
      </c>
      <c r="E29" t="s">
        <v>96</v>
      </c>
      <c r="F29" t="s">
        <v>3</v>
      </c>
      <c r="G29">
        <v>26</v>
      </c>
      <c r="H29" t="str">
        <f>'шпоргалка-2'!B29</f>
        <v>резерв</v>
      </c>
      <c r="I29" s="59" t="str">
        <f>'шпоргалка-2'!C29</f>
        <v/>
      </c>
      <c r="J29" s="61" t="str">
        <f>'шпоргалка-2'!D29</f>
        <v/>
      </c>
      <c r="K29" t="str">
        <f>'шпоргалка-2'!E29</f>
        <v/>
      </c>
      <c r="M29">
        <f>'шпоргалка-3'!A29</f>
        <v>8</v>
      </c>
      <c r="N29" t="str">
        <f>'шпоргалка-3'!B29</f>
        <v>резерв</v>
      </c>
      <c r="O29" s="59" t="str">
        <f>'шпоргалка-3'!C29</f>
        <v/>
      </c>
      <c r="P29" s="61" t="str">
        <f>'шпоргалка-3'!D29</f>
        <v/>
      </c>
      <c r="Q29" t="str">
        <f>'шпоргалка-3'!E29</f>
        <v/>
      </c>
    </row>
    <row r="30" spans="1:17" x14ac:dyDescent="0.25">
      <c r="A30" t="s">
        <v>3</v>
      </c>
      <c r="B30">
        <v>7</v>
      </c>
      <c r="C30" s="59" t="s">
        <v>122</v>
      </c>
      <c r="D30" s="60" t="s">
        <v>3</v>
      </c>
      <c r="E30" t="s">
        <v>96</v>
      </c>
      <c r="F30" t="s">
        <v>3</v>
      </c>
      <c r="G30">
        <v>27</v>
      </c>
      <c r="H30" t="str">
        <f>'шпоргалка-2'!B30</f>
        <v>SV004 - 4</v>
      </c>
      <c r="N30" t="str">
        <f>'шпоргалка-3'!B30</f>
        <v>SV004 - 4</v>
      </c>
    </row>
    <row r="31" spans="1:17" x14ac:dyDescent="0.25">
      <c r="A31" t="s">
        <v>3</v>
      </c>
      <c r="B31">
        <v>7</v>
      </c>
      <c r="C31" s="59" t="s">
        <v>125</v>
      </c>
      <c r="D31" s="60" t="s">
        <v>3</v>
      </c>
      <c r="E31" t="s">
        <v>96</v>
      </c>
      <c r="F31" t="s">
        <v>3</v>
      </c>
      <c r="G31">
        <v>28</v>
      </c>
      <c r="H31" t="str">
        <f>'шпоргалка-2'!B31</f>
        <v>резерв</v>
      </c>
      <c r="I31" s="59" t="str">
        <f>'шпоргалка-2'!C31</f>
        <v/>
      </c>
      <c r="J31" s="61" t="str">
        <f>'шпоргалка-2'!D31</f>
        <v/>
      </c>
      <c r="K31" t="str">
        <f>'шпоргалка-2'!E31</f>
        <v/>
      </c>
      <c r="M31">
        <f>'шпоргалка-3'!A31</f>
        <v>1</v>
      </c>
      <c r="N31" t="str">
        <f>'шпоргалка-3'!B31</f>
        <v>резерв</v>
      </c>
      <c r="O31" s="59" t="str">
        <f>'шпоргалка-3'!C31</f>
        <v/>
      </c>
      <c r="P31" s="61" t="str">
        <f>'шпоргалка-3'!D31</f>
        <v/>
      </c>
      <c r="Q31" t="str">
        <f>'шпоргалка-3'!E31</f>
        <v/>
      </c>
    </row>
    <row r="32" spans="1:17" x14ac:dyDescent="0.25">
      <c r="A32" t="s">
        <v>3</v>
      </c>
      <c r="B32">
        <v>8</v>
      </c>
      <c r="C32" s="59" t="s">
        <v>116</v>
      </c>
      <c r="D32" s="60" t="s">
        <v>3</v>
      </c>
      <c r="E32" t="s">
        <v>96</v>
      </c>
      <c r="F32" t="s">
        <v>3</v>
      </c>
      <c r="G32">
        <v>29</v>
      </c>
      <c r="H32" t="str">
        <f>'шпоргалка-2'!B32</f>
        <v>резерв</v>
      </c>
      <c r="I32" s="59" t="str">
        <f>'шпоргалка-2'!C32</f>
        <v/>
      </c>
      <c r="J32" s="61" t="str">
        <f>'шпоргалка-2'!D32</f>
        <v/>
      </c>
      <c r="K32" t="str">
        <f>'шпоргалка-2'!E32</f>
        <v/>
      </c>
      <c r="M32">
        <f>'шпоргалка-3'!A32</f>
        <v>2</v>
      </c>
      <c r="N32" t="str">
        <f>'шпоргалка-3'!B32</f>
        <v>резерв</v>
      </c>
      <c r="O32" s="59" t="str">
        <f>'шпоргалка-3'!C32</f>
        <v/>
      </c>
      <c r="P32" s="61" t="str">
        <f>'шпоргалка-3'!D32</f>
        <v/>
      </c>
      <c r="Q32" t="str">
        <f>'шпоргалка-3'!E32</f>
        <v/>
      </c>
    </row>
    <row r="33" spans="1:17" x14ac:dyDescent="0.25">
      <c r="A33" t="s">
        <v>3</v>
      </c>
      <c r="B33">
        <v>8</v>
      </c>
      <c r="C33" s="59" t="s">
        <v>119</v>
      </c>
      <c r="D33" s="60" t="s">
        <v>3</v>
      </c>
      <c r="E33" t="s">
        <v>96</v>
      </c>
      <c r="F33" t="s">
        <v>3</v>
      </c>
      <c r="G33">
        <v>30</v>
      </c>
      <c r="H33" t="str">
        <f>'шпоргалка-2'!B33</f>
        <v>резерв</v>
      </c>
      <c r="I33" s="59" t="str">
        <f>'шпоргалка-2'!C33</f>
        <v/>
      </c>
      <c r="J33" s="61" t="str">
        <f>'шпоргалка-2'!D33</f>
        <v/>
      </c>
      <c r="K33" t="str">
        <f>'шпоргалка-2'!E33</f>
        <v/>
      </c>
      <c r="M33">
        <f>'шпоргалка-3'!A33</f>
        <v>3</v>
      </c>
      <c r="N33" t="str">
        <f>'шпоргалка-3'!B33</f>
        <v>резерв</v>
      </c>
      <c r="O33" s="59" t="str">
        <f>'шпоргалка-3'!C33</f>
        <v/>
      </c>
      <c r="P33" s="61" t="str">
        <f>'шпоргалка-3'!D33</f>
        <v/>
      </c>
      <c r="Q33" t="str">
        <f>'шпоргалка-3'!E33</f>
        <v/>
      </c>
    </row>
    <row r="34" spans="1:17" x14ac:dyDescent="0.25">
      <c r="A34" t="s">
        <v>3</v>
      </c>
      <c r="B34">
        <v>8</v>
      </c>
      <c r="C34" s="59" t="s">
        <v>122</v>
      </c>
      <c r="D34" s="60" t="s">
        <v>3</v>
      </c>
      <c r="E34" t="s">
        <v>96</v>
      </c>
      <c r="F34" t="s">
        <v>3</v>
      </c>
      <c r="G34">
        <v>31</v>
      </c>
      <c r="H34" t="str">
        <f>'шпоргалка-2'!B34</f>
        <v>резерв</v>
      </c>
      <c r="I34" s="59" t="str">
        <f>'шпоргалка-2'!C34</f>
        <v/>
      </c>
      <c r="J34" s="61" t="str">
        <f>'шпоргалка-2'!D34</f>
        <v/>
      </c>
      <c r="K34" t="str">
        <f>'шпоргалка-2'!E34</f>
        <v/>
      </c>
      <c r="M34">
        <f>'шпоргалка-3'!A34</f>
        <v>4</v>
      </c>
      <c r="N34" t="str">
        <f>'шпоргалка-3'!B34</f>
        <v>резерв</v>
      </c>
      <c r="O34" s="59" t="str">
        <f>'шпоргалка-3'!C34</f>
        <v/>
      </c>
      <c r="P34" s="61" t="str">
        <f>'шпоргалка-3'!D34</f>
        <v/>
      </c>
      <c r="Q34" t="str">
        <f>'шпоргалка-3'!E34</f>
        <v/>
      </c>
    </row>
    <row r="35" spans="1:17" x14ac:dyDescent="0.25">
      <c r="A35" t="s">
        <v>3</v>
      </c>
      <c r="B35">
        <v>8</v>
      </c>
      <c r="C35" s="59" t="s">
        <v>125</v>
      </c>
      <c r="D35" s="60" t="s">
        <v>3</v>
      </c>
      <c r="E35" t="s">
        <v>96</v>
      </c>
      <c r="F35" t="s">
        <v>3</v>
      </c>
      <c r="G35">
        <v>32</v>
      </c>
      <c r="H35" t="str">
        <f>'шпоргалка-2'!B35</f>
        <v>резерв</v>
      </c>
      <c r="I35" s="59" t="str">
        <f>'шпоргалка-2'!C35</f>
        <v/>
      </c>
      <c r="J35" s="61" t="str">
        <f>'шпоргалка-2'!D35</f>
        <v/>
      </c>
      <c r="K35" t="str">
        <f>'шпоргалка-2'!E35</f>
        <v/>
      </c>
      <c r="M35">
        <f>'шпоргалка-3'!A35</f>
        <v>5</v>
      </c>
      <c r="N35" t="str">
        <f>'шпоргалка-3'!B35</f>
        <v>резерв</v>
      </c>
      <c r="O35" s="59" t="str">
        <f>'шпоргалка-3'!C35</f>
        <v/>
      </c>
      <c r="P35" s="61" t="str">
        <f>'шпоргалка-3'!D35</f>
        <v/>
      </c>
      <c r="Q35" t="str">
        <f>'шпоргалка-3'!E35</f>
        <v/>
      </c>
    </row>
    <row r="36" spans="1:17" x14ac:dyDescent="0.25">
      <c r="A36">
        <v>1</v>
      </c>
      <c r="B36" t="str">
        <f>IF('SV777-2 (SV004)'!B16&lt;1,"резерв",'SV777-2 (SV004)'!B16)</f>
        <v>резерв</v>
      </c>
      <c r="C36" s="59">
        <f>'SV777-2 (SV004)'!B17</f>
        <v>0</v>
      </c>
      <c r="D36" s="60">
        <f>IF(B4="резерв","",'SV777-2 (SV004)'!D17)</f>
        <v>0</v>
      </c>
      <c r="E36" t="str">
        <f>IF('SV777-2 (SV004)'!D16&lt;1,"","ШЛ."&amp;'SV777-2 (SV004)'!D16)</f>
        <v/>
      </c>
      <c r="G36">
        <f>'шпоргалка-2'!A36</f>
        <v>6</v>
      </c>
      <c r="H36" t="str">
        <f>'шпоргалка-2'!B36</f>
        <v>резерв</v>
      </c>
      <c r="I36" s="59" t="str">
        <f>'шпоргалка-2'!C36</f>
        <v/>
      </c>
      <c r="J36" s="61" t="str">
        <f>'шпоргалка-2'!D36</f>
        <v/>
      </c>
      <c r="K36" t="str">
        <f>'шпоргалка-2'!E36</f>
        <v/>
      </c>
      <c r="M36">
        <f>'шпоргалка-3'!A36</f>
        <v>6</v>
      </c>
      <c r="N36" t="str">
        <f>'шпоргалка-3'!B36</f>
        <v>резерв</v>
      </c>
      <c r="O36" s="59" t="str">
        <f>'шпоргалка-3'!C36</f>
        <v/>
      </c>
      <c r="P36" s="61" t="str">
        <f>'шпоргалка-3'!D36</f>
        <v/>
      </c>
      <c r="Q36" t="str">
        <f>'шпоргалка-3'!E36</f>
        <v/>
      </c>
    </row>
    <row r="37" spans="1:17" x14ac:dyDescent="0.25">
      <c r="A37">
        <v>2</v>
      </c>
      <c r="B37" t="str">
        <f>IF('SV777-2 (SV004)'!F16&lt;1,"резерв",'SV777-2 (SV004)'!F16)</f>
        <v>резерв</v>
      </c>
      <c r="C37" s="59" t="str">
        <f>'SV777-2 (SV004)'!F17</f>
        <v/>
      </c>
      <c r="D37" s="60">
        <f>IF(B5="резерв","",'SV777-2 (SV004)'!H17)</f>
        <v>0</v>
      </c>
      <c r="E37" t="str">
        <f>IF('SV777-2 (SV004)'!H16&lt;1,"","ШЛ."&amp;'SV777-2 (SV004)'!H16)</f>
        <v/>
      </c>
      <c r="G37">
        <f>'шпоргалка-2'!A37</f>
        <v>7</v>
      </c>
      <c r="H37" t="str">
        <f>'шпоргалка-2'!B37</f>
        <v>резерв</v>
      </c>
      <c r="I37" s="59" t="str">
        <f>'шпоргалка-2'!C37</f>
        <v/>
      </c>
      <c r="J37" s="61" t="str">
        <f>'шпоргалка-2'!D37</f>
        <v/>
      </c>
      <c r="K37" t="str">
        <f>'шпоргалка-2'!E37</f>
        <v/>
      </c>
      <c r="M37">
        <f>'шпоргалка-3'!A37</f>
        <v>7</v>
      </c>
      <c r="N37" t="str">
        <f>'шпоргалка-3'!B37</f>
        <v>резерв</v>
      </c>
      <c r="O37" s="59" t="str">
        <f>'шпоргалка-3'!C37</f>
        <v/>
      </c>
      <c r="P37" s="61" t="str">
        <f>'шпоргалка-3'!D37</f>
        <v/>
      </c>
      <c r="Q37" t="str">
        <f>'шпоргалка-3'!E37</f>
        <v/>
      </c>
    </row>
    <row r="38" spans="1:17" x14ac:dyDescent="0.25">
      <c r="A38">
        <v>3</v>
      </c>
      <c r="B38" t="str">
        <f>IF('SV777-2 (SV004)'!J16&lt;1,"резерв",'SV777-2 (SV004)'!J16)</f>
        <v>резерв</v>
      </c>
      <c r="C38" s="59" t="str">
        <f>'SV777-2 (SV004)'!J17</f>
        <v/>
      </c>
      <c r="D38" s="60">
        <f>IF(B6="резерв","",'SV777-2 (SV004)'!L17)</f>
        <v>0</v>
      </c>
      <c r="E38" t="str">
        <f>IF('SV777-2 (SV004)'!L16&lt;1,"","ШЛ."&amp;'SV777-2 (SV004)'!L16)</f>
        <v/>
      </c>
      <c r="G38">
        <f>'шпоргалка-2'!A38</f>
        <v>8</v>
      </c>
      <c r="H38" t="str">
        <f>'шпоргалка-2'!B38</f>
        <v>резерв</v>
      </c>
      <c r="I38" s="59" t="str">
        <f>'шпоргалка-2'!C38</f>
        <v/>
      </c>
      <c r="J38" s="61" t="str">
        <f>'шпоргалка-2'!D38</f>
        <v/>
      </c>
      <c r="K38" t="str">
        <f>'шпоргалка-2'!E38</f>
        <v/>
      </c>
      <c r="M38">
        <f>'шпоргалка-3'!A38</f>
        <v>8</v>
      </c>
      <c r="N38" t="str">
        <f>'шпоргалка-3'!B38</f>
        <v>резерв</v>
      </c>
      <c r="O38" s="59" t="str">
        <f>'шпоргалка-3'!C38</f>
        <v/>
      </c>
      <c r="P38" s="61" t="str">
        <f>'шпоргалка-3'!D38</f>
        <v/>
      </c>
      <c r="Q38" t="str">
        <f>'шпоргалка-3'!E38</f>
        <v/>
      </c>
    </row>
    <row r="39" spans="1:17" x14ac:dyDescent="0.25">
      <c r="A39">
        <v>4</v>
      </c>
      <c r="B39" t="str">
        <f>IF('SV777-2 (SV004)'!N16&lt;1,"резерв",'SV777-2 (SV004)'!N16)</f>
        <v>резерв</v>
      </c>
      <c r="C39" s="59" t="str">
        <f>'SV777-2 (SV004)'!N17</f>
        <v/>
      </c>
      <c r="D39" s="60">
        <f>IF(B7="резерв","",'SV777-2 (SV004)'!P17)</f>
        <v>0</v>
      </c>
      <c r="E39" t="str">
        <f>IF('SV777-2 (SV004)'!P16&lt;1,"","ШЛ."&amp;'SV777-2 (SV004)'!P16)</f>
        <v/>
      </c>
      <c r="H39" t="str">
        <f>'шпоргалка-2'!B39</f>
        <v>SV004  - 5</v>
      </c>
      <c r="N39" t="str">
        <f>'шпоргалка-3'!B39</f>
        <v>SV004 - 5</v>
      </c>
    </row>
    <row r="40" spans="1:17" x14ac:dyDescent="0.25">
      <c r="A40">
        <v>5</v>
      </c>
      <c r="B40" t="str">
        <f>IF('SV777-2 (SV004)'!B36&lt;1,"резерв",'SV777-2 (SV004)'!B36)</f>
        <v>резерв</v>
      </c>
      <c r="C40" s="59" t="str">
        <f>'SV777-2 (SV004)'!B37</f>
        <v/>
      </c>
      <c r="D40" s="60">
        <f>IF(B8="резерв","",'SV777-2 (SV004)'!D37)</f>
        <v>0</v>
      </c>
      <c r="E40" t="str">
        <f>IF('SV777-2 (SV004)'!D36&lt;1,"","ШЛ."&amp;'SV777-2 (SV004)'!D36)</f>
        <v/>
      </c>
      <c r="G40">
        <f>'шпоргалка-2'!A40</f>
        <v>1</v>
      </c>
      <c r="H40" t="str">
        <f>'шпоргалка-2'!B40</f>
        <v>резерв</v>
      </c>
      <c r="I40" s="59" t="str">
        <f>'шпоргалка-2'!C40</f>
        <v/>
      </c>
      <c r="J40" s="61" t="str">
        <f>'шпоргалка-2'!D40</f>
        <v/>
      </c>
      <c r="K40" t="str">
        <f>'шпоргалка-2'!E40</f>
        <v/>
      </c>
      <c r="M40">
        <f>'шпоргалка-3'!A40</f>
        <v>1</v>
      </c>
      <c r="N40" t="str">
        <f>'шпоргалка-3'!B40</f>
        <v>резерв</v>
      </c>
      <c r="O40" s="59" t="str">
        <f>'шпоргалка-3'!C40</f>
        <v/>
      </c>
      <c r="P40" s="61" t="str">
        <f>'шпоргалка-3'!D40</f>
        <v/>
      </c>
      <c r="Q40" t="str">
        <f>'шпоргалка-3'!E40</f>
        <v/>
      </c>
    </row>
    <row r="41" spans="1:17" x14ac:dyDescent="0.25">
      <c r="A41">
        <v>6</v>
      </c>
      <c r="B41" t="str">
        <f>IF('SV777-2 (SV004)'!F36&lt;1,"резерв",'SV777-2 (SV004)'!F36)</f>
        <v>резерв</v>
      </c>
      <c r="C41" s="59" t="str">
        <f>'SV777-2 (SV004)'!F37</f>
        <v/>
      </c>
      <c r="D41" s="60">
        <f>IF(B9="резерв","",'SV777-2 (SV004)'!H37)</f>
        <v>0</v>
      </c>
      <c r="E41" t="str">
        <f>IF('SV777-2 (SV004)'!H36&lt;1,"","ШЛ."&amp;'SV777-2 (SV004)'!H36)</f>
        <v/>
      </c>
      <c r="G41">
        <f>'шпоргалка-2'!A41</f>
        <v>2</v>
      </c>
      <c r="H41" t="str">
        <f>'шпоргалка-2'!B41</f>
        <v>резерв</v>
      </c>
      <c r="I41" s="59" t="str">
        <f>'шпоргалка-2'!C41</f>
        <v/>
      </c>
      <c r="J41" s="61" t="str">
        <f>'шпоргалка-2'!D41</f>
        <v/>
      </c>
      <c r="K41" t="str">
        <f>'шпоргалка-2'!E41</f>
        <v/>
      </c>
      <c r="M41">
        <f>'шпоргалка-3'!A41</f>
        <v>2</v>
      </c>
      <c r="N41" t="str">
        <f>'шпоргалка-3'!B41</f>
        <v>резерв</v>
      </c>
      <c r="O41" s="59" t="str">
        <f>'шпоргалка-3'!C41</f>
        <v/>
      </c>
      <c r="P41" s="61" t="str">
        <f>'шпоргалка-3'!D41</f>
        <v/>
      </c>
      <c r="Q41" t="str">
        <f>'шпоргалка-3'!E41</f>
        <v/>
      </c>
    </row>
    <row r="42" spans="1:17" x14ac:dyDescent="0.25">
      <c r="A42">
        <v>7</v>
      </c>
      <c r="B42" t="str">
        <f>IF('SV777-2 (SV004)'!J36&lt;1,"резерв",'SV777-2 (SV004)'!J36)</f>
        <v>резерв</v>
      </c>
      <c r="C42" s="59" t="str">
        <f>'SV777-2 (SV004)'!J37</f>
        <v/>
      </c>
      <c r="D42" s="60">
        <f>IF(B10="резерв","",'SV777-2 (SV004)'!L37)</f>
        <v>0</v>
      </c>
      <c r="E42" t="str">
        <f>IF('SV777-2 (SV004)'!L36&lt;1,"","ШЛ."&amp;'SV777-2 (SV004)'!L36)</f>
        <v/>
      </c>
      <c r="G42">
        <f>'шпоргалка-2'!A42</f>
        <v>3</v>
      </c>
      <c r="H42" t="str">
        <f>'шпоргалка-2'!B42</f>
        <v>резерв</v>
      </c>
      <c r="I42" s="59" t="str">
        <f>'шпоргалка-2'!C42</f>
        <v/>
      </c>
      <c r="J42" s="61" t="str">
        <f>'шпоргалка-2'!D42</f>
        <v/>
      </c>
      <c r="K42" t="str">
        <f>'шпоргалка-2'!E42</f>
        <v/>
      </c>
      <c r="M42">
        <f>'шпоргалка-3'!A42</f>
        <v>3</v>
      </c>
      <c r="N42" t="str">
        <f>'шпоргалка-3'!B42</f>
        <v>резерв</v>
      </c>
      <c r="O42" s="59" t="str">
        <f>'шпоргалка-3'!C42</f>
        <v/>
      </c>
      <c r="P42" s="61" t="str">
        <f>'шпоргалка-3'!D42</f>
        <v/>
      </c>
      <c r="Q42" t="str">
        <f>'шпоргалка-3'!E42</f>
        <v/>
      </c>
    </row>
    <row r="43" spans="1:17" x14ac:dyDescent="0.25">
      <c r="A43">
        <v>8</v>
      </c>
      <c r="B43" t="str">
        <f>IF('SV777-2 (SV004)'!N36&lt;1,"резерв",'SV777-2 (SV004)'!N36)</f>
        <v>резерв</v>
      </c>
      <c r="C43" s="59" t="str">
        <f>'SV777-2 (SV004)'!N37</f>
        <v/>
      </c>
      <c r="D43" s="60">
        <f>IF(B11="резерв","",'SV777-2 (SV004)'!P37)</f>
        <v>0</v>
      </c>
      <c r="E43" t="str">
        <f>IF('SV777-2 (SV004)'!P36&lt;1,"","ШЛ."&amp;'SV777-2 (SV004)'!P36)</f>
        <v/>
      </c>
      <c r="G43">
        <f>'шпоргалка-2'!A43</f>
        <v>4</v>
      </c>
      <c r="H43" t="str">
        <f>'шпоргалка-2'!B43</f>
        <v>резерв</v>
      </c>
      <c r="I43" s="59" t="str">
        <f>'шпоргалка-2'!C43</f>
        <v/>
      </c>
      <c r="J43" s="61" t="str">
        <f>'шпоргалка-2'!D43</f>
        <v/>
      </c>
      <c r="K43" t="str">
        <f>'шпоргалка-2'!E43</f>
        <v/>
      </c>
      <c r="M43">
        <f>'шпоргалка-3'!A43</f>
        <v>4</v>
      </c>
      <c r="N43" t="str">
        <f>'шпоргалка-3'!B43</f>
        <v>резерв</v>
      </c>
      <c r="O43" s="59" t="str">
        <f>'шпоргалка-3'!C43</f>
        <v/>
      </c>
      <c r="P43" s="61" t="str">
        <f>'шпоргалка-3'!D43</f>
        <v/>
      </c>
      <c r="Q43" t="str">
        <f>'шпоргалка-3'!E43</f>
        <v/>
      </c>
    </row>
    <row r="44" spans="1:17" x14ac:dyDescent="0.25">
      <c r="A44">
        <f>'шпоргалка-1'!A44</f>
        <v>0</v>
      </c>
      <c r="B44" t="s">
        <v>170</v>
      </c>
      <c r="C44" s="59">
        <f>'шпоргалка-1'!C44</f>
        <v>0</v>
      </c>
      <c r="D44" s="61">
        <f>'шпоргалка-1'!D44</f>
        <v>0</v>
      </c>
      <c r="E44">
        <f>'шпоргалка-1'!E44</f>
        <v>0</v>
      </c>
      <c r="G44">
        <f>'шпоргалка-2'!A44</f>
        <v>5</v>
      </c>
      <c r="H44" t="str">
        <f>'шпоргалка-2'!B44</f>
        <v>резерв</v>
      </c>
      <c r="I44" s="59" t="str">
        <f>'шпоргалка-2'!C44</f>
        <v/>
      </c>
      <c r="J44" s="61" t="str">
        <f>'шпоргалка-2'!D44</f>
        <v/>
      </c>
      <c r="K44" t="str">
        <f>'шпоргалка-2'!E44</f>
        <v/>
      </c>
      <c r="M44">
        <f>'шпоргалка-3'!A44</f>
        <v>5</v>
      </c>
      <c r="N44" t="str">
        <f>'шпоргалка-3'!B44</f>
        <v>резерв</v>
      </c>
      <c r="O44" s="59" t="str">
        <f>'шпоргалка-3'!C44</f>
        <v/>
      </c>
      <c r="P44" s="61" t="str">
        <f>'шпоргалка-3'!D44</f>
        <v/>
      </c>
      <c r="Q44" t="str">
        <f>'шпоргалка-3'!E44</f>
        <v/>
      </c>
    </row>
    <row r="45" spans="1:17" x14ac:dyDescent="0.25">
      <c r="A45">
        <v>1</v>
      </c>
      <c r="B45" t="str">
        <f>IF('SV777-2 (SV004)'!B58&lt;1,"резерв",'SV777-2 (SV004)'!B58)</f>
        <v>резерв</v>
      </c>
      <c r="C45" s="59" t="str">
        <f>'SV777-2 (SV004)'!B59</f>
        <v/>
      </c>
      <c r="D45" s="60">
        <f>IF(B13="резерв","",'SV777-2 (SV004)'!D59)</f>
        <v>0</v>
      </c>
      <c r="E45" t="str">
        <f>IF('SV777-2 (SV004)'!D58&lt;1,"","ШЛ."&amp;'SV777-2 (SV004)'!D58)</f>
        <v/>
      </c>
      <c r="G45">
        <f>'шпоргалка-2'!A45</f>
        <v>6</v>
      </c>
      <c r="H45" t="str">
        <f>'шпоргалка-2'!B45</f>
        <v>резерв</v>
      </c>
      <c r="I45" s="59" t="str">
        <f>'шпоргалка-2'!C45</f>
        <v/>
      </c>
      <c r="J45" s="61" t="str">
        <f>'шпоргалка-2'!D45</f>
        <v/>
      </c>
      <c r="K45" t="str">
        <f>'шпоргалка-2'!E45</f>
        <v/>
      </c>
      <c r="M45">
        <f>'шпоргалка-3'!A45</f>
        <v>6</v>
      </c>
      <c r="N45" t="str">
        <f>'шпоргалка-3'!B45</f>
        <v>резерв</v>
      </c>
      <c r="O45" s="59" t="str">
        <f>'шпоргалка-3'!C45</f>
        <v/>
      </c>
      <c r="P45" s="61" t="str">
        <f>'шпоргалка-3'!D45</f>
        <v/>
      </c>
      <c r="Q45" t="str">
        <f>'шпоргалка-3'!E45</f>
        <v/>
      </c>
    </row>
    <row r="46" spans="1:17" x14ac:dyDescent="0.25">
      <c r="A46">
        <v>2</v>
      </c>
      <c r="B46" t="str">
        <f>IF('SV777-2 (SV004)'!F58&lt;1,"резерв",'SV777-2 (SV004)'!F58)</f>
        <v>резерв</v>
      </c>
      <c r="C46" s="59" t="str">
        <f>'SV777-2 (SV004)'!F59</f>
        <v/>
      </c>
      <c r="D46" s="60">
        <f>IF(B14="резерв","",'SV777-2 (SV004)'!H59)</f>
        <v>0</v>
      </c>
      <c r="E46" t="str">
        <f>IF('SV777-2 (SV004)'!H58&lt;1,"","ШЛ."&amp;'SV777-2 (SV004)'!H58)</f>
        <v/>
      </c>
      <c r="G46">
        <f>'шпоргалка-2'!A46</f>
        <v>7</v>
      </c>
      <c r="H46" t="str">
        <f>'шпоргалка-2'!B46</f>
        <v>резерв</v>
      </c>
      <c r="I46" s="59" t="str">
        <f>'шпоргалка-2'!C46</f>
        <v/>
      </c>
      <c r="J46" s="61" t="str">
        <f>'шпоргалка-2'!D46</f>
        <v/>
      </c>
      <c r="K46" t="str">
        <f>'шпоргалка-2'!E46</f>
        <v/>
      </c>
      <c r="M46">
        <f>'шпоргалка-3'!A46</f>
        <v>7</v>
      </c>
      <c r="N46" t="str">
        <f>'шпоргалка-3'!B46</f>
        <v>резерв</v>
      </c>
      <c r="O46" s="59" t="str">
        <f>'шпоргалка-3'!C46</f>
        <v/>
      </c>
      <c r="P46" s="61" t="str">
        <f>'шпоргалка-3'!D46</f>
        <v/>
      </c>
      <c r="Q46" t="str">
        <f>'шпоргалка-3'!E46</f>
        <v/>
      </c>
    </row>
    <row r="47" spans="1:17" x14ac:dyDescent="0.25">
      <c r="A47">
        <v>3</v>
      </c>
      <c r="B47" t="str">
        <f>IF('SV777-2 (SV004)'!J58&lt;1,"резерв",'SV777-2 (SV004)'!J58)</f>
        <v>резерв</v>
      </c>
      <c r="C47" s="59" t="str">
        <f>'SV777-2 (SV004)'!J59</f>
        <v/>
      </c>
      <c r="D47" s="60">
        <f>IF(B15="резерв","",'SV777-2 (SV004)'!L59)</f>
        <v>0</v>
      </c>
      <c r="E47" t="str">
        <f>IF('SV777-2 (SV004)'!L58&lt;1,"","ШЛ."&amp;'SV777-2 (SV004)'!L58)</f>
        <v/>
      </c>
      <c r="G47">
        <f>'шпоргалка-2'!A47</f>
        <v>8</v>
      </c>
      <c r="H47" t="str">
        <f>'шпоргалка-2'!B47</f>
        <v>резерв</v>
      </c>
      <c r="I47" s="59" t="str">
        <f>'шпоргалка-2'!C47</f>
        <v/>
      </c>
      <c r="J47" s="61" t="str">
        <f>'шпоргалка-2'!D47</f>
        <v/>
      </c>
      <c r="K47" t="str">
        <f>'шпоргалка-2'!E47</f>
        <v/>
      </c>
      <c r="M47">
        <f>'шпоргалка-3'!A47</f>
        <v>8</v>
      </c>
      <c r="N47" t="str">
        <f>'шпоргалка-3'!B47</f>
        <v>резерв</v>
      </c>
      <c r="O47" s="59" t="str">
        <f>'шпоргалка-3'!C47</f>
        <v/>
      </c>
      <c r="P47" s="61" t="str">
        <f>'шпоргалка-3'!D47</f>
        <v/>
      </c>
      <c r="Q47" t="str">
        <f>'шпоргалка-3'!E47</f>
        <v/>
      </c>
    </row>
    <row r="48" spans="1:17" x14ac:dyDescent="0.25">
      <c r="A48">
        <v>4</v>
      </c>
      <c r="B48" t="str">
        <f>IF('SV777-2 (SV004)'!N58&lt;1,"резерв",'SV777-2 (SV004)'!N58)</f>
        <v>резерв</v>
      </c>
      <c r="C48" s="59" t="str">
        <f>'SV777-2 (SV004)'!N59</f>
        <v/>
      </c>
      <c r="D48" s="60">
        <f>IF(B16="резерв","",'SV777-2 (SV004)'!P59)</f>
        <v>0</v>
      </c>
      <c r="E48" t="str">
        <f>IF('SV777-2 (SV004)'!P58&lt;1,"","ШЛ."&amp;'SV777-2 (SV004)'!P58)</f>
        <v/>
      </c>
      <c r="H48" t="str">
        <f>'шпоргалка-2'!B48</f>
        <v>SV004 - 6</v>
      </c>
      <c r="N48" t="str">
        <f>'шпоргалка-3'!B48</f>
        <v>SV004 - 6</v>
      </c>
    </row>
    <row r="49" spans="1:17" x14ac:dyDescent="0.25">
      <c r="A49">
        <v>5</v>
      </c>
      <c r="B49" t="str">
        <f>IF('SV777-2 (SV004)'!B78&lt;1,"резерв",'SV777-2 (SV004)'!B78)</f>
        <v>резерв</v>
      </c>
      <c r="C49" s="59" t="str">
        <f>'SV777-2 (SV004)'!B79</f>
        <v/>
      </c>
      <c r="D49" s="60">
        <f>IF(B17="резерв","",'SV777-2 (SV004)'!D79)</f>
        <v>0</v>
      </c>
      <c r="E49" t="str">
        <f>IF('SV777-2 (SV004)'!D78&lt;1,"","ШЛ."&amp;'SV777-2 (SV004)'!D78)</f>
        <v/>
      </c>
      <c r="G49">
        <f>'шпоргалка-2'!A49</f>
        <v>1</v>
      </c>
      <c r="H49" t="str">
        <f>'шпоргалка-2'!B49</f>
        <v>резерв</v>
      </c>
      <c r="I49" s="59" t="str">
        <f>'шпоргалка-2'!C49</f>
        <v/>
      </c>
      <c r="J49" s="61" t="str">
        <f>'шпоргалка-2'!D49</f>
        <v/>
      </c>
      <c r="K49" t="str">
        <f>'шпоргалка-2'!E49</f>
        <v/>
      </c>
      <c r="M49">
        <f>'шпоргалка-3'!A49</f>
        <v>1</v>
      </c>
      <c r="N49" t="str">
        <f>'шпоргалка-3'!B49</f>
        <v>резерв</v>
      </c>
      <c r="O49" s="59" t="str">
        <f>'шпоргалка-3'!C49</f>
        <v/>
      </c>
      <c r="P49" s="61" t="str">
        <f>'шпоргалка-3'!D49</f>
        <v/>
      </c>
      <c r="Q49" t="str">
        <f>'шпоргалка-3'!E49</f>
        <v/>
      </c>
    </row>
    <row r="50" spans="1:17" x14ac:dyDescent="0.25">
      <c r="A50">
        <v>6</v>
      </c>
      <c r="B50" t="str">
        <f>IF('SV777-2 (SV004)'!F78&lt;1,"резерв",'SV777-2 (SV004)'!F78)</f>
        <v>резерв</v>
      </c>
      <c r="C50" s="59" t="str">
        <f>'SV777-2 (SV004)'!F79</f>
        <v/>
      </c>
      <c r="D50" s="60">
        <f>IF(B18="резерв","",'SV777-2 (SV004)'!H79)</f>
        <v>0</v>
      </c>
      <c r="E50" t="str">
        <f>IF('SV777-2 (SV004)'!H78&lt;1,"","ШЛ."&amp;'SV777-2 (SV004)'!H78)</f>
        <v/>
      </c>
      <c r="G50">
        <f>'шпоргалка-2'!A50</f>
        <v>2</v>
      </c>
      <c r="H50" t="str">
        <f>'шпоргалка-2'!B50</f>
        <v>резерв</v>
      </c>
      <c r="I50" s="59" t="str">
        <f>'шпоргалка-2'!C50</f>
        <v/>
      </c>
      <c r="J50" s="61" t="str">
        <f>'шпоргалка-2'!D50</f>
        <v/>
      </c>
      <c r="K50" t="str">
        <f>'шпоргалка-2'!E50</f>
        <v/>
      </c>
      <c r="M50">
        <f>'шпоргалка-3'!A50</f>
        <v>2</v>
      </c>
      <c r="N50" t="str">
        <f>'шпоргалка-3'!B50</f>
        <v>резерв</v>
      </c>
      <c r="O50" s="59" t="str">
        <f>'шпоргалка-3'!C50</f>
        <v/>
      </c>
      <c r="P50" s="61" t="str">
        <f>'шпоргалка-3'!D50</f>
        <v/>
      </c>
      <c r="Q50" t="str">
        <f>'шпоргалка-3'!E50</f>
        <v/>
      </c>
    </row>
    <row r="51" spans="1:17" x14ac:dyDescent="0.25">
      <c r="A51">
        <v>7</v>
      </c>
      <c r="B51" t="str">
        <f>IF('SV777-2 (SV004)'!J78&lt;1,"резерв",'SV777-2 (SV004)'!J78)</f>
        <v>резерв</v>
      </c>
      <c r="C51" s="59" t="str">
        <f>'SV777-2 (SV004)'!J79</f>
        <v/>
      </c>
      <c r="D51" s="60">
        <f>IF(B19="резерв","",'SV777-2 (SV004)'!L79)</f>
        <v>0</v>
      </c>
      <c r="E51" t="str">
        <f>IF('SV777-2 (SV004)'!L78&lt;1,"","ШЛ."&amp;'SV777-2 (SV004)'!L78)</f>
        <v/>
      </c>
      <c r="G51">
        <f>'шпоргалка-2'!A51</f>
        <v>3</v>
      </c>
      <c r="H51" t="str">
        <f>'шпоргалка-2'!B51</f>
        <v>резерв</v>
      </c>
      <c r="I51" s="59" t="str">
        <f>'шпоргалка-2'!C51</f>
        <v/>
      </c>
      <c r="J51" s="61" t="str">
        <f>'шпоргалка-2'!D51</f>
        <v/>
      </c>
      <c r="K51" t="str">
        <f>'шпоргалка-2'!E51</f>
        <v/>
      </c>
      <c r="M51">
        <f>'шпоргалка-3'!A51</f>
        <v>3</v>
      </c>
      <c r="N51" t="str">
        <f>'шпоргалка-3'!B51</f>
        <v>резерв</v>
      </c>
      <c r="O51" s="59" t="str">
        <f>'шпоргалка-3'!C51</f>
        <v/>
      </c>
      <c r="P51" s="61" t="str">
        <f>'шпоргалка-3'!D51</f>
        <v/>
      </c>
      <c r="Q51" t="str">
        <f>'шпоргалка-3'!E51</f>
        <v/>
      </c>
    </row>
    <row r="52" spans="1:17" x14ac:dyDescent="0.25">
      <c r="A52">
        <v>8</v>
      </c>
      <c r="B52" t="str">
        <f>IF('SV777-2 (SV004)'!N78&lt;1,"резерв",'SV777-2 (SV004)'!N78)</f>
        <v>резерв</v>
      </c>
      <c r="C52" s="59" t="str">
        <f>'SV777-2 (SV004)'!N79</f>
        <v/>
      </c>
      <c r="D52" s="60">
        <f>IF(B20="резерв","",'SV777-2 (SV004)'!P79)</f>
        <v>0</v>
      </c>
      <c r="E52" t="str">
        <f>IF('SV777-2 (SV004)'!P78&lt;1,"","ШЛ."&amp;'SV777-2 (SV004)'!P78)</f>
        <v/>
      </c>
      <c r="G52">
        <f>'шпоргалка-2'!A52</f>
        <v>4</v>
      </c>
      <c r="H52" t="str">
        <f>'шпоргалка-2'!B52</f>
        <v>резерв</v>
      </c>
      <c r="I52" s="59" t="str">
        <f>'шпоргалка-2'!C52</f>
        <v/>
      </c>
      <c r="J52" s="61" t="str">
        <f>'шпоргалка-2'!D52</f>
        <v/>
      </c>
      <c r="K52" t="str">
        <f>'шпоргалка-2'!E52</f>
        <v/>
      </c>
      <c r="M52">
        <f>'шпоргалка-3'!A52</f>
        <v>4</v>
      </c>
      <c r="N52" t="str">
        <f>'шпоргалка-3'!B52</f>
        <v>резерв</v>
      </c>
      <c r="O52" s="59" t="str">
        <f>'шпоргалка-3'!C52</f>
        <v/>
      </c>
      <c r="P52" s="61" t="str">
        <f>'шпоргалка-3'!D52</f>
        <v/>
      </c>
      <c r="Q52" t="str">
        <f>'шпоргалка-3'!E52</f>
        <v/>
      </c>
    </row>
    <row r="53" spans="1:17" x14ac:dyDescent="0.25">
      <c r="A53">
        <f>'шпоргалка-1'!A53</f>
        <v>0</v>
      </c>
      <c r="B53" t="s">
        <v>171</v>
      </c>
      <c r="C53" s="59">
        <f>'шпоргалка-1'!C53</f>
        <v>0</v>
      </c>
      <c r="D53" s="61">
        <f>'шпоргалка-1'!D53</f>
        <v>0</v>
      </c>
      <c r="E53">
        <f>'шпоргалка-1'!E53</f>
        <v>0</v>
      </c>
      <c r="G53">
        <f>'шпоргалка-2'!A53</f>
        <v>5</v>
      </c>
      <c r="H53" t="str">
        <f>'шпоргалка-2'!B53</f>
        <v>резерв</v>
      </c>
      <c r="I53" s="59" t="str">
        <f>'шпоргалка-2'!C53</f>
        <v/>
      </c>
      <c r="J53" s="61" t="str">
        <f>'шпоргалка-2'!D53</f>
        <v/>
      </c>
      <c r="K53" t="str">
        <f>'шпоргалка-2'!E53</f>
        <v/>
      </c>
      <c r="M53">
        <f>'шпоргалка-3'!A53</f>
        <v>5</v>
      </c>
      <c r="N53" t="str">
        <f>'шпоргалка-3'!B53</f>
        <v>резерв</v>
      </c>
      <c r="O53" s="59" t="str">
        <f>'шпоргалка-3'!C53</f>
        <v/>
      </c>
      <c r="P53" s="61" t="str">
        <f>'шпоргалка-3'!D53</f>
        <v/>
      </c>
      <c r="Q53" t="str">
        <f>'шпоргалка-3'!E53</f>
        <v/>
      </c>
    </row>
    <row r="54" spans="1:17" x14ac:dyDescent="0.25">
      <c r="A54">
        <v>1</v>
      </c>
      <c r="B54" t="str">
        <f>IF('SV777-2 (SV004)'!B100&lt;1,"резерв",'SV777-2 (SV004)'!B100)</f>
        <v>резерв</v>
      </c>
      <c r="C54" s="59" t="str">
        <f>'SV777-2 (SV004)'!B101</f>
        <v/>
      </c>
      <c r="D54" s="60">
        <f>IF(B22="резерв","",'SV777-2 (SV004)'!D101)</f>
        <v>0</v>
      </c>
      <c r="E54" t="str">
        <f>IF('SV777-2 (SV004)'!D100&lt;1,"","ШЛ."&amp;'SV777-2 (SV004)'!D100)</f>
        <v/>
      </c>
      <c r="G54">
        <f>'шпоргалка-2'!A54</f>
        <v>6</v>
      </c>
      <c r="H54" t="str">
        <f>'шпоргалка-2'!B54</f>
        <v>резерв</v>
      </c>
      <c r="I54" s="59" t="str">
        <f>'шпоргалка-2'!C54</f>
        <v/>
      </c>
      <c r="J54" s="61" t="str">
        <f>'шпоргалка-2'!D54</f>
        <v/>
      </c>
      <c r="K54" t="str">
        <f>'шпоргалка-2'!E54</f>
        <v/>
      </c>
      <c r="M54">
        <f>'шпоргалка-3'!A54</f>
        <v>6</v>
      </c>
      <c r="N54" t="str">
        <f>'шпоргалка-3'!B54</f>
        <v>резерв</v>
      </c>
      <c r="O54" s="59" t="str">
        <f>'шпоргалка-3'!C54</f>
        <v/>
      </c>
      <c r="P54" s="61" t="str">
        <f>'шпоргалка-3'!D54</f>
        <v/>
      </c>
      <c r="Q54" t="str">
        <f>'шпоргалка-3'!E54</f>
        <v/>
      </c>
    </row>
    <row r="55" spans="1:17" x14ac:dyDescent="0.25">
      <c r="A55">
        <v>2</v>
      </c>
      <c r="B55" t="str">
        <f>IF('SV777-2 (SV004)'!F100&lt;1,"резерв",'SV777-2 (SV004)'!F100)</f>
        <v>резерв</v>
      </c>
      <c r="C55" s="59" t="str">
        <f>'SV777-2 (SV004)'!F101</f>
        <v/>
      </c>
      <c r="D55" s="60">
        <f>IF(B23="резерв","",'SV777-2 (SV004)'!H101)</f>
        <v>0</v>
      </c>
      <c r="E55" t="str">
        <f>IF('SV777-2 (SV004)'!H100&lt;1,"","ШЛ."&amp;'SV777-2 (SV004)'!H100)</f>
        <v/>
      </c>
      <c r="G55">
        <f>'шпоргалка-2'!A55</f>
        <v>7</v>
      </c>
      <c r="H55" t="str">
        <f>'шпоргалка-2'!B55</f>
        <v>резерв</v>
      </c>
      <c r="I55" s="59" t="str">
        <f>'шпоргалка-2'!C55</f>
        <v/>
      </c>
      <c r="J55" s="61" t="str">
        <f>'шпоргалка-2'!D55</f>
        <v/>
      </c>
      <c r="K55" t="str">
        <f>'шпоргалка-2'!E55</f>
        <v/>
      </c>
      <c r="M55">
        <f>'шпоргалка-3'!A55</f>
        <v>7</v>
      </c>
      <c r="N55" t="str">
        <f>'шпоргалка-3'!B55</f>
        <v>резерв</v>
      </c>
      <c r="O55" s="59" t="str">
        <f>'шпоргалка-3'!C55</f>
        <v/>
      </c>
      <c r="P55" s="61" t="str">
        <f>'шпоргалка-3'!D55</f>
        <v/>
      </c>
      <c r="Q55" t="str">
        <f>'шпоргалка-3'!E55</f>
        <v/>
      </c>
    </row>
    <row r="56" spans="1:17" x14ac:dyDescent="0.25">
      <c r="A56">
        <v>3</v>
      </c>
      <c r="B56" t="str">
        <f>IF('SV777-2 (SV004)'!J100&lt;1,"резерв",'SV777-2 (SV004)'!J100)</f>
        <v>резерв</v>
      </c>
      <c r="C56" s="59" t="str">
        <f>'SV777-2 (SV004)'!J101</f>
        <v/>
      </c>
      <c r="D56" s="60">
        <f>IF(B24="резерв","",'SV777-2 (SV004)'!L101)</f>
        <v>0</v>
      </c>
      <c r="E56" t="str">
        <f>IF('SV777-2 (SV004)'!L100&lt;1,"","ШЛ."&amp;'SV777-2 (SV004)'!L100)</f>
        <v/>
      </c>
      <c r="G56">
        <f>'шпоргалка-2'!A56</f>
        <v>8</v>
      </c>
      <c r="H56" t="str">
        <f>'шпоргалка-2'!B56</f>
        <v>резерв</v>
      </c>
      <c r="I56" s="59" t="str">
        <f>'шпоргалка-2'!C56</f>
        <v/>
      </c>
      <c r="J56" s="61" t="str">
        <f>'шпоргалка-2'!D56</f>
        <v/>
      </c>
      <c r="K56" t="str">
        <f>'шпоргалка-2'!E56</f>
        <v/>
      </c>
      <c r="M56">
        <f>'шпоргалка-3'!A56</f>
        <v>8</v>
      </c>
      <c r="N56" t="str">
        <f>'шпоргалка-3'!B56</f>
        <v>резерв</v>
      </c>
      <c r="O56" s="59" t="str">
        <f>'шпоргалка-3'!C56</f>
        <v/>
      </c>
      <c r="P56" s="61" t="str">
        <f>'шпоргалка-3'!D56</f>
        <v/>
      </c>
      <c r="Q56" t="str">
        <f>'шпоргалка-3'!E56</f>
        <v/>
      </c>
    </row>
    <row r="57" spans="1:17" x14ac:dyDescent="0.25">
      <c r="A57">
        <v>4</v>
      </c>
      <c r="B57" t="str">
        <f>IF('SV777-2 (SV004)'!N100&lt;1,"резерв",'SV777-2 (SV004)'!N100)</f>
        <v>резерв</v>
      </c>
      <c r="C57" s="59" t="str">
        <f>'SV777-2 (SV004)'!N101</f>
        <v/>
      </c>
      <c r="D57" s="60">
        <f>IF(B25="резерв","",'SV777-2 (SV004)'!P101)</f>
        <v>0</v>
      </c>
      <c r="E57" t="str">
        <f>IF('SV777-2 (SV004)'!P100&lt;1,"","ШЛ."&amp;'SV777-2 (SV004)'!P100)</f>
        <v/>
      </c>
      <c r="H57" t="str">
        <f>'шпоргалка-2'!B57</f>
        <v>SV004 -7</v>
      </c>
      <c r="N57" t="str">
        <f>'шпоргалка-3'!B57</f>
        <v>SV004 - 7</v>
      </c>
    </row>
    <row r="58" spans="1:17" x14ac:dyDescent="0.25">
      <c r="A58">
        <v>5</v>
      </c>
      <c r="B58" t="str">
        <f>IF('SV777-2 (SV004)'!B120&lt;1,"резерв",'SV777-2 (SV004)'!B120)</f>
        <v>резерв</v>
      </c>
      <c r="C58" s="59" t="str">
        <f>'SV777-2 (SV004)'!B121</f>
        <v/>
      </c>
      <c r="D58" s="60">
        <f>IF(B26="резерв","",'SV777-2 (SV004)'!D121)</f>
        <v>0</v>
      </c>
      <c r="E58" t="str">
        <f>IF('SV777-2 (SV004)'!D120&lt;1,"","ШЛ."&amp;'SV777-2 (SV004)'!D120)</f>
        <v/>
      </c>
      <c r="G58">
        <f>'шпоргалка-2'!A58</f>
        <v>1</v>
      </c>
      <c r="H58" t="str">
        <f>'шпоргалка-2'!B58</f>
        <v>резерв</v>
      </c>
      <c r="I58" s="59" t="str">
        <f>'шпоргалка-2'!C58</f>
        <v/>
      </c>
      <c r="J58" s="61" t="str">
        <f>'шпоргалка-2'!D58</f>
        <v/>
      </c>
      <c r="K58" t="str">
        <f>'шпоргалка-2'!E58</f>
        <v/>
      </c>
      <c r="M58">
        <f>'шпоргалка-3'!A58</f>
        <v>1</v>
      </c>
      <c r="N58" t="str">
        <f>'шпоргалка-3'!B58</f>
        <v>резерв</v>
      </c>
      <c r="O58" s="59" t="str">
        <f>'шпоргалка-3'!C58</f>
        <v/>
      </c>
      <c r="P58" s="61" t="str">
        <f>'шпоргалка-3'!D58</f>
        <v/>
      </c>
      <c r="Q58" t="str">
        <f>'шпоргалка-3'!E58</f>
        <v/>
      </c>
    </row>
    <row r="59" spans="1:17" x14ac:dyDescent="0.25">
      <c r="A59">
        <v>6</v>
      </c>
      <c r="B59" t="str">
        <f>IF('SV777-2 (SV004)'!F120&lt;1,"резерв",'SV777-2 (SV004)'!F120)</f>
        <v>резерв</v>
      </c>
      <c r="C59" s="59" t="str">
        <f>'SV777-2 (SV004)'!F121</f>
        <v/>
      </c>
      <c r="D59" s="60">
        <f>IF(B27="резерв","",'SV777-2 (SV004)'!H121)</f>
        <v>0</v>
      </c>
      <c r="E59" t="str">
        <f>IF('SV777-2 (SV004)'!H120&lt;1,"","ШЛ."&amp;'SV777-2 (SV004)'!H120)</f>
        <v/>
      </c>
      <c r="G59">
        <f>'шпоргалка-2'!A59</f>
        <v>2</v>
      </c>
      <c r="H59" t="str">
        <f>'шпоргалка-2'!B59</f>
        <v>резерв</v>
      </c>
      <c r="I59" s="59" t="str">
        <f>'шпоргалка-2'!C59</f>
        <v/>
      </c>
      <c r="J59" s="61" t="str">
        <f>'шпоргалка-2'!D59</f>
        <v/>
      </c>
      <c r="K59" t="str">
        <f>'шпоргалка-2'!E59</f>
        <v/>
      </c>
      <c r="M59">
        <f>'шпоргалка-3'!A59</f>
        <v>2</v>
      </c>
      <c r="N59" t="str">
        <f>'шпоргалка-3'!B59</f>
        <v>резерв</v>
      </c>
      <c r="O59" s="59" t="str">
        <f>'шпоргалка-3'!C59</f>
        <v/>
      </c>
      <c r="P59" s="61" t="str">
        <f>'шпоргалка-3'!D59</f>
        <v/>
      </c>
      <c r="Q59" t="str">
        <f>'шпоргалка-3'!E59</f>
        <v/>
      </c>
    </row>
    <row r="60" spans="1:17" x14ac:dyDescent="0.25">
      <c r="A60">
        <v>7</v>
      </c>
      <c r="B60" t="str">
        <f>IF('SV777-2 (SV004)'!J120&lt;1,"резерв",'SV777-2 (SV004)'!J120)</f>
        <v>резерв</v>
      </c>
      <c r="C60" s="59" t="str">
        <f>'SV777-2 (SV004)'!J121</f>
        <v/>
      </c>
      <c r="D60" s="60">
        <f>IF(B28="резерв","",'SV777-2 (SV004)'!L121)</f>
        <v>0</v>
      </c>
      <c r="E60" t="str">
        <f>IF('SV777-2 (SV004)'!L120&lt;1,"","ШЛ."&amp;'SV777-2 (SV004)'!L120)</f>
        <v/>
      </c>
      <c r="G60">
        <f>'шпоргалка-2'!A60</f>
        <v>3</v>
      </c>
      <c r="H60" t="str">
        <f>'шпоргалка-2'!B60</f>
        <v>резерв</v>
      </c>
      <c r="I60" s="59" t="str">
        <f>'шпоргалка-2'!C60</f>
        <v/>
      </c>
      <c r="J60" s="61" t="str">
        <f>'шпоргалка-2'!D60</f>
        <v/>
      </c>
      <c r="K60" t="str">
        <f>'шпоргалка-2'!E60</f>
        <v/>
      </c>
      <c r="M60">
        <f>'шпоргалка-3'!A60</f>
        <v>3</v>
      </c>
      <c r="N60" t="str">
        <f>'шпоргалка-3'!B60</f>
        <v>резерв</v>
      </c>
      <c r="O60" s="59" t="str">
        <f>'шпоргалка-3'!C60</f>
        <v/>
      </c>
      <c r="P60" s="61" t="str">
        <f>'шпоргалка-3'!D60</f>
        <v/>
      </c>
      <c r="Q60" t="str">
        <f>'шпоргалка-3'!E60</f>
        <v/>
      </c>
    </row>
    <row r="61" spans="1:17" x14ac:dyDescent="0.25">
      <c r="A61">
        <v>8</v>
      </c>
      <c r="B61" t="str">
        <f>IF('SV777-2 (SV004)'!N120&lt;1,"резерв",'SV777-2 (SV004)'!N120)</f>
        <v>резерв</v>
      </c>
      <c r="C61" s="59" t="str">
        <f>'SV777-2 (SV004)'!N121</f>
        <v/>
      </c>
      <c r="D61" s="60">
        <f>IF(B29="резерв","",'SV777-2 (SV004)'!P121)</f>
        <v>0</v>
      </c>
      <c r="E61" t="str">
        <f>IF('SV777-2 (SV004)'!P120&lt;1,"","ШЛ."&amp;'SV777-2 (SV004)'!P120)</f>
        <v/>
      </c>
      <c r="G61">
        <f>'шпоргалка-2'!A61</f>
        <v>4</v>
      </c>
      <c r="H61" t="str">
        <f>'шпоргалка-2'!B61</f>
        <v>резерв</v>
      </c>
      <c r="I61" s="59" t="str">
        <f>'шпоргалка-2'!C61</f>
        <v/>
      </c>
      <c r="J61" s="61" t="str">
        <f>'шпоргалка-2'!D61</f>
        <v/>
      </c>
      <c r="K61" t="str">
        <f>'шпоргалка-2'!E61</f>
        <v/>
      </c>
      <c r="M61">
        <f>'шпоргалка-3'!A61</f>
        <v>4</v>
      </c>
      <c r="N61" t="str">
        <f>'шпоргалка-3'!B61</f>
        <v>резерв</v>
      </c>
      <c r="O61" s="59" t="str">
        <f>'шпоргалка-3'!C61</f>
        <v/>
      </c>
      <c r="P61" s="61" t="str">
        <f>'шпоргалка-3'!D61</f>
        <v/>
      </c>
      <c r="Q61" t="str">
        <f>'шпоргалка-3'!E61</f>
        <v/>
      </c>
    </row>
    <row r="62" spans="1:17" x14ac:dyDescent="0.25">
      <c r="A62">
        <f>'шпоргалка-1'!A62</f>
        <v>0</v>
      </c>
      <c r="B62" t="s">
        <v>172</v>
      </c>
      <c r="C62" s="59">
        <f>'шпоргалка-1'!C62</f>
        <v>0</v>
      </c>
      <c r="D62" s="61">
        <f>'шпоргалка-1'!D62</f>
        <v>0</v>
      </c>
      <c r="E62">
        <f>'шпоргалка-1'!E62</f>
        <v>0</v>
      </c>
      <c r="G62">
        <f>'шпоргалка-2'!A62</f>
        <v>5</v>
      </c>
      <c r="H62" t="str">
        <f>'шпоргалка-2'!B62</f>
        <v>резерв</v>
      </c>
      <c r="I62" s="59" t="str">
        <f>'шпоргалка-2'!C62</f>
        <v/>
      </c>
      <c r="J62" s="61" t="str">
        <f>'шпоргалка-2'!D62</f>
        <v/>
      </c>
      <c r="K62" t="str">
        <f>'шпоргалка-2'!E62</f>
        <v/>
      </c>
      <c r="M62">
        <f>'шпоргалка-3'!A62</f>
        <v>5</v>
      </c>
      <c r="N62" t="str">
        <f>'шпоргалка-3'!B62</f>
        <v>резерв</v>
      </c>
      <c r="O62" s="59" t="str">
        <f>'шпоргалка-3'!C62</f>
        <v/>
      </c>
      <c r="P62" s="61" t="str">
        <f>'шпоргалка-3'!D62</f>
        <v/>
      </c>
      <c r="Q62" t="str">
        <f>'шпоргалка-3'!E62</f>
        <v/>
      </c>
    </row>
    <row r="63" spans="1:17" x14ac:dyDescent="0.25">
      <c r="A63">
        <v>1</v>
      </c>
      <c r="B63" t="str">
        <f>IF('SV777-2 (SV004)'!B142&lt;1,"резерв",'SV777-2 (SV004)'!B142)</f>
        <v>резерв</v>
      </c>
      <c r="C63" s="59" t="str">
        <f>'SV777-2 (SV004)'!B143</f>
        <v/>
      </c>
      <c r="D63" s="60">
        <f>IF(B31="резерв","",'SV777-2 (SV004)'!D143)</f>
        <v>0</v>
      </c>
      <c r="E63" t="str">
        <f>IF('SV777-2 (SV004)'!D142&lt;1,"","ШЛ."&amp;'SV777-2 (SV004)'!D142)</f>
        <v/>
      </c>
      <c r="G63">
        <f>'шпоргалка-2'!A63</f>
        <v>6</v>
      </c>
      <c r="H63" t="str">
        <f>'шпоргалка-2'!B63</f>
        <v>резерв</v>
      </c>
      <c r="I63" s="59" t="str">
        <f>'шпоргалка-2'!C63</f>
        <v/>
      </c>
      <c r="J63" s="61" t="str">
        <f>'шпоргалка-2'!D63</f>
        <v/>
      </c>
      <c r="K63" t="str">
        <f>'шпоргалка-2'!E63</f>
        <v/>
      </c>
      <c r="M63">
        <f>'шпоргалка-3'!A63</f>
        <v>6</v>
      </c>
      <c r="N63" t="str">
        <f>'шпоргалка-3'!B63</f>
        <v>резерв</v>
      </c>
      <c r="O63" s="59" t="str">
        <f>'шпоргалка-3'!C63</f>
        <v/>
      </c>
      <c r="P63" s="61" t="str">
        <f>'шпоргалка-3'!D63</f>
        <v/>
      </c>
      <c r="Q63" t="str">
        <f>'шпоргалка-3'!E63</f>
        <v/>
      </c>
    </row>
    <row r="64" spans="1:17" x14ac:dyDescent="0.25">
      <c r="A64">
        <v>2</v>
      </c>
      <c r="B64" t="str">
        <f>IF('SV777-2 (SV004)'!F142&lt;1,"резерв",'SV777-2 (SV004)'!F142)</f>
        <v>резерв</v>
      </c>
      <c r="C64" s="59" t="str">
        <f>'SV777-2 (SV004)'!F143</f>
        <v/>
      </c>
      <c r="D64" s="60">
        <f>IF(B32="резерв","",'SV777-2 (SV004)'!H143)</f>
        <v>0</v>
      </c>
      <c r="E64" t="str">
        <f>IF('SV777-2 (SV004)'!H142&lt;1,"","ШЛ."&amp;'SV777-2 (SV004)'!H142)</f>
        <v/>
      </c>
      <c r="G64">
        <f>'шпоргалка-2'!A64</f>
        <v>7</v>
      </c>
      <c r="H64" t="str">
        <f>'шпоргалка-2'!B64</f>
        <v>резерв</v>
      </c>
      <c r="I64" s="59" t="str">
        <f>'шпоргалка-2'!C64</f>
        <v/>
      </c>
      <c r="J64" s="61" t="str">
        <f>'шпоргалка-2'!D64</f>
        <v/>
      </c>
      <c r="K64" t="str">
        <f>'шпоргалка-2'!E64</f>
        <v/>
      </c>
      <c r="M64">
        <f>'шпоргалка-3'!A64</f>
        <v>7</v>
      </c>
      <c r="N64" t="str">
        <f>'шпоргалка-3'!B64</f>
        <v>резерв</v>
      </c>
      <c r="O64" s="59" t="str">
        <f>'шпоргалка-3'!C64</f>
        <v/>
      </c>
      <c r="P64" s="61" t="str">
        <f>'шпоргалка-3'!D64</f>
        <v/>
      </c>
      <c r="Q64" t="str">
        <f>'шпоргалка-3'!E64</f>
        <v/>
      </c>
    </row>
    <row r="65" spans="1:17" x14ac:dyDescent="0.25">
      <c r="A65">
        <v>3</v>
      </c>
      <c r="B65" t="str">
        <f>IF('SV777-2 (SV004)'!J142&lt;1,"резерв",'SV777-2 (SV004)'!J142)</f>
        <v>резерв</v>
      </c>
      <c r="C65" s="59" t="str">
        <f>'SV777-2 (SV004)'!J143</f>
        <v/>
      </c>
      <c r="D65" s="60">
        <f>IF(B33="резерв","",'SV777-2 (SV004)'!L143)</f>
        <v>0</v>
      </c>
      <c r="E65" t="str">
        <f>IF('SV777-2 (SV004)'!L142&lt;1,"","ШЛ."&amp;'SV777-2 (SV004)'!L142)</f>
        <v/>
      </c>
      <c r="G65">
        <f>'шпоргалка-2'!A65</f>
        <v>8</v>
      </c>
      <c r="H65" t="str">
        <f>'шпоргалка-2'!B65</f>
        <v>резерв</v>
      </c>
      <c r="I65" s="59" t="str">
        <f>'шпоргалка-2'!C65</f>
        <v/>
      </c>
      <c r="J65" s="61" t="str">
        <f>'шпоргалка-2'!D65</f>
        <v/>
      </c>
      <c r="K65" t="str">
        <f>'шпоргалка-2'!E65</f>
        <v/>
      </c>
      <c r="M65">
        <f>'шпоргалка-3'!A65</f>
        <v>8</v>
      </c>
      <c r="N65" t="str">
        <f>'шпоргалка-3'!B65</f>
        <v>резерв</v>
      </c>
      <c r="O65" s="59" t="str">
        <f>'шпоргалка-3'!C65</f>
        <v/>
      </c>
      <c r="P65" s="61" t="str">
        <f>'шпоргалка-3'!D65</f>
        <v/>
      </c>
      <c r="Q65" t="str">
        <f>'шпоргалка-3'!E65</f>
        <v/>
      </c>
    </row>
    <row r="66" spans="1:17" x14ac:dyDescent="0.25">
      <c r="A66">
        <v>4</v>
      </c>
      <c r="B66" t="str">
        <f>IF('SV777-2 (SV004)'!N142&lt;1,"резерв",'SV777-2 (SV004)'!N142)</f>
        <v>резерв</v>
      </c>
      <c r="C66" s="59" t="str">
        <f>'SV777-2 (SV004)'!N143</f>
        <v/>
      </c>
      <c r="D66" s="60">
        <f>IF(B34="резерв","",'SV777-2 (SV004)'!P143)</f>
        <v>0</v>
      </c>
      <c r="E66" t="str">
        <f>IF('SV777-2 (SV004)'!P142&lt;1,"","ШЛ."&amp;'SV777-2 (SV004)'!P142)</f>
        <v/>
      </c>
      <c r="H66" t="str">
        <f>'шпоргалка-2'!B66</f>
        <v>SV004 - 8</v>
      </c>
      <c r="N66" t="str">
        <f>'шпоргалка-3'!B66</f>
        <v>SV004  - 8</v>
      </c>
    </row>
    <row r="67" spans="1:17" x14ac:dyDescent="0.25">
      <c r="A67">
        <v>5</v>
      </c>
      <c r="B67" t="str">
        <f>IF('SV777-2 (SV004)'!B162&lt;1,"резерв",'SV777-2 (SV004)'!B162)</f>
        <v>резерв</v>
      </c>
      <c r="C67" s="59" t="str">
        <f>'SV777-2 (SV004)'!B163</f>
        <v/>
      </c>
      <c r="D67" s="60">
        <f>IF(B35="резерв","",'SV777-2 (SV004)'!D163)</f>
        <v>0</v>
      </c>
      <c r="E67" t="str">
        <f>IF('SV777-2 (SV004)'!D162&lt;1,"","ШЛ."&amp;'SV777-2 (SV004)'!D162)</f>
        <v/>
      </c>
      <c r="G67">
        <f>'шпоргалка-2'!A67</f>
        <v>1</v>
      </c>
      <c r="H67" t="str">
        <f>'шпоргалка-2'!B67</f>
        <v>резерв</v>
      </c>
      <c r="I67" s="59" t="str">
        <f>'шпоргалка-2'!C67</f>
        <v/>
      </c>
      <c r="J67" s="61" t="str">
        <f>'шпоргалка-2'!D67</f>
        <v/>
      </c>
      <c r="K67" t="str">
        <f>'шпоргалка-2'!E67</f>
        <v/>
      </c>
      <c r="M67">
        <f>'шпоргалка-3'!A67</f>
        <v>1</v>
      </c>
      <c r="N67" t="str">
        <f>'шпоргалка-3'!B67</f>
        <v>резерв</v>
      </c>
      <c r="O67" s="59" t="str">
        <f>'шпоргалка-3'!C67</f>
        <v/>
      </c>
      <c r="P67" s="61" t="str">
        <f>'шпоргалка-3'!D67</f>
        <v/>
      </c>
      <c r="Q67" t="str">
        <f>'шпоргалка-3'!E67</f>
        <v/>
      </c>
    </row>
    <row r="68" spans="1:17" x14ac:dyDescent="0.25">
      <c r="A68">
        <v>6</v>
      </c>
      <c r="B68" t="str">
        <f>IF('SV777-2 (SV004)'!F162&lt;1,"резерв",'SV777-2 (SV004)'!F162)</f>
        <v>резерв</v>
      </c>
      <c r="C68" s="59" t="str">
        <f>'SV777-2 (SV004)'!F163</f>
        <v/>
      </c>
      <c r="D68" s="60" t="str">
        <f>IF(B36="резерв","",'SV777-2 (SV004)'!H163)</f>
        <v/>
      </c>
      <c r="E68" t="str">
        <f>IF('SV777-2 (SV004)'!H162&lt;1,"","ШЛ."&amp;'SV777-2 (SV004)'!H162)</f>
        <v/>
      </c>
      <c r="G68">
        <f>'шпоргалка-2'!A68</f>
        <v>2</v>
      </c>
      <c r="H68" t="str">
        <f>'шпоргалка-2'!B68</f>
        <v>резерв</v>
      </c>
      <c r="I68" s="59" t="str">
        <f>'шпоргалка-2'!C68</f>
        <v/>
      </c>
      <c r="J68" s="61" t="str">
        <f>'шпоргалка-2'!D68</f>
        <v/>
      </c>
      <c r="K68" t="str">
        <f>'шпоргалка-2'!E68</f>
        <v/>
      </c>
      <c r="M68">
        <f>'шпоргалка-3'!A68</f>
        <v>2</v>
      </c>
      <c r="N68" t="str">
        <f>'шпоргалка-3'!B68</f>
        <v>резерв</v>
      </c>
      <c r="O68" s="59" t="str">
        <f>'шпоргалка-3'!C68</f>
        <v/>
      </c>
      <c r="P68" s="61" t="str">
        <f>'шпоргалка-3'!D68</f>
        <v/>
      </c>
      <c r="Q68" t="str">
        <f>'шпоргалка-3'!E68</f>
        <v/>
      </c>
    </row>
    <row r="69" spans="1:17" x14ac:dyDescent="0.25">
      <c r="A69">
        <v>7</v>
      </c>
      <c r="B69" t="str">
        <f>IF('SV777-2 (SV004)'!J162&lt;1,"резерв",'SV777-2 (SV004)'!J162)</f>
        <v>резерв</v>
      </c>
      <c r="C69" s="59" t="str">
        <f>'SV777-2 (SV004)'!J163</f>
        <v/>
      </c>
      <c r="D69" s="60" t="str">
        <f>IF(B37="резерв","",'SV777-2 (SV004)'!L163)</f>
        <v/>
      </c>
      <c r="E69" t="str">
        <f>IF('SV777-2 (SV004)'!L162&lt;1,"","ШЛ."&amp;'SV777-2 (SV004)'!L162)</f>
        <v/>
      </c>
      <c r="G69">
        <f>'шпоргалка-2'!A69</f>
        <v>3</v>
      </c>
      <c r="H69" t="str">
        <f>'шпоргалка-2'!B69</f>
        <v>резерв</v>
      </c>
      <c r="I69" s="59" t="str">
        <f>'шпоргалка-2'!C69</f>
        <v/>
      </c>
      <c r="J69" s="61" t="str">
        <f>'шпоргалка-2'!D69</f>
        <v/>
      </c>
      <c r="K69" t="str">
        <f>'шпоргалка-2'!E69</f>
        <v/>
      </c>
      <c r="M69">
        <f>'шпоргалка-3'!A69</f>
        <v>3</v>
      </c>
      <c r="N69" t="str">
        <f>'шпоргалка-3'!B69</f>
        <v>резерв</v>
      </c>
      <c r="O69" s="59" t="str">
        <f>'шпоргалка-3'!C69</f>
        <v/>
      </c>
      <c r="P69" s="61" t="str">
        <f>'шпоргалка-3'!D69</f>
        <v/>
      </c>
      <c r="Q69" t="str">
        <f>'шпоргалка-3'!E69</f>
        <v/>
      </c>
    </row>
    <row r="70" spans="1:17" x14ac:dyDescent="0.25">
      <c r="A70">
        <v>8</v>
      </c>
      <c r="B70" t="str">
        <f>IF('SV777-2 (SV004)'!N162&lt;1,"резерв",'SV777-2 (SV004)'!N162)</f>
        <v>резерв</v>
      </c>
      <c r="C70" s="59" t="str">
        <f>'SV777-2 (SV004)'!N163</f>
        <v/>
      </c>
      <c r="D70" s="60" t="str">
        <f>IF(B38="резерв","",'SV777-2 (SV004)'!P163)</f>
        <v/>
      </c>
      <c r="E70" t="str">
        <f>IF('SV777-2 (SV004)'!P162&lt;1,"","ШЛ."&amp;'SV777-2 (SV004)'!P162)</f>
        <v/>
      </c>
      <c r="G70">
        <f>'шпоргалка-2'!A70</f>
        <v>4</v>
      </c>
      <c r="H70" t="str">
        <f>'шпоргалка-2'!B70</f>
        <v>резерв</v>
      </c>
      <c r="I70" s="59" t="str">
        <f>'шпоргалка-2'!C70</f>
        <v/>
      </c>
      <c r="J70" s="61" t="str">
        <f>'шпоргалка-2'!D70</f>
        <v/>
      </c>
      <c r="K70" t="str">
        <f>'шпоргалка-2'!E70</f>
        <v/>
      </c>
      <c r="M70">
        <f>'шпоргалка-3'!A70</f>
        <v>4</v>
      </c>
      <c r="N70" t="str">
        <f>'шпоргалка-3'!B70</f>
        <v>резерв</v>
      </c>
      <c r="O70" s="59" t="str">
        <f>'шпоргалка-3'!C70</f>
        <v/>
      </c>
      <c r="P70" s="61" t="str">
        <f>'шпоргалка-3'!D70</f>
        <v/>
      </c>
      <c r="Q70" t="str">
        <f>'шпоргалка-3'!E70</f>
        <v/>
      </c>
    </row>
    <row r="71" spans="1:17" x14ac:dyDescent="0.25">
      <c r="A71">
        <f>'шпоргалка-1'!A71</f>
        <v>0</v>
      </c>
      <c r="B71" t="s">
        <v>173</v>
      </c>
      <c r="C71" s="59">
        <f>'шпоргалка-1'!C71</f>
        <v>0</v>
      </c>
      <c r="D71" s="61">
        <f>'шпоргалка-1'!D71</f>
        <v>0</v>
      </c>
      <c r="E71">
        <f>'шпоргалка-1'!E71</f>
        <v>0</v>
      </c>
      <c r="G71">
        <f>'шпоргалка-2'!A71</f>
        <v>5</v>
      </c>
      <c r="H71" t="str">
        <f>'шпоргалка-2'!B71</f>
        <v>резерв</v>
      </c>
      <c r="I71" s="59" t="str">
        <f>'шпоргалка-2'!C71</f>
        <v/>
      </c>
      <c r="J71" s="61" t="str">
        <f>'шпоргалка-2'!D71</f>
        <v/>
      </c>
      <c r="K71" t="str">
        <f>'шпоргалка-2'!E71</f>
        <v/>
      </c>
      <c r="M71">
        <f>'шпоргалка-3'!A71</f>
        <v>5</v>
      </c>
      <c r="N71" t="str">
        <f>'шпоргалка-3'!B71</f>
        <v>резерв</v>
      </c>
      <c r="O71" s="59" t="str">
        <f>'шпоргалка-3'!C71</f>
        <v/>
      </c>
      <c r="P71" s="61" t="str">
        <f>'шпоргалка-3'!D71</f>
        <v/>
      </c>
      <c r="Q71" t="str">
        <f>'шпоргалка-3'!E71</f>
        <v/>
      </c>
    </row>
    <row r="72" spans="1:17" x14ac:dyDescent="0.25">
      <c r="A72">
        <v>1</v>
      </c>
      <c r="B72" t="str">
        <f>IF('SV777-2 (SV004)'!B184&lt;1,"резерв",'SV777-2 (SV004)'!B184)</f>
        <v>резерв</v>
      </c>
      <c r="C72" s="59" t="str">
        <f>'SV777-2 (SV004)'!B185</f>
        <v/>
      </c>
      <c r="D72" s="60" t="str">
        <f>IF(B40="резерв","",'SV777-2 (SV004)'!D185)</f>
        <v/>
      </c>
      <c r="E72" t="str">
        <f>IF('SV777-2 (SV004)'!D184&lt;1,"","ШЛ."&amp;'SV777-2 (SV004)'!D184)</f>
        <v/>
      </c>
      <c r="G72">
        <f>'шпоргалка-2'!A72</f>
        <v>6</v>
      </c>
      <c r="H72" t="str">
        <f>'шпоргалка-2'!B72</f>
        <v>резерв</v>
      </c>
      <c r="I72" s="59" t="str">
        <f>'шпоргалка-2'!C72</f>
        <v/>
      </c>
      <c r="J72" s="61" t="str">
        <f>'шпоргалка-2'!D72</f>
        <v/>
      </c>
      <c r="K72" t="str">
        <f>'шпоргалка-2'!E72</f>
        <v/>
      </c>
      <c r="M72">
        <f>'шпоргалка-3'!A72</f>
        <v>6</v>
      </c>
      <c r="N72" t="str">
        <f>'шпоргалка-3'!B72</f>
        <v>резерв</v>
      </c>
      <c r="O72" s="59" t="str">
        <f>'шпоргалка-3'!C72</f>
        <v/>
      </c>
      <c r="P72" s="61" t="str">
        <f>'шпоргалка-3'!D72</f>
        <v/>
      </c>
      <c r="Q72" t="str">
        <f>'шпоргалка-3'!E72</f>
        <v/>
      </c>
    </row>
    <row r="73" spans="1:17" x14ac:dyDescent="0.25">
      <c r="A73">
        <v>2</v>
      </c>
      <c r="B73" t="str">
        <f>IF('SV777-2 (SV004)'!F184&lt;1,"резерв",'SV777-2 (SV004)'!F184)</f>
        <v>резерв</v>
      </c>
      <c r="C73" s="59" t="str">
        <f>'SV777-2 (SV004)'!F185</f>
        <v/>
      </c>
      <c r="D73" s="60" t="str">
        <f>IF(B41="резерв","",'SV777-2 (SV004)'!H185)</f>
        <v/>
      </c>
      <c r="E73" t="str">
        <f>IF('SV777-2 (SV004)'!H184&lt;1,"","ШЛ."&amp;'SV777-2 (SV004)'!H184)</f>
        <v/>
      </c>
      <c r="G73">
        <f>'шпоргалка-2'!A73</f>
        <v>7</v>
      </c>
      <c r="H73" t="str">
        <f>'шпоргалка-2'!B73</f>
        <v>резерв</v>
      </c>
      <c r="I73" s="59" t="str">
        <f>'шпоргалка-2'!C73</f>
        <v/>
      </c>
      <c r="J73" s="61" t="str">
        <f>'шпоргалка-2'!D73</f>
        <v/>
      </c>
      <c r="K73" t="str">
        <f>'шпоргалка-2'!E73</f>
        <v/>
      </c>
      <c r="M73">
        <f>'шпоргалка-3'!A73</f>
        <v>7</v>
      </c>
      <c r="N73" t="str">
        <f>'шпоргалка-3'!B73</f>
        <v>резерв</v>
      </c>
      <c r="O73" s="59" t="str">
        <f>'шпоргалка-3'!C73</f>
        <v/>
      </c>
      <c r="P73" s="61" t="str">
        <f>'шпоргалка-3'!D73</f>
        <v/>
      </c>
      <c r="Q73" t="str">
        <f>'шпоргалка-3'!E73</f>
        <v/>
      </c>
    </row>
    <row r="74" spans="1:17" x14ac:dyDescent="0.25">
      <c r="A74">
        <v>3</v>
      </c>
      <c r="B74" t="str">
        <f>IF('SV777-2 (SV004)'!J184&lt;1,"резерв",'SV777-2 (SV004)'!J184)</f>
        <v>резерв</v>
      </c>
      <c r="C74" s="59" t="str">
        <f>'SV777-2 (SV004)'!J185</f>
        <v/>
      </c>
      <c r="D74" s="60" t="str">
        <f>IF(B42="резерв","",'SV777-2 (SV004)'!L185)</f>
        <v/>
      </c>
      <c r="E74" t="str">
        <f>IF('SV777-2 (SV004)'!L184&lt;1,"","ШЛ."&amp;'SV777-2 (SV004)'!L184)</f>
        <v/>
      </c>
      <c r="G74">
        <f>'шпоргалка-2'!A74</f>
        <v>8</v>
      </c>
      <c r="H74" t="str">
        <f>'шпоргалка-2'!B74</f>
        <v>резерв</v>
      </c>
      <c r="I74" s="59" t="str">
        <f>'шпоргалка-2'!C74</f>
        <v/>
      </c>
      <c r="J74" s="61" t="str">
        <f>'шпоргалка-2'!D74</f>
        <v/>
      </c>
      <c r="K74" t="str">
        <f>'шпоргалка-2'!E74</f>
        <v/>
      </c>
      <c r="M74">
        <f>'шпоргалка-3'!A74</f>
        <v>8</v>
      </c>
      <c r="N74" t="str">
        <f>'шпоргалка-3'!B74</f>
        <v>резерв</v>
      </c>
      <c r="O74" s="59" t="str">
        <f>'шпоргалка-3'!C74</f>
        <v/>
      </c>
      <c r="P74" s="61" t="str">
        <f>'шпоргалка-3'!D74</f>
        <v/>
      </c>
      <c r="Q74" t="str">
        <f>'шпоргалка-3'!E74</f>
        <v/>
      </c>
    </row>
    <row r="75" spans="1:17" x14ac:dyDescent="0.25">
      <c r="A75">
        <v>4</v>
      </c>
      <c r="B75" t="str">
        <f>IF('SV777-2 (SV004)'!N184&lt;1,"резерв",'SV777-2 (SV004)'!N184)</f>
        <v>резерв</v>
      </c>
      <c r="C75" s="59" t="str">
        <f>'SV777-2 (SV004)'!N185</f>
        <v/>
      </c>
      <c r="D75" s="60" t="str">
        <f>IF(B43="резерв","",'SV777-2 (SV004)'!P185)</f>
        <v/>
      </c>
      <c r="E75" t="str">
        <f>IF('SV777-2 (SV004)'!P184&lt;1,"","ШЛ."&amp;'SV777-2 (SV004)'!P184)</f>
        <v/>
      </c>
      <c r="H75" t="str">
        <f>'шпоргалка-2'!B75</f>
        <v>SV004 - 9</v>
      </c>
      <c r="N75" t="str">
        <f>'шпоргалка-3'!B75</f>
        <v>SV004 - 9</v>
      </c>
    </row>
    <row r="76" spans="1:17" x14ac:dyDescent="0.25">
      <c r="A76">
        <v>5</v>
      </c>
      <c r="B76" t="str">
        <f>IF('SV777-2 (SV004)'!B204&lt;1,"резерв",'SV777-2 (SV004)'!B204)</f>
        <v>резерв</v>
      </c>
      <c r="C76" s="59" t="str">
        <f>'SV777-2 (SV004)'!B205</f>
        <v/>
      </c>
      <c r="D76" s="60">
        <f>IF(B44="резерв","",'SV777-2 (SV004)'!D205)</f>
        <v>0</v>
      </c>
      <c r="E76" t="str">
        <f>IF('SV777-2 (SV004)'!D204&lt;1,"","ШЛ."&amp;'SV777-2 (SV004)'!D204)</f>
        <v/>
      </c>
      <c r="G76">
        <f>'шпоргалка-2'!A76</f>
        <v>1</v>
      </c>
      <c r="H76" t="str">
        <f>'шпоргалка-2'!B76</f>
        <v>резерв</v>
      </c>
      <c r="I76" s="59" t="str">
        <f>'шпоргалка-2'!C76</f>
        <v/>
      </c>
      <c r="J76" s="61" t="str">
        <f>'шпоргалка-2'!D76</f>
        <v/>
      </c>
      <c r="K76" t="str">
        <f>'шпоргалка-2'!E76</f>
        <v/>
      </c>
      <c r="M76">
        <f>'шпоргалка-3'!A76</f>
        <v>1</v>
      </c>
      <c r="N76" t="str">
        <f>'шпоргалка-3'!B76</f>
        <v>резерв</v>
      </c>
      <c r="O76" s="59" t="str">
        <f>'шпоргалка-3'!C76</f>
        <v/>
      </c>
      <c r="P76" s="61" t="str">
        <f>'шпоргалка-3'!D76</f>
        <v/>
      </c>
      <c r="Q76" t="str">
        <f>'шпоргалка-3'!E76</f>
        <v/>
      </c>
    </row>
    <row r="77" spans="1:17" x14ac:dyDescent="0.25">
      <c r="A77">
        <v>6</v>
      </c>
      <c r="B77" t="str">
        <f>IF('SV777-2 (SV004)'!F204&lt;1,"резерв",'SV777-2 (SV004)'!F204)</f>
        <v>резерв</v>
      </c>
      <c r="C77" s="59" t="str">
        <f>'SV777-2 (SV004)'!F205</f>
        <v/>
      </c>
      <c r="D77" s="60" t="str">
        <f>IF(B45="резерв","",'SV777-2 (SV004)'!H205)</f>
        <v/>
      </c>
      <c r="E77" t="str">
        <f>IF('SV777-2 (SV004)'!H204&lt;1,"","ШЛ."&amp;'SV777-2 (SV004)'!H204)</f>
        <v/>
      </c>
      <c r="G77">
        <f>'шпоргалка-2'!A77</f>
        <v>2</v>
      </c>
      <c r="H77" t="str">
        <f>'шпоргалка-2'!B77</f>
        <v>резерв</v>
      </c>
      <c r="I77" s="59" t="str">
        <f>'шпоргалка-2'!C77</f>
        <v/>
      </c>
      <c r="J77" s="61" t="str">
        <f>'шпоргалка-2'!D77</f>
        <v/>
      </c>
      <c r="K77" t="str">
        <f>'шпоргалка-2'!E77</f>
        <v/>
      </c>
      <c r="M77">
        <f>'шпоргалка-3'!A77</f>
        <v>2</v>
      </c>
      <c r="N77" t="str">
        <f>'шпоргалка-3'!B77</f>
        <v>резерв</v>
      </c>
      <c r="O77" s="59" t="str">
        <f>'шпоргалка-3'!C77</f>
        <v/>
      </c>
      <c r="P77" s="61" t="str">
        <f>'шпоргалка-3'!D77</f>
        <v/>
      </c>
      <c r="Q77" t="str">
        <f>'шпоргалка-3'!E77</f>
        <v/>
      </c>
    </row>
    <row r="78" spans="1:17" x14ac:dyDescent="0.25">
      <c r="A78">
        <v>7</v>
      </c>
      <c r="B78" t="str">
        <f>IF('SV777-2 (SV004)'!J204&lt;1,"резерв",'SV777-2 (SV004)'!J204)</f>
        <v>резерв</v>
      </c>
      <c r="C78" s="59" t="str">
        <f>'SV777-2 (SV004)'!J205</f>
        <v/>
      </c>
      <c r="D78" s="60" t="str">
        <f>IF(B46="резерв","",'SV777-2 (SV004)'!L205)</f>
        <v/>
      </c>
      <c r="E78" t="str">
        <f>IF('SV777-2 (SV004)'!L204&lt;1,"","ШЛ."&amp;'SV777-2 (SV004)'!L204)</f>
        <v/>
      </c>
      <c r="G78">
        <f>'шпоргалка-2'!A78</f>
        <v>3</v>
      </c>
      <c r="H78" t="str">
        <f>'шпоргалка-2'!B78</f>
        <v>резерв</v>
      </c>
      <c r="I78" s="59" t="str">
        <f>'шпоргалка-2'!C78</f>
        <v/>
      </c>
      <c r="J78" s="61" t="str">
        <f>'шпоргалка-2'!D78</f>
        <v/>
      </c>
      <c r="K78" t="str">
        <f>'шпоргалка-2'!E78</f>
        <v/>
      </c>
      <c r="M78">
        <f>'шпоргалка-3'!A78</f>
        <v>3</v>
      </c>
      <c r="N78" t="str">
        <f>'шпоргалка-3'!B78</f>
        <v>резерв</v>
      </c>
      <c r="O78" s="59" t="str">
        <f>'шпоргалка-3'!C78</f>
        <v/>
      </c>
      <c r="P78" s="61" t="str">
        <f>'шпоргалка-3'!D78</f>
        <v/>
      </c>
      <c r="Q78" t="str">
        <f>'шпоргалка-3'!E78</f>
        <v/>
      </c>
    </row>
    <row r="79" spans="1:17" x14ac:dyDescent="0.25">
      <c r="A79">
        <v>8</v>
      </c>
      <c r="B79" t="str">
        <f>IF('SV777-2 (SV004)'!N204&lt;1,"резерв",'SV777-2 (SV004)'!N204)</f>
        <v>резерв</v>
      </c>
      <c r="C79" s="59" t="str">
        <f>'SV777-2 (SV004)'!N205</f>
        <v/>
      </c>
      <c r="D79" s="60" t="str">
        <f>IF(B47="резерв","",'SV777-2 (SV004)'!P205)</f>
        <v/>
      </c>
      <c r="E79" t="str">
        <f>IF('SV777-2 (SV004)'!P204&lt;1,"","ШЛ."&amp;'SV777-2 (SV004)'!P204)</f>
        <v/>
      </c>
      <c r="G79">
        <f>'шпоргалка-2'!A79</f>
        <v>4</v>
      </c>
      <c r="H79" t="str">
        <f>'шпоргалка-2'!B79</f>
        <v>резерв</v>
      </c>
      <c r="I79" s="59" t="str">
        <f>'шпоргалка-2'!C79</f>
        <v/>
      </c>
      <c r="J79" s="61" t="str">
        <f>'шпоргалка-2'!D79</f>
        <v/>
      </c>
      <c r="K79" t="str">
        <f>'шпоргалка-2'!E79</f>
        <v/>
      </c>
      <c r="M79">
        <f>'шпоргалка-3'!A79</f>
        <v>4</v>
      </c>
      <c r="N79" t="str">
        <f>'шпоргалка-3'!B79</f>
        <v>резерв</v>
      </c>
      <c r="O79" s="59" t="str">
        <f>'шпоргалка-3'!C79</f>
        <v/>
      </c>
      <c r="P79" s="61" t="str">
        <f>'шпоргалка-3'!D79</f>
        <v/>
      </c>
      <c r="Q79" t="str">
        <f>'шпоргалка-3'!E79</f>
        <v/>
      </c>
    </row>
    <row r="80" spans="1:17" x14ac:dyDescent="0.25">
      <c r="A80">
        <f>'шпоргалка-1'!A80</f>
        <v>0</v>
      </c>
      <c r="B80" t="s">
        <v>174</v>
      </c>
      <c r="C80" s="59">
        <f>'шпоргалка-1'!C80</f>
        <v>0</v>
      </c>
      <c r="D80" s="61">
        <f>'шпоргалка-1'!D80</f>
        <v>0</v>
      </c>
      <c r="E80">
        <f>'шпоргалка-1'!E80</f>
        <v>0</v>
      </c>
      <c r="G80">
        <f>'шпоргалка-2'!A80</f>
        <v>5</v>
      </c>
      <c r="H80" t="str">
        <f>'шпоргалка-2'!B80</f>
        <v>резерв</v>
      </c>
      <c r="I80" s="59" t="str">
        <f>'шпоргалка-2'!C80</f>
        <v/>
      </c>
      <c r="J80" s="61" t="str">
        <f>'шпоргалка-2'!D80</f>
        <v/>
      </c>
      <c r="K80" t="str">
        <f>'шпоргалка-2'!E80</f>
        <v/>
      </c>
      <c r="M80">
        <f>'шпоргалка-3'!A80</f>
        <v>5</v>
      </c>
      <c r="N80" t="str">
        <f>'шпоргалка-3'!B80</f>
        <v>резерв</v>
      </c>
      <c r="O80" s="59" t="str">
        <f>'шпоргалка-3'!C80</f>
        <v/>
      </c>
      <c r="P80" s="61" t="str">
        <f>'шпоргалка-3'!D80</f>
        <v/>
      </c>
      <c r="Q80" t="str">
        <f>'шпоргалка-3'!E80</f>
        <v/>
      </c>
    </row>
    <row r="81" spans="1:17" x14ac:dyDescent="0.25">
      <c r="A81">
        <v>1</v>
      </c>
      <c r="B81" t="str">
        <f>IF('SV777-2 (SV004)'!B226&lt;1,"резерв",'SV777-2 (SV004)'!B226)</f>
        <v>резерв</v>
      </c>
      <c r="C81" s="59" t="str">
        <f>'SV777-2 (SV004)'!B227</f>
        <v/>
      </c>
      <c r="D81" s="60" t="str">
        <f>IF(B49="резерв","",'SV777-2 (SV004)'!D227)</f>
        <v/>
      </c>
      <c r="E81" t="str">
        <f>IF('SV777-2 (SV004)'!D226&lt;1,"","ШЛ."&amp;'SV777-2 (SV004)'!D226)</f>
        <v/>
      </c>
      <c r="G81">
        <f>'шпоргалка-2'!A81</f>
        <v>6</v>
      </c>
      <c r="H81" t="str">
        <f>'шпоргалка-2'!B81</f>
        <v>резерв</v>
      </c>
      <c r="I81" s="59" t="str">
        <f>'шпоргалка-2'!C81</f>
        <v/>
      </c>
      <c r="J81" s="61" t="str">
        <f>'шпоргалка-2'!D81</f>
        <v/>
      </c>
      <c r="K81" t="str">
        <f>'шпоргалка-2'!E81</f>
        <v/>
      </c>
      <c r="M81">
        <f>'шпоргалка-3'!A81</f>
        <v>6</v>
      </c>
      <c r="N81" t="str">
        <f>'шпоргалка-3'!B81</f>
        <v>резерв</v>
      </c>
      <c r="O81" s="59" t="str">
        <f>'шпоргалка-3'!C81</f>
        <v/>
      </c>
      <c r="P81" s="61" t="str">
        <f>'шпоргалка-3'!D81</f>
        <v/>
      </c>
      <c r="Q81" t="str">
        <f>'шпоргалка-3'!E81</f>
        <v/>
      </c>
    </row>
    <row r="82" spans="1:17" x14ac:dyDescent="0.25">
      <c r="A82">
        <v>2</v>
      </c>
      <c r="B82" t="str">
        <f>IF('SV777-2 (SV004)'!F226&lt;1,"резерв",'SV777-2 (SV004)'!F226)</f>
        <v>резерв</v>
      </c>
      <c r="C82" s="59" t="str">
        <f>'SV777-2 (SV004)'!F227</f>
        <v/>
      </c>
      <c r="D82" s="60" t="str">
        <f>IF(B50="резерв","",'SV777-2 (SV004)'!H227)</f>
        <v/>
      </c>
      <c r="E82" t="str">
        <f>IF('SV777-2 (SV004)'!H226&lt;1,"","ШЛ."&amp;'SV777-2 (SV004)'!H226)</f>
        <v/>
      </c>
      <c r="G82">
        <f>'шпоргалка-2'!A82</f>
        <v>7</v>
      </c>
      <c r="H82" t="str">
        <f>'шпоргалка-2'!B82</f>
        <v>резерв</v>
      </c>
      <c r="I82" s="59" t="str">
        <f>'шпоргалка-2'!C82</f>
        <v/>
      </c>
      <c r="J82" s="61" t="str">
        <f>'шпоргалка-2'!D82</f>
        <v/>
      </c>
      <c r="K82" t="str">
        <f>'шпоргалка-2'!E82</f>
        <v/>
      </c>
      <c r="M82">
        <f>'шпоргалка-3'!A82</f>
        <v>7</v>
      </c>
      <c r="N82" t="str">
        <f>'шпоргалка-3'!B82</f>
        <v>резерв</v>
      </c>
      <c r="O82" s="59" t="str">
        <f>'шпоргалка-3'!C82</f>
        <v/>
      </c>
      <c r="P82" s="61" t="str">
        <f>'шпоргалка-3'!D82</f>
        <v/>
      </c>
      <c r="Q82" t="str">
        <f>'шпоргалка-3'!E82</f>
        <v/>
      </c>
    </row>
    <row r="83" spans="1:17" x14ac:dyDescent="0.25">
      <c r="A83">
        <v>3</v>
      </c>
      <c r="B83" t="str">
        <f>IF('SV777-2 (SV004)'!J226&lt;1,"резерв",'SV777-2 (SV004)'!J226)</f>
        <v>резерв</v>
      </c>
      <c r="C83" s="59" t="str">
        <f>'SV777-2 (SV004)'!J227</f>
        <v/>
      </c>
      <c r="D83" s="60" t="str">
        <f>IF(B51="резерв","",'SV777-2 (SV004)'!L227)</f>
        <v/>
      </c>
      <c r="E83" t="str">
        <f>IF('SV777-2 (SV004)'!L226&lt;1,"","ШЛ."&amp;'SV777-2 (SV004)'!L226)</f>
        <v/>
      </c>
      <c r="G83">
        <f>'шпоргалка-2'!A83</f>
        <v>8</v>
      </c>
      <c r="H83" t="str">
        <f>'шпоргалка-2'!B83</f>
        <v>резерв</v>
      </c>
      <c r="I83" s="59" t="str">
        <f>'шпоргалка-2'!C83</f>
        <v/>
      </c>
      <c r="J83" s="61" t="str">
        <f>'шпоргалка-2'!D83</f>
        <v/>
      </c>
      <c r="K83" t="str">
        <f>'шпоргалка-2'!E83</f>
        <v/>
      </c>
      <c r="M83">
        <f>'шпоргалка-3'!A83</f>
        <v>8</v>
      </c>
      <c r="N83" t="str">
        <f>'шпоргалка-3'!B83</f>
        <v>резерв</v>
      </c>
      <c r="O83" s="59" t="str">
        <f>'шпоргалка-3'!C83</f>
        <v/>
      </c>
      <c r="P83" s="61" t="str">
        <f>'шпоргалка-3'!D83</f>
        <v/>
      </c>
      <c r="Q83" t="str">
        <f>'шпоргалка-3'!E83</f>
        <v/>
      </c>
    </row>
    <row r="84" spans="1:17" x14ac:dyDescent="0.25">
      <c r="A84">
        <v>4</v>
      </c>
      <c r="B84" t="str">
        <f>IF('SV777-2 (SV004)'!N226&lt;1,"резерв",'SV777-2 (SV004)'!N226)</f>
        <v>резерв</v>
      </c>
      <c r="C84" s="59" t="str">
        <f>'SV777-2 (SV004)'!N227</f>
        <v/>
      </c>
      <c r="D84" s="60" t="str">
        <f>IF(B52="резерв","",'SV777-2 (SV004)'!P227)</f>
        <v/>
      </c>
      <c r="E84" t="str">
        <f>IF('SV777-2 (SV004)'!P226&lt;1,"","ШЛ."&amp;'SV777-2 (SV004)'!P226)</f>
        <v/>
      </c>
      <c r="H84" t="str">
        <f>'шпоргалка-2'!B84</f>
        <v>SV004 - 10</v>
      </c>
      <c r="N84" t="str">
        <f>'шпоргалка-3'!B84</f>
        <v>SV004 - 10</v>
      </c>
    </row>
    <row r="85" spans="1:17" x14ac:dyDescent="0.25">
      <c r="A85">
        <v>5</v>
      </c>
      <c r="B85" t="str">
        <f>IF('SV777-2 (SV004)'!B246&lt;1,"резерв",'SV777-2 (SV004)'!B246)</f>
        <v>резерв</v>
      </c>
      <c r="C85" s="59" t="str">
        <f>'SV777-2 (SV004)'!B247</f>
        <v/>
      </c>
      <c r="D85" s="60">
        <f>IF(B53="резерв","",'SV777-2 (SV004)'!D247)</f>
        <v>0</v>
      </c>
      <c r="E85" t="str">
        <f>IF('SV777-2 (SV004)'!D246&lt;1,"","ШЛ."&amp;'SV777-2 (SV004)'!D246)</f>
        <v/>
      </c>
      <c r="G85">
        <f>'шпоргалка-2'!A85</f>
        <v>1</v>
      </c>
      <c r="H85" t="str">
        <f>'шпоргалка-2'!B85</f>
        <v>резерв</v>
      </c>
      <c r="I85" s="59" t="str">
        <f>'шпоргалка-2'!C85</f>
        <v/>
      </c>
      <c r="J85" s="61" t="str">
        <f>'шпоргалка-2'!D85</f>
        <v/>
      </c>
      <c r="K85" t="str">
        <f>'шпоргалка-2'!E85</f>
        <v/>
      </c>
      <c r="M85">
        <f>'шпоргалка-3'!A85</f>
        <v>1</v>
      </c>
      <c r="N85" t="str">
        <f>'шпоргалка-3'!B85</f>
        <v>резерв</v>
      </c>
      <c r="O85" s="59" t="str">
        <f>'шпоргалка-3'!C85</f>
        <v/>
      </c>
      <c r="P85" s="61" t="str">
        <f>'шпоргалка-3'!D85</f>
        <v/>
      </c>
      <c r="Q85" t="str">
        <f>'шпоргалка-3'!E85</f>
        <v/>
      </c>
    </row>
    <row r="86" spans="1:17" x14ac:dyDescent="0.25">
      <c r="A86">
        <v>6</v>
      </c>
      <c r="B86" t="str">
        <f>IF('SV777-2 (SV004)'!F246&lt;1,"резерв",'SV777-2 (SV004)'!F246)</f>
        <v>резерв</v>
      </c>
      <c r="C86" s="59" t="str">
        <f>'SV777-2 (SV004)'!F247</f>
        <v/>
      </c>
      <c r="D86" s="60" t="str">
        <f>IF(B54="резерв","",'SV777-2 (SV004)'!H247)</f>
        <v/>
      </c>
      <c r="E86" t="str">
        <f>IF('SV777-2 (SV004)'!H246&lt;1,"","ШЛ."&amp;'SV777-2 (SV004)'!H246)</f>
        <v/>
      </c>
      <c r="G86">
        <f>'шпоргалка-2'!A86</f>
        <v>2</v>
      </c>
      <c r="H86" t="str">
        <f>'шпоргалка-2'!B86</f>
        <v>резерв</v>
      </c>
      <c r="I86" s="59" t="str">
        <f>'шпоргалка-2'!C86</f>
        <v/>
      </c>
      <c r="J86" s="61" t="str">
        <f>'шпоргалка-2'!D86</f>
        <v/>
      </c>
      <c r="K86" t="str">
        <f>'шпоргалка-2'!E86</f>
        <v/>
      </c>
      <c r="M86">
        <f>'шпоргалка-3'!A86</f>
        <v>2</v>
      </c>
      <c r="N86" t="str">
        <f>'шпоргалка-3'!B86</f>
        <v>резерв</v>
      </c>
      <c r="O86" s="59" t="str">
        <f>'шпоргалка-3'!C86</f>
        <v/>
      </c>
      <c r="P86" s="61" t="str">
        <f>'шпоргалка-3'!D86</f>
        <v/>
      </c>
      <c r="Q86" t="str">
        <f>'шпоргалка-3'!E86</f>
        <v/>
      </c>
    </row>
    <row r="87" spans="1:17" x14ac:dyDescent="0.25">
      <c r="A87">
        <v>7</v>
      </c>
      <c r="B87" t="str">
        <f>IF('SV777-2 (SV004)'!J246&lt;1,"резерв",'SV777-2 (SV004)'!J246)</f>
        <v>резерв</v>
      </c>
      <c r="C87" s="59" t="str">
        <f>'SV777-2 (SV004)'!J247</f>
        <v/>
      </c>
      <c r="D87" s="60" t="str">
        <f>IF(B55="резерв","",'SV777-2 (SV004)'!L247)</f>
        <v/>
      </c>
      <c r="E87" t="str">
        <f>IF('SV777-2 (SV004)'!L246&lt;1,"","ШЛ."&amp;'SV777-2 (SV004)'!L246)</f>
        <v/>
      </c>
      <c r="G87">
        <f>'шпоргалка-2'!A87</f>
        <v>3</v>
      </c>
      <c r="H87" t="str">
        <f>'шпоргалка-2'!B87</f>
        <v>резерв</v>
      </c>
      <c r="I87" s="59" t="str">
        <f>'шпоргалка-2'!C87</f>
        <v/>
      </c>
      <c r="J87" s="61" t="str">
        <f>'шпоргалка-2'!D87</f>
        <v/>
      </c>
      <c r="K87" t="str">
        <f>'шпоргалка-2'!E87</f>
        <v/>
      </c>
      <c r="M87">
        <f>'шпоргалка-3'!A87</f>
        <v>3</v>
      </c>
      <c r="N87" t="str">
        <f>'шпоргалка-3'!B87</f>
        <v>резерв</v>
      </c>
      <c r="O87" s="59" t="str">
        <f>'шпоргалка-3'!C87</f>
        <v/>
      </c>
      <c r="P87" s="61" t="str">
        <f>'шпоргалка-3'!D87</f>
        <v/>
      </c>
      <c r="Q87" t="str">
        <f>'шпоргалка-3'!E87</f>
        <v/>
      </c>
    </row>
    <row r="88" spans="1:17" x14ac:dyDescent="0.25">
      <c r="A88">
        <v>8</v>
      </c>
      <c r="B88" t="str">
        <f>IF('SV777-2 (SV004)'!N246&lt;1,"резерв",'SV777-2 (SV004)'!N246)</f>
        <v>резерв</v>
      </c>
      <c r="C88" s="59" t="str">
        <f>'SV777-2 (SV004)'!N247</f>
        <v/>
      </c>
      <c r="D88" s="60" t="str">
        <f>IF(B56="резерв","",'SV777-2 (SV004)'!P247)</f>
        <v/>
      </c>
      <c r="E88" t="str">
        <f>IF('SV777-2 (SV004)'!P246&lt;1,"","ШЛ."&amp;'SV777-2 (SV004)'!P246)</f>
        <v/>
      </c>
      <c r="G88">
        <f>'шпоргалка-2'!A88</f>
        <v>4</v>
      </c>
      <c r="H88" t="str">
        <f>'шпоргалка-2'!B88</f>
        <v>резерв</v>
      </c>
      <c r="I88" s="59" t="str">
        <f>'шпоргалка-2'!C88</f>
        <v/>
      </c>
      <c r="J88" s="61" t="str">
        <f>'шпоргалка-2'!D88</f>
        <v/>
      </c>
      <c r="K88" t="str">
        <f>'шпоргалка-2'!E88</f>
        <v/>
      </c>
      <c r="M88">
        <f>'шпоргалка-3'!A88</f>
        <v>4</v>
      </c>
      <c r="N88" t="str">
        <f>'шпоргалка-3'!B88</f>
        <v>резерв</v>
      </c>
      <c r="O88" s="59" t="str">
        <f>'шпоргалка-3'!C88</f>
        <v/>
      </c>
      <c r="P88" s="61" t="str">
        <f>'шпоргалка-3'!D88</f>
        <v/>
      </c>
      <c r="Q88" t="str">
        <f>'шпоргалка-3'!E88</f>
        <v/>
      </c>
    </row>
    <row r="89" spans="1:17" x14ac:dyDescent="0.25">
      <c r="A89">
        <f>'шпоргалка-1'!A89</f>
        <v>0</v>
      </c>
      <c r="B89" t="s">
        <v>175</v>
      </c>
      <c r="C89" s="59">
        <f>'шпоргалка-1'!C89</f>
        <v>0</v>
      </c>
      <c r="D89" s="61">
        <f>'шпоргалка-1'!D89</f>
        <v>0</v>
      </c>
      <c r="E89">
        <f>'шпоргалка-1'!E89</f>
        <v>0</v>
      </c>
      <c r="G89">
        <f>'шпоргалка-2'!A89</f>
        <v>5</v>
      </c>
      <c r="H89" t="str">
        <f>'шпоргалка-2'!B89</f>
        <v>резерв</v>
      </c>
      <c r="I89" s="59" t="str">
        <f>'шпоргалка-2'!C89</f>
        <v/>
      </c>
      <c r="J89" s="61" t="str">
        <f>'шпоргалка-2'!D89</f>
        <v/>
      </c>
      <c r="K89" t="str">
        <f>'шпоргалка-2'!E89</f>
        <v/>
      </c>
      <c r="M89">
        <f>'шпоргалка-3'!A89</f>
        <v>5</v>
      </c>
      <c r="N89" t="str">
        <f>'шпоргалка-3'!B89</f>
        <v>резерв</v>
      </c>
      <c r="O89" s="59" t="str">
        <f>'шпоргалка-3'!C89</f>
        <v/>
      </c>
      <c r="P89" s="61" t="str">
        <f>'шпоргалка-3'!D89</f>
        <v/>
      </c>
      <c r="Q89" t="str">
        <f>'шпоргалка-3'!E89</f>
        <v/>
      </c>
    </row>
    <row r="90" spans="1:17" x14ac:dyDescent="0.25">
      <c r="A90">
        <v>1</v>
      </c>
      <c r="B90" t="str">
        <f>IF('SV777-2 (SV004)'!B268&lt;1,"резерв",'SV777-2 (SV004)'!B268)</f>
        <v>резерв</v>
      </c>
      <c r="C90" s="59" t="str">
        <f>'SV777-2 (SV004)'!B269</f>
        <v/>
      </c>
      <c r="D90" s="60" t="str">
        <f>IF(B58="резерв","",'SV777-2 (SV004)'!D269)</f>
        <v/>
      </c>
      <c r="E90" t="str">
        <f>IF('SV777-2 (SV004)'!D268&lt;1,"","ШЛ."&amp;'SV777-2 (SV004)'!D268)</f>
        <v/>
      </c>
      <c r="G90">
        <f>'шпоргалка-2'!A90</f>
        <v>6</v>
      </c>
      <c r="H90" t="str">
        <f>'шпоргалка-2'!B90</f>
        <v>резерв</v>
      </c>
      <c r="I90" s="59" t="str">
        <f>'шпоргалка-2'!C90</f>
        <v/>
      </c>
      <c r="J90" s="61" t="str">
        <f>'шпоргалка-2'!D90</f>
        <v/>
      </c>
      <c r="K90" t="str">
        <f>'шпоргалка-2'!E90</f>
        <v/>
      </c>
      <c r="M90">
        <f>'шпоргалка-3'!A90</f>
        <v>6</v>
      </c>
      <c r="N90" t="str">
        <f>'шпоргалка-3'!B90</f>
        <v>резерв</v>
      </c>
      <c r="O90" s="59" t="str">
        <f>'шпоргалка-3'!C90</f>
        <v/>
      </c>
      <c r="P90" s="61" t="str">
        <f>'шпоргалка-3'!D90</f>
        <v/>
      </c>
      <c r="Q90" t="str">
        <f>'шпоргалка-3'!E90</f>
        <v/>
      </c>
    </row>
    <row r="91" spans="1:17" x14ac:dyDescent="0.25">
      <c r="A91">
        <v>2</v>
      </c>
      <c r="B91" t="str">
        <f>IF('SV777-2 (SV004)'!F268&lt;1,"резерв",'SV777-2 (SV004)'!F268)</f>
        <v>резерв</v>
      </c>
      <c r="C91" s="59" t="str">
        <f>'SV777-2 (SV004)'!F269</f>
        <v/>
      </c>
      <c r="D91" s="60" t="str">
        <f>IF(B59="резерв","",'SV777-2 (SV004)'!H269)</f>
        <v/>
      </c>
      <c r="E91" t="str">
        <f>IF('SV777-2 (SV004)'!H268&lt;1,"","ШЛ."&amp;'SV777-2 (SV004)'!H268)</f>
        <v/>
      </c>
      <c r="G91">
        <f>'шпоргалка-2'!A91</f>
        <v>7</v>
      </c>
      <c r="H91" t="str">
        <f>'шпоргалка-2'!B91</f>
        <v>резерв</v>
      </c>
      <c r="I91" s="59" t="str">
        <f>'шпоргалка-2'!C91</f>
        <v/>
      </c>
      <c r="J91" s="61" t="str">
        <f>'шпоргалка-2'!D91</f>
        <v/>
      </c>
      <c r="K91" t="str">
        <f>'шпоргалка-2'!E91</f>
        <v/>
      </c>
      <c r="M91">
        <f>'шпоргалка-3'!A91</f>
        <v>7</v>
      </c>
      <c r="N91" t="str">
        <f>'шпоргалка-3'!B91</f>
        <v>резерв</v>
      </c>
      <c r="O91" s="59" t="str">
        <f>'шпоргалка-3'!C91</f>
        <v/>
      </c>
      <c r="P91" s="61" t="str">
        <f>'шпоргалка-3'!D91</f>
        <v/>
      </c>
      <c r="Q91" t="str">
        <f>'шпоргалка-3'!E91</f>
        <v/>
      </c>
    </row>
    <row r="92" spans="1:17" x14ac:dyDescent="0.25">
      <c r="A92">
        <v>3</v>
      </c>
      <c r="B92" t="str">
        <f>IF('SV777-2 (SV004)'!J268&lt;1,"резерв",'SV777-2 (SV004)'!J268)</f>
        <v>резерв</v>
      </c>
      <c r="C92" s="59" t="str">
        <f>'SV777-2 (SV004)'!J269</f>
        <v/>
      </c>
      <c r="D92" s="60" t="str">
        <f>IF(B60="резерв","",'SV777-2 (SV004)'!L269)</f>
        <v/>
      </c>
      <c r="E92" t="str">
        <f>IF('SV777-2 (SV004)'!L268&lt;1,"","ШЛ."&amp;'SV777-2 (SV004)'!L268)</f>
        <v/>
      </c>
      <c r="G92">
        <f>'шпоргалка-2'!A92</f>
        <v>8</v>
      </c>
      <c r="H92" t="str">
        <f>'шпоргалка-2'!B92</f>
        <v>резерв</v>
      </c>
      <c r="I92" s="59" t="str">
        <f>'шпоргалка-2'!C92</f>
        <v/>
      </c>
      <c r="J92" s="61" t="str">
        <f>'шпоргалка-2'!D92</f>
        <v/>
      </c>
      <c r="K92" t="str">
        <f>'шпоргалка-2'!E92</f>
        <v/>
      </c>
      <c r="M92">
        <f>'шпоргалка-3'!A92</f>
        <v>8</v>
      </c>
      <c r="N92" t="str">
        <f>'шпоргалка-3'!B92</f>
        <v>резерв</v>
      </c>
      <c r="O92" s="59" t="str">
        <f>'шпоргалка-3'!C92</f>
        <v/>
      </c>
      <c r="P92" s="61" t="str">
        <f>'шпоргалка-3'!D92</f>
        <v/>
      </c>
      <c r="Q92" t="str">
        <f>'шпоргалка-3'!E92</f>
        <v/>
      </c>
    </row>
    <row r="93" spans="1:17" x14ac:dyDescent="0.25">
      <c r="A93">
        <v>4</v>
      </c>
      <c r="B93" t="str">
        <f>IF('SV777-2 (SV004)'!N268&lt;1,"резерв",'SV777-2 (SV004)'!N268)</f>
        <v>резерв</v>
      </c>
      <c r="C93" s="59" t="str">
        <f>'SV777-2 (SV004)'!N269</f>
        <v/>
      </c>
      <c r="D93" s="60" t="str">
        <f>IF(B61="резерв","",'SV777-2 (SV004)'!P269)</f>
        <v/>
      </c>
      <c r="E93" t="str">
        <f>IF('SV777-2 (SV004)'!P268&lt;1,"","ШЛ."&amp;'SV777-2 (SV004)'!P268)</f>
        <v/>
      </c>
      <c r="H93" t="str">
        <f>'шпоргалка-2'!B93</f>
        <v>SV004 - 11</v>
      </c>
      <c r="N93" t="str">
        <f>'шпоргалка-3'!B93</f>
        <v>SV004 - 11</v>
      </c>
    </row>
    <row r="94" spans="1:17" x14ac:dyDescent="0.25">
      <c r="A94">
        <v>5</v>
      </c>
      <c r="B94" t="str">
        <f>IF('SV777-2 (SV004)'!B288&lt;1,"резерв",'SV777-2 (SV004)'!B288)</f>
        <v>резерв</v>
      </c>
      <c r="C94" s="59" t="str">
        <f>'SV777-2 (SV004)'!B289</f>
        <v/>
      </c>
      <c r="D94" s="60">
        <f>IF(B62="резерв","",'SV777-2 (SV004)'!D289)</f>
        <v>0</v>
      </c>
      <c r="E94" t="str">
        <f>IF('SV777-2 (SV004)'!D288&lt;1,"","ШЛ."&amp;'SV777-2 (SV004)'!D288)</f>
        <v/>
      </c>
      <c r="G94">
        <f>'шпоргалка-2'!A94</f>
        <v>1</v>
      </c>
      <c r="H94" t="str">
        <f>'шпоргалка-2'!B94</f>
        <v>резерв</v>
      </c>
      <c r="I94" s="59" t="str">
        <f>'шпоргалка-2'!C94</f>
        <v/>
      </c>
      <c r="J94" s="61" t="str">
        <f>'шпоргалка-2'!D94</f>
        <v/>
      </c>
      <c r="K94" t="str">
        <f>'шпоргалка-2'!E94</f>
        <v/>
      </c>
      <c r="M94">
        <f>'шпоргалка-3'!A94</f>
        <v>1</v>
      </c>
      <c r="N94" t="str">
        <f>'шпоргалка-3'!B94</f>
        <v>резерв</v>
      </c>
      <c r="O94" s="59" t="str">
        <f>'шпоргалка-3'!C94</f>
        <v/>
      </c>
      <c r="P94" s="61" t="str">
        <f>'шпоргалка-3'!D94</f>
        <v/>
      </c>
      <c r="Q94" t="str">
        <f>'шпоргалка-3'!E94</f>
        <v/>
      </c>
    </row>
    <row r="95" spans="1:17" x14ac:dyDescent="0.25">
      <c r="A95">
        <v>6</v>
      </c>
      <c r="B95" t="str">
        <f>IF('SV777-2 (SV004)'!F288&lt;1,"резерв",'SV777-2 (SV004)'!F288)</f>
        <v>резерв</v>
      </c>
      <c r="C95" s="59" t="str">
        <f>'SV777-2 (SV004)'!F289</f>
        <v/>
      </c>
      <c r="D95" s="60" t="str">
        <f>IF(B63="резерв","",'SV777-2 (SV004)'!H289)</f>
        <v/>
      </c>
      <c r="E95" t="str">
        <f>IF('SV777-2 (SV004)'!H288&lt;1,"","ШЛ."&amp;'SV777-2 (SV004)'!H288)</f>
        <v/>
      </c>
      <c r="G95">
        <f>'шпоргалка-2'!A95</f>
        <v>2</v>
      </c>
      <c r="H95" t="str">
        <f>'шпоргалка-2'!B95</f>
        <v>резерв</v>
      </c>
      <c r="I95" s="59" t="str">
        <f>'шпоргалка-2'!C95</f>
        <v/>
      </c>
      <c r="J95" s="61" t="str">
        <f>'шпоргалка-2'!D95</f>
        <v/>
      </c>
      <c r="K95" t="str">
        <f>'шпоргалка-2'!E95</f>
        <v/>
      </c>
      <c r="M95">
        <f>'шпоргалка-3'!A95</f>
        <v>2</v>
      </c>
      <c r="N95" t="str">
        <f>'шпоргалка-3'!B95</f>
        <v>резерв</v>
      </c>
      <c r="O95" s="59" t="str">
        <f>'шпоргалка-3'!C95</f>
        <v/>
      </c>
      <c r="P95" s="61" t="str">
        <f>'шпоргалка-3'!D95</f>
        <v/>
      </c>
      <c r="Q95" t="str">
        <f>'шпоргалка-3'!E95</f>
        <v/>
      </c>
    </row>
    <row r="96" spans="1:17" x14ac:dyDescent="0.25">
      <c r="A96">
        <v>7</v>
      </c>
      <c r="B96" t="str">
        <f>IF('SV777-2 (SV004)'!J288&lt;1,"резерв",'SV777-2 (SV004)'!J288)</f>
        <v>резерв</v>
      </c>
      <c r="C96" s="59" t="str">
        <f>'SV777-2 (SV004)'!J289</f>
        <v/>
      </c>
      <c r="D96" s="60" t="str">
        <f>IF(B64="резерв","",'SV777-2 (SV004)'!L289)</f>
        <v/>
      </c>
      <c r="E96" t="str">
        <f>IF('SV777-2 (SV004)'!L288&lt;1,"","ШЛ."&amp;'SV777-2 (SV004)'!L288)</f>
        <v/>
      </c>
      <c r="G96">
        <f>'шпоргалка-2'!A96</f>
        <v>3</v>
      </c>
      <c r="H96" t="str">
        <f>'шпоргалка-2'!B96</f>
        <v>резерв</v>
      </c>
      <c r="I96" s="59" t="str">
        <f>'шпоргалка-2'!C96</f>
        <v/>
      </c>
      <c r="J96" s="61" t="str">
        <f>'шпоргалка-2'!D96</f>
        <v/>
      </c>
      <c r="K96" t="str">
        <f>'шпоргалка-2'!E96</f>
        <v/>
      </c>
      <c r="M96">
        <f>'шпоргалка-3'!A96</f>
        <v>3</v>
      </c>
      <c r="N96" t="str">
        <f>'шпоргалка-3'!B96</f>
        <v>резерв</v>
      </c>
      <c r="O96" s="59" t="str">
        <f>'шпоргалка-3'!C96</f>
        <v/>
      </c>
      <c r="P96" s="61" t="str">
        <f>'шпоргалка-3'!D96</f>
        <v/>
      </c>
      <c r="Q96" t="str">
        <f>'шпоргалка-3'!E96</f>
        <v/>
      </c>
    </row>
    <row r="97" spans="1:17" x14ac:dyDescent="0.25">
      <c r="A97">
        <v>8</v>
      </c>
      <c r="B97" t="str">
        <f>IF('SV777-2 (SV004)'!N288&lt;1,"резерв",'SV777-2 (SV004)'!N288)</f>
        <v>резерв</v>
      </c>
      <c r="C97" s="59" t="str">
        <f>'SV777-2 (SV004)'!N289</f>
        <v/>
      </c>
      <c r="D97" s="60" t="str">
        <f>IF(B65="резерв","",'SV777-2 (SV004)'!P289)</f>
        <v/>
      </c>
      <c r="E97" t="str">
        <f>IF('SV777-2 (SV004)'!P288&lt;1,"","ШЛ."&amp;'SV777-2 (SV004)'!P288)</f>
        <v/>
      </c>
      <c r="G97">
        <f>'шпоргалка-2'!A97</f>
        <v>4</v>
      </c>
      <c r="H97" t="str">
        <f>'шпоргалка-2'!B97</f>
        <v>резерв</v>
      </c>
      <c r="I97" s="59" t="str">
        <f>'шпоргалка-2'!C97</f>
        <v/>
      </c>
      <c r="J97" s="61" t="str">
        <f>'шпоргалка-2'!D97</f>
        <v/>
      </c>
      <c r="K97" t="str">
        <f>'шпоргалка-2'!E97</f>
        <v/>
      </c>
      <c r="M97">
        <f>'шпоргалка-3'!A97</f>
        <v>4</v>
      </c>
      <c r="N97" t="str">
        <f>'шпоргалка-3'!B97</f>
        <v>резерв</v>
      </c>
      <c r="O97" s="59" t="str">
        <f>'шпоргалка-3'!C97</f>
        <v/>
      </c>
      <c r="P97" s="61" t="str">
        <f>'шпоргалка-3'!D97</f>
        <v/>
      </c>
      <c r="Q97" t="str">
        <f>'шпоргалка-3'!E97</f>
        <v/>
      </c>
    </row>
    <row r="98" spans="1:17" x14ac:dyDescent="0.25">
      <c r="A98">
        <f>'шпоргалка-1'!A98</f>
        <v>0</v>
      </c>
      <c r="B98" t="s">
        <v>176</v>
      </c>
      <c r="C98" s="59">
        <f>'шпоргалка-1'!C98</f>
        <v>0</v>
      </c>
      <c r="D98" s="61">
        <f>'шпоргалка-1'!D98</f>
        <v>0</v>
      </c>
      <c r="E98">
        <f>'шпоргалка-1'!E98</f>
        <v>0</v>
      </c>
      <c r="G98">
        <f>'шпоргалка-2'!A98</f>
        <v>5</v>
      </c>
      <c r="H98" t="str">
        <f>'шпоргалка-2'!B98</f>
        <v>резерв</v>
      </c>
      <c r="I98" s="59" t="str">
        <f>'шпоргалка-2'!C98</f>
        <v/>
      </c>
      <c r="J98" s="61" t="str">
        <f>'шпоргалка-2'!D98</f>
        <v/>
      </c>
      <c r="K98" t="str">
        <f>'шпоргалка-2'!E98</f>
        <v/>
      </c>
      <c r="M98">
        <f>'шпоргалка-3'!A98</f>
        <v>5</v>
      </c>
      <c r="N98" t="str">
        <f>'шпоргалка-3'!B98</f>
        <v>резерв</v>
      </c>
      <c r="O98" s="59" t="str">
        <f>'шпоргалка-3'!C98</f>
        <v/>
      </c>
      <c r="P98" s="61" t="str">
        <f>'шпоргалка-3'!D98</f>
        <v/>
      </c>
      <c r="Q98" t="str">
        <f>'шпоргалка-3'!E98</f>
        <v/>
      </c>
    </row>
    <row r="99" spans="1:17" x14ac:dyDescent="0.25">
      <c r="A99">
        <v>1</v>
      </c>
      <c r="B99" t="str">
        <f>IF('SV777-2 (SV004)'!B310&lt;1,"резерв",'SV777-2 (SV004)'!B310)</f>
        <v>резерв</v>
      </c>
      <c r="C99" s="59" t="str">
        <f>'SV777-2 (SV004)'!B311</f>
        <v/>
      </c>
      <c r="D99" s="60" t="str">
        <f>IF(B67="резерв","",'SV777-2 (SV004)'!D311)</f>
        <v/>
      </c>
      <c r="E99" t="str">
        <f>IF('SV777-2 (SV004)'!D310&lt;1,"","ШЛ."&amp;'SV777-2 (SV004)'!D310)</f>
        <v/>
      </c>
      <c r="G99">
        <f>'шпоргалка-2'!A99</f>
        <v>6</v>
      </c>
      <c r="H99" t="str">
        <f>'шпоргалка-2'!B99</f>
        <v>резерв</v>
      </c>
      <c r="I99" s="59" t="str">
        <f>'шпоргалка-2'!C99</f>
        <v/>
      </c>
      <c r="J99" s="61" t="str">
        <f>'шпоргалка-2'!D99</f>
        <v/>
      </c>
      <c r="K99" t="str">
        <f>'шпоргалка-2'!E99</f>
        <v/>
      </c>
      <c r="M99">
        <f>'шпоргалка-3'!A99</f>
        <v>6</v>
      </c>
      <c r="N99" t="str">
        <f>'шпоргалка-3'!B99</f>
        <v>резерв</v>
      </c>
      <c r="O99" s="59" t="str">
        <f>'шпоргалка-3'!C99</f>
        <v/>
      </c>
      <c r="P99" s="61" t="str">
        <f>'шпоргалка-3'!D99</f>
        <v/>
      </c>
      <c r="Q99" t="str">
        <f>'шпоргалка-3'!E99</f>
        <v/>
      </c>
    </row>
    <row r="100" spans="1:17" x14ac:dyDescent="0.25">
      <c r="A100">
        <v>2</v>
      </c>
      <c r="B100" t="str">
        <f>IF('SV777-2 (SV004)'!F310&lt;1,"резерв",'SV777-2 (SV004)'!F310)</f>
        <v>резерв</v>
      </c>
      <c r="C100" s="59" t="str">
        <f>'SV777-2 (SV004)'!F311</f>
        <v/>
      </c>
      <c r="D100" s="60" t="str">
        <f>IF(B68="резерв","",'SV777-2 (SV004)'!H311)</f>
        <v/>
      </c>
      <c r="E100" t="str">
        <f>IF('SV777-2 (SV004)'!H310&lt;1,"","ШЛ."&amp;'SV777-2 (SV004)'!H310)</f>
        <v/>
      </c>
      <c r="G100">
        <f>'шпоргалка-2'!A100</f>
        <v>7</v>
      </c>
      <c r="H100" t="str">
        <f>'шпоргалка-2'!B100</f>
        <v>резерв</v>
      </c>
      <c r="I100" s="59" t="str">
        <f>'шпоргалка-2'!C100</f>
        <v/>
      </c>
      <c r="J100" s="61" t="str">
        <f>'шпоргалка-2'!D100</f>
        <v/>
      </c>
      <c r="K100" t="str">
        <f>'шпоргалка-2'!E100</f>
        <v/>
      </c>
      <c r="M100">
        <f>'шпоргалка-3'!A100</f>
        <v>7</v>
      </c>
      <c r="N100" t="str">
        <f>'шпоргалка-3'!B100</f>
        <v>резерв</v>
      </c>
      <c r="O100" s="59" t="str">
        <f>'шпоргалка-3'!C100</f>
        <v/>
      </c>
      <c r="P100" s="61" t="str">
        <f>'шпоргалка-3'!D100</f>
        <v/>
      </c>
      <c r="Q100" t="str">
        <f>'шпоргалка-3'!E100</f>
        <v/>
      </c>
    </row>
    <row r="101" spans="1:17" x14ac:dyDescent="0.25">
      <c r="A101">
        <v>3</v>
      </c>
      <c r="B101" t="str">
        <f>IF('SV777-2 (SV004)'!J310&lt;1,"резерв",'SV777-2 (SV004)'!J310)</f>
        <v>резерв</v>
      </c>
      <c r="C101" s="59" t="str">
        <f>'SV777-2 (SV004)'!J311</f>
        <v/>
      </c>
      <c r="D101" s="60" t="str">
        <f>IF(B69="резерв","",'SV777-2 (SV004)'!L311)</f>
        <v/>
      </c>
      <c r="E101" t="str">
        <f>IF('SV777-2 (SV004)'!L310&lt;1,"","ШЛ."&amp;'SV777-2 (SV004)'!L310)</f>
        <v/>
      </c>
      <c r="G101">
        <f>'шпоргалка-2'!A101</f>
        <v>8</v>
      </c>
      <c r="H101" t="str">
        <f>'шпоргалка-2'!B101</f>
        <v>резерв</v>
      </c>
      <c r="I101" s="59" t="str">
        <f>'шпоргалка-2'!C101</f>
        <v/>
      </c>
      <c r="J101" s="61" t="str">
        <f>'шпоргалка-2'!D101</f>
        <v/>
      </c>
      <c r="K101" t="str">
        <f>'шпоргалка-2'!E101</f>
        <v/>
      </c>
      <c r="M101">
        <f>'шпоргалка-3'!A101</f>
        <v>8</v>
      </c>
      <c r="N101" t="str">
        <f>'шпоргалка-3'!B101</f>
        <v>резерв</v>
      </c>
      <c r="O101" s="59" t="str">
        <f>'шпоргалка-3'!C101</f>
        <v/>
      </c>
      <c r="P101" s="61" t="str">
        <f>'шпоргалка-3'!D101</f>
        <v/>
      </c>
      <c r="Q101" t="str">
        <f>'шпоргалка-3'!E101</f>
        <v/>
      </c>
    </row>
    <row r="102" spans="1:17" x14ac:dyDescent="0.25">
      <c r="A102">
        <v>4</v>
      </c>
      <c r="B102" t="str">
        <f>IF('SV777-2 (SV004)'!N310&lt;1,"резерв",'SV777-2 (SV004)'!N310)</f>
        <v>резерв</v>
      </c>
      <c r="C102" s="59" t="str">
        <f>'SV777-2 (SV004)'!N311</f>
        <v/>
      </c>
      <c r="D102" s="60" t="str">
        <f>IF(B70="резерв","",'SV777-2 (SV004)'!P311)</f>
        <v/>
      </c>
      <c r="E102" t="str">
        <f>IF('SV777-2 (SV004)'!P310&lt;1,"","ШЛ."&amp;'SV777-2 (SV004)'!P310)</f>
        <v/>
      </c>
      <c r="H102" t="str">
        <f>'шпоргалка-2'!B102</f>
        <v>SV004 - 12</v>
      </c>
      <c r="N102" t="str">
        <f>'шпоргалка-3'!B102</f>
        <v>SV004 - 12</v>
      </c>
    </row>
    <row r="103" spans="1:17" x14ac:dyDescent="0.25">
      <c r="A103">
        <v>5</v>
      </c>
      <c r="B103" t="str">
        <f>IF('SV777-2 (SV004)'!B330&lt;1,"резерв",'SV777-2 (SV004)'!B330)</f>
        <v>резерв</v>
      </c>
      <c r="C103" s="59" t="str">
        <f>'SV777-2 (SV004)'!B331</f>
        <v/>
      </c>
      <c r="D103" s="60">
        <f>IF(B71="резерв","",'SV777-2 (SV004)'!D331)</f>
        <v>0</v>
      </c>
      <c r="E103" t="str">
        <f>IF('SV777-2 (SV004)'!D330&lt;1,"","ШЛ."&amp;'SV777-2 (SV004)'!D330)</f>
        <v/>
      </c>
      <c r="G103">
        <f>'шпоргалка-2'!A103</f>
        <v>1</v>
      </c>
      <c r="H103" t="str">
        <f>'шпоргалка-2'!B103</f>
        <v>резерв</v>
      </c>
      <c r="I103" s="59" t="str">
        <f>'шпоргалка-2'!C103</f>
        <v/>
      </c>
      <c r="J103" s="61" t="str">
        <f>'шпоргалка-2'!D103</f>
        <v/>
      </c>
      <c r="K103" t="str">
        <f>'шпоргалка-2'!E103</f>
        <v/>
      </c>
      <c r="M103">
        <f>'шпоргалка-3'!A103</f>
        <v>1</v>
      </c>
      <c r="N103" t="str">
        <f>'шпоргалка-3'!B103</f>
        <v>резерв</v>
      </c>
      <c r="O103" s="59" t="str">
        <f>'шпоргалка-3'!C103</f>
        <v/>
      </c>
      <c r="P103" s="61" t="str">
        <f>'шпоргалка-3'!D103</f>
        <v/>
      </c>
      <c r="Q103" t="str">
        <f>'шпоргалка-3'!E103</f>
        <v/>
      </c>
    </row>
    <row r="104" spans="1:17" x14ac:dyDescent="0.25">
      <c r="A104">
        <v>6</v>
      </c>
      <c r="B104" t="str">
        <f>IF('SV777-2 (SV004)'!F330&lt;1,"резерв",'SV777-2 (SV004)'!F330)</f>
        <v>резерв</v>
      </c>
      <c r="C104" s="59" t="str">
        <f>'SV777-2 (SV004)'!F331</f>
        <v/>
      </c>
      <c r="D104" s="60" t="str">
        <f>IF(B72="резерв","",'SV777-2 (SV004)'!H331)</f>
        <v/>
      </c>
      <c r="E104" t="str">
        <f>IF('SV777-2 (SV004)'!H330&lt;1,"","ШЛ."&amp;'SV777-2 (SV004)'!H330)</f>
        <v/>
      </c>
      <c r="G104">
        <f>'шпоргалка-2'!A104</f>
        <v>2</v>
      </c>
      <c r="H104" t="str">
        <f>'шпоргалка-2'!B104</f>
        <v>резерв</v>
      </c>
      <c r="I104" s="59" t="str">
        <f>'шпоргалка-2'!C104</f>
        <v/>
      </c>
      <c r="J104" s="61" t="str">
        <f>'шпоргалка-2'!D104</f>
        <v/>
      </c>
      <c r="K104" t="str">
        <f>'шпоргалка-2'!E104</f>
        <v/>
      </c>
      <c r="M104">
        <f>'шпоргалка-3'!A104</f>
        <v>2</v>
      </c>
      <c r="N104" t="str">
        <f>'шпоргалка-3'!B104</f>
        <v>резерв</v>
      </c>
      <c r="O104" s="59" t="str">
        <f>'шпоргалка-3'!C104</f>
        <v/>
      </c>
      <c r="P104" s="61" t="str">
        <f>'шпоргалка-3'!D104</f>
        <v/>
      </c>
      <c r="Q104" t="str">
        <f>'шпоргалка-3'!E104</f>
        <v/>
      </c>
    </row>
    <row r="105" spans="1:17" x14ac:dyDescent="0.25">
      <c r="A105">
        <v>7</v>
      </c>
      <c r="B105" t="str">
        <f>IF('SV777-2 (SV004)'!J330&lt;1,"резерв",'SV777-2 (SV004)'!J330)</f>
        <v>резерв</v>
      </c>
      <c r="C105" s="59" t="str">
        <f>'SV777-2 (SV004)'!J331</f>
        <v/>
      </c>
      <c r="D105" s="60" t="str">
        <f>IF(B73="резерв","",'SV777-2 (SV004)'!L331)</f>
        <v/>
      </c>
      <c r="E105" t="str">
        <f>IF('SV777-2 (SV004)'!L330&lt;1,"","ШЛ."&amp;'SV777-2 (SV004)'!L330)</f>
        <v/>
      </c>
      <c r="G105">
        <f>'шпоргалка-2'!A105</f>
        <v>3</v>
      </c>
      <c r="H105" t="str">
        <f>'шпоргалка-2'!B105</f>
        <v>резерв</v>
      </c>
      <c r="I105" s="59" t="str">
        <f>'шпоргалка-2'!C105</f>
        <v/>
      </c>
      <c r="J105" s="61" t="str">
        <f>'шпоргалка-2'!D105</f>
        <v/>
      </c>
      <c r="K105" t="str">
        <f>'шпоргалка-2'!E105</f>
        <v/>
      </c>
      <c r="M105">
        <f>'шпоргалка-3'!A105</f>
        <v>3</v>
      </c>
      <c r="N105" t="str">
        <f>'шпоргалка-3'!B105</f>
        <v>резерв</v>
      </c>
      <c r="O105" s="59" t="str">
        <f>'шпоргалка-3'!C105</f>
        <v/>
      </c>
      <c r="P105" s="61" t="str">
        <f>'шпоргалка-3'!D105</f>
        <v/>
      </c>
      <c r="Q105" t="str">
        <f>'шпоргалка-3'!E105</f>
        <v/>
      </c>
    </row>
    <row r="106" spans="1:17" x14ac:dyDescent="0.25">
      <c r="A106">
        <v>8</v>
      </c>
      <c r="B106" t="str">
        <f>IF('SV777-2 (SV004)'!N330&lt;1,"резерв",'SV777-2 (SV004)'!N330)</f>
        <v>резерв</v>
      </c>
      <c r="C106" s="59" t="str">
        <f>'SV777-2 (SV004)'!N331</f>
        <v/>
      </c>
      <c r="D106" s="60" t="str">
        <f>IF(B74="резерв","",'SV777-2 (SV004)'!P331)</f>
        <v/>
      </c>
      <c r="E106" t="str">
        <f>IF('SV777-2 (SV004)'!P330&lt;1,"","ШЛ."&amp;'SV777-2 (SV004)'!P330)</f>
        <v/>
      </c>
      <c r="G106">
        <f>'шпоргалка-2'!A106</f>
        <v>4</v>
      </c>
      <c r="H106" t="str">
        <f>'шпоргалка-2'!B106</f>
        <v>резерв</v>
      </c>
      <c r="I106" s="59" t="str">
        <f>'шпоргалка-2'!C106</f>
        <v/>
      </c>
      <c r="J106" s="61" t="str">
        <f>'шпоргалка-2'!D106</f>
        <v/>
      </c>
      <c r="K106" t="str">
        <f>'шпоргалка-2'!E106</f>
        <v/>
      </c>
      <c r="M106">
        <f>'шпоргалка-3'!A106</f>
        <v>4</v>
      </c>
      <c r="N106" t="str">
        <f>'шпоргалка-3'!B106</f>
        <v>резерв</v>
      </c>
      <c r="O106" s="59" t="str">
        <f>'шпоргалка-3'!C106</f>
        <v/>
      </c>
      <c r="P106" s="61" t="str">
        <f>'шпоргалка-3'!D106</f>
        <v/>
      </c>
      <c r="Q106" t="str">
        <f>'шпоргалка-3'!E106</f>
        <v/>
      </c>
    </row>
    <row r="107" spans="1:17" x14ac:dyDescent="0.25">
      <c r="A107">
        <f>'шпоргалка-1'!A107</f>
        <v>0</v>
      </c>
      <c r="B107" t="s">
        <v>177</v>
      </c>
      <c r="C107" s="59">
        <f>'шпоргалка-1'!C107</f>
        <v>0</v>
      </c>
      <c r="D107" s="61">
        <f>'шпоргалка-1'!D107</f>
        <v>0</v>
      </c>
      <c r="E107">
        <f>'шпоргалка-1'!E107</f>
        <v>0</v>
      </c>
      <c r="G107">
        <f>'шпоргалка-2'!A107</f>
        <v>5</v>
      </c>
      <c r="H107" t="str">
        <f>'шпоргалка-2'!B107</f>
        <v>резерв</v>
      </c>
      <c r="I107" s="59" t="str">
        <f>'шпоргалка-2'!C107</f>
        <v/>
      </c>
      <c r="J107" s="61" t="str">
        <f>'шпоргалка-2'!D107</f>
        <v/>
      </c>
      <c r="K107" t="str">
        <f>'шпоргалка-2'!E107</f>
        <v/>
      </c>
      <c r="M107">
        <f>'шпоргалка-3'!A107</f>
        <v>5</v>
      </c>
      <c r="N107" t="str">
        <f>'шпоргалка-3'!B107</f>
        <v>резерв</v>
      </c>
      <c r="O107" s="59" t="str">
        <f>'шпоргалка-3'!C107</f>
        <v/>
      </c>
      <c r="P107" s="61" t="str">
        <f>'шпоргалка-3'!D107</f>
        <v/>
      </c>
      <c r="Q107" t="str">
        <f>'шпоргалка-3'!E107</f>
        <v/>
      </c>
    </row>
    <row r="108" spans="1:17" x14ac:dyDescent="0.25">
      <c r="A108">
        <v>1</v>
      </c>
      <c r="B108" t="str">
        <f>IF('SV777-2 (SV004)'!B352&lt;1,"резерв",'SV777-2 (SV004)'!B352)</f>
        <v>резерв</v>
      </c>
      <c r="C108" s="59" t="str">
        <f>'SV777-2 (SV004)'!B353</f>
        <v/>
      </c>
      <c r="D108" s="60" t="str">
        <f>IF(B76="резерв","",'SV777-2 (SV004)'!D353)</f>
        <v/>
      </c>
      <c r="E108" t="str">
        <f>IF('SV777-2 (SV004)'!D352&lt;1,"","ШЛ."&amp;'SV777-2 (SV004)'!D352)</f>
        <v/>
      </c>
      <c r="G108">
        <f>'шпоргалка-2'!A108</f>
        <v>6</v>
      </c>
      <c r="H108" t="str">
        <f>'шпоргалка-2'!B108</f>
        <v>резерв</v>
      </c>
      <c r="I108" s="59" t="str">
        <f>'шпоргалка-2'!C108</f>
        <v/>
      </c>
      <c r="J108" s="61" t="str">
        <f>'шпоргалка-2'!D108</f>
        <v/>
      </c>
      <c r="K108" t="str">
        <f>'шпоргалка-2'!E108</f>
        <v/>
      </c>
      <c r="M108">
        <f>'шпоргалка-3'!A108</f>
        <v>6</v>
      </c>
      <c r="N108" t="str">
        <f>'шпоргалка-3'!B108</f>
        <v>резерв</v>
      </c>
      <c r="O108" s="59" t="str">
        <f>'шпоргалка-3'!C108</f>
        <v/>
      </c>
      <c r="P108" s="61" t="str">
        <f>'шпоргалка-3'!D108</f>
        <v/>
      </c>
      <c r="Q108" t="str">
        <f>'шпоргалка-3'!E108</f>
        <v/>
      </c>
    </row>
    <row r="109" spans="1:17" x14ac:dyDescent="0.25">
      <c r="A109">
        <v>2</v>
      </c>
      <c r="B109" t="str">
        <f>IF('SV777-2 (SV004)'!F352&lt;1,"резерв",'SV777-2 (SV004)'!F352)</f>
        <v>резерв</v>
      </c>
      <c r="C109" s="59" t="str">
        <f>'SV777-2 (SV004)'!F353</f>
        <v/>
      </c>
      <c r="D109" s="60" t="str">
        <f>IF(B77="резерв","",'SV777-2 (SV004)'!H353)</f>
        <v/>
      </c>
      <c r="E109" t="str">
        <f>IF('SV777-2 (SV004)'!H352&lt;1,"","ШЛ."&amp;'SV777-2 (SV004)'!H352)</f>
        <v/>
      </c>
      <c r="G109">
        <f>'шпоргалка-2'!A109</f>
        <v>7</v>
      </c>
      <c r="H109" t="str">
        <f>'шпоргалка-2'!B109</f>
        <v>резерв</v>
      </c>
      <c r="I109" s="59" t="str">
        <f>'шпоргалка-2'!C109</f>
        <v/>
      </c>
      <c r="J109" s="61" t="str">
        <f>'шпоргалка-2'!D109</f>
        <v/>
      </c>
      <c r="K109" t="str">
        <f>'шпоргалка-2'!E109</f>
        <v/>
      </c>
      <c r="M109">
        <f>'шпоргалка-3'!A109</f>
        <v>7</v>
      </c>
      <c r="N109" t="str">
        <f>'шпоргалка-3'!B109</f>
        <v>резерв</v>
      </c>
      <c r="O109" s="59" t="str">
        <f>'шпоргалка-3'!C109</f>
        <v/>
      </c>
      <c r="P109" s="61" t="str">
        <f>'шпоргалка-3'!D109</f>
        <v/>
      </c>
      <c r="Q109" t="str">
        <f>'шпоргалка-3'!E109</f>
        <v/>
      </c>
    </row>
    <row r="110" spans="1:17" x14ac:dyDescent="0.25">
      <c r="A110">
        <v>3</v>
      </c>
      <c r="B110" t="str">
        <f>IF('SV777-2 (SV004)'!J352&lt;1,"резерв",'SV777-2 (SV004)'!J352)</f>
        <v>резерв</v>
      </c>
      <c r="C110" s="59" t="str">
        <f>'SV777-2 (SV004)'!J353</f>
        <v/>
      </c>
      <c r="D110" s="60" t="str">
        <f>IF(B78="резерв","",'SV777-2 (SV004)'!L353)</f>
        <v/>
      </c>
      <c r="E110" t="str">
        <f>IF('SV777-2 (SV004)'!L352&lt;1,"","ШЛ."&amp;'SV777-2 (SV004)'!L352)</f>
        <v/>
      </c>
      <c r="G110">
        <f>'шпоргалка-2'!A110</f>
        <v>8</v>
      </c>
      <c r="H110" t="str">
        <f>'шпоргалка-2'!B110</f>
        <v>резерв</v>
      </c>
      <c r="I110" s="59" t="str">
        <f>'шпоргалка-2'!C110</f>
        <v/>
      </c>
      <c r="J110" s="61" t="str">
        <f>'шпоргалка-2'!D110</f>
        <v/>
      </c>
      <c r="K110" t="str">
        <f>'шпоргалка-2'!E110</f>
        <v/>
      </c>
      <c r="M110">
        <f>'шпоргалка-3'!A110</f>
        <v>8</v>
      </c>
      <c r="N110" t="str">
        <f>'шпоргалка-3'!B110</f>
        <v>резерв</v>
      </c>
      <c r="O110" s="59" t="str">
        <f>'шпоргалка-3'!C110</f>
        <v/>
      </c>
      <c r="P110" s="61" t="str">
        <f>'шпоргалка-3'!D110</f>
        <v/>
      </c>
      <c r="Q110" t="str">
        <f>'шпоргалка-3'!E110</f>
        <v/>
      </c>
    </row>
    <row r="111" spans="1:17" x14ac:dyDescent="0.25">
      <c r="A111">
        <v>4</v>
      </c>
      <c r="B111" t="str">
        <f>IF('SV777-2 (SV004)'!N352&lt;1,"резерв",'SV777-2 (SV004)'!N352)</f>
        <v>резерв</v>
      </c>
      <c r="C111" s="59" t="str">
        <f>'SV777-2 (SV004)'!N353</f>
        <v/>
      </c>
      <c r="D111" s="60" t="str">
        <f>IF(B79="резерв","",'SV777-2 (SV004)'!P353)</f>
        <v/>
      </c>
      <c r="E111" t="str">
        <f>IF('SV777-2 (SV004)'!P352&lt;1,"","ШЛ."&amp;'SV777-2 (SV004)'!P352)</f>
        <v/>
      </c>
      <c r="H111" t="str">
        <f>'шпоргалка-2'!B111</f>
        <v>SV004 - 13</v>
      </c>
      <c r="N111" t="str">
        <f>'шпоргалка-3'!B111</f>
        <v>SV004 - 13</v>
      </c>
    </row>
    <row r="112" spans="1:17" x14ac:dyDescent="0.25">
      <c r="A112">
        <v>5</v>
      </c>
      <c r="B112" t="str">
        <f>IF('SV777-2 (SV004)'!B372&lt;1,"резерв",'SV777-2 (SV004)'!B372)</f>
        <v>резерв</v>
      </c>
      <c r="C112" s="59" t="str">
        <f>'SV777-2 (SV004)'!B373</f>
        <v/>
      </c>
      <c r="D112" s="60">
        <f>IF(B80="резерв","",'SV777-2 (SV004)'!D373)</f>
        <v>0</v>
      </c>
      <c r="E112" t="str">
        <f>IF('SV777-2 (SV004)'!D372&lt;1,"","ШЛ."&amp;'SV777-2 (SV004)'!D372)</f>
        <v/>
      </c>
      <c r="G112">
        <f>'шпоргалка-2'!A112</f>
        <v>1</v>
      </c>
      <c r="H112" t="str">
        <f>'шпоргалка-2'!B112</f>
        <v>резерв</v>
      </c>
      <c r="I112" s="59" t="str">
        <f>'шпоргалка-2'!C112</f>
        <v/>
      </c>
      <c r="J112" s="61" t="str">
        <f>'шпоргалка-2'!D112</f>
        <v/>
      </c>
      <c r="K112" t="str">
        <f>'шпоргалка-2'!E112</f>
        <v/>
      </c>
      <c r="M112">
        <f>'шпоргалка-3'!A112</f>
        <v>1</v>
      </c>
      <c r="N112" t="str">
        <f>'шпоргалка-3'!B112</f>
        <v>резерв</v>
      </c>
      <c r="O112" s="59" t="str">
        <f>'шпоргалка-3'!C112</f>
        <v/>
      </c>
      <c r="P112" s="61" t="str">
        <f>'шпоргалка-3'!D112</f>
        <v/>
      </c>
      <c r="Q112" t="str">
        <f>'шпоргалка-3'!E112</f>
        <v/>
      </c>
    </row>
    <row r="113" spans="1:17" x14ac:dyDescent="0.25">
      <c r="A113">
        <v>6</v>
      </c>
      <c r="B113" t="str">
        <f>IF('SV777-2 (SV004)'!F372&lt;1,"резерв",'SV777-2 (SV004)'!F372)</f>
        <v>резерв</v>
      </c>
      <c r="C113" s="59" t="str">
        <f>'SV777-2 (SV004)'!F373</f>
        <v/>
      </c>
      <c r="D113" s="60" t="str">
        <f>IF(B81="резерв","",'SV777-2 (SV004)'!H373)</f>
        <v/>
      </c>
      <c r="E113" t="str">
        <f>IF('SV777-2 (SV004)'!H372&lt;1,"","ШЛ."&amp;'SV777-2 (SV004)'!H372)</f>
        <v/>
      </c>
      <c r="G113">
        <f>'шпоргалка-2'!A113</f>
        <v>2</v>
      </c>
      <c r="H113" t="str">
        <f>'шпоргалка-2'!B113</f>
        <v>резерв</v>
      </c>
      <c r="I113" s="59" t="str">
        <f>'шпоргалка-2'!C113</f>
        <v/>
      </c>
      <c r="J113" s="61" t="str">
        <f>'шпоргалка-2'!D113</f>
        <v/>
      </c>
      <c r="K113" t="str">
        <f>'шпоргалка-2'!E113</f>
        <v/>
      </c>
      <c r="M113">
        <f>'шпоргалка-3'!A113</f>
        <v>2</v>
      </c>
      <c r="N113" t="str">
        <f>'шпоргалка-3'!B113</f>
        <v>резерв</v>
      </c>
      <c r="O113" s="59" t="str">
        <f>'шпоргалка-3'!C113</f>
        <v/>
      </c>
      <c r="P113" s="61" t="str">
        <f>'шпоргалка-3'!D113</f>
        <v/>
      </c>
      <c r="Q113" t="str">
        <f>'шпоргалка-3'!E113</f>
        <v/>
      </c>
    </row>
    <row r="114" spans="1:17" x14ac:dyDescent="0.25">
      <c r="A114">
        <v>7</v>
      </c>
      <c r="B114" t="str">
        <f>IF('SV777-2 (SV004)'!J372&lt;1,"резерв",'SV777-2 (SV004)'!J372)</f>
        <v>резерв</v>
      </c>
      <c r="C114" s="59" t="str">
        <f>'SV777-2 (SV004)'!J373</f>
        <v/>
      </c>
      <c r="D114" s="60" t="str">
        <f>IF(B82="резерв","",'SV777-2 (SV004)'!L373)</f>
        <v/>
      </c>
      <c r="E114" t="str">
        <f>IF('SV777-2 (SV004)'!L372&lt;1,"","ШЛ."&amp;'SV777-2 (SV004)'!L372)</f>
        <v/>
      </c>
      <c r="G114">
        <f>'шпоргалка-2'!A114</f>
        <v>3</v>
      </c>
      <c r="H114" t="str">
        <f>'шпоргалка-2'!B114</f>
        <v>резерв</v>
      </c>
      <c r="I114" s="59" t="str">
        <f>'шпоргалка-2'!C114</f>
        <v/>
      </c>
      <c r="J114" s="61" t="str">
        <f>'шпоргалка-2'!D114</f>
        <v/>
      </c>
      <c r="K114" t="str">
        <f>'шпоргалка-2'!E114</f>
        <v/>
      </c>
      <c r="M114">
        <f>'шпоргалка-3'!A114</f>
        <v>3</v>
      </c>
      <c r="N114" t="str">
        <f>'шпоргалка-3'!B114</f>
        <v>резерв</v>
      </c>
      <c r="O114" s="59" t="str">
        <f>'шпоргалка-3'!C114</f>
        <v/>
      </c>
      <c r="P114" s="61" t="str">
        <f>'шпоргалка-3'!D114</f>
        <v/>
      </c>
      <c r="Q114" t="str">
        <f>'шпоргалка-3'!E114</f>
        <v/>
      </c>
    </row>
    <row r="115" spans="1:17" x14ac:dyDescent="0.25">
      <c r="A115">
        <v>8</v>
      </c>
      <c r="B115" t="str">
        <f>IF('SV777-2 (SV004)'!N372&lt;1,"резерв",'SV777-2 (SV004)'!N372)</f>
        <v>резерв</v>
      </c>
      <c r="C115" s="59" t="str">
        <f>'SV777-2 (SV004)'!N373</f>
        <v/>
      </c>
      <c r="D115" s="60" t="str">
        <f>IF(B83="резерв","",'SV777-2 (SV004)'!P373)</f>
        <v/>
      </c>
      <c r="E115" t="str">
        <f>IF('SV777-2 (SV004)'!P372&lt;1,"","ШЛ."&amp;'SV777-2 (SV004)'!P372)</f>
        <v/>
      </c>
      <c r="G115">
        <f>'шпоргалка-2'!A115</f>
        <v>4</v>
      </c>
      <c r="H115" t="str">
        <f>'шпоргалка-2'!B115</f>
        <v>резерв</v>
      </c>
      <c r="I115" s="59" t="str">
        <f>'шпоргалка-2'!C115</f>
        <v/>
      </c>
      <c r="J115" s="61" t="str">
        <f>'шпоргалка-2'!D115</f>
        <v/>
      </c>
      <c r="K115" t="str">
        <f>'шпоргалка-2'!E115</f>
        <v/>
      </c>
      <c r="M115">
        <f>'шпоргалка-3'!A115</f>
        <v>4</v>
      </c>
      <c r="N115" t="str">
        <f>'шпоргалка-3'!B115</f>
        <v>резерв</v>
      </c>
      <c r="O115" s="59" t="str">
        <f>'шпоргалка-3'!C115</f>
        <v/>
      </c>
      <c r="P115" s="61" t="str">
        <f>'шпоргалка-3'!D115</f>
        <v/>
      </c>
      <c r="Q115" t="str">
        <f>'шпоргалка-3'!E115</f>
        <v/>
      </c>
    </row>
    <row r="116" spans="1:17" x14ac:dyDescent="0.25">
      <c r="A116">
        <f>'шпоргалка-1'!A116</f>
        <v>0</v>
      </c>
      <c r="B116" t="s">
        <v>178</v>
      </c>
      <c r="C116" s="59">
        <f>'шпоргалка-1'!C116</f>
        <v>0</v>
      </c>
      <c r="D116" s="61">
        <f>'шпоргалка-1'!D116</f>
        <v>0</v>
      </c>
      <c r="E116">
        <f>'шпоргалка-1'!E116</f>
        <v>0</v>
      </c>
      <c r="G116">
        <f>'шпоргалка-2'!A116</f>
        <v>5</v>
      </c>
      <c r="H116" t="str">
        <f>'шпоргалка-2'!B116</f>
        <v>резерв</v>
      </c>
      <c r="I116" s="59" t="str">
        <f>'шпоргалка-2'!C116</f>
        <v/>
      </c>
      <c r="J116" s="61" t="str">
        <f>'шпоргалка-2'!D116</f>
        <v/>
      </c>
      <c r="K116" t="str">
        <f>'шпоргалка-2'!E116</f>
        <v/>
      </c>
      <c r="M116">
        <f>'шпоргалка-3'!A116</f>
        <v>5</v>
      </c>
      <c r="N116" t="str">
        <f>'шпоргалка-3'!B116</f>
        <v>резерв</v>
      </c>
      <c r="O116" s="59" t="str">
        <f>'шпоргалка-3'!C116</f>
        <v/>
      </c>
      <c r="P116" s="61" t="str">
        <f>'шпоргалка-3'!D116</f>
        <v/>
      </c>
      <c r="Q116" t="str">
        <f>'шпоргалка-3'!E116</f>
        <v/>
      </c>
    </row>
    <row r="117" spans="1:17" x14ac:dyDescent="0.25">
      <c r="A117">
        <v>1</v>
      </c>
      <c r="B117" t="str">
        <f>IF('SV777-2 (SV004)'!B394&lt;1,"резерв",'SV777-2 (SV004)'!B394)</f>
        <v>резерв</v>
      </c>
      <c r="C117" s="59" t="str">
        <f>'SV777-2 (SV004)'!B395</f>
        <v/>
      </c>
      <c r="D117" s="60" t="str">
        <f>IF(B85="резерв","",'SV777-2 (SV004)'!D395)</f>
        <v/>
      </c>
      <c r="E117" t="str">
        <f>IF('SV777-2 (SV004)'!D394&lt;1,"","ШЛ."&amp;'SV777-2 (SV004)'!D394)</f>
        <v/>
      </c>
      <c r="G117">
        <f>'шпоргалка-2'!A117</f>
        <v>6</v>
      </c>
      <c r="H117" t="str">
        <f>'шпоргалка-2'!B117</f>
        <v>резерв</v>
      </c>
      <c r="I117" s="59" t="str">
        <f>'шпоргалка-2'!C117</f>
        <v/>
      </c>
      <c r="J117" s="61" t="str">
        <f>'шпоргалка-2'!D117</f>
        <v/>
      </c>
      <c r="K117" t="str">
        <f>'шпоргалка-2'!E117</f>
        <v/>
      </c>
      <c r="M117">
        <f>'шпоргалка-3'!A117</f>
        <v>6</v>
      </c>
      <c r="N117" t="str">
        <f>'шпоргалка-3'!B117</f>
        <v>резерв</v>
      </c>
      <c r="O117" s="59" t="str">
        <f>'шпоргалка-3'!C117</f>
        <v/>
      </c>
      <c r="P117" s="61" t="str">
        <f>'шпоргалка-3'!D117</f>
        <v/>
      </c>
      <c r="Q117" t="str">
        <f>'шпоргалка-3'!E117</f>
        <v/>
      </c>
    </row>
    <row r="118" spans="1:17" x14ac:dyDescent="0.25">
      <c r="A118">
        <v>2</v>
      </c>
      <c r="B118" t="str">
        <f>IF('SV777-2 (SV004)'!F394&lt;1,"резерв",'SV777-2 (SV004)'!F394)</f>
        <v>резерв</v>
      </c>
      <c r="C118" s="59" t="str">
        <f>'SV777-2 (SV004)'!F395</f>
        <v/>
      </c>
      <c r="D118" s="60" t="str">
        <f>IF(B86="резерв","",'SV777-2 (SV004)'!H395)</f>
        <v/>
      </c>
      <c r="E118" t="str">
        <f>IF('SV777-2 (SV004)'!H394&lt;1,"","ШЛ."&amp;'SV777-2 (SV004)'!H394)</f>
        <v/>
      </c>
      <c r="G118">
        <f>'шпоргалка-2'!A118</f>
        <v>7</v>
      </c>
      <c r="H118" t="str">
        <f>'шпоргалка-2'!B118</f>
        <v>резерв</v>
      </c>
      <c r="I118" s="59" t="str">
        <f>'шпоргалка-2'!C118</f>
        <v/>
      </c>
      <c r="J118" s="61" t="str">
        <f>'шпоргалка-2'!D118</f>
        <v/>
      </c>
      <c r="K118" t="str">
        <f>'шпоргалка-2'!E118</f>
        <v/>
      </c>
      <c r="M118">
        <f>'шпоргалка-3'!A118</f>
        <v>7</v>
      </c>
      <c r="N118" t="str">
        <f>'шпоргалка-3'!B118</f>
        <v>резерв</v>
      </c>
      <c r="O118" s="59" t="str">
        <f>'шпоргалка-3'!C118</f>
        <v/>
      </c>
      <c r="P118" s="61" t="str">
        <f>'шпоргалка-3'!D118</f>
        <v/>
      </c>
      <c r="Q118" t="str">
        <f>'шпоргалка-3'!E118</f>
        <v/>
      </c>
    </row>
    <row r="119" spans="1:17" x14ac:dyDescent="0.25">
      <c r="A119">
        <v>3</v>
      </c>
      <c r="B119" t="str">
        <f>IF('SV777-2 (SV004)'!J394&lt;1,"резерв",'SV777-2 (SV004)'!J394)</f>
        <v>резерв</v>
      </c>
      <c r="C119" s="59" t="str">
        <f>'SV777-2 (SV004)'!J395</f>
        <v/>
      </c>
      <c r="D119" s="60" t="str">
        <f>IF(B87="резерв","",'SV777-2 (SV004)'!L395)</f>
        <v/>
      </c>
      <c r="E119" t="str">
        <f>IF('SV777-2 (SV004)'!L394&lt;1,"","ШЛ."&amp;'SV777-2 (SV004)'!L394)</f>
        <v/>
      </c>
      <c r="G119">
        <f>'шпоргалка-2'!A119</f>
        <v>8</v>
      </c>
      <c r="H119" t="str">
        <f>'шпоргалка-2'!B119</f>
        <v>резерв</v>
      </c>
      <c r="I119" s="59" t="str">
        <f>'шпоргалка-2'!C119</f>
        <v/>
      </c>
      <c r="J119" s="61" t="str">
        <f>'шпоргалка-2'!D119</f>
        <v/>
      </c>
      <c r="K119" t="str">
        <f>'шпоргалка-2'!E119</f>
        <v/>
      </c>
      <c r="M119">
        <f>'шпоргалка-3'!A119</f>
        <v>8</v>
      </c>
      <c r="N119" t="str">
        <f>'шпоргалка-3'!B119</f>
        <v>резерв</v>
      </c>
      <c r="O119" s="59" t="str">
        <f>'шпоргалка-3'!C119</f>
        <v/>
      </c>
      <c r="P119" s="61" t="str">
        <f>'шпоргалка-3'!D119</f>
        <v/>
      </c>
      <c r="Q119" t="str">
        <f>'шпоргалка-3'!E119</f>
        <v/>
      </c>
    </row>
    <row r="120" spans="1:17" x14ac:dyDescent="0.25">
      <c r="A120">
        <v>4</v>
      </c>
      <c r="B120" t="str">
        <f>IF('SV777-2 (SV004)'!N394&lt;1,"резерв",'SV777-2 (SV004)'!N394)</f>
        <v>резерв</v>
      </c>
      <c r="C120" s="59" t="str">
        <f>'SV777-2 (SV004)'!N395</f>
        <v/>
      </c>
      <c r="D120" s="60" t="str">
        <f>IF(B88="резерв","",'SV777-2 (SV004)'!P395)</f>
        <v/>
      </c>
      <c r="E120" t="str">
        <f>IF('SV777-2 (SV004)'!P394&lt;1,"","ШЛ."&amp;'SV777-2 (SV004)'!P394)</f>
        <v/>
      </c>
      <c r="H120" t="str">
        <f>'шпоргалка-2'!B120</f>
        <v>SV004 - 14</v>
      </c>
      <c r="N120" t="str">
        <f>'шпоргалка-3'!B120</f>
        <v>SV004 - 14</v>
      </c>
    </row>
    <row r="121" spans="1:17" x14ac:dyDescent="0.25">
      <c r="A121">
        <v>5</v>
      </c>
      <c r="B121" t="str">
        <f>IF('SV777-2 (SV004)'!B414&lt;1,"резерв",'SV777-2 (SV004)'!B414)</f>
        <v>резерв</v>
      </c>
      <c r="C121" s="59" t="str">
        <f>'SV777-2 (SV004)'!B415</f>
        <v/>
      </c>
      <c r="D121" s="60">
        <f>IF(B89="резерв","",'SV777-2 (SV004)'!D415)</f>
        <v>0</v>
      </c>
      <c r="E121" t="str">
        <f>IF('SV777-2 (SV004)'!D414&lt;1,"","ШЛ."&amp;'SV777-2 (SV004)'!D414)</f>
        <v/>
      </c>
      <c r="G121">
        <f>'шпоргалка-2'!A121</f>
        <v>1</v>
      </c>
      <c r="H121" t="str">
        <f>'шпоргалка-2'!B121</f>
        <v>резерв</v>
      </c>
      <c r="I121" s="59" t="str">
        <f>'шпоргалка-2'!C121</f>
        <v/>
      </c>
      <c r="J121" s="61" t="str">
        <f>'шпоргалка-2'!D121</f>
        <v/>
      </c>
      <c r="K121" t="str">
        <f>'шпоргалка-2'!E121</f>
        <v/>
      </c>
      <c r="M121">
        <f>'шпоргалка-3'!A121</f>
        <v>1</v>
      </c>
      <c r="N121" t="str">
        <f>'шпоргалка-3'!B121</f>
        <v>резерв</v>
      </c>
      <c r="O121" s="59" t="str">
        <f>'шпоргалка-3'!C121</f>
        <v/>
      </c>
      <c r="P121" s="61" t="str">
        <f>'шпоргалка-3'!D121</f>
        <v/>
      </c>
      <c r="Q121" t="str">
        <f>'шпоргалка-3'!E121</f>
        <v/>
      </c>
    </row>
    <row r="122" spans="1:17" x14ac:dyDescent="0.25">
      <c r="A122">
        <v>6</v>
      </c>
      <c r="B122" t="str">
        <f>IF('SV777-2 (SV004)'!F414&lt;1,"резерв",'SV777-2 (SV004)'!F414)</f>
        <v>резерв</v>
      </c>
      <c r="C122" s="59" t="str">
        <f>'SV777-2 (SV004)'!F415</f>
        <v/>
      </c>
      <c r="D122" s="60" t="str">
        <f>IF(B90="резерв","",'SV777-2 (SV004)'!H415)</f>
        <v/>
      </c>
      <c r="E122" t="str">
        <f>IF('SV777-2 (SV004)'!H414&lt;1,"","ШЛ."&amp;'SV777-2 (SV004)'!H414)</f>
        <v/>
      </c>
      <c r="G122">
        <f>'шпоргалка-2'!A122</f>
        <v>2</v>
      </c>
      <c r="H122" t="str">
        <f>'шпоргалка-2'!B122</f>
        <v>резерв</v>
      </c>
      <c r="I122" s="59" t="str">
        <f>'шпоргалка-2'!C122</f>
        <v/>
      </c>
      <c r="J122" s="61" t="str">
        <f>'шпоргалка-2'!D122</f>
        <v/>
      </c>
      <c r="K122" t="str">
        <f>'шпоргалка-2'!E122</f>
        <v/>
      </c>
      <c r="M122">
        <f>'шпоргалка-3'!A122</f>
        <v>2</v>
      </c>
      <c r="N122" t="str">
        <f>'шпоргалка-3'!B122</f>
        <v>резерв</v>
      </c>
      <c r="O122" s="59" t="str">
        <f>'шпоргалка-3'!C122</f>
        <v/>
      </c>
      <c r="P122" s="61" t="str">
        <f>'шпоргалка-3'!D122</f>
        <v/>
      </c>
      <c r="Q122" t="str">
        <f>'шпоргалка-3'!E122</f>
        <v/>
      </c>
    </row>
    <row r="123" spans="1:17" x14ac:dyDescent="0.25">
      <c r="A123">
        <v>7</v>
      </c>
      <c r="B123" t="str">
        <f>IF('SV777-2 (SV004)'!J414&lt;1,"резерв",'SV777-2 (SV004)'!J414)</f>
        <v>резерв</v>
      </c>
      <c r="C123" s="59" t="str">
        <f>'SV777-2 (SV004)'!J415</f>
        <v/>
      </c>
      <c r="D123" s="60" t="str">
        <f>IF(B91="резерв","",'SV777-2 (SV004)'!L415)</f>
        <v/>
      </c>
      <c r="E123" t="str">
        <f>IF('SV777-2 (SV004)'!L414&lt;1,"","ШЛ."&amp;'SV777-2 (SV004)'!L414)</f>
        <v/>
      </c>
      <c r="G123">
        <f>'шпоргалка-2'!A123</f>
        <v>3</v>
      </c>
      <c r="H123" t="str">
        <f>'шпоргалка-2'!B123</f>
        <v>резерв</v>
      </c>
      <c r="I123" s="59" t="str">
        <f>'шпоргалка-2'!C123</f>
        <v/>
      </c>
      <c r="J123" s="61" t="str">
        <f>'шпоргалка-2'!D123</f>
        <v/>
      </c>
      <c r="K123" t="str">
        <f>'шпоргалка-2'!E123</f>
        <v/>
      </c>
      <c r="M123">
        <f>'шпоргалка-3'!A123</f>
        <v>3</v>
      </c>
      <c r="N123" t="str">
        <f>'шпоргалка-3'!B123</f>
        <v>резерв</v>
      </c>
      <c r="O123" s="59" t="str">
        <f>'шпоргалка-3'!C123</f>
        <v/>
      </c>
      <c r="P123" s="61" t="str">
        <f>'шпоргалка-3'!D123</f>
        <v/>
      </c>
      <c r="Q123" t="str">
        <f>'шпоргалка-3'!E123</f>
        <v/>
      </c>
    </row>
    <row r="124" spans="1:17" x14ac:dyDescent="0.25">
      <c r="A124">
        <v>8</v>
      </c>
      <c r="B124" t="str">
        <f>IF('SV777-2 (SV004)'!N414&lt;1,"резерв",'SV777-2 (SV004)'!N414)</f>
        <v>резерв</v>
      </c>
      <c r="C124" s="59" t="str">
        <f>'SV777-2 (SV004)'!N415</f>
        <v/>
      </c>
      <c r="D124" s="60" t="str">
        <f>IF(B92="резерв","",'SV777-2 (SV004)'!P415)</f>
        <v/>
      </c>
      <c r="E124" t="str">
        <f>IF('SV777-2 (SV004)'!P414&lt;1,"","ШЛ."&amp;'SV777-2 (SV004)'!P414)</f>
        <v/>
      </c>
      <c r="G124">
        <f>'шпоргалка-2'!A124</f>
        <v>4</v>
      </c>
      <c r="H124" t="str">
        <f>'шпоргалка-2'!B124</f>
        <v>резерв</v>
      </c>
      <c r="I124" s="59" t="str">
        <f>'шпоргалка-2'!C124</f>
        <v/>
      </c>
      <c r="J124" s="61" t="str">
        <f>'шпоргалка-2'!D124</f>
        <v/>
      </c>
      <c r="K124" t="str">
        <f>'шпоргалка-2'!E124</f>
        <v/>
      </c>
      <c r="M124">
        <f>'шпоргалка-3'!A124</f>
        <v>4</v>
      </c>
      <c r="N124" t="str">
        <f>'шпоргалка-3'!B124</f>
        <v>резерв</v>
      </c>
      <c r="O124" s="59" t="str">
        <f>'шпоргалка-3'!C124</f>
        <v/>
      </c>
      <c r="P124" s="61" t="str">
        <f>'шпоргалка-3'!D124</f>
        <v/>
      </c>
      <c r="Q124" t="str">
        <f>'шпоргалка-3'!E124</f>
        <v/>
      </c>
    </row>
    <row r="125" spans="1:17" x14ac:dyDescent="0.25">
      <c r="A125">
        <f>'шпоргалка-1'!A125</f>
        <v>0</v>
      </c>
      <c r="B125" t="s">
        <v>179</v>
      </c>
      <c r="C125" s="59">
        <f>'шпоргалка-1'!C125</f>
        <v>0</v>
      </c>
      <c r="D125" s="61">
        <f>'шпоргалка-1'!D125</f>
        <v>0</v>
      </c>
      <c r="E125">
        <f>'шпоргалка-1'!E125</f>
        <v>0</v>
      </c>
      <c r="G125">
        <f>'шпоргалка-2'!A125</f>
        <v>5</v>
      </c>
      <c r="H125" t="str">
        <f>'шпоргалка-2'!B125</f>
        <v>резерв</v>
      </c>
      <c r="I125" s="59" t="str">
        <f>'шпоргалка-2'!C125</f>
        <v/>
      </c>
      <c r="J125" s="61" t="str">
        <f>'шпоргалка-2'!D125</f>
        <v/>
      </c>
      <c r="K125" t="str">
        <f>'шпоргалка-2'!E125</f>
        <v/>
      </c>
      <c r="M125">
        <f>'шпоргалка-3'!A125</f>
        <v>5</v>
      </c>
      <c r="N125" t="str">
        <f>'шпоргалка-3'!B125</f>
        <v>резерв</v>
      </c>
      <c r="O125" s="59" t="str">
        <f>'шпоргалка-3'!C125</f>
        <v/>
      </c>
      <c r="P125" s="61" t="str">
        <f>'шпоргалка-3'!D125</f>
        <v/>
      </c>
      <c r="Q125" t="str">
        <f>'шпоргалка-3'!E125</f>
        <v/>
      </c>
    </row>
    <row r="126" spans="1:17" x14ac:dyDescent="0.25">
      <c r="A126">
        <v>1</v>
      </c>
      <c r="B126" t="str">
        <f>IF('SV777-2 (SV004)'!B436&lt;1,"резерв",'SV777-2 (SV004)'!B436)</f>
        <v>резерв</v>
      </c>
      <c r="C126" s="59" t="str">
        <f>'SV777-2 (SV004)'!B437</f>
        <v/>
      </c>
      <c r="D126" s="60" t="str">
        <f>IF(B94="резерв","",'SV777-2 (SV004)'!D437)</f>
        <v/>
      </c>
      <c r="E126" t="str">
        <f>IF('SV777-2 (SV004)'!D436&lt;1,"","ШЛ."&amp;'SV777-2 (SV004)'!D436)</f>
        <v/>
      </c>
      <c r="G126">
        <f>'шпоргалка-2'!A126</f>
        <v>6</v>
      </c>
      <c r="H126" t="str">
        <f>'шпоргалка-2'!B126</f>
        <v>резерв</v>
      </c>
      <c r="I126" s="59" t="str">
        <f>'шпоргалка-2'!C126</f>
        <v/>
      </c>
      <c r="J126" s="61" t="str">
        <f>'шпоргалка-2'!D126</f>
        <v/>
      </c>
      <c r="K126" t="str">
        <f>'шпоргалка-2'!E126</f>
        <v/>
      </c>
      <c r="M126">
        <f>'шпоргалка-3'!A126</f>
        <v>6</v>
      </c>
      <c r="N126" t="str">
        <f>'шпоргалка-3'!B126</f>
        <v>резерв</v>
      </c>
      <c r="O126" s="59" t="str">
        <f>'шпоргалка-3'!C126</f>
        <v/>
      </c>
      <c r="P126" s="61" t="str">
        <f>'шпоргалка-3'!D126</f>
        <v/>
      </c>
      <c r="Q126" t="str">
        <f>'шпоргалка-3'!E126</f>
        <v/>
      </c>
    </row>
    <row r="127" spans="1:17" x14ac:dyDescent="0.25">
      <c r="A127">
        <v>2</v>
      </c>
      <c r="B127" t="str">
        <f>IF('SV777-2 (SV004)'!F436&lt;1,"резерв",'SV777-2 (SV004)'!F436)</f>
        <v>резерв</v>
      </c>
      <c r="C127" s="59" t="str">
        <f>'SV777-2 (SV004)'!F437</f>
        <v/>
      </c>
      <c r="D127" s="60" t="str">
        <f>IF(B95="резерв","",'SV777-2 (SV004)'!H437)</f>
        <v/>
      </c>
      <c r="E127" t="str">
        <f>IF('SV777-2 (SV004)'!H436&lt;1,"","ШЛ."&amp;'SV777-2 (SV004)'!H436)</f>
        <v/>
      </c>
      <c r="G127">
        <f>'шпоргалка-2'!A127</f>
        <v>7</v>
      </c>
      <c r="H127" t="str">
        <f>'шпоргалка-2'!B127</f>
        <v>резерв</v>
      </c>
      <c r="I127" s="59" t="str">
        <f>'шпоргалка-2'!C127</f>
        <v/>
      </c>
      <c r="J127" s="61" t="str">
        <f>'шпоргалка-2'!D127</f>
        <v/>
      </c>
      <c r="K127" t="str">
        <f>'шпоргалка-2'!E127</f>
        <v/>
      </c>
      <c r="M127">
        <f>'шпоргалка-3'!A127</f>
        <v>7</v>
      </c>
      <c r="N127" t="str">
        <f>'шпоргалка-3'!B127</f>
        <v>резерв</v>
      </c>
      <c r="O127" s="59" t="str">
        <f>'шпоргалка-3'!C127</f>
        <v/>
      </c>
      <c r="P127" s="61" t="str">
        <f>'шпоргалка-3'!D127</f>
        <v/>
      </c>
      <c r="Q127" t="str">
        <f>'шпоргалка-3'!E127</f>
        <v/>
      </c>
    </row>
    <row r="128" spans="1:17" x14ac:dyDescent="0.25">
      <c r="A128">
        <v>3</v>
      </c>
      <c r="B128" t="str">
        <f>IF('SV777-2 (SV004)'!J436&lt;1,"резерв",'SV777-2 (SV004)'!J436)</f>
        <v>резерв</v>
      </c>
      <c r="C128" s="59" t="str">
        <f>'SV777-2 (SV004)'!J437</f>
        <v/>
      </c>
      <c r="D128" s="60" t="str">
        <f>IF(B96="резерв","",'SV777-2 (SV004)'!L437)</f>
        <v/>
      </c>
      <c r="E128" t="str">
        <f>IF('SV777-2 (SV004)'!L436&lt;1,"","ШЛ."&amp;'SV777-2 (SV004)'!L436)</f>
        <v/>
      </c>
      <c r="G128">
        <f>'шпоргалка-2'!A128</f>
        <v>8</v>
      </c>
      <c r="H128" t="str">
        <f>'шпоргалка-2'!B128</f>
        <v>резерв</v>
      </c>
      <c r="I128" s="59" t="str">
        <f>'шпоргалка-2'!C128</f>
        <v/>
      </c>
      <c r="J128" s="61" t="str">
        <f>'шпоргалка-2'!D128</f>
        <v/>
      </c>
      <c r="K128" t="str">
        <f>'шпоргалка-2'!E128</f>
        <v/>
      </c>
      <c r="M128">
        <f>'шпоргалка-3'!A128</f>
        <v>8</v>
      </c>
      <c r="N128" t="str">
        <f>'шпоргалка-3'!B128</f>
        <v>резерв</v>
      </c>
      <c r="O128" s="59" t="str">
        <f>'шпоргалка-3'!C128</f>
        <v/>
      </c>
      <c r="P128" s="61" t="str">
        <f>'шпоргалка-3'!D128</f>
        <v/>
      </c>
      <c r="Q128" t="str">
        <f>'шпоргалка-3'!E128</f>
        <v/>
      </c>
    </row>
    <row r="129" spans="1:17" x14ac:dyDescent="0.25">
      <c r="A129">
        <v>4</v>
      </c>
      <c r="B129" t="str">
        <f>IF('SV777-2 (SV004)'!N436&lt;1,"резерв",'SV777-2 (SV004)'!N436)</f>
        <v>резерв</v>
      </c>
      <c r="C129" s="59" t="str">
        <f>'SV777-2 (SV004)'!N437</f>
        <v/>
      </c>
      <c r="D129" s="60" t="str">
        <f>IF(B97="резерв","",'SV777-2 (SV004)'!P437)</f>
        <v/>
      </c>
      <c r="E129" t="str">
        <f>IF('SV777-2 (SV004)'!P436&lt;1,"","ШЛ."&amp;'SV777-2 (SV004)'!P436)</f>
        <v/>
      </c>
      <c r="H129" t="str">
        <f>'шпоргалка-2'!B129</f>
        <v>SV004 - 15</v>
      </c>
      <c r="N129" t="str">
        <f>'шпоргалка-3'!B129</f>
        <v>SV004 - 15</v>
      </c>
    </row>
    <row r="130" spans="1:17" x14ac:dyDescent="0.25">
      <c r="A130">
        <v>5</v>
      </c>
      <c r="B130" t="str">
        <f>IF('SV777-2 (SV004)'!B456&lt;1,"резерв",'SV777-2 (SV004)'!B456)</f>
        <v>резерв</v>
      </c>
      <c r="C130" s="59" t="str">
        <f>'SV777-2 (SV004)'!B457</f>
        <v/>
      </c>
      <c r="D130" s="60">
        <f>IF(B98="резерв","",'SV777-2 (SV004)'!D457)</f>
        <v>0</v>
      </c>
      <c r="E130" t="str">
        <f>IF('SV777-2 (SV004)'!D456&lt;1,"","ШЛ."&amp;'SV777-2 (SV004)'!D456)</f>
        <v/>
      </c>
      <c r="G130">
        <f>'шпоргалка-2'!A130</f>
        <v>1</v>
      </c>
      <c r="H130" t="str">
        <f>'шпоргалка-2'!B130</f>
        <v>резерв</v>
      </c>
      <c r="I130" s="59" t="str">
        <f>'шпоргалка-2'!C130</f>
        <v/>
      </c>
      <c r="J130" s="61" t="str">
        <f>'шпоргалка-2'!D130</f>
        <v/>
      </c>
      <c r="K130" t="str">
        <f>'шпоргалка-2'!E130</f>
        <v/>
      </c>
      <c r="M130">
        <f>'шпоргалка-3'!A130</f>
        <v>1</v>
      </c>
      <c r="N130" t="str">
        <f>'шпоргалка-3'!B130</f>
        <v>резерв</v>
      </c>
      <c r="O130" s="59" t="str">
        <f>'шпоргалка-3'!C130</f>
        <v/>
      </c>
      <c r="P130" s="61" t="str">
        <f>'шпоргалка-3'!D130</f>
        <v/>
      </c>
      <c r="Q130" t="str">
        <f>'шпоргалка-3'!E130</f>
        <v/>
      </c>
    </row>
    <row r="131" spans="1:17" x14ac:dyDescent="0.25">
      <c r="A131">
        <v>6</v>
      </c>
      <c r="B131" t="str">
        <f>IF('SV777-2 (SV004)'!F456&lt;1,"резерв",'SV777-2 (SV004)'!F456)</f>
        <v>резерв</v>
      </c>
      <c r="C131" s="59" t="str">
        <f>'SV777-2 (SV004)'!F457</f>
        <v/>
      </c>
      <c r="D131" s="60" t="str">
        <f>IF(B99="резерв","",'SV777-2 (SV004)'!H457)</f>
        <v/>
      </c>
      <c r="E131" t="str">
        <f>IF('SV777-2 (SV004)'!H456&lt;1,"","ШЛ."&amp;'SV777-2 (SV004)'!H456)</f>
        <v/>
      </c>
      <c r="G131">
        <f>'шпоргалка-2'!A131</f>
        <v>2</v>
      </c>
      <c r="H131" t="str">
        <f>'шпоргалка-2'!B131</f>
        <v>резерв</v>
      </c>
      <c r="I131" s="59" t="str">
        <f>'шпоргалка-2'!C131</f>
        <v/>
      </c>
      <c r="J131" s="61" t="str">
        <f>'шпоргалка-2'!D131</f>
        <v/>
      </c>
      <c r="K131" t="str">
        <f>'шпоргалка-2'!E131</f>
        <v/>
      </c>
      <c r="M131">
        <f>'шпоргалка-3'!A131</f>
        <v>2</v>
      </c>
      <c r="N131" t="str">
        <f>'шпоргалка-3'!B131</f>
        <v>резерв</v>
      </c>
      <c r="O131" s="59" t="str">
        <f>'шпоргалка-3'!C131</f>
        <v/>
      </c>
      <c r="P131" s="61" t="str">
        <f>'шпоргалка-3'!D131</f>
        <v/>
      </c>
      <c r="Q131" t="str">
        <f>'шпоргалка-3'!E131</f>
        <v/>
      </c>
    </row>
    <row r="132" spans="1:17" x14ac:dyDescent="0.25">
      <c r="A132">
        <v>7</v>
      </c>
      <c r="B132" t="str">
        <f>IF('SV777-2 (SV004)'!J456&lt;1,"резерв",'SV777-2 (SV004)'!J456)</f>
        <v>резерв</v>
      </c>
      <c r="C132" s="59" t="str">
        <f>'SV777-2 (SV004)'!J457</f>
        <v/>
      </c>
      <c r="D132" s="60" t="str">
        <f>IF(B100="резерв","",'SV777-2 (SV004)'!L457)</f>
        <v/>
      </c>
      <c r="E132" t="str">
        <f>IF('SV777-2 (SV004)'!L456&lt;1,"","ШЛ."&amp;'SV777-2 (SV004)'!L456)</f>
        <v/>
      </c>
      <c r="G132">
        <f>'шпоргалка-2'!A132</f>
        <v>3</v>
      </c>
      <c r="H132" t="str">
        <f>'шпоргалка-2'!B132</f>
        <v>резерв</v>
      </c>
      <c r="I132" s="59" t="str">
        <f>'шпоргалка-2'!C132</f>
        <v/>
      </c>
      <c r="J132" s="61" t="str">
        <f>'шпоргалка-2'!D132</f>
        <v/>
      </c>
      <c r="K132" t="str">
        <f>'шпоргалка-2'!E132</f>
        <v/>
      </c>
      <c r="M132">
        <f>'шпоргалка-3'!A132</f>
        <v>3</v>
      </c>
      <c r="N132" t="str">
        <f>'шпоргалка-3'!B132</f>
        <v>резерв</v>
      </c>
      <c r="O132" s="59" t="str">
        <f>'шпоргалка-3'!C132</f>
        <v/>
      </c>
      <c r="P132" s="61" t="str">
        <f>'шпоргалка-3'!D132</f>
        <v/>
      </c>
      <c r="Q132" t="str">
        <f>'шпоргалка-3'!E132</f>
        <v/>
      </c>
    </row>
    <row r="133" spans="1:17" x14ac:dyDescent="0.25">
      <c r="A133">
        <v>8</v>
      </c>
      <c r="B133" t="str">
        <f>IF('SV777-2 (SV004)'!N456&lt;1,"резерв",'SV777-2 (SV004)'!N456)</f>
        <v>резерв</v>
      </c>
      <c r="C133" s="59" t="str">
        <f>'SV777-2 (SV004)'!N457</f>
        <v/>
      </c>
      <c r="D133" s="60" t="str">
        <f>IF(B101="резерв","",'SV777-2 (SV004)'!P457)</f>
        <v/>
      </c>
      <c r="E133" t="str">
        <f>IF('SV777-2 (SV004)'!P456&lt;1,"","ШЛ."&amp;'SV777-2 (SV004)'!P456)</f>
        <v/>
      </c>
      <c r="G133">
        <f>'шпоргалка-2'!A133</f>
        <v>4</v>
      </c>
      <c r="H133" t="str">
        <f>'шпоргалка-2'!B133</f>
        <v>резерв</v>
      </c>
      <c r="I133" s="59" t="str">
        <f>'шпоргалка-2'!C133</f>
        <v/>
      </c>
      <c r="J133" s="61" t="str">
        <f>'шпоргалка-2'!D133</f>
        <v/>
      </c>
      <c r="K133" t="str">
        <f>'шпоргалка-2'!E133</f>
        <v/>
      </c>
      <c r="M133">
        <f>'шпоргалка-3'!A133</f>
        <v>4</v>
      </c>
      <c r="N133" t="str">
        <f>'шпоргалка-3'!B133</f>
        <v>резерв</v>
      </c>
      <c r="O133" s="59" t="str">
        <f>'шпоргалка-3'!C133</f>
        <v/>
      </c>
      <c r="P133" s="61" t="str">
        <f>'шпоргалка-3'!D133</f>
        <v/>
      </c>
      <c r="Q133" t="str">
        <f>'шпоргалка-3'!E133</f>
        <v/>
      </c>
    </row>
    <row r="134" spans="1:17" x14ac:dyDescent="0.25">
      <c r="A134">
        <f>'шпоргалка-1'!A134</f>
        <v>0</v>
      </c>
      <c r="B134" t="s">
        <v>180</v>
      </c>
      <c r="C134" s="59">
        <f>'шпоргалка-1'!C134</f>
        <v>0</v>
      </c>
      <c r="D134" s="61">
        <f>'шпоргалка-1'!D134</f>
        <v>0</v>
      </c>
      <c r="E134">
        <f>'шпоргалка-1'!E134</f>
        <v>0</v>
      </c>
      <c r="G134">
        <f>'шпоргалка-2'!A134</f>
        <v>5</v>
      </c>
      <c r="H134" t="str">
        <f>'шпоргалка-2'!B134</f>
        <v>резерв</v>
      </c>
      <c r="I134" s="59" t="str">
        <f>'шпоргалка-2'!C134</f>
        <v/>
      </c>
      <c r="J134" s="61" t="str">
        <f>'шпоргалка-2'!D134</f>
        <v/>
      </c>
      <c r="K134" t="str">
        <f>'шпоргалка-2'!E134</f>
        <v/>
      </c>
      <c r="M134">
        <f>'шпоргалка-3'!A134</f>
        <v>5</v>
      </c>
      <c r="N134" t="str">
        <f>'шпоргалка-3'!B134</f>
        <v>резерв</v>
      </c>
      <c r="O134" s="59" t="str">
        <f>'шпоргалка-3'!C134</f>
        <v/>
      </c>
      <c r="P134" s="61" t="str">
        <f>'шпоргалка-3'!D134</f>
        <v/>
      </c>
      <c r="Q134" t="str">
        <f>'шпоргалка-3'!E134</f>
        <v/>
      </c>
    </row>
    <row r="135" spans="1:17" x14ac:dyDescent="0.25">
      <c r="A135">
        <v>1</v>
      </c>
      <c r="B135" t="str">
        <f>IF('SV777-2 (SV004)'!B478&lt;1,"резерв",'SV777-2 (SV004)'!B478)</f>
        <v>резерв</v>
      </c>
      <c r="C135" s="59" t="str">
        <f>'SV777-2 (SV004)'!B479</f>
        <v/>
      </c>
      <c r="D135" s="60" t="str">
        <f>IF(B103="резерв","",'SV777-2 (SV004)'!D479)</f>
        <v/>
      </c>
      <c r="E135" t="str">
        <f>IF('SV777-2 (SV004)'!D478&lt;1,"","ШЛ."&amp;'SV777-2 (SV004)'!D478)</f>
        <v/>
      </c>
      <c r="G135">
        <f>'шпоргалка-2'!A135</f>
        <v>6</v>
      </c>
      <c r="H135" t="str">
        <f>'шпоргалка-2'!B135</f>
        <v>резерв</v>
      </c>
      <c r="I135" s="59" t="str">
        <f>'шпоргалка-2'!C135</f>
        <v/>
      </c>
      <c r="J135" s="61" t="str">
        <f>'шпоргалка-2'!D135</f>
        <v/>
      </c>
      <c r="K135" t="str">
        <f>'шпоргалка-2'!E135</f>
        <v/>
      </c>
      <c r="M135">
        <f>'шпоргалка-3'!A135</f>
        <v>6</v>
      </c>
      <c r="N135" t="str">
        <f>'шпоргалка-3'!B135</f>
        <v>резерв</v>
      </c>
      <c r="O135" s="59" t="str">
        <f>'шпоргалка-3'!C135</f>
        <v/>
      </c>
      <c r="P135" s="61" t="str">
        <f>'шпоргалка-3'!D135</f>
        <v/>
      </c>
      <c r="Q135" t="str">
        <f>'шпоргалка-3'!E135</f>
        <v/>
      </c>
    </row>
    <row r="136" spans="1:17" x14ac:dyDescent="0.25">
      <c r="A136">
        <v>2</v>
      </c>
      <c r="B136" t="str">
        <f>IF('SV777-2 (SV004)'!F478&lt;1,"резерв",'SV777-2 (SV004)'!F478)</f>
        <v>резерв</v>
      </c>
      <c r="C136" s="59" t="str">
        <f>'SV777-2 (SV004)'!F479</f>
        <v/>
      </c>
      <c r="D136" s="60" t="str">
        <f>IF(B104="резерв","",'SV777-2 (SV004)'!H479)</f>
        <v/>
      </c>
      <c r="E136" t="str">
        <f>IF('SV777-2 (SV004)'!H478&lt;1,"","ШЛ."&amp;'SV777-2 (SV004)'!H478)</f>
        <v/>
      </c>
      <c r="G136">
        <f>'шпоргалка-2'!A136</f>
        <v>7</v>
      </c>
      <c r="H136" t="str">
        <f>'шпоргалка-2'!B136</f>
        <v>резерв</v>
      </c>
      <c r="I136" s="59" t="str">
        <f>'шпоргалка-2'!C136</f>
        <v/>
      </c>
      <c r="J136" s="61" t="str">
        <f>'шпоргалка-2'!D136</f>
        <v/>
      </c>
      <c r="K136" t="str">
        <f>'шпоргалка-2'!E136</f>
        <v/>
      </c>
      <c r="M136">
        <f>'шпоргалка-3'!A136</f>
        <v>7</v>
      </c>
      <c r="N136" t="str">
        <f>'шпоргалка-3'!B136</f>
        <v>резерв</v>
      </c>
      <c r="O136" s="59" t="str">
        <f>'шпоргалка-3'!C136</f>
        <v/>
      </c>
      <c r="P136" s="61" t="str">
        <f>'шпоргалка-3'!D136</f>
        <v/>
      </c>
      <c r="Q136" t="str">
        <f>'шпоргалка-3'!E136</f>
        <v/>
      </c>
    </row>
    <row r="137" spans="1:17" x14ac:dyDescent="0.25">
      <c r="A137">
        <v>3</v>
      </c>
      <c r="B137" t="str">
        <f>IF('SV777-2 (SV004)'!J478&lt;1,"резерв",'SV777-2 (SV004)'!J478)</f>
        <v>резерв</v>
      </c>
      <c r="C137" s="59" t="str">
        <f>'SV777-2 (SV004)'!J479</f>
        <v/>
      </c>
      <c r="D137" s="60" t="str">
        <f>IF(B105="резерв","",'SV777-2 (SV004)'!L479)</f>
        <v/>
      </c>
      <c r="E137" t="str">
        <f>IF('SV777-2 (SV004)'!L478&lt;1,"","ШЛ."&amp;'SV777-2 (SV004)'!L478)</f>
        <v/>
      </c>
      <c r="G137">
        <f>'шпоргалка-2'!A137</f>
        <v>8</v>
      </c>
      <c r="H137" t="str">
        <f>'шпоргалка-2'!B137</f>
        <v>резерв</v>
      </c>
      <c r="I137" s="59" t="str">
        <f>'шпоргалка-2'!C137</f>
        <v/>
      </c>
      <c r="J137" s="61" t="str">
        <f>'шпоргалка-2'!D137</f>
        <v/>
      </c>
      <c r="K137" t="str">
        <f>'шпоргалка-2'!E137</f>
        <v/>
      </c>
      <c r="M137">
        <f>'шпоргалка-3'!A137</f>
        <v>8</v>
      </c>
      <c r="N137" t="str">
        <f>'шпоргалка-3'!B137</f>
        <v>резерв</v>
      </c>
      <c r="O137" s="59" t="str">
        <f>'шпоргалка-3'!C137</f>
        <v/>
      </c>
      <c r="P137" s="61" t="str">
        <f>'шпоргалка-3'!D137</f>
        <v/>
      </c>
      <c r="Q137" t="str">
        <f>'шпоргалка-3'!E137</f>
        <v/>
      </c>
    </row>
    <row r="138" spans="1:17" x14ac:dyDescent="0.25">
      <c r="A138">
        <v>4</v>
      </c>
      <c r="B138" t="str">
        <f>IF('SV777-2 (SV004)'!N478&lt;1,"резерв",'SV777-2 (SV004)'!N478)</f>
        <v>резерв</v>
      </c>
      <c r="C138" s="59" t="str">
        <f>'SV777-2 (SV004)'!N479</f>
        <v/>
      </c>
      <c r="D138" s="60" t="str">
        <f>IF(B106="резерв","",'SV777-2 (SV004)'!P479)</f>
        <v/>
      </c>
      <c r="E138" t="str">
        <f>IF('SV777-2 (SV004)'!P478&lt;1,"","ШЛ."&amp;'SV777-2 (SV004)'!P478)</f>
        <v/>
      </c>
      <c r="H138" t="str">
        <f>'шпоргалка-2'!B138</f>
        <v>SV004 - 16</v>
      </c>
      <c r="N138" t="str">
        <f>'шпоргалка-3'!B138</f>
        <v>SV004 - 16</v>
      </c>
    </row>
    <row r="139" spans="1:17" x14ac:dyDescent="0.25">
      <c r="A139">
        <v>5</v>
      </c>
      <c r="B139" t="str">
        <f>IF('SV777-2 (SV004)'!B498&lt;1,"резерв",'SV777-2 (SV004)'!B498)</f>
        <v>резерв</v>
      </c>
      <c r="C139" s="59" t="str">
        <f>'SV777-2 (SV004)'!B499</f>
        <v/>
      </c>
      <c r="D139" s="60">
        <f>IF(B107="резерв","",'SV777-2 (SV004)'!D499)</f>
        <v>0</v>
      </c>
      <c r="E139" t="str">
        <f>IF('SV777-2 (SV004)'!D498&lt;1,"","ШЛ."&amp;'SV777-2 (SV004)'!D498)</f>
        <v/>
      </c>
      <c r="G139">
        <f>'шпоргалка-2'!A139</f>
        <v>1</v>
      </c>
      <c r="H139" t="str">
        <f>'шпоргалка-2'!B139</f>
        <v>резерв</v>
      </c>
      <c r="I139" s="59" t="str">
        <f>'шпоргалка-2'!C139</f>
        <v/>
      </c>
      <c r="J139" s="61" t="str">
        <f>'шпоргалка-2'!D139</f>
        <v/>
      </c>
      <c r="K139" t="str">
        <f>'шпоргалка-2'!E139</f>
        <v/>
      </c>
      <c r="M139">
        <f>'шпоргалка-3'!A139</f>
        <v>1</v>
      </c>
      <c r="N139" t="str">
        <f>'шпоргалка-3'!B139</f>
        <v>резерв</v>
      </c>
      <c r="O139" s="59" t="str">
        <f>'шпоргалка-3'!C139</f>
        <v/>
      </c>
      <c r="P139" s="61" t="str">
        <f>'шпоргалка-3'!D139</f>
        <v/>
      </c>
      <c r="Q139" t="str">
        <f>'шпоргалка-3'!E139</f>
        <v/>
      </c>
    </row>
    <row r="140" spans="1:17" x14ac:dyDescent="0.25">
      <c r="A140">
        <v>6</v>
      </c>
      <c r="B140" t="str">
        <f>IF('SV777-2 (SV004)'!F498&lt;1,"резерв",'SV777-2 (SV004)'!F498)</f>
        <v>резерв</v>
      </c>
      <c r="C140" s="59" t="str">
        <f>'SV777-2 (SV004)'!F499</f>
        <v/>
      </c>
      <c r="D140" s="60" t="str">
        <f>IF(B108="резерв","",'SV777-2 (SV004)'!H499)</f>
        <v/>
      </c>
      <c r="E140" t="str">
        <f>IF('SV777-2 (SV004)'!H498&lt;1,"","ШЛ."&amp;'SV777-2 (SV004)'!H498)</f>
        <v/>
      </c>
      <c r="G140">
        <f>'шпоргалка-2'!A140</f>
        <v>2</v>
      </c>
      <c r="H140" t="str">
        <f>'шпоргалка-2'!B140</f>
        <v>резерв</v>
      </c>
      <c r="I140" s="59" t="str">
        <f>'шпоргалка-2'!C140</f>
        <v/>
      </c>
      <c r="J140" s="61" t="str">
        <f>'шпоргалка-2'!D140</f>
        <v/>
      </c>
      <c r="K140" t="str">
        <f>'шпоргалка-2'!E140</f>
        <v/>
      </c>
      <c r="M140">
        <f>'шпоргалка-3'!A140</f>
        <v>2</v>
      </c>
      <c r="N140" t="str">
        <f>'шпоргалка-3'!B140</f>
        <v>резерв</v>
      </c>
      <c r="O140" s="59" t="str">
        <f>'шпоргалка-3'!C140</f>
        <v/>
      </c>
      <c r="P140" s="61" t="str">
        <f>'шпоргалка-3'!D140</f>
        <v/>
      </c>
      <c r="Q140" t="str">
        <f>'шпоргалка-3'!E140</f>
        <v/>
      </c>
    </row>
    <row r="141" spans="1:17" x14ac:dyDescent="0.25">
      <c r="A141">
        <v>7</v>
      </c>
      <c r="B141" t="str">
        <f>IF('SV777-2 (SV004)'!J498&lt;1,"резерв",'SV777-2 (SV004)'!J498)</f>
        <v>резерв</v>
      </c>
      <c r="C141" s="59" t="str">
        <f>'SV777-2 (SV004)'!J499</f>
        <v/>
      </c>
      <c r="D141" s="60" t="str">
        <f>IF(B109="резерв","",'SV777-2 (SV004)'!L499)</f>
        <v/>
      </c>
      <c r="E141" t="str">
        <f>IF('SV777-2 (SV004)'!L498&lt;1,"","ШЛ."&amp;'SV777-2 (SV004)'!L498)</f>
        <v/>
      </c>
      <c r="G141">
        <f>'шпоргалка-2'!A141</f>
        <v>3</v>
      </c>
      <c r="H141" t="str">
        <f>'шпоргалка-2'!B141</f>
        <v>резерв</v>
      </c>
      <c r="I141" s="59" t="str">
        <f>'шпоргалка-2'!C141</f>
        <v/>
      </c>
      <c r="J141" s="61" t="str">
        <f>'шпоргалка-2'!D141</f>
        <v/>
      </c>
      <c r="K141" t="str">
        <f>'шпоргалка-2'!E141</f>
        <v/>
      </c>
      <c r="M141">
        <f>'шпоргалка-3'!A141</f>
        <v>3</v>
      </c>
      <c r="N141" t="str">
        <f>'шпоргалка-3'!B141</f>
        <v>резерв</v>
      </c>
      <c r="O141" s="59" t="str">
        <f>'шпоргалка-3'!C141</f>
        <v/>
      </c>
      <c r="P141" s="61" t="str">
        <f>'шпоргалка-3'!D141</f>
        <v/>
      </c>
      <c r="Q141" t="str">
        <f>'шпоргалка-3'!E141</f>
        <v/>
      </c>
    </row>
    <row r="142" spans="1:17" x14ac:dyDescent="0.25">
      <c r="A142">
        <v>8</v>
      </c>
      <c r="B142" t="str">
        <f>IF('SV777-2 (SV004)'!N498&lt;1,"резерв",'SV777-2 (SV004)'!N498)</f>
        <v>резерв</v>
      </c>
      <c r="C142" s="59" t="str">
        <f>'SV777-2 (SV004)'!N499</f>
        <v/>
      </c>
      <c r="D142" s="60" t="str">
        <f>IF(B110="резерв","",'SV777-2 (SV004)'!P499)</f>
        <v/>
      </c>
      <c r="E142" t="str">
        <f>IF('SV777-2 (SV004)'!P498&lt;1,"","ШЛ."&amp;'SV777-2 (SV004)'!P498)</f>
        <v/>
      </c>
      <c r="G142">
        <f>'шпоргалка-2'!A142</f>
        <v>4</v>
      </c>
      <c r="H142" t="str">
        <f>'шпоргалка-2'!B142</f>
        <v>резерв</v>
      </c>
      <c r="I142" s="59" t="str">
        <f>'шпоргалка-2'!C142</f>
        <v/>
      </c>
      <c r="J142" s="61" t="str">
        <f>'шпоргалка-2'!D142</f>
        <v/>
      </c>
      <c r="K142" t="str">
        <f>'шпоргалка-2'!E142</f>
        <v/>
      </c>
      <c r="M142">
        <f>'шпоргалка-3'!A142</f>
        <v>4</v>
      </c>
      <c r="N142" t="str">
        <f>'шпоргалка-3'!B142</f>
        <v>резерв</v>
      </c>
      <c r="O142" s="59" t="str">
        <f>'шпоргалка-3'!C142</f>
        <v/>
      </c>
      <c r="P142" s="61" t="str">
        <f>'шпоргалка-3'!D142</f>
        <v/>
      </c>
      <c r="Q142" t="str">
        <f>'шпоргалка-3'!E142</f>
        <v/>
      </c>
    </row>
    <row r="143" spans="1:17" x14ac:dyDescent="0.25">
      <c r="A143">
        <f>'шпоргалка-1'!A143</f>
        <v>0</v>
      </c>
      <c r="B143" t="s">
        <v>181</v>
      </c>
      <c r="C143" s="59">
        <f>'шпоргалка-1'!C143</f>
        <v>0</v>
      </c>
      <c r="D143" s="61">
        <f>'шпоргалка-1'!D143</f>
        <v>0</v>
      </c>
      <c r="E143">
        <f>'шпоргалка-1'!E143</f>
        <v>0</v>
      </c>
      <c r="G143">
        <f>'шпоргалка-2'!A143</f>
        <v>5</v>
      </c>
      <c r="H143" t="str">
        <f>'шпоргалка-2'!B143</f>
        <v>резерв</v>
      </c>
      <c r="I143" s="59" t="str">
        <f>'шпоргалка-2'!C143</f>
        <v/>
      </c>
      <c r="J143" s="61" t="str">
        <f>'шпоргалка-2'!D143</f>
        <v/>
      </c>
      <c r="K143" t="str">
        <f>'шпоргалка-2'!E143</f>
        <v/>
      </c>
      <c r="M143">
        <f>'шпоргалка-3'!A143</f>
        <v>5</v>
      </c>
      <c r="N143" t="str">
        <f>'шпоргалка-3'!B143</f>
        <v>резерв</v>
      </c>
      <c r="O143" s="59" t="str">
        <f>'шпоргалка-3'!C143</f>
        <v/>
      </c>
      <c r="P143" s="61" t="str">
        <f>'шпоргалка-3'!D143</f>
        <v/>
      </c>
      <c r="Q143" t="str">
        <f>'шпоргалка-3'!E143</f>
        <v/>
      </c>
    </row>
    <row r="144" spans="1:17" x14ac:dyDescent="0.25">
      <c r="A144">
        <v>1</v>
      </c>
      <c r="B144" t="str">
        <f>IF('SV777-2 (SV004)'!B520&lt;1,"резерв",'SV777-2 (SV004)'!B520)</f>
        <v>резерв</v>
      </c>
      <c r="C144" s="59" t="str">
        <f>'SV777-2 (SV004)'!B521</f>
        <v/>
      </c>
      <c r="D144" s="60" t="str">
        <f>IF(B112="резерв","",'SV777-2 (SV004)'!D521)</f>
        <v/>
      </c>
      <c r="E144" t="str">
        <f>IF('SV777-2 (SV004)'!D520&lt;1,"","ШЛ."&amp;'SV777-2 (SV004)'!D520)</f>
        <v/>
      </c>
      <c r="G144">
        <f>'шпоргалка-2'!A144</f>
        <v>6</v>
      </c>
      <c r="H144" t="str">
        <f>'шпоргалка-2'!B144</f>
        <v>резерв</v>
      </c>
      <c r="I144" s="59" t="str">
        <f>'шпоргалка-2'!C144</f>
        <v/>
      </c>
      <c r="J144" s="61" t="str">
        <f>'шпоргалка-2'!D144</f>
        <v/>
      </c>
      <c r="K144" t="str">
        <f>'шпоргалка-2'!E144</f>
        <v/>
      </c>
      <c r="M144">
        <f>'шпоргалка-3'!A144</f>
        <v>6</v>
      </c>
      <c r="N144" t="str">
        <f>'шпоргалка-3'!B144</f>
        <v>резерв</v>
      </c>
      <c r="O144" s="59" t="str">
        <f>'шпоргалка-3'!C144</f>
        <v/>
      </c>
      <c r="P144" s="61" t="str">
        <f>'шпоргалка-3'!D144</f>
        <v/>
      </c>
      <c r="Q144" t="str">
        <f>'шпоргалка-3'!E144</f>
        <v/>
      </c>
    </row>
    <row r="145" spans="1:17" x14ac:dyDescent="0.25">
      <c r="A145">
        <v>2</v>
      </c>
      <c r="B145" t="str">
        <f>IF('SV777-2 (SV004)'!F520&lt;1,"резерв",'SV777-2 (SV004)'!F520)</f>
        <v>резерв</v>
      </c>
      <c r="C145" s="59" t="str">
        <f>'SV777-2 (SV004)'!F521</f>
        <v/>
      </c>
      <c r="D145" s="60" t="str">
        <f>IF(B113="резерв","",'SV777-2 (SV004)'!H521)</f>
        <v/>
      </c>
      <c r="E145" t="str">
        <f>IF('SV777-2 (SV004)'!H520&lt;1,"","ШЛ."&amp;'SV777-2 (SV004)'!H520)</f>
        <v/>
      </c>
      <c r="G145">
        <f>'шпоргалка-2'!A145</f>
        <v>7</v>
      </c>
      <c r="H145" t="str">
        <f>'шпоргалка-2'!B145</f>
        <v>резерв</v>
      </c>
      <c r="I145" s="59" t="str">
        <f>'шпоргалка-2'!C145</f>
        <v/>
      </c>
      <c r="J145" s="61" t="str">
        <f>'шпоргалка-2'!D145</f>
        <v/>
      </c>
      <c r="K145" t="str">
        <f>'шпоргалка-2'!E145</f>
        <v/>
      </c>
      <c r="M145">
        <f>'шпоргалка-3'!A145</f>
        <v>7</v>
      </c>
      <c r="N145" t="str">
        <f>'шпоргалка-3'!B145</f>
        <v>резерв</v>
      </c>
      <c r="O145" s="59" t="str">
        <f>'шпоргалка-3'!C145</f>
        <v/>
      </c>
      <c r="P145" s="61" t="str">
        <f>'шпоргалка-3'!D145</f>
        <v/>
      </c>
      <c r="Q145" t="str">
        <f>'шпоргалка-3'!E145</f>
        <v/>
      </c>
    </row>
    <row r="146" spans="1:17" x14ac:dyDescent="0.25">
      <c r="A146">
        <v>3</v>
      </c>
      <c r="B146" t="str">
        <f>IF('SV777-2 (SV004)'!J520&lt;1,"резерв",'SV777-2 (SV004)'!J520)</f>
        <v>резерв</v>
      </c>
      <c r="C146" s="59" t="str">
        <f>'SV777-2 (SV004)'!J521</f>
        <v/>
      </c>
      <c r="D146" s="60" t="str">
        <f>IF(B114="резерв","",'SV777-2 (SV004)'!L521)</f>
        <v/>
      </c>
      <c r="E146" t="str">
        <f>IF('SV777-2 (SV004)'!L520&lt;1,"","ШЛ."&amp;'SV777-2 (SV004)'!L520)</f>
        <v/>
      </c>
      <c r="G146">
        <f>'шпоргалка-2'!A146</f>
        <v>8</v>
      </c>
      <c r="H146" t="str">
        <f>'шпоргалка-2'!B146</f>
        <v>резерв</v>
      </c>
      <c r="I146" s="59" t="str">
        <f>'шпоргалка-2'!C146</f>
        <v/>
      </c>
      <c r="J146" s="61" t="str">
        <f>'шпоргалка-2'!D146</f>
        <v/>
      </c>
      <c r="K146" t="str">
        <f>'шпоргалка-2'!E146</f>
        <v/>
      </c>
      <c r="M146">
        <f>'шпоргалка-3'!A146</f>
        <v>8</v>
      </c>
      <c r="N146" t="str">
        <f>'шпоргалка-3'!B146</f>
        <v>резерв</v>
      </c>
      <c r="O146" s="59" t="str">
        <f>'шпоргалка-3'!C146</f>
        <v/>
      </c>
      <c r="P146" s="61" t="str">
        <f>'шпоргалка-3'!D146</f>
        <v/>
      </c>
      <c r="Q146" t="str">
        <f>'шпоргалка-3'!E146</f>
        <v/>
      </c>
    </row>
    <row r="147" spans="1:17" x14ac:dyDescent="0.25">
      <c r="A147">
        <v>4</v>
      </c>
      <c r="B147" t="str">
        <f>IF('SV777-2 (SV004)'!N520&lt;1,"резерв",'SV777-2 (SV004)'!N520)</f>
        <v>резерв</v>
      </c>
      <c r="C147" s="59" t="str">
        <f>'SV777-2 (SV004)'!N521</f>
        <v/>
      </c>
      <c r="D147" s="60" t="str">
        <f>IF(B115="резерв","",'SV777-2 (SV004)'!P521)</f>
        <v/>
      </c>
      <c r="E147" t="str">
        <f>IF('SV777-2 (SV004)'!P520&lt;1,"","ШЛ."&amp;'SV777-2 (SV004)'!P520)</f>
        <v/>
      </c>
    </row>
    <row r="148" spans="1:17" x14ac:dyDescent="0.25">
      <c r="A148">
        <v>5</v>
      </c>
      <c r="B148" t="str">
        <f>IF('SV777-2 (SV004)'!B540&lt;1,"резерв",'SV777-2 (SV004)'!B540)</f>
        <v>резерв</v>
      </c>
      <c r="C148" s="59" t="str">
        <f>'SV777-2 (SV004)'!B541</f>
        <v/>
      </c>
      <c r="D148" s="60">
        <f>IF(B116="резерв","",'SV777-2 (SV004)'!D541)</f>
        <v>0</v>
      </c>
      <c r="E148" t="str">
        <f>IF('SV777-2 (SV004)'!D540&lt;1,"","ШЛ."&amp;'SV777-2 (SV004)'!D540)</f>
        <v/>
      </c>
    </row>
    <row r="149" spans="1:17" x14ac:dyDescent="0.25">
      <c r="A149">
        <v>6</v>
      </c>
      <c r="B149" t="str">
        <f>IF('SV777-2 (SV004)'!F540&lt;1,"резерв",'SV777-2 (SV004)'!F540)</f>
        <v>резерв</v>
      </c>
      <c r="C149" s="59" t="str">
        <f>'SV777-2 (SV004)'!F541</f>
        <v/>
      </c>
      <c r="D149" s="60" t="str">
        <f>IF(B117="резерв","",'SV777-2 (SV004)'!H541)</f>
        <v/>
      </c>
      <c r="E149" t="str">
        <f>IF('SV777-2 (SV004)'!H540&lt;1,"","ШЛ."&amp;'SV777-2 (SV004)'!H540)</f>
        <v/>
      </c>
    </row>
    <row r="150" spans="1:17" x14ac:dyDescent="0.25">
      <c r="A150">
        <v>7</v>
      </c>
      <c r="B150" t="str">
        <f>IF('SV777-2 (SV004)'!J540&lt;1,"резерв",'SV777-2 (SV004)'!J540)</f>
        <v>резерв</v>
      </c>
      <c r="C150" s="59" t="str">
        <f>'SV777-2 (SV004)'!J541</f>
        <v/>
      </c>
      <c r="D150" s="60" t="str">
        <f>IF(B118="резерв","",'SV777-2 (SV004)'!L541)</f>
        <v/>
      </c>
      <c r="E150" t="str">
        <f>IF('SV777-2 (SV004)'!L540&lt;1,"","ШЛ."&amp;'SV777-2 (SV004)'!L540)</f>
        <v/>
      </c>
    </row>
    <row r="151" spans="1:17" x14ac:dyDescent="0.25">
      <c r="A151">
        <v>8</v>
      </c>
      <c r="B151" t="str">
        <f>IF('SV777-2 (SV004)'!N540&lt;1,"резерв",'SV777-2 (SV004)'!N540)</f>
        <v>резерв</v>
      </c>
      <c r="C151" s="59" t="str">
        <f>'SV777-2 (SV004)'!N541</f>
        <v/>
      </c>
      <c r="D151" s="60" t="str">
        <f>IF(B119="резерв","",'SV777-2 (SV004)'!P541)</f>
        <v/>
      </c>
      <c r="E151" t="str">
        <f>IF('SV777-2 (SV004)'!P540&lt;1,"","ШЛ."&amp;'SV777-2 (SV004)'!P540)</f>
        <v/>
      </c>
    </row>
    <row r="152" spans="1:17" x14ac:dyDescent="0.25">
      <c r="B152" t="s">
        <v>182</v>
      </c>
    </row>
    <row r="153" spans="1:17" x14ac:dyDescent="0.25">
      <c r="A153">
        <v>1</v>
      </c>
      <c r="B153" t="str">
        <f>IF('SV777-2 (SV004)'!B562&lt;1,"резерв",'SV777-2 (SV004)'!B562)</f>
        <v>резерв</v>
      </c>
      <c r="C153" s="59" t="str">
        <f>'SV777-2 (SV004)'!B563</f>
        <v/>
      </c>
      <c r="D153" s="60" t="str">
        <f>IF(B121="резерв","",'SV777-2 (SV004)'!D563)</f>
        <v/>
      </c>
      <c r="E153" t="str">
        <f>IF('SV777-2 (SV004)'!D562&lt;1,"","ШЛ."&amp;'SV777-2 (SV004)'!D562)</f>
        <v/>
      </c>
    </row>
    <row r="154" spans="1:17" x14ac:dyDescent="0.25">
      <c r="A154">
        <v>2</v>
      </c>
      <c r="B154" t="str">
        <f>IF('SV777-2 (SV004)'!F562&lt;1,"резерв",'SV777-2 (SV004)'!F562)</f>
        <v>резерв</v>
      </c>
      <c r="C154" s="59" t="str">
        <f>'SV777-2 (SV004)'!F563</f>
        <v/>
      </c>
      <c r="D154" s="60" t="str">
        <f>IF(B122="резерв","",'SV777-2 (SV004)'!H563)</f>
        <v/>
      </c>
      <c r="E154" t="str">
        <f>IF('SV777-2 (SV004)'!H562&lt;1,"","ШЛ."&amp;'SV777-2 (SV004)'!H562)</f>
        <v/>
      </c>
    </row>
    <row r="155" spans="1:17" x14ac:dyDescent="0.25">
      <c r="A155">
        <v>3</v>
      </c>
      <c r="B155" t="str">
        <f>IF('SV777-2 (SV004)'!J562&lt;1,"резерв",'SV777-2 (SV004)'!J562)</f>
        <v>резерв</v>
      </c>
      <c r="C155" s="59" t="str">
        <f>'SV777-2 (SV004)'!J563</f>
        <v/>
      </c>
      <c r="D155" s="60" t="str">
        <f>IF(B123="резерв","",'SV777-2 (SV004)'!L563)</f>
        <v/>
      </c>
      <c r="E155" t="str">
        <f>IF('SV777-2 (SV004)'!L562&lt;1,"","ШЛ."&amp;'SV777-2 (SV004)'!L562)</f>
        <v/>
      </c>
    </row>
    <row r="156" spans="1:17" x14ac:dyDescent="0.25">
      <c r="A156">
        <v>4</v>
      </c>
      <c r="B156" t="str">
        <f>IF('SV777-2 (SV004)'!N562&lt;1,"резерв",'SV777-2 (SV004)'!N562)</f>
        <v>резерв</v>
      </c>
      <c r="C156" s="59" t="str">
        <f>'SV777-2 (SV004)'!N563</f>
        <v/>
      </c>
      <c r="D156" s="60" t="str">
        <f>IF(B124="резерв","",'SV777-2 (SV004)'!P563)</f>
        <v/>
      </c>
      <c r="E156" t="str">
        <f>IF('SV777-2 (SV004)'!P562&lt;1,"","ШЛ."&amp;'SV777-2 (SV004)'!P562)</f>
        <v/>
      </c>
    </row>
    <row r="157" spans="1:17" x14ac:dyDescent="0.25">
      <c r="A157">
        <v>5</v>
      </c>
      <c r="B157" t="str">
        <f>IF('SV777-2 (SV004)'!B582&lt;1,"резерв",'SV777-2 (SV004)'!B582)</f>
        <v>резерв</v>
      </c>
      <c r="C157" s="59" t="str">
        <f>'SV777-2 (SV004)'!B583</f>
        <v/>
      </c>
      <c r="D157" s="60">
        <f>IF(B125="резерв","",'SV777-2 (SV004)'!D583)</f>
        <v>0</v>
      </c>
      <c r="E157" t="str">
        <f>IF('SV777-2 (SV004)'!D582&lt;1,"","ШЛ."&amp;'SV777-2 (SV004)'!D582)</f>
        <v/>
      </c>
    </row>
    <row r="158" spans="1:17" x14ac:dyDescent="0.25">
      <c r="A158">
        <v>6</v>
      </c>
      <c r="B158" t="str">
        <f>IF('SV777-2 (SV004)'!F582&lt;1,"резерв",'SV777-2 (SV004)'!F582)</f>
        <v>резерв</v>
      </c>
      <c r="C158" s="59" t="str">
        <f>'SV777-2 (SV004)'!F583</f>
        <v/>
      </c>
      <c r="D158" s="60" t="str">
        <f>IF(B126="резерв","",'SV777-2 (SV004)'!H583)</f>
        <v/>
      </c>
      <c r="E158" t="str">
        <f>IF('SV777-2 (SV004)'!H582&lt;1,"","ШЛ."&amp;'SV777-2 (SV004)'!H582)</f>
        <v/>
      </c>
    </row>
    <row r="159" spans="1:17" x14ac:dyDescent="0.25">
      <c r="A159">
        <v>7</v>
      </c>
      <c r="B159" t="str">
        <f>IF('SV777-2 (SV004)'!J582&lt;1,"резерв",'SV777-2 (SV004)'!J582)</f>
        <v>резерв</v>
      </c>
      <c r="C159" s="59" t="str">
        <f>'SV777-2 (SV004)'!J583</f>
        <v/>
      </c>
      <c r="D159" s="60" t="str">
        <f>IF(B127="резерв","",'SV777-2 (SV004)'!L583)</f>
        <v/>
      </c>
      <c r="E159" t="str">
        <f>IF('SV777-2 (SV004)'!L582&lt;1,"","ШЛ."&amp;'SV777-2 (SV004)'!L582)</f>
        <v/>
      </c>
    </row>
    <row r="160" spans="1:17" x14ac:dyDescent="0.25">
      <c r="A160">
        <v>8</v>
      </c>
      <c r="B160" t="str">
        <f>IF('SV777-2 (SV004)'!N582&lt;1,"резерв",'SV777-2 (SV004)'!N582)</f>
        <v>резерв</v>
      </c>
      <c r="C160" s="59" t="str">
        <f>'SV777-2 (SV004)'!N583</f>
        <v/>
      </c>
      <c r="D160" s="60" t="str">
        <f>IF(B128="резерв","",'SV777-2 (SV004)'!P583)</f>
        <v/>
      </c>
      <c r="E160" t="str">
        <f>IF('SV777-2 (SV004)'!P582&lt;1,"","ШЛ."&amp;'SV777-2 (SV004)'!P582)</f>
        <v/>
      </c>
    </row>
    <row r="161" spans="1:5" x14ac:dyDescent="0.25">
      <c r="B161" t="s">
        <v>183</v>
      </c>
    </row>
    <row r="162" spans="1:5" x14ac:dyDescent="0.25">
      <c r="A162">
        <v>1</v>
      </c>
      <c r="B162" t="str">
        <f>IF('SV777-2 (SV004)'!B604&lt;1,"резерв",'SV777-2 (SV004)'!B604)</f>
        <v>резерв</v>
      </c>
      <c r="C162" s="59" t="str">
        <f>'SV777-2 (SV004)'!B605</f>
        <v/>
      </c>
      <c r="D162" s="60" t="str">
        <f>IF(B130="резерв","",'SV777-2 (SV004)'!D605)</f>
        <v/>
      </c>
      <c r="E162" t="str">
        <f>IF('SV777-2 (SV004)'!D604&lt;1,"","ШЛ."&amp;'SV777-2 (SV004)'!D604)</f>
        <v/>
      </c>
    </row>
    <row r="163" spans="1:5" x14ac:dyDescent="0.25">
      <c r="A163">
        <v>2</v>
      </c>
      <c r="B163" t="str">
        <f>IF('SV777-2 (SV004)'!F604&lt;1,"резерв",'SV777-2 (SV004)'!F604)</f>
        <v>резерв</v>
      </c>
      <c r="C163" s="59" t="str">
        <f>'SV777-2 (SV004)'!F605</f>
        <v/>
      </c>
      <c r="D163" s="60" t="str">
        <f>IF(B131="резерв","",'SV777-2 (SV004)'!H605)</f>
        <v/>
      </c>
      <c r="E163" t="str">
        <f>IF('SV777-2 (SV004)'!H604&lt;1,"","ШЛ."&amp;'SV777-2 (SV004)'!H604)</f>
        <v/>
      </c>
    </row>
    <row r="164" spans="1:5" x14ac:dyDescent="0.25">
      <c r="A164">
        <v>3</v>
      </c>
      <c r="B164" t="str">
        <f>IF('SV777-2 (SV004)'!J604&lt;1,"резерв",'SV777-2 (SV004)'!J604)</f>
        <v>резерв</v>
      </c>
      <c r="C164" s="59" t="str">
        <f>'SV777-2 (SV004)'!J605</f>
        <v/>
      </c>
      <c r="D164" s="60" t="str">
        <f>IF(B132="резерв","",'SV777-2 (SV004)'!L605)</f>
        <v/>
      </c>
      <c r="E164" t="str">
        <f>IF('SV777-2 (SV004)'!L604&lt;1,"","ШЛ."&amp;'SV777-2 (SV004)'!L604)</f>
        <v/>
      </c>
    </row>
    <row r="165" spans="1:5" x14ac:dyDescent="0.25">
      <c r="A165">
        <v>4</v>
      </c>
      <c r="B165" t="str">
        <f>IF('SV777-2 (SV004)'!N604&lt;1,"резерв",'SV777-2 (SV004)'!N604)</f>
        <v>резерв</v>
      </c>
      <c r="C165" s="59" t="str">
        <f>'SV777-2 (SV004)'!N605</f>
        <v/>
      </c>
      <c r="D165" s="60" t="str">
        <f>IF(B133="резерв","",'SV777-2 (SV004)'!P605)</f>
        <v/>
      </c>
      <c r="E165" t="str">
        <f>IF('SV777-2 (SV004)'!P604&lt;1,"","ШЛ."&amp;'SV777-2 (SV004)'!P604)</f>
        <v/>
      </c>
    </row>
    <row r="166" spans="1:5" x14ac:dyDescent="0.25">
      <c r="A166">
        <v>5</v>
      </c>
      <c r="B166" t="str">
        <f>IF('SV777-2 (SV004)'!B624&lt;1,"резерв",'SV777-2 (SV004)'!B624)</f>
        <v>резерв</v>
      </c>
      <c r="C166" s="59" t="str">
        <f>'SV777-2 (SV004)'!B625</f>
        <v/>
      </c>
      <c r="D166" s="60">
        <f>IF(B134="резерв","",'SV777-2 (SV004)'!D625)</f>
        <v>0</v>
      </c>
      <c r="E166" t="str">
        <f>IF('SV777-2 (SV004)'!D624&lt;1,"","ШЛ."&amp;'SV777-2 (SV004)'!D624)</f>
        <v/>
      </c>
    </row>
    <row r="167" spans="1:5" x14ac:dyDescent="0.25">
      <c r="A167">
        <v>6</v>
      </c>
      <c r="B167" t="str">
        <f>IF('SV777-2 (SV004)'!F624&lt;1,"резерв",'SV777-2 (SV004)'!F624)</f>
        <v>резерв</v>
      </c>
      <c r="C167" s="59" t="str">
        <f>'SV777-2 (SV004)'!F625</f>
        <v/>
      </c>
      <c r="D167" s="60" t="str">
        <f>IF(B135="резерв","",'SV777-2 (SV004)'!H625)</f>
        <v/>
      </c>
      <c r="E167" t="str">
        <f>IF('SV777-2 (SV004)'!H624&lt;1,"","ШЛ."&amp;'SV777-2 (SV004)'!H624)</f>
        <v/>
      </c>
    </row>
    <row r="168" spans="1:5" x14ac:dyDescent="0.25">
      <c r="A168">
        <v>7</v>
      </c>
      <c r="B168" t="str">
        <f>IF('SV777-2 (SV004)'!J624&lt;1,"резерв",'SV777-2 (SV004)'!J624)</f>
        <v>резерв</v>
      </c>
      <c r="C168" s="59" t="str">
        <f>'SV777-2 (SV004)'!J625</f>
        <v/>
      </c>
      <c r="D168" s="60" t="str">
        <f>IF(B136="резерв","",'SV777-2 (SV004)'!L625)</f>
        <v/>
      </c>
      <c r="E168" t="str">
        <f>IF('SV777-2 (SV004)'!L624&lt;1,"","ШЛ."&amp;'SV777-2 (SV004)'!L624)</f>
        <v/>
      </c>
    </row>
    <row r="169" spans="1:5" x14ac:dyDescent="0.25">
      <c r="A169">
        <v>8</v>
      </c>
      <c r="B169" t="str">
        <f>IF('SV777-2 (SV004)'!N624&lt;1,"резерв",'SV777-2 (SV004)'!N624)</f>
        <v>резерв</v>
      </c>
      <c r="C169" s="59" t="str">
        <f>'SV777-2 (SV004)'!N625</f>
        <v/>
      </c>
      <c r="D169" s="60" t="str">
        <f>IF(B137="резерв","",'SV777-2 (SV004)'!P625)</f>
        <v/>
      </c>
      <c r="E169" t="str">
        <f>IF('SV777-2 (SV004)'!P624&lt;1,"","ШЛ."&amp;'SV777-2 (SV004)'!P624)</f>
        <v/>
      </c>
    </row>
    <row r="170" spans="1:5" x14ac:dyDescent="0.25">
      <c r="B170" t="s">
        <v>184</v>
      </c>
    </row>
    <row r="171" spans="1:5" x14ac:dyDescent="0.25">
      <c r="A171">
        <v>1</v>
      </c>
      <c r="B171" t="str">
        <f>IF('SV777-2 (SV004)'!B646&lt;1,"резерв",'SV777-2 (SV004)'!B646)</f>
        <v>резерв</v>
      </c>
      <c r="C171" s="59" t="str">
        <f>'SV777-2 (SV004)'!B647</f>
        <v/>
      </c>
      <c r="D171" s="60" t="str">
        <f>IF(B139="резерв","",'SV777-2 (SV004)'!D647)</f>
        <v/>
      </c>
      <c r="E171" t="str">
        <f>IF('SV777-2 (SV004)'!D646&lt;1,"","ШЛ."&amp;'SV777-2 (SV004)'!D646)</f>
        <v/>
      </c>
    </row>
    <row r="172" spans="1:5" x14ac:dyDescent="0.25">
      <c r="A172">
        <v>2</v>
      </c>
      <c r="B172" t="str">
        <f>IF('SV777-2 (SV004)'!F646&lt;1,"резерв",'SV777-2 (SV004)'!F646)</f>
        <v>резерв</v>
      </c>
      <c r="C172" s="59" t="str">
        <f>'SV777-2 (SV004)'!F647</f>
        <v/>
      </c>
      <c r="D172" s="60" t="str">
        <f>IF(B140="резерв","",'SV777-2 (SV004)'!H647)</f>
        <v/>
      </c>
      <c r="E172" t="str">
        <f>IF('SV777-2 (SV004)'!H646&lt;1,"","ШЛ."&amp;'SV777-2 (SV004)'!H646)</f>
        <v/>
      </c>
    </row>
    <row r="173" spans="1:5" x14ac:dyDescent="0.25">
      <c r="A173">
        <v>3</v>
      </c>
      <c r="B173" t="str">
        <f>IF('SV777-2 (SV004)'!J646&lt;1,"резерв",'SV777-2 (SV004)'!J646)</f>
        <v>резерв</v>
      </c>
      <c r="C173" s="59" t="str">
        <f>'SV777-2 (SV004)'!J647</f>
        <v/>
      </c>
      <c r="D173" s="60" t="str">
        <f>IF(B141="резерв","",'SV777-2 (SV004)'!L647)</f>
        <v/>
      </c>
      <c r="E173" t="str">
        <f>IF('SV777-2 (SV004)'!L646&lt;1,"","ШЛ."&amp;'SV777-2 (SV004)'!L646)</f>
        <v/>
      </c>
    </row>
    <row r="174" spans="1:5" x14ac:dyDescent="0.25">
      <c r="A174">
        <v>4</v>
      </c>
      <c r="B174" t="str">
        <f>IF('SV777-2 (SV004)'!N646&lt;1,"резерв",'SV777-2 (SV004)'!N646)</f>
        <v>резерв</v>
      </c>
      <c r="C174" s="59" t="str">
        <f>'SV777-2 (SV004)'!N647</f>
        <v/>
      </c>
      <c r="D174" s="60" t="str">
        <f>IF(B142="резерв","",'SV777-2 (SV004)'!P647)</f>
        <v/>
      </c>
      <c r="E174" t="str">
        <f>IF('SV777-2 (SV004)'!P646&lt;1,"","ШЛ."&amp;'SV777-2 (SV004)'!P646)</f>
        <v/>
      </c>
    </row>
    <row r="175" spans="1:5" x14ac:dyDescent="0.25">
      <c r="A175">
        <v>5</v>
      </c>
      <c r="B175" t="str">
        <f>IF('SV777-2 (SV004)'!B666&lt;1,"резерв",'SV777-2 (SV004)'!B666)</f>
        <v>резерв</v>
      </c>
      <c r="C175" s="59" t="str">
        <f>'SV777-2 (SV004)'!B667</f>
        <v/>
      </c>
      <c r="D175" s="60">
        <f>IF(B143="резерв","",'SV777-2 (SV004)'!D667)</f>
        <v>0</v>
      </c>
      <c r="E175" t="str">
        <f>IF('SV777-2 (SV004)'!D666&lt;1,"","ШЛ."&amp;'SV777-2 (SV004)'!D666)</f>
        <v/>
      </c>
    </row>
    <row r="176" spans="1:5" x14ac:dyDescent="0.25">
      <c r="A176">
        <v>6</v>
      </c>
      <c r="B176" t="str">
        <f>IF('SV777-2 (SV004)'!F666&lt;1,"резерв",'SV777-2 (SV004)'!F666)</f>
        <v>резерв</v>
      </c>
      <c r="C176" s="59" t="str">
        <f>'SV777-2 (SV004)'!F667</f>
        <v/>
      </c>
      <c r="D176" s="60" t="str">
        <f>IF(B144="резерв","",'SV777-2 (SV004)'!H667)</f>
        <v/>
      </c>
      <c r="E176" t="str">
        <f>IF('SV777-2 (SV004)'!H666&lt;1,"","ШЛ."&amp;'SV777-2 (SV004)'!H666)</f>
        <v/>
      </c>
    </row>
    <row r="177" spans="1:5" x14ac:dyDescent="0.25">
      <c r="A177">
        <v>7</v>
      </c>
      <c r="B177" t="str">
        <f>IF('SV777-2 (SV004)'!J666&lt;1,"резерв",'SV777-2 (SV004)'!J666)</f>
        <v>резерв</v>
      </c>
      <c r="C177" s="59" t="str">
        <f>'SV777-2 (SV004)'!J667</f>
        <v/>
      </c>
      <c r="D177" s="60" t="str">
        <f>IF(B145="резерв","",'SV777-2 (SV004)'!L667)</f>
        <v/>
      </c>
      <c r="E177" t="str">
        <f>IF('SV777-2 (SV004)'!L666&lt;1,"","ШЛ."&amp;'SV777-2 (SV004)'!L666)</f>
        <v/>
      </c>
    </row>
    <row r="178" spans="1:5" x14ac:dyDescent="0.25">
      <c r="A178">
        <v>8</v>
      </c>
      <c r="B178" t="str">
        <f>IF('SV777-2 (SV004)'!N666&lt;1,"резерв",'SV777-2 (SV004)'!N666)</f>
        <v>резерв</v>
      </c>
      <c r="C178" s="59" t="str">
        <f>'SV777-2 (SV004)'!N667</f>
        <v/>
      </c>
      <c r="D178" s="60" t="str">
        <f>IF(B146="резерв","",'SV777-2 (SV004)'!P667)</f>
        <v/>
      </c>
      <c r="E178" t="str">
        <f>IF('SV777-2 (SV004)'!P666&lt;1,"","ШЛ."&amp;'SV777-2 (SV004)'!P666)</f>
        <v/>
      </c>
    </row>
    <row r="179" spans="1:5" x14ac:dyDescent="0.25">
      <c r="A179">
        <v>1</v>
      </c>
      <c r="B179" t="str">
        <f>IF('SV777-3 (SV004)'!B16&lt;1,"резерв",'SV777-3 (SV004)'!B16)</f>
        <v>резерв</v>
      </c>
      <c r="C179" s="59" t="str">
        <f>'SV777-3 (SV004)'!B17</f>
        <v/>
      </c>
      <c r="D179" s="60">
        <f>IF(B4="резерв","",'SV777-3 (SV004)'!D17)</f>
        <v>0</v>
      </c>
      <c r="E179" t="str">
        <f>IF('SV777-3 (SV004)'!D16&lt;1,"","ШЛ."&amp;'SV777-3 (SV004)'!D16)</f>
        <v/>
      </c>
    </row>
    <row r="180" spans="1:5" x14ac:dyDescent="0.25">
      <c r="A180">
        <v>2</v>
      </c>
      <c r="B180" t="str">
        <f>IF('SV777-3 (SV004)'!F16&lt;1,"резерв",'SV777-3 (SV004)'!F16)</f>
        <v>резерв</v>
      </c>
      <c r="C180" s="59" t="str">
        <f>'SV777-3 (SV004)'!F17</f>
        <v/>
      </c>
      <c r="D180" s="60">
        <f>IF(B5="резерв","",'SV777-3 (SV004)'!H17)</f>
        <v>0</v>
      </c>
      <c r="E180" t="str">
        <f>IF('SV777-3 (SV004)'!H16&lt;1,"","ШЛ."&amp;'SV777-3 (SV004)'!H16)</f>
        <v/>
      </c>
    </row>
    <row r="181" spans="1:5" x14ac:dyDescent="0.25">
      <c r="A181">
        <v>3</v>
      </c>
      <c r="B181" t="str">
        <f>IF('SV777-3 (SV004)'!J16&lt;1,"резерв",'SV777-3 (SV004)'!J16)</f>
        <v>резерв</v>
      </c>
      <c r="C181" s="59" t="str">
        <f>'SV777-3 (SV004)'!J17</f>
        <v/>
      </c>
      <c r="D181" s="60">
        <f>IF(B6="резерв","",'SV777-3 (SV004)'!L17)</f>
        <v>0</v>
      </c>
      <c r="E181" t="str">
        <f>IF('SV777-3 (SV004)'!L16&lt;1,"","ШЛ."&amp;'SV777-3 (SV004)'!L16)</f>
        <v/>
      </c>
    </row>
    <row r="182" spans="1:5" x14ac:dyDescent="0.25">
      <c r="A182">
        <v>4</v>
      </c>
      <c r="B182" t="str">
        <f>IF('SV777-3 (SV004)'!N16&lt;1,"резерв",'SV777-3 (SV004)'!N16)</f>
        <v>резерв</v>
      </c>
      <c r="C182" s="59" t="str">
        <f>'SV777-3 (SV004)'!N17</f>
        <v/>
      </c>
      <c r="D182" s="60">
        <f>IF(B7="резерв","",'SV777-3 (SV004)'!P17)</f>
        <v>0</v>
      </c>
      <c r="E182" t="str">
        <f>IF('SV777-3 (SV004)'!P16&lt;1,"","ШЛ."&amp;'SV777-3 (SV004)'!P16)</f>
        <v/>
      </c>
    </row>
    <row r="183" spans="1:5" x14ac:dyDescent="0.25">
      <c r="A183">
        <v>5</v>
      </c>
      <c r="B183" t="str">
        <f>IF('SV777-3 (SV004)'!B36&lt;1,"резерв",'SV777-3 (SV004)'!B36)</f>
        <v>резерв</v>
      </c>
      <c r="C183" s="59" t="str">
        <f>'SV777-3 (SV004)'!B37</f>
        <v/>
      </c>
      <c r="D183" s="60">
        <f>IF(B8="резерв","",'SV777-3 (SV004)'!D37)</f>
        <v>0</v>
      </c>
      <c r="E183" t="str">
        <f>IF('SV777-3 (SV004)'!D36&lt;1,"","ШЛ."&amp;'SV777-3 (SV004)'!D36)</f>
        <v/>
      </c>
    </row>
    <row r="184" spans="1:5" x14ac:dyDescent="0.25">
      <c r="A184">
        <v>6</v>
      </c>
      <c r="B184" t="str">
        <f>IF('SV777-3 (SV004)'!F36&lt;1,"резерв",'SV777-3 (SV004)'!F36)</f>
        <v>резерв</v>
      </c>
      <c r="C184" s="59" t="str">
        <f>'SV777-3 (SV004)'!F37</f>
        <v/>
      </c>
      <c r="D184" s="60">
        <f>IF(B9="резерв","",'SV777-3 (SV004)'!H37)</f>
        <v>0</v>
      </c>
      <c r="E184" t="str">
        <f>IF('SV777-3 (SV004)'!H36&lt;1,"","ШЛ."&amp;'SV777-3 (SV004)'!H36)</f>
        <v/>
      </c>
    </row>
    <row r="185" spans="1:5" x14ac:dyDescent="0.25">
      <c r="A185">
        <v>7</v>
      </c>
      <c r="B185" t="str">
        <f>IF('SV777-3 (SV004)'!J36&lt;1,"резерв",'SV777-3 (SV004)'!J36)</f>
        <v>резерв</v>
      </c>
      <c r="C185" s="59" t="str">
        <f>'SV777-3 (SV004)'!J37</f>
        <v/>
      </c>
      <c r="D185" s="60">
        <f>IF(B10="резерв","",'SV777-3 (SV004)'!L37)</f>
        <v>0</v>
      </c>
      <c r="E185" t="str">
        <f>IF('SV777-3 (SV004)'!L36&lt;1,"","ШЛ."&amp;'SV777-3 (SV004)'!L36)</f>
        <v/>
      </c>
    </row>
    <row r="186" spans="1:5" x14ac:dyDescent="0.25">
      <c r="A186">
        <v>8</v>
      </c>
      <c r="B186" t="str">
        <f>IF('SV777-3 (SV004)'!N36&lt;1,"резерв",'SV777-3 (SV004)'!N36)</f>
        <v>резерв</v>
      </c>
      <c r="C186" s="59" t="str">
        <f>'SV777-3 (SV004)'!N37</f>
        <v/>
      </c>
      <c r="D186" s="60">
        <f>IF(B11="резерв","",'SV777-3 (SV004)'!P37)</f>
        <v>0</v>
      </c>
      <c r="E186" t="str">
        <f>IF('SV777-3 (SV004)'!P36&lt;1,"","ШЛ."&amp;'SV777-3 (SV004)'!P36)</f>
        <v/>
      </c>
    </row>
    <row r="187" spans="1:5" x14ac:dyDescent="0.25">
      <c r="B187" t="s">
        <v>170</v>
      </c>
    </row>
    <row r="188" spans="1:5" x14ac:dyDescent="0.25">
      <c r="A188">
        <v>1</v>
      </c>
      <c r="B188" t="str">
        <f>IF('SV777-3 (SV004)'!B58&lt;1,"резерв",'SV777-3 (SV004)'!B58)</f>
        <v>резерв</v>
      </c>
      <c r="C188" s="59" t="str">
        <f>'SV777-3 (SV004)'!B59</f>
        <v/>
      </c>
      <c r="D188" s="60">
        <f>IF(B13="резерв","",'SV777-3 (SV004)'!D59)</f>
        <v>0</v>
      </c>
      <c r="E188" t="str">
        <f>IF('SV777-3 (SV004)'!D58&lt;1,"","ШЛ."&amp;'SV777-3 (SV004)'!D58)</f>
        <v/>
      </c>
    </row>
    <row r="189" spans="1:5" x14ac:dyDescent="0.25">
      <c r="A189">
        <v>2</v>
      </c>
      <c r="B189" t="str">
        <f>IF('SV777-3 (SV004)'!F58&lt;1,"резерв",'SV777-3 (SV004)'!F58)</f>
        <v>резерв</v>
      </c>
      <c r="C189" s="59" t="str">
        <f>'SV777-3 (SV004)'!F59</f>
        <v/>
      </c>
      <c r="D189" s="60">
        <f>IF(B14="резерв","",'SV777-3 (SV004)'!H59)</f>
        <v>0</v>
      </c>
      <c r="E189" t="str">
        <f>IF('SV777-3 (SV004)'!H58&lt;1,"","ШЛ."&amp;'SV777-3 (SV004)'!H58)</f>
        <v/>
      </c>
    </row>
    <row r="190" spans="1:5" x14ac:dyDescent="0.25">
      <c r="A190">
        <v>3</v>
      </c>
      <c r="B190" t="str">
        <f>IF('SV777-3 (SV004)'!J58&lt;1,"резерв",'SV777-3 (SV004)'!J58)</f>
        <v>резерв</v>
      </c>
      <c r="C190" s="59" t="str">
        <f>'SV777-3 (SV004)'!J59</f>
        <v/>
      </c>
      <c r="D190" s="60">
        <f>IF(B15="резерв","",'SV777-3 (SV004)'!L59)</f>
        <v>0</v>
      </c>
      <c r="E190" t="str">
        <f>IF('SV777-3 (SV004)'!L58&lt;1,"","ШЛ."&amp;'SV777-3 (SV004)'!L58)</f>
        <v/>
      </c>
    </row>
    <row r="191" spans="1:5" x14ac:dyDescent="0.25">
      <c r="A191">
        <v>4</v>
      </c>
      <c r="B191" t="str">
        <f>IF('SV777-3 (SV004)'!N58&lt;1,"резерв",'SV777-3 (SV004)'!N58)</f>
        <v>резерв</v>
      </c>
      <c r="C191" s="59" t="str">
        <f>'SV777-3 (SV004)'!N59</f>
        <v/>
      </c>
      <c r="D191" s="60">
        <f>IF(B16="резерв","",'SV777-3 (SV004)'!P59)</f>
        <v>0</v>
      </c>
      <c r="E191" t="str">
        <f>IF('SV777-3 (SV004)'!P58&lt;1,"","ШЛ."&amp;'SV777-3 (SV004)'!P58)</f>
        <v/>
      </c>
    </row>
    <row r="192" spans="1:5" x14ac:dyDescent="0.25">
      <c r="A192">
        <v>5</v>
      </c>
      <c r="B192" t="str">
        <f>IF('SV777-3 (SV004)'!B78&lt;1,"резерв",'SV777-3 (SV004)'!B78)</f>
        <v>резерв</v>
      </c>
      <c r="C192" s="59" t="str">
        <f>'SV777-3 (SV004)'!B79</f>
        <v/>
      </c>
      <c r="D192" s="60">
        <f>IF(B17="резерв","",'SV777-3 (SV004)'!D79)</f>
        <v>0</v>
      </c>
      <c r="E192" t="str">
        <f>IF('SV777-3 (SV004)'!D78&lt;1,"","ШЛ."&amp;'SV777-3 (SV004)'!D78)</f>
        <v/>
      </c>
    </row>
    <row r="193" spans="1:5" x14ac:dyDescent="0.25">
      <c r="A193">
        <v>6</v>
      </c>
      <c r="B193" t="str">
        <f>IF('SV777-3 (SV004)'!F78&lt;1,"резерв",'SV777-3 (SV004)'!F78)</f>
        <v>резерв</v>
      </c>
      <c r="C193" s="59" t="str">
        <f>'SV777-3 (SV004)'!F79</f>
        <v/>
      </c>
      <c r="D193" s="60">
        <f>IF(B18="резерв","",'SV777-3 (SV004)'!H79)</f>
        <v>0</v>
      </c>
      <c r="E193" t="str">
        <f>IF('SV777-3 (SV004)'!H78&lt;1,"","ШЛ."&amp;'SV777-3 (SV004)'!H78)</f>
        <v/>
      </c>
    </row>
    <row r="194" spans="1:5" x14ac:dyDescent="0.25">
      <c r="A194">
        <v>7</v>
      </c>
      <c r="B194" t="str">
        <f>IF('SV777-3 (SV004)'!J78&lt;1,"резерв",'SV777-3 (SV004)'!J78)</f>
        <v>резерв</v>
      </c>
      <c r="C194" s="59" t="str">
        <f>'SV777-3 (SV004)'!J79</f>
        <v/>
      </c>
      <c r="D194" s="60">
        <f>IF(B19="резерв","",'SV777-3 (SV004)'!L79)</f>
        <v>0</v>
      </c>
      <c r="E194" t="str">
        <f>IF('SV777-3 (SV004)'!L78&lt;1,"","ШЛ."&amp;'SV777-3 (SV004)'!L78)</f>
        <v/>
      </c>
    </row>
    <row r="195" spans="1:5" x14ac:dyDescent="0.25">
      <c r="A195">
        <v>8</v>
      </c>
      <c r="B195" t="str">
        <f>IF('SV777-3 (SV004)'!N78&lt;1,"резерв",'SV777-3 (SV004)'!N78)</f>
        <v>резерв</v>
      </c>
      <c r="C195" s="59" t="str">
        <f>'SV777-3 (SV004)'!N79</f>
        <v/>
      </c>
      <c r="D195" s="60">
        <f>IF(B20="резерв","",'SV777-3 (SV004)'!P79)</f>
        <v>0</v>
      </c>
      <c r="E195" t="str">
        <f>IF('SV777-3 (SV004)'!P78&lt;1,"","ШЛ."&amp;'SV777-3 (SV004)'!P78)</f>
        <v/>
      </c>
    </row>
    <row r="196" spans="1:5" x14ac:dyDescent="0.25">
      <c r="B196" t="s">
        <v>186</v>
      </c>
    </row>
    <row r="197" spans="1:5" x14ac:dyDescent="0.25">
      <c r="A197">
        <v>1</v>
      </c>
      <c r="B197" t="str">
        <f>IF('SV777-3 (SV004)'!B100&lt;1,"резерв",'SV777-3 (SV004)'!B100)</f>
        <v>резерв</v>
      </c>
      <c r="C197" s="59" t="str">
        <f>'SV777-3 (SV004)'!B101</f>
        <v/>
      </c>
      <c r="D197" s="60">
        <f>IF(B22="резерв","",'SV777-3 (SV004)'!D101)</f>
        <v>0</v>
      </c>
      <c r="E197" t="str">
        <f>IF('SV777-3 (SV004)'!D100&lt;1,"","ШЛ."&amp;'SV777-3 (SV004)'!D100)</f>
        <v/>
      </c>
    </row>
    <row r="198" spans="1:5" x14ac:dyDescent="0.25">
      <c r="A198">
        <v>2</v>
      </c>
      <c r="B198" t="str">
        <f>IF('SV777-3 (SV004)'!F100&lt;1,"резерв",'SV777-3 (SV004)'!F100)</f>
        <v>резерв</v>
      </c>
      <c r="C198" s="59" t="str">
        <f>'SV777-3 (SV004)'!F101</f>
        <v/>
      </c>
      <c r="D198" s="60">
        <f>IF(B23="резерв","",'SV777-3 (SV004)'!H101)</f>
        <v>0</v>
      </c>
      <c r="E198" t="str">
        <f>IF('SV777-3 (SV004)'!H100&lt;1,"","ШЛ."&amp;'SV777-3 (SV004)'!H100)</f>
        <v/>
      </c>
    </row>
    <row r="199" spans="1:5" x14ac:dyDescent="0.25">
      <c r="A199">
        <v>3</v>
      </c>
      <c r="B199" t="str">
        <f>IF('SV777-3 (SV004)'!J100&lt;1,"резерв",'SV777-3 (SV004)'!J100)</f>
        <v>резерв</v>
      </c>
      <c r="C199" s="59" t="str">
        <f>'SV777-3 (SV004)'!J101</f>
        <v/>
      </c>
      <c r="D199" s="60">
        <f>IF(B24="резерв","",'SV777-3 (SV004)'!L101)</f>
        <v>0</v>
      </c>
      <c r="E199" t="str">
        <f>IF('SV777-3 (SV004)'!L100&lt;1,"","ШЛ."&amp;'SV777-3 (SV004)'!L100)</f>
        <v/>
      </c>
    </row>
    <row r="200" spans="1:5" x14ac:dyDescent="0.25">
      <c r="A200">
        <v>4</v>
      </c>
      <c r="B200" t="str">
        <f>IF('SV777-3 (SV004)'!N100&lt;1,"резерв",'SV777-3 (SV004)'!N100)</f>
        <v>резерв</v>
      </c>
      <c r="C200" s="59" t="str">
        <f>'SV777-3 (SV004)'!N101</f>
        <v/>
      </c>
      <c r="D200" s="60">
        <f>IF(B25="резерв","",'SV777-3 (SV004)'!P101)</f>
        <v>0</v>
      </c>
      <c r="E200" t="str">
        <f>IF('SV777-3 (SV004)'!P100&lt;1,"","ШЛ."&amp;'SV777-3 (SV004)'!P100)</f>
        <v/>
      </c>
    </row>
    <row r="201" spans="1:5" x14ac:dyDescent="0.25">
      <c r="A201">
        <v>5</v>
      </c>
      <c r="B201" t="str">
        <f>IF('SV777-3 (SV004)'!B120&lt;1,"резерв",'SV777-3 (SV004)'!B120)</f>
        <v>резерв</v>
      </c>
      <c r="C201" s="59" t="str">
        <f>'SV777-3 (SV004)'!B121</f>
        <v/>
      </c>
      <c r="D201" s="60">
        <f>IF(B26="резерв","",'SV777-3 (SV004)'!D121)</f>
        <v>0</v>
      </c>
      <c r="E201" t="str">
        <f>IF('SV777-3 (SV004)'!D120&lt;1,"","ШЛ."&amp;'SV777-3 (SV004)'!D120)</f>
        <v/>
      </c>
    </row>
    <row r="202" spans="1:5" x14ac:dyDescent="0.25">
      <c r="A202">
        <v>6</v>
      </c>
      <c r="B202" t="str">
        <f>IF('SV777-3 (SV004)'!F120&lt;1,"резерв",'SV777-3 (SV004)'!F120)</f>
        <v>резерв</v>
      </c>
      <c r="C202" s="59" t="str">
        <f>'SV777-3 (SV004)'!F121</f>
        <v/>
      </c>
      <c r="D202" s="60">
        <f>IF(B27="резерв","",'SV777-3 (SV004)'!H121)</f>
        <v>0</v>
      </c>
      <c r="E202" t="str">
        <f>IF('SV777-3 (SV004)'!H120&lt;1,"","ШЛ."&amp;'SV777-3 (SV004)'!H120)</f>
        <v/>
      </c>
    </row>
    <row r="203" spans="1:5" x14ac:dyDescent="0.25">
      <c r="A203">
        <v>7</v>
      </c>
      <c r="B203" t="str">
        <f>IF('SV777-3 (SV004)'!J120&lt;1,"резерв",'SV777-3 (SV004)'!J120)</f>
        <v>резерв</v>
      </c>
      <c r="C203" s="59" t="str">
        <f>'SV777-3 (SV004)'!J121</f>
        <v/>
      </c>
      <c r="D203" s="60">
        <f>IF(B28="резерв","",'SV777-3 (SV004)'!L121)</f>
        <v>0</v>
      </c>
      <c r="E203" t="str">
        <f>IF('SV777-3 (SV004)'!L120&lt;1,"","ШЛ."&amp;'SV777-3 (SV004)'!L120)</f>
        <v/>
      </c>
    </row>
    <row r="204" spans="1:5" x14ac:dyDescent="0.25">
      <c r="A204">
        <v>8</v>
      </c>
      <c r="B204" t="str">
        <f>IF('SV777-3 (SV004)'!N120&lt;1,"резерв",'SV777-3 (SV004)'!N120)</f>
        <v>резерв</v>
      </c>
      <c r="C204" s="59" t="str">
        <f>'SV777-3 (SV004)'!N121</f>
        <v/>
      </c>
      <c r="D204" s="60">
        <f>IF(B29="резерв","",'SV777-3 (SV004)'!P121)</f>
        <v>0</v>
      </c>
      <c r="E204" t="str">
        <f>IF('SV777-3 (SV004)'!P120&lt;1,"","ШЛ."&amp;'SV777-3 (SV004)'!P120)</f>
        <v/>
      </c>
    </row>
    <row r="205" spans="1:5" x14ac:dyDescent="0.25">
      <c r="B205" t="s">
        <v>172</v>
      </c>
    </row>
    <row r="206" spans="1:5" x14ac:dyDescent="0.25">
      <c r="A206">
        <v>1</v>
      </c>
      <c r="B206" t="str">
        <f>IF('SV777-3 (SV004)'!B142&lt;1,"резерв",'SV777-3 (SV004)'!B142)</f>
        <v>резерв</v>
      </c>
      <c r="C206" s="59" t="str">
        <f>'SV777-3 (SV004)'!B143</f>
        <v/>
      </c>
      <c r="D206" s="60">
        <f>IF(B31="резерв","",'SV777-3 (SV004)'!D143)</f>
        <v>0</v>
      </c>
      <c r="E206" t="str">
        <f>IF('SV777-3 (SV004)'!D142&lt;1,"","ШЛ."&amp;'SV777-3 (SV004)'!D142)</f>
        <v/>
      </c>
    </row>
    <row r="207" spans="1:5" x14ac:dyDescent="0.25">
      <c r="A207">
        <v>2</v>
      </c>
      <c r="B207" t="str">
        <f>IF('SV777-3 (SV004)'!F142&lt;1,"резерв",'SV777-3 (SV004)'!F142)</f>
        <v>резерв</v>
      </c>
      <c r="C207" s="59" t="str">
        <f>'SV777-3 (SV004)'!F143</f>
        <v/>
      </c>
      <c r="D207" s="60">
        <f>IF(B32="резерв","",'SV777-3 (SV004)'!H143)</f>
        <v>0</v>
      </c>
      <c r="E207" t="str">
        <f>IF('SV777-3 (SV004)'!H142&lt;1,"","ШЛ."&amp;'SV777-3 (SV004)'!H142)</f>
        <v/>
      </c>
    </row>
    <row r="208" spans="1:5" x14ac:dyDescent="0.25">
      <c r="A208">
        <v>3</v>
      </c>
      <c r="B208" t="str">
        <f>IF('SV777-3 (SV004)'!J142&lt;1,"резерв",'SV777-3 (SV004)'!J142)</f>
        <v>резерв</v>
      </c>
      <c r="C208" s="59" t="str">
        <f>'SV777-3 (SV004)'!J143</f>
        <v/>
      </c>
      <c r="D208" s="60">
        <f>IF(B33="резерв","",'SV777-3 (SV004)'!L143)</f>
        <v>0</v>
      </c>
      <c r="E208" t="str">
        <f>IF('SV777-3 (SV004)'!L142&lt;1,"","ШЛ."&amp;'SV777-3 (SV004)'!L142)</f>
        <v/>
      </c>
    </row>
    <row r="209" spans="1:5" x14ac:dyDescent="0.25">
      <c r="A209">
        <v>4</v>
      </c>
      <c r="B209" t="str">
        <f>IF('SV777-3 (SV004)'!N142&lt;1,"резерв",'SV777-3 (SV004)'!N142)</f>
        <v>резерв</v>
      </c>
      <c r="C209" s="59" t="str">
        <f>'SV777-3 (SV004)'!N143</f>
        <v/>
      </c>
      <c r="D209" s="60">
        <f>IF(B34="резерв","",'SV777-3 (SV004)'!P143)</f>
        <v>0</v>
      </c>
      <c r="E209" t="str">
        <f>IF('SV777-3 (SV004)'!P142&lt;1,"","ШЛ."&amp;'SV777-3 (SV004)'!P142)</f>
        <v/>
      </c>
    </row>
    <row r="210" spans="1:5" x14ac:dyDescent="0.25">
      <c r="A210">
        <v>5</v>
      </c>
      <c r="B210" t="str">
        <f>IF('SV777-3 (SV004)'!B162&lt;1,"резерв",'SV777-3 (SV004)'!B162)</f>
        <v>резерв</v>
      </c>
      <c r="C210" s="59" t="str">
        <f>'SV777-3 (SV004)'!B163</f>
        <v/>
      </c>
      <c r="D210" s="60">
        <f>IF(B35="резерв","",'SV777-3 (SV004)'!D163)</f>
        <v>0</v>
      </c>
      <c r="E210" t="str">
        <f>IF('SV777-3 (SV004)'!D162&lt;1,"","ШЛ."&amp;'SV777-3 (SV004)'!D162)</f>
        <v/>
      </c>
    </row>
    <row r="211" spans="1:5" x14ac:dyDescent="0.25">
      <c r="A211">
        <v>6</v>
      </c>
      <c r="B211" t="str">
        <f>IF('SV777-3 (SV004)'!F162&lt;1,"резерв",'SV777-3 (SV004)'!F162)</f>
        <v>резерв</v>
      </c>
      <c r="C211" s="59" t="str">
        <f>'SV777-3 (SV004)'!F163</f>
        <v/>
      </c>
      <c r="D211" s="60" t="str">
        <f>IF(B36="резерв","",'SV777-3 (SV004)'!H163)</f>
        <v/>
      </c>
      <c r="E211" t="str">
        <f>IF('SV777-3 (SV004)'!H162&lt;1,"","ШЛ."&amp;'SV777-3 (SV004)'!H162)</f>
        <v/>
      </c>
    </row>
    <row r="212" spans="1:5" x14ac:dyDescent="0.25">
      <c r="A212">
        <v>7</v>
      </c>
      <c r="B212" t="str">
        <f>IF('SV777-3 (SV004)'!J162&lt;1,"резерв",'SV777-3 (SV004)'!J162)</f>
        <v>резерв</v>
      </c>
      <c r="C212" s="59" t="str">
        <f>'SV777-3 (SV004)'!J163</f>
        <v/>
      </c>
      <c r="D212" s="60" t="str">
        <f>IF(B37="резерв","",'SV777-3 (SV004)'!L163)</f>
        <v/>
      </c>
      <c r="E212" t="str">
        <f>IF('SV777-3 (SV004)'!L162&lt;1,"","ШЛ."&amp;'SV777-3 (SV004)'!L162)</f>
        <v/>
      </c>
    </row>
    <row r="213" spans="1:5" x14ac:dyDescent="0.25">
      <c r="A213">
        <v>8</v>
      </c>
      <c r="B213" t="str">
        <f>IF('SV777-3 (SV004)'!N162&lt;1,"резерв",'SV777-3 (SV004)'!N162)</f>
        <v>резерв</v>
      </c>
      <c r="C213" s="59" t="str">
        <f>'SV777-3 (SV004)'!N163</f>
        <v/>
      </c>
      <c r="D213" s="60" t="str">
        <f>IF(B38="резерв","",'SV777-3 (SV004)'!P163)</f>
        <v/>
      </c>
      <c r="E213" t="str">
        <f>IF('SV777-3 (SV004)'!P162&lt;1,"","ШЛ."&amp;'SV777-3 (SV004)'!P162)</f>
        <v/>
      </c>
    </row>
    <row r="214" spans="1:5" x14ac:dyDescent="0.25">
      <c r="B214" t="s">
        <v>187</v>
      </c>
    </row>
    <row r="215" spans="1:5" x14ac:dyDescent="0.25">
      <c r="A215">
        <v>1</v>
      </c>
      <c r="B215" t="str">
        <f>IF('SV777-3 (SV004)'!B184&lt;1,"резерв",'SV777-3 (SV004)'!B184)</f>
        <v>резерв</v>
      </c>
      <c r="C215" s="59" t="str">
        <f>'SV777-3 (SV004)'!B185</f>
        <v/>
      </c>
      <c r="D215" s="60" t="str">
        <f>IF(B40="резерв","",'SV777-3 (SV004)'!D185)</f>
        <v/>
      </c>
      <c r="E215" t="str">
        <f>IF('SV777-3 (SV004)'!D184&lt;1,"","ШЛ."&amp;'SV777-3 (SV004)'!D184)</f>
        <v/>
      </c>
    </row>
    <row r="216" spans="1:5" x14ac:dyDescent="0.25">
      <c r="A216">
        <v>2</v>
      </c>
      <c r="B216" t="str">
        <f>IF('SV777-3 (SV004)'!F184&lt;1,"резерв",'SV777-3 (SV004)'!F184)</f>
        <v>резерв</v>
      </c>
      <c r="C216" s="59" t="str">
        <f>'SV777-3 (SV004)'!F185</f>
        <v/>
      </c>
      <c r="D216" s="60" t="str">
        <f>IF(B41="резерв","",'SV777-3 (SV004)'!H185)</f>
        <v/>
      </c>
      <c r="E216" t="str">
        <f>IF('SV777-3 (SV004)'!H184&lt;1,"","ШЛ."&amp;'SV777-3 (SV004)'!H184)</f>
        <v/>
      </c>
    </row>
    <row r="217" spans="1:5" x14ac:dyDescent="0.25">
      <c r="A217">
        <v>3</v>
      </c>
      <c r="B217" t="str">
        <f>IF('SV777-3 (SV004)'!J184&lt;1,"резерв",'SV777-3 (SV004)'!J184)</f>
        <v>резерв</v>
      </c>
      <c r="C217" s="59" t="str">
        <f>'SV777-3 (SV004)'!J185</f>
        <v/>
      </c>
      <c r="D217" s="60" t="str">
        <f>IF(B42="резерв","",'SV777-3 (SV004)'!L185)</f>
        <v/>
      </c>
      <c r="E217" t="str">
        <f>IF('SV777-3 (SV004)'!L184&lt;1,"","ШЛ."&amp;'SV777-3 (SV004)'!L184)</f>
        <v/>
      </c>
    </row>
    <row r="218" spans="1:5" x14ac:dyDescent="0.25">
      <c r="A218">
        <v>4</v>
      </c>
      <c r="B218" t="str">
        <f>IF('SV777-3 (SV004)'!N184&lt;1,"резерв",'SV777-3 (SV004)'!N184)</f>
        <v>резерв</v>
      </c>
      <c r="C218" s="59" t="str">
        <f>'SV777-3 (SV004)'!N185</f>
        <v/>
      </c>
      <c r="D218" s="60" t="str">
        <f>IF(B43="резерв","",'SV777-3 (SV004)'!P185)</f>
        <v/>
      </c>
      <c r="E218" t="str">
        <f>IF('SV777-3 (SV004)'!P184&lt;1,"","ШЛ."&amp;'SV777-3 (SV004)'!P184)</f>
        <v/>
      </c>
    </row>
    <row r="219" spans="1:5" x14ac:dyDescent="0.25">
      <c r="A219">
        <v>5</v>
      </c>
      <c r="B219" t="str">
        <f>IF('SV777-3 (SV004)'!B204&lt;1,"резерв",'SV777-3 (SV004)'!B204)</f>
        <v>резерв</v>
      </c>
      <c r="C219" s="59" t="str">
        <f>'SV777-3 (SV004)'!B205</f>
        <v/>
      </c>
      <c r="D219" s="60">
        <f>IF(B44="резерв","",'SV777-3 (SV004)'!D205)</f>
        <v>0</v>
      </c>
      <c r="E219" t="str">
        <f>IF('SV777-3 (SV004)'!D204&lt;1,"","ШЛ."&amp;'SV777-3 (SV004)'!D204)</f>
        <v/>
      </c>
    </row>
    <row r="220" spans="1:5" x14ac:dyDescent="0.25">
      <c r="A220">
        <v>6</v>
      </c>
      <c r="B220" t="str">
        <f>IF('SV777-3 (SV004)'!F204&lt;1,"резерв",'SV777-3 (SV004)'!F204)</f>
        <v>резерв</v>
      </c>
      <c r="C220" s="59" t="str">
        <f>'SV777-3 (SV004)'!F205</f>
        <v/>
      </c>
      <c r="D220" s="60" t="str">
        <f>IF(B45="резерв","",'SV777-3 (SV004)'!H205)</f>
        <v/>
      </c>
      <c r="E220" t="str">
        <f>IF('SV777-3 (SV004)'!H204&lt;1,"","ШЛ."&amp;'SV777-3 (SV004)'!H204)</f>
        <v/>
      </c>
    </row>
    <row r="221" spans="1:5" x14ac:dyDescent="0.25">
      <c r="A221">
        <v>7</v>
      </c>
      <c r="B221" t="str">
        <f>IF('SV777-3 (SV004)'!J204&lt;1,"резерв",'SV777-3 (SV004)'!J204)</f>
        <v>резерв</v>
      </c>
      <c r="C221" s="59" t="str">
        <f>'SV777-3 (SV004)'!J205</f>
        <v/>
      </c>
      <c r="D221" s="60" t="str">
        <f>IF(B46="резерв","",'SV777-3 (SV004)'!L205)</f>
        <v/>
      </c>
      <c r="E221" t="str">
        <f>IF('SV777-3 (SV004)'!L204&lt;1,"","ШЛ."&amp;'SV777-3 (SV004)'!L204)</f>
        <v/>
      </c>
    </row>
    <row r="222" spans="1:5" x14ac:dyDescent="0.25">
      <c r="A222">
        <v>8</v>
      </c>
      <c r="B222" t="str">
        <f>IF('SV777-3 (SV004)'!N204&lt;1,"резерв",'SV777-3 (SV004)'!N204)</f>
        <v>резерв</v>
      </c>
      <c r="C222" s="59" t="str">
        <f>'SV777-3 (SV004)'!N205</f>
        <v/>
      </c>
      <c r="D222" s="60" t="str">
        <f>IF(B47="резерв","",'SV777-3 (SV004)'!P205)</f>
        <v/>
      </c>
      <c r="E222" t="str">
        <f>IF('SV777-3 (SV004)'!P204&lt;1,"","ШЛ."&amp;'SV777-3 (SV004)'!P204)</f>
        <v/>
      </c>
    </row>
    <row r="223" spans="1:5" x14ac:dyDescent="0.25">
      <c r="B223" t="s">
        <v>174</v>
      </c>
    </row>
    <row r="224" spans="1:5" x14ac:dyDescent="0.25">
      <c r="A224">
        <v>1</v>
      </c>
      <c r="B224" t="str">
        <f>IF('SV777-3 (SV004)'!B226&lt;1,"резерв",'SV777-3 (SV004)'!B226)</f>
        <v>резерв</v>
      </c>
      <c r="C224" s="59" t="str">
        <f>'SV777-3 (SV004)'!B227</f>
        <v/>
      </c>
      <c r="D224" s="60" t="str">
        <f>IF(B49="резерв","",'SV777-3 (SV004)'!D227)</f>
        <v/>
      </c>
      <c r="E224" t="str">
        <f>IF('SV777-3 (SV004)'!D226&lt;1,"","ШЛ."&amp;'SV777-3 (SV004)'!D226)</f>
        <v/>
      </c>
    </row>
    <row r="225" spans="1:5" x14ac:dyDescent="0.25">
      <c r="A225">
        <v>2</v>
      </c>
      <c r="B225" t="str">
        <f>IF('SV777-3 (SV004)'!F226&lt;1,"резерв",'SV777-3 (SV004)'!F226)</f>
        <v>резерв</v>
      </c>
      <c r="C225" s="59" t="str">
        <f>'SV777-3 (SV004)'!F227</f>
        <v/>
      </c>
      <c r="D225" s="60" t="str">
        <f>IF(B50="резерв","",'SV777-3 (SV004)'!H227)</f>
        <v/>
      </c>
      <c r="E225" t="str">
        <f>IF('SV777-3 (SV004)'!H226&lt;1,"","ШЛ."&amp;'SV777-3 (SV004)'!H226)</f>
        <v/>
      </c>
    </row>
    <row r="226" spans="1:5" x14ac:dyDescent="0.25">
      <c r="A226">
        <v>3</v>
      </c>
      <c r="B226" t="str">
        <f>IF('SV777-3 (SV004)'!J226&lt;1,"резерв",'SV777-3 (SV004)'!J226)</f>
        <v>резерв</v>
      </c>
      <c r="C226" s="59" t="str">
        <f>'SV777-3 (SV004)'!J227</f>
        <v/>
      </c>
      <c r="D226" s="60" t="str">
        <f>IF(B51="резерв","",'SV777-3 (SV004)'!L227)</f>
        <v/>
      </c>
      <c r="E226" t="str">
        <f>IF('SV777-3 (SV004)'!L226&lt;1,"","ШЛ."&amp;'SV777-3 (SV004)'!L226)</f>
        <v/>
      </c>
    </row>
    <row r="227" spans="1:5" x14ac:dyDescent="0.25">
      <c r="A227">
        <v>4</v>
      </c>
      <c r="B227" t="str">
        <f>IF('SV777-3 (SV004)'!N226&lt;1,"резерв",'SV777-3 (SV004)'!N226)</f>
        <v>резерв</v>
      </c>
      <c r="C227" s="59" t="str">
        <f>'SV777-3 (SV004)'!N227</f>
        <v/>
      </c>
      <c r="D227" s="60" t="str">
        <f>IF(B52="резерв","",'SV777-3 (SV004)'!P227)</f>
        <v/>
      </c>
      <c r="E227" t="str">
        <f>IF('SV777-3 (SV004)'!P226&lt;1,"","ШЛ."&amp;'SV777-3 (SV004)'!P226)</f>
        <v/>
      </c>
    </row>
    <row r="228" spans="1:5" x14ac:dyDescent="0.25">
      <c r="A228">
        <v>5</v>
      </c>
      <c r="B228" t="str">
        <f>IF('SV777-3 (SV004)'!B246&lt;1,"резерв",'SV777-3 (SV004)'!B246)</f>
        <v>резерв</v>
      </c>
      <c r="C228" s="59" t="str">
        <f>'SV777-3 (SV004)'!B247</f>
        <v/>
      </c>
      <c r="D228" s="60">
        <f>IF(B53="резерв","",'SV777-3 (SV004)'!D247)</f>
        <v>0</v>
      </c>
      <c r="E228" t="str">
        <f>IF('SV777-3 (SV004)'!D246&lt;1,"","ШЛ."&amp;'SV777-3 (SV004)'!D246)</f>
        <v/>
      </c>
    </row>
    <row r="229" spans="1:5" x14ac:dyDescent="0.25">
      <c r="A229">
        <v>6</v>
      </c>
      <c r="B229" t="str">
        <f>IF('SV777-3 (SV004)'!F246&lt;1,"резерв",'SV777-3 (SV004)'!F246)</f>
        <v>резерв</v>
      </c>
      <c r="C229" s="59" t="str">
        <f>'SV777-3 (SV004)'!F247</f>
        <v/>
      </c>
      <c r="D229" s="60" t="str">
        <f>IF(B54="резерв","",'SV777-3 (SV004)'!H247)</f>
        <v/>
      </c>
      <c r="E229" t="str">
        <f>IF('SV777-3 (SV004)'!H246&lt;1,"","ШЛ."&amp;'SV777-3 (SV004)'!H246)</f>
        <v/>
      </c>
    </row>
    <row r="230" spans="1:5" x14ac:dyDescent="0.25">
      <c r="A230">
        <v>7</v>
      </c>
      <c r="B230" t="str">
        <f>IF('SV777-3 (SV004)'!J246&lt;1,"резерв",'SV777-3 (SV004)'!J246)</f>
        <v>резерв</v>
      </c>
      <c r="C230" s="59" t="str">
        <f>'SV777-3 (SV004)'!J247</f>
        <v/>
      </c>
      <c r="D230" s="60" t="str">
        <f>IF(B55="резерв","",'SV777-3 (SV004)'!L247)</f>
        <v/>
      </c>
      <c r="E230" t="str">
        <f>IF('SV777-3 (SV004)'!L246&lt;1,"","ШЛ."&amp;'SV777-3 (SV004)'!L246)</f>
        <v/>
      </c>
    </row>
    <row r="231" spans="1:5" x14ac:dyDescent="0.25">
      <c r="A231">
        <v>8</v>
      </c>
      <c r="B231" t="str">
        <f>IF('SV777-3 (SV004)'!N246&lt;1,"резерв",'SV777-3 (SV004)'!N246)</f>
        <v>резерв</v>
      </c>
      <c r="C231" s="59" t="str">
        <f>'SV777-3 (SV004)'!N247</f>
        <v/>
      </c>
      <c r="D231" s="60" t="str">
        <f>IF(B56="резерв","",'SV777-3 (SV004)'!P247)</f>
        <v/>
      </c>
      <c r="E231" t="str">
        <f>IF('SV777-3 (SV004)'!P246&lt;1,"","ШЛ."&amp;'SV777-3 (SV004)'!P246)</f>
        <v/>
      </c>
    </row>
    <row r="232" spans="1:5" x14ac:dyDescent="0.25">
      <c r="B232" t="s">
        <v>188</v>
      </c>
    </row>
    <row r="233" spans="1:5" x14ac:dyDescent="0.25">
      <c r="A233">
        <v>1</v>
      </c>
      <c r="B233" t="str">
        <f>IF('SV777-3 (SV004)'!B268&lt;1,"резерв",'SV777-3 (SV004)'!B268)</f>
        <v>резерв</v>
      </c>
      <c r="C233" s="59" t="str">
        <f>'SV777-3 (SV004)'!B269</f>
        <v/>
      </c>
      <c r="D233" s="60" t="str">
        <f>IF(B58="резерв","",'SV777-3 (SV004)'!D269)</f>
        <v/>
      </c>
      <c r="E233" t="str">
        <f>IF('SV777-3 (SV004)'!D268&lt;1,"","ШЛ."&amp;'SV777-3 (SV004)'!D268)</f>
        <v/>
      </c>
    </row>
    <row r="234" spans="1:5" x14ac:dyDescent="0.25">
      <c r="A234">
        <v>2</v>
      </c>
      <c r="B234" t="str">
        <f>IF('SV777-3 (SV004)'!F268&lt;1,"резерв",'SV777-3 (SV004)'!F268)</f>
        <v>резерв</v>
      </c>
      <c r="C234" s="59" t="str">
        <f>'SV777-3 (SV004)'!F269</f>
        <v/>
      </c>
      <c r="D234" s="60" t="str">
        <f>IF(B59="резерв","",'SV777-3 (SV004)'!H269)</f>
        <v/>
      </c>
      <c r="E234" t="str">
        <f>IF('SV777-3 (SV004)'!H268&lt;1,"","ШЛ."&amp;'SV777-3 (SV004)'!H268)</f>
        <v/>
      </c>
    </row>
    <row r="235" spans="1:5" x14ac:dyDescent="0.25">
      <c r="A235">
        <v>3</v>
      </c>
      <c r="B235" t="str">
        <f>IF('SV777-3 (SV004)'!J268&lt;1,"резерв",'SV777-3 (SV004)'!J268)</f>
        <v>резерв</v>
      </c>
      <c r="C235" s="59" t="str">
        <f>'SV777-3 (SV004)'!J269</f>
        <v/>
      </c>
      <c r="D235" s="60" t="str">
        <f>IF(B60="резерв","",'SV777-3 (SV004)'!L269)</f>
        <v/>
      </c>
      <c r="E235" t="str">
        <f>IF('SV777-3 (SV004)'!L268&lt;1,"","ШЛ."&amp;'SV777-3 (SV004)'!L268)</f>
        <v/>
      </c>
    </row>
    <row r="236" spans="1:5" x14ac:dyDescent="0.25">
      <c r="A236">
        <v>4</v>
      </c>
      <c r="B236" t="str">
        <f>IF('SV777-3 (SV004)'!N268&lt;1,"резерв",'SV777-3 (SV004)'!N268)</f>
        <v>резерв</v>
      </c>
      <c r="C236" s="59" t="str">
        <f>'SV777-3 (SV004)'!N269</f>
        <v/>
      </c>
      <c r="D236" s="60" t="str">
        <f>IF(B61="резерв","",'SV777-3 (SV004)'!P269)</f>
        <v/>
      </c>
      <c r="E236" t="str">
        <f>IF('SV777-3 (SV004)'!P268&lt;1,"","ШЛ."&amp;'SV777-3 (SV004)'!P268)</f>
        <v/>
      </c>
    </row>
    <row r="237" spans="1:5" x14ac:dyDescent="0.25">
      <c r="A237">
        <v>5</v>
      </c>
      <c r="B237" t="str">
        <f>IF('SV777-3 (SV004)'!B288&lt;1,"резерв",'SV777-3 (SV004)'!B288)</f>
        <v>резерв</v>
      </c>
      <c r="C237" s="59" t="str">
        <f>'SV777-3 (SV004)'!B289</f>
        <v/>
      </c>
      <c r="D237" s="60">
        <f>IF(B62="резерв","",'SV777-3 (SV004)'!D289)</f>
        <v>0</v>
      </c>
      <c r="E237" t="str">
        <f>IF('SV777-3 (SV004)'!D288&lt;1,"","ШЛ."&amp;'SV777-3 (SV004)'!D288)</f>
        <v/>
      </c>
    </row>
    <row r="238" spans="1:5" x14ac:dyDescent="0.25">
      <c r="A238">
        <v>6</v>
      </c>
      <c r="B238" t="str">
        <f>IF('SV777-3 (SV004)'!F288&lt;1,"резерв",'SV777-3 (SV004)'!F288)</f>
        <v>резерв</v>
      </c>
      <c r="C238" s="59" t="str">
        <f>'SV777-3 (SV004)'!F289</f>
        <v/>
      </c>
      <c r="D238" s="60" t="str">
        <f>IF(B63="резерв","",'SV777-3 (SV004)'!H289)</f>
        <v/>
      </c>
      <c r="E238" t="str">
        <f>IF('SV777-3 (SV004)'!H288&lt;1,"","ШЛ."&amp;'SV777-3 (SV004)'!H288)</f>
        <v/>
      </c>
    </row>
    <row r="239" spans="1:5" x14ac:dyDescent="0.25">
      <c r="A239">
        <v>7</v>
      </c>
      <c r="B239" t="str">
        <f>IF('SV777-3 (SV004)'!J288&lt;1,"резерв",'SV777-3 (SV004)'!J288)</f>
        <v>резерв</v>
      </c>
      <c r="C239" s="59" t="str">
        <f>'SV777-3 (SV004)'!J289</f>
        <v/>
      </c>
      <c r="D239" s="60" t="str">
        <f>IF(B64="резерв","",'SV777-3 (SV004)'!L289)</f>
        <v/>
      </c>
      <c r="E239" t="str">
        <f>IF('SV777-3 (SV004)'!L288&lt;1,"","ШЛ."&amp;'SV777-3 (SV004)'!L288)</f>
        <v/>
      </c>
    </row>
    <row r="240" spans="1:5" x14ac:dyDescent="0.25">
      <c r="A240">
        <v>8</v>
      </c>
      <c r="B240" t="str">
        <f>IF('SV777-3 (SV004)'!N288&lt;1,"резерв",'SV777-3 (SV004)'!N288)</f>
        <v>резерв</v>
      </c>
      <c r="C240" s="59" t="str">
        <f>'SV777-3 (SV004)'!N289</f>
        <v/>
      </c>
      <c r="D240" s="60" t="str">
        <f>IF(B65="резерв","",'SV777-3 (SV004)'!P289)</f>
        <v/>
      </c>
      <c r="E240" t="str">
        <f>IF('SV777-3 (SV004)'!P288&lt;1,"","ШЛ."&amp;'SV777-3 (SV004)'!P288)</f>
        <v/>
      </c>
    </row>
    <row r="241" spans="1:5" x14ac:dyDescent="0.25">
      <c r="B241" t="s">
        <v>189</v>
      </c>
    </row>
    <row r="242" spans="1:5" x14ac:dyDescent="0.25">
      <c r="A242">
        <v>1</v>
      </c>
      <c r="B242" t="str">
        <f>IF('SV777-3 (SV004)'!B310&lt;1,"резерв",'SV777-3 (SV004)'!B310)</f>
        <v>резерв</v>
      </c>
      <c r="C242" s="59" t="str">
        <f>'SV777-3 (SV004)'!B311</f>
        <v/>
      </c>
      <c r="D242" s="60" t="str">
        <f>IF(B67="резерв","",'SV777-3 (SV004)'!D311)</f>
        <v/>
      </c>
      <c r="E242" t="str">
        <f>IF('SV777-3 (SV004)'!D310&lt;1,"","ШЛ."&amp;'SV777-3 (SV004)'!D310)</f>
        <v/>
      </c>
    </row>
    <row r="243" spans="1:5" x14ac:dyDescent="0.25">
      <c r="A243">
        <v>2</v>
      </c>
      <c r="B243" t="str">
        <f>IF('SV777-3 (SV004)'!F310&lt;1,"резерв",'SV777-3 (SV004)'!F310)</f>
        <v>резерв</v>
      </c>
      <c r="C243" s="59" t="str">
        <f>'SV777-3 (SV004)'!F311</f>
        <v/>
      </c>
      <c r="D243" s="60" t="str">
        <f>IF(B68="резерв","",'SV777-3 (SV004)'!H311)</f>
        <v/>
      </c>
      <c r="E243" t="str">
        <f>IF('SV777-3 (SV004)'!H310&lt;1,"","ШЛ."&amp;'SV777-3 (SV004)'!H310)</f>
        <v/>
      </c>
    </row>
    <row r="244" spans="1:5" x14ac:dyDescent="0.25">
      <c r="A244">
        <v>3</v>
      </c>
      <c r="B244" t="str">
        <f>IF('SV777-3 (SV004)'!J310&lt;1,"резерв",'SV777-3 (SV004)'!J310)</f>
        <v>резерв</v>
      </c>
      <c r="C244" s="59" t="str">
        <f>'SV777-3 (SV004)'!J311</f>
        <v/>
      </c>
      <c r="D244" s="60" t="str">
        <f>IF(B69="резерв","",'SV777-3 (SV004)'!L311)</f>
        <v/>
      </c>
      <c r="E244" t="str">
        <f>IF('SV777-3 (SV004)'!L310&lt;1,"","ШЛ."&amp;'SV777-3 (SV004)'!L310)</f>
        <v/>
      </c>
    </row>
    <row r="245" spans="1:5" x14ac:dyDescent="0.25">
      <c r="A245">
        <v>4</v>
      </c>
      <c r="B245" t="str">
        <f>IF('SV777-3 (SV004)'!N310&lt;1,"резерв",'SV777-3 (SV004)'!N310)</f>
        <v>резерв</v>
      </c>
      <c r="C245" s="59" t="str">
        <f>'SV777-3 (SV004)'!N311</f>
        <v/>
      </c>
      <c r="D245" s="60" t="str">
        <f>IF(B70="резерв","",'SV777-3 (SV004)'!P311)</f>
        <v/>
      </c>
      <c r="E245" t="str">
        <f>IF('SV777-3 (SV004)'!P310&lt;1,"","ШЛ."&amp;'SV777-3 (SV004)'!P310)</f>
        <v/>
      </c>
    </row>
    <row r="246" spans="1:5" x14ac:dyDescent="0.25">
      <c r="A246">
        <v>5</v>
      </c>
      <c r="B246" t="str">
        <f>IF('SV777-3 (SV004)'!B330&lt;1,"резерв",'SV777-3 (SV004)'!B330)</f>
        <v>резерв</v>
      </c>
      <c r="C246" s="59" t="str">
        <f>'SV777-3 (SV004)'!B331</f>
        <v/>
      </c>
      <c r="D246" s="60">
        <f>IF(B71="резерв","",'SV777-3 (SV004)'!D331)</f>
        <v>0</v>
      </c>
      <c r="E246" t="str">
        <f>IF('SV777-3 (SV004)'!D330&lt;1,"","ШЛ."&amp;'SV777-3 (SV004)'!D330)</f>
        <v/>
      </c>
    </row>
    <row r="247" spans="1:5" x14ac:dyDescent="0.25">
      <c r="A247">
        <v>6</v>
      </c>
      <c r="B247" t="str">
        <f>IF('SV777-3 (SV004)'!F330&lt;1,"резерв",'SV777-3 (SV004)'!F330)</f>
        <v>резерв</v>
      </c>
      <c r="C247" s="59" t="str">
        <f>'SV777-3 (SV004)'!F331</f>
        <v/>
      </c>
      <c r="D247" s="60" t="str">
        <f>IF(B72="резерв","",'SV777-3 (SV004)'!H331)</f>
        <v/>
      </c>
      <c r="E247" t="str">
        <f>IF('SV777-3 (SV004)'!H330&lt;1,"","ШЛ."&amp;'SV777-3 (SV004)'!H330)</f>
        <v/>
      </c>
    </row>
    <row r="248" spans="1:5" x14ac:dyDescent="0.25">
      <c r="A248">
        <v>7</v>
      </c>
      <c r="B248" t="str">
        <f>IF('SV777-3 (SV004)'!J330&lt;1,"резерв",'SV777-3 (SV004)'!J330)</f>
        <v>резерв</v>
      </c>
      <c r="C248" s="59" t="str">
        <f>'SV777-3 (SV004)'!J331</f>
        <v/>
      </c>
      <c r="D248" s="60" t="str">
        <f>IF(B73="резерв","",'SV777-3 (SV004)'!L331)</f>
        <v/>
      </c>
      <c r="E248" t="str">
        <f>IF('SV777-3 (SV004)'!L330&lt;1,"","ШЛ."&amp;'SV777-3 (SV004)'!L330)</f>
        <v/>
      </c>
    </row>
    <row r="249" spans="1:5" x14ac:dyDescent="0.25">
      <c r="A249">
        <v>8</v>
      </c>
      <c r="B249" t="str">
        <f>IF('SV777-3 (SV004)'!N330&lt;1,"резерв",'SV777-3 (SV004)'!N330)</f>
        <v>резерв</v>
      </c>
      <c r="C249" s="59" t="str">
        <f>'SV777-3 (SV004)'!N331</f>
        <v/>
      </c>
      <c r="D249" s="60" t="str">
        <f>IF(B74="резерв","",'SV777-3 (SV004)'!P331)</f>
        <v/>
      </c>
      <c r="E249" t="str">
        <f>IF('SV777-3 (SV004)'!P330&lt;1,"","ШЛ."&amp;'SV777-3 (SV004)'!P330)</f>
        <v/>
      </c>
    </row>
    <row r="250" spans="1:5" x14ac:dyDescent="0.25">
      <c r="B250" t="s">
        <v>177</v>
      </c>
    </row>
    <row r="251" spans="1:5" x14ac:dyDescent="0.25">
      <c r="A251">
        <v>1</v>
      </c>
      <c r="B251" t="str">
        <f>IF('SV777-3 (SV004)'!B352&lt;1,"резерв",'SV777-3 (SV004)'!B352)</f>
        <v>резерв</v>
      </c>
      <c r="C251" s="59" t="str">
        <f>'SV777-3 (SV004)'!B353</f>
        <v/>
      </c>
      <c r="D251" s="60" t="str">
        <f>IF(B76="резерв","",'SV777-3 (SV004)'!D353)</f>
        <v/>
      </c>
      <c r="E251" t="str">
        <f>IF('SV777-3 (SV004)'!D352&lt;1,"","ШЛ."&amp;'SV777-3 (SV004)'!D352)</f>
        <v/>
      </c>
    </row>
    <row r="252" spans="1:5" x14ac:dyDescent="0.25">
      <c r="A252">
        <v>2</v>
      </c>
      <c r="B252" t="str">
        <f>IF('SV777-3 (SV004)'!F352&lt;1,"резерв",'SV777-3 (SV004)'!F352)</f>
        <v>резерв</v>
      </c>
      <c r="C252" s="59" t="str">
        <f>'SV777-3 (SV004)'!F353</f>
        <v/>
      </c>
      <c r="D252" s="60" t="str">
        <f>IF(B77="резерв","",'SV777-3 (SV004)'!H353)</f>
        <v/>
      </c>
      <c r="E252" t="str">
        <f>IF('SV777-3 (SV004)'!H352&lt;1,"","ШЛ."&amp;'SV777-3 (SV004)'!H352)</f>
        <v/>
      </c>
    </row>
    <row r="253" spans="1:5" x14ac:dyDescent="0.25">
      <c r="A253">
        <v>3</v>
      </c>
      <c r="B253" t="str">
        <f>IF('SV777-3 (SV004)'!J352&lt;1,"резерв",'SV777-3 (SV004)'!J352)</f>
        <v>резерв</v>
      </c>
      <c r="C253" s="59" t="str">
        <f>'SV777-3 (SV004)'!J353</f>
        <v/>
      </c>
      <c r="D253" s="60" t="str">
        <f>IF(B78="резерв","",'SV777-3 (SV004)'!L353)</f>
        <v/>
      </c>
      <c r="E253" t="str">
        <f>IF('SV777-3 (SV004)'!L352&lt;1,"","ШЛ."&amp;'SV777-3 (SV004)'!L352)</f>
        <v/>
      </c>
    </row>
    <row r="254" spans="1:5" x14ac:dyDescent="0.25">
      <c r="A254">
        <v>4</v>
      </c>
      <c r="B254" t="str">
        <f>IF('SV777-3 (SV004)'!N352&lt;1,"резерв",'SV777-3 (SV004)'!N352)</f>
        <v>резерв</v>
      </c>
      <c r="C254" s="59" t="str">
        <f>'SV777-3 (SV004)'!N353</f>
        <v/>
      </c>
      <c r="D254" s="60" t="str">
        <f>IF(B79="резерв","",'SV777-3 (SV004)'!P353)</f>
        <v/>
      </c>
      <c r="E254" t="str">
        <f>IF('SV777-3 (SV004)'!P352&lt;1,"","ШЛ."&amp;'SV777-3 (SV004)'!P352)</f>
        <v/>
      </c>
    </row>
    <row r="255" spans="1:5" x14ac:dyDescent="0.25">
      <c r="A255">
        <v>5</v>
      </c>
      <c r="B255" t="str">
        <f>IF('SV777-3 (SV004)'!B372&lt;1,"резерв",'SV777-3 (SV004)'!B372)</f>
        <v>резерв</v>
      </c>
      <c r="C255" s="59" t="str">
        <f>'SV777-3 (SV004)'!B373</f>
        <v/>
      </c>
      <c r="D255" s="60">
        <f>IF(B80="резерв","",'SV777-3 (SV004)'!D373)</f>
        <v>0</v>
      </c>
      <c r="E255" t="str">
        <f>IF('SV777-3 (SV004)'!D372&lt;1,"","ШЛ."&amp;'SV777-3 (SV004)'!D372)</f>
        <v/>
      </c>
    </row>
    <row r="256" spans="1:5" x14ac:dyDescent="0.25">
      <c r="A256">
        <v>6</v>
      </c>
      <c r="B256" t="str">
        <f>IF('SV777-3 (SV004)'!F372&lt;1,"резерв",'SV777-3 (SV004)'!F372)</f>
        <v>резерв</v>
      </c>
      <c r="C256" s="59" t="str">
        <f>'SV777-3 (SV004)'!F373</f>
        <v/>
      </c>
      <c r="D256" s="60" t="str">
        <f>IF(B81="резерв","",'SV777-3 (SV004)'!H373)</f>
        <v/>
      </c>
      <c r="E256" t="str">
        <f>IF('SV777-3 (SV004)'!H372&lt;1,"","ШЛ."&amp;'SV777-3 (SV004)'!H372)</f>
        <v/>
      </c>
    </row>
    <row r="257" spans="1:5" x14ac:dyDescent="0.25">
      <c r="A257">
        <v>7</v>
      </c>
      <c r="B257" t="str">
        <f>IF('SV777-3 (SV004)'!J372&lt;1,"резерв",'SV777-3 (SV004)'!J372)</f>
        <v>резерв</v>
      </c>
      <c r="C257" s="59" t="str">
        <f>'SV777-3 (SV004)'!J373</f>
        <v/>
      </c>
      <c r="D257" s="60" t="str">
        <f>IF(B82="резерв","",'SV777-3 (SV004)'!L373)</f>
        <v/>
      </c>
      <c r="E257" t="str">
        <f>IF('SV777-3 (SV004)'!L372&lt;1,"","ШЛ."&amp;'SV777-3 (SV004)'!L372)</f>
        <v/>
      </c>
    </row>
    <row r="258" spans="1:5" x14ac:dyDescent="0.25">
      <c r="A258">
        <v>8</v>
      </c>
      <c r="B258" t="str">
        <f>IF('SV777-3 (SV004)'!N372&lt;1,"резерв",'SV777-3 (SV004)'!N372)</f>
        <v>резерв</v>
      </c>
      <c r="C258" s="59" t="str">
        <f>'SV777-3 (SV004)'!N373</f>
        <v/>
      </c>
      <c r="D258" s="60" t="str">
        <f>IF(B83="резерв","",'SV777-3 (SV004)'!P373)</f>
        <v/>
      </c>
      <c r="E258" t="str">
        <f>IF('SV777-3 (SV004)'!P372&lt;1,"","ШЛ."&amp;'SV777-3 (SV004)'!P372)</f>
        <v/>
      </c>
    </row>
    <row r="259" spans="1:5" x14ac:dyDescent="0.25">
      <c r="B259" t="s">
        <v>178</v>
      </c>
    </row>
    <row r="260" spans="1:5" x14ac:dyDescent="0.25">
      <c r="A260">
        <v>1</v>
      </c>
      <c r="B260" t="str">
        <f>IF('SV777-3 (SV004)'!B394&lt;1,"резерв",'SV777-3 (SV004)'!B394)</f>
        <v>резерв</v>
      </c>
      <c r="C260" s="59" t="str">
        <f>'SV777-3 (SV004)'!B395</f>
        <v/>
      </c>
      <c r="D260" s="60" t="str">
        <f>IF(B85="резерв","",'SV777-3 (SV004)'!D395)</f>
        <v/>
      </c>
      <c r="E260" t="str">
        <f>IF('SV777-3 (SV004)'!D394&lt;1,"","ШЛ."&amp;'SV777-3 (SV004)'!D394)</f>
        <v/>
      </c>
    </row>
    <row r="261" spans="1:5" x14ac:dyDescent="0.25">
      <c r="A261">
        <v>2</v>
      </c>
      <c r="B261" t="str">
        <f>IF('SV777-3 (SV004)'!F394&lt;1,"резерв",'SV777-3 (SV004)'!F394)</f>
        <v>резерв</v>
      </c>
      <c r="C261" s="59" t="str">
        <f>'SV777-3 (SV004)'!F395</f>
        <v/>
      </c>
      <c r="D261" s="60" t="str">
        <f>IF(B86="резерв","",'SV777-3 (SV004)'!H395)</f>
        <v/>
      </c>
      <c r="E261" t="str">
        <f>IF('SV777-3 (SV004)'!H394&lt;1,"","ШЛ."&amp;'SV777-3 (SV004)'!H394)</f>
        <v/>
      </c>
    </row>
    <row r="262" spans="1:5" x14ac:dyDescent="0.25">
      <c r="A262">
        <v>3</v>
      </c>
      <c r="B262" t="str">
        <f>IF('SV777-3 (SV004)'!J394&lt;1,"резерв",'SV777-3 (SV004)'!J394)</f>
        <v>резерв</v>
      </c>
      <c r="C262" s="59" t="str">
        <f>'SV777-3 (SV004)'!J395</f>
        <v/>
      </c>
      <c r="D262" s="60" t="str">
        <f>IF(B87="резерв","",'SV777-3 (SV004)'!L395)</f>
        <v/>
      </c>
      <c r="E262" t="str">
        <f>IF('SV777-3 (SV004)'!L394&lt;1,"","ШЛ."&amp;'SV777-3 (SV004)'!L394)</f>
        <v/>
      </c>
    </row>
    <row r="263" spans="1:5" x14ac:dyDescent="0.25">
      <c r="A263">
        <v>4</v>
      </c>
      <c r="B263" t="str">
        <f>IF('SV777-3 (SV004)'!N394&lt;1,"резерв",'SV777-3 (SV004)'!N394)</f>
        <v>резерв</v>
      </c>
      <c r="C263" s="59" t="str">
        <f>'SV777-3 (SV004)'!N395</f>
        <v/>
      </c>
      <c r="D263" s="60" t="str">
        <f>IF(B88="резерв","",'SV777-3 (SV004)'!P395)</f>
        <v/>
      </c>
      <c r="E263" t="str">
        <f>IF('SV777-3 (SV004)'!P394&lt;1,"","ШЛ."&amp;'SV777-3 (SV004)'!P394)</f>
        <v/>
      </c>
    </row>
    <row r="264" spans="1:5" x14ac:dyDescent="0.25">
      <c r="A264">
        <v>5</v>
      </c>
      <c r="B264" t="str">
        <f>IF('SV777-3 (SV004)'!B414&lt;1,"резерв",'SV777-3 (SV004)'!B414)</f>
        <v>резерв</v>
      </c>
      <c r="C264" s="59" t="str">
        <f>'SV777-3 (SV004)'!B415</f>
        <v/>
      </c>
      <c r="D264" s="60">
        <f>IF(B89="резерв","",'SV777-3 (SV004)'!D415)</f>
        <v>0</v>
      </c>
      <c r="E264" t="str">
        <f>IF('SV777-3 (SV004)'!D414&lt;1,"","ШЛ."&amp;'SV777-3 (SV004)'!D414)</f>
        <v/>
      </c>
    </row>
    <row r="265" spans="1:5" x14ac:dyDescent="0.25">
      <c r="A265">
        <v>6</v>
      </c>
      <c r="B265" t="str">
        <f>IF('SV777-3 (SV004)'!F414&lt;1,"резерв",'SV777-3 (SV004)'!F414)</f>
        <v>резерв</v>
      </c>
      <c r="C265" s="59" t="str">
        <f>'SV777-3 (SV004)'!F415</f>
        <v/>
      </c>
      <c r="D265" s="60" t="str">
        <f>IF(B90="резерв","",'SV777-3 (SV004)'!H415)</f>
        <v/>
      </c>
      <c r="E265" t="str">
        <f>IF('SV777-3 (SV004)'!H414&lt;1,"","ШЛ."&amp;'SV777-3 (SV004)'!H414)</f>
        <v/>
      </c>
    </row>
    <row r="266" spans="1:5" x14ac:dyDescent="0.25">
      <c r="A266">
        <v>7</v>
      </c>
      <c r="B266" t="str">
        <f>IF('SV777-3 (SV004)'!J414&lt;1,"резерв",'SV777-3 (SV004)'!J414)</f>
        <v>резерв</v>
      </c>
      <c r="C266" s="59" t="str">
        <f>'SV777-3 (SV004)'!J415</f>
        <v/>
      </c>
      <c r="D266" s="60" t="str">
        <f>IF(B91="резерв","",'SV777-3 (SV004)'!L415)</f>
        <v/>
      </c>
      <c r="E266" t="str">
        <f>IF('SV777-3 (SV004)'!L414&lt;1,"","ШЛ."&amp;'SV777-3 (SV004)'!L414)</f>
        <v/>
      </c>
    </row>
    <row r="267" spans="1:5" x14ac:dyDescent="0.25">
      <c r="A267">
        <v>8</v>
      </c>
      <c r="B267" t="str">
        <f>IF('SV777-3 (SV004)'!N414&lt;1,"резерв",'SV777-3 (SV004)'!N414)</f>
        <v>резерв</v>
      </c>
      <c r="C267" s="59" t="str">
        <f>'SV777-3 (SV004)'!N415</f>
        <v/>
      </c>
      <c r="D267" s="60" t="str">
        <f>IF(B92="резерв","",'SV777-3 (SV004)'!P415)</f>
        <v/>
      </c>
      <c r="E267" t="str">
        <f>IF('SV777-3 (SV004)'!P414&lt;1,"","ШЛ."&amp;'SV777-3 (SV004)'!P414)</f>
        <v/>
      </c>
    </row>
    <row r="268" spans="1:5" x14ac:dyDescent="0.25">
      <c r="B268" t="s">
        <v>179</v>
      </c>
    </row>
    <row r="269" spans="1:5" x14ac:dyDescent="0.25">
      <c r="A269">
        <v>1</v>
      </c>
      <c r="B269" t="str">
        <f>IF('SV777-3 (SV004)'!B436&lt;1,"резерв",'SV777-3 (SV004)'!B436)</f>
        <v>резерв</v>
      </c>
      <c r="C269" s="59" t="str">
        <f>'SV777-3 (SV004)'!B437</f>
        <v/>
      </c>
      <c r="D269" s="60" t="str">
        <f>IF(B94="резерв","",'SV777-3 (SV004)'!D437)</f>
        <v/>
      </c>
      <c r="E269" t="str">
        <f>IF('SV777-3 (SV004)'!D436&lt;1,"","ШЛ."&amp;'SV777-3 (SV004)'!D436)</f>
        <v/>
      </c>
    </row>
    <row r="270" spans="1:5" x14ac:dyDescent="0.25">
      <c r="A270">
        <v>2</v>
      </c>
      <c r="B270" t="str">
        <f>IF('SV777-3 (SV004)'!F436&lt;1,"резерв",'SV777-3 (SV004)'!F436)</f>
        <v>резерв</v>
      </c>
      <c r="C270" s="59" t="str">
        <f>'SV777-3 (SV004)'!F437</f>
        <v/>
      </c>
      <c r="D270" s="60" t="str">
        <f>IF(B95="резерв","",'SV777-3 (SV004)'!H437)</f>
        <v/>
      </c>
      <c r="E270" t="str">
        <f>IF('SV777-3 (SV004)'!H436&lt;1,"","ШЛ."&amp;'SV777-3 (SV004)'!H436)</f>
        <v/>
      </c>
    </row>
    <row r="271" spans="1:5" x14ac:dyDescent="0.25">
      <c r="A271">
        <v>3</v>
      </c>
      <c r="B271" t="str">
        <f>IF('SV777-3 (SV004)'!J436&lt;1,"резерв",'SV777-3 (SV004)'!J436)</f>
        <v>резерв</v>
      </c>
      <c r="C271" s="59" t="str">
        <f>'SV777-3 (SV004)'!J437</f>
        <v/>
      </c>
      <c r="D271" s="60" t="str">
        <f>IF(B96="резерв","",'SV777-3 (SV004)'!L437)</f>
        <v/>
      </c>
      <c r="E271" t="str">
        <f>IF('SV777-3 (SV004)'!L436&lt;1,"","ШЛ."&amp;'SV777-3 (SV004)'!L436)</f>
        <v/>
      </c>
    </row>
    <row r="272" spans="1:5" x14ac:dyDescent="0.25">
      <c r="A272">
        <v>4</v>
      </c>
      <c r="B272" t="str">
        <f>IF('SV777-3 (SV004)'!N436&lt;1,"резерв",'SV777-3 (SV004)'!N436)</f>
        <v>резерв</v>
      </c>
      <c r="C272" s="59" t="str">
        <f>'SV777-3 (SV004)'!N437</f>
        <v/>
      </c>
      <c r="D272" s="60" t="str">
        <f>IF(B97="резерв","",'SV777-3 (SV004)'!P437)</f>
        <v/>
      </c>
      <c r="E272" t="str">
        <f>IF('SV777-3 (SV004)'!P436&lt;1,"","ШЛ."&amp;'SV777-3 (SV004)'!P436)</f>
        <v/>
      </c>
    </row>
    <row r="273" spans="1:5" x14ac:dyDescent="0.25">
      <c r="A273">
        <v>5</v>
      </c>
      <c r="B273" t="str">
        <f>IF('SV777-3 (SV004)'!B456&lt;1,"резерв",'SV777-3 (SV004)'!B456)</f>
        <v>резерв</v>
      </c>
      <c r="C273" s="59" t="str">
        <f>'SV777-3 (SV004)'!B457</f>
        <v/>
      </c>
      <c r="D273" s="60">
        <f>IF(B98="резерв","",'SV777-3 (SV004)'!D457)</f>
        <v>0</v>
      </c>
      <c r="E273" t="str">
        <f>IF('SV777-3 (SV004)'!D456&lt;1,"","ШЛ."&amp;'SV777-3 (SV004)'!D456)</f>
        <v/>
      </c>
    </row>
    <row r="274" spans="1:5" x14ac:dyDescent="0.25">
      <c r="A274">
        <v>6</v>
      </c>
      <c r="B274" t="str">
        <f>IF('SV777-3 (SV004)'!F456&lt;1,"резерв",'SV777-3 (SV004)'!F456)</f>
        <v>резерв</v>
      </c>
      <c r="C274" s="59" t="str">
        <f>'SV777-3 (SV004)'!F457</f>
        <v/>
      </c>
      <c r="D274" s="60" t="str">
        <f>IF(B99="резерв","",'SV777-3 (SV004)'!H457)</f>
        <v/>
      </c>
      <c r="E274" t="str">
        <f>IF('SV777-3 (SV004)'!H456&lt;1,"","ШЛ."&amp;'SV777-3 (SV004)'!H456)</f>
        <v/>
      </c>
    </row>
    <row r="275" spans="1:5" x14ac:dyDescent="0.25">
      <c r="A275">
        <v>7</v>
      </c>
      <c r="B275" t="str">
        <f>IF('SV777-3 (SV004)'!J456&lt;1,"резерв",'SV777-3 (SV004)'!J456)</f>
        <v>резерв</v>
      </c>
      <c r="C275" s="59" t="str">
        <f>'SV777-3 (SV004)'!J457</f>
        <v/>
      </c>
      <c r="D275" s="60" t="str">
        <f>IF(B100="резерв","",'SV777-3 (SV004)'!L457)</f>
        <v/>
      </c>
      <c r="E275" t="str">
        <f>IF('SV777-3 (SV004)'!L456&lt;1,"","ШЛ."&amp;'SV777-3 (SV004)'!L456)</f>
        <v/>
      </c>
    </row>
    <row r="276" spans="1:5" x14ac:dyDescent="0.25">
      <c r="A276">
        <v>8</v>
      </c>
      <c r="B276" t="str">
        <f>IF('SV777-3 (SV004)'!N456&lt;1,"резерв",'SV777-3 (SV004)'!N456)</f>
        <v>резерв</v>
      </c>
      <c r="C276" s="59" t="str">
        <f>'SV777-3 (SV004)'!N457</f>
        <v/>
      </c>
      <c r="D276" s="60" t="str">
        <f>IF(B101="резерв","",'SV777-3 (SV004)'!P457)</f>
        <v/>
      </c>
      <c r="E276" t="str">
        <f>IF('SV777-3 (SV004)'!P456&lt;1,"","ШЛ."&amp;'SV777-3 (SV004)'!P456)</f>
        <v/>
      </c>
    </row>
    <row r="277" spans="1:5" x14ac:dyDescent="0.25">
      <c r="B277" t="s">
        <v>180</v>
      </c>
    </row>
    <row r="278" spans="1:5" x14ac:dyDescent="0.25">
      <c r="A278">
        <v>1</v>
      </c>
      <c r="B278" t="str">
        <f>IF('SV777-3 (SV004)'!B478&lt;1,"резерв",'SV777-3 (SV004)'!B478)</f>
        <v>резерв</v>
      </c>
      <c r="C278" s="59" t="str">
        <f>'SV777-3 (SV004)'!B479</f>
        <v/>
      </c>
      <c r="D278" s="60" t="str">
        <f>IF(B103="резерв","",'SV777-3 (SV004)'!D479)</f>
        <v/>
      </c>
      <c r="E278" t="str">
        <f>IF('SV777-3 (SV004)'!D478&lt;1,"","ШЛ."&amp;'SV777-3 (SV004)'!D478)</f>
        <v/>
      </c>
    </row>
    <row r="279" spans="1:5" x14ac:dyDescent="0.25">
      <c r="A279">
        <v>2</v>
      </c>
      <c r="B279" t="str">
        <f>IF('SV777-3 (SV004)'!F478&lt;1,"резерв",'SV777-3 (SV004)'!F478)</f>
        <v>резерв</v>
      </c>
      <c r="C279" s="59" t="str">
        <f>'SV777-3 (SV004)'!F479</f>
        <v/>
      </c>
      <c r="D279" s="60" t="str">
        <f>IF(B104="резерв","",'SV777-3 (SV004)'!H479)</f>
        <v/>
      </c>
      <c r="E279" t="str">
        <f>IF('SV777-3 (SV004)'!H478&lt;1,"","ШЛ."&amp;'SV777-3 (SV004)'!H478)</f>
        <v/>
      </c>
    </row>
    <row r="280" spans="1:5" x14ac:dyDescent="0.25">
      <c r="A280">
        <v>3</v>
      </c>
      <c r="B280" t="str">
        <f>IF('SV777-3 (SV004)'!J478&lt;1,"резерв",'SV777-3 (SV004)'!J478)</f>
        <v>резерв</v>
      </c>
      <c r="C280" s="59" t="str">
        <f>'SV777-3 (SV004)'!J479</f>
        <v/>
      </c>
      <c r="D280" s="60" t="str">
        <f>IF(B105="резерв","",'SV777-3 (SV004)'!L479)</f>
        <v/>
      </c>
      <c r="E280" t="str">
        <f>IF('SV777-3 (SV004)'!L478&lt;1,"","ШЛ."&amp;'SV777-3 (SV004)'!L478)</f>
        <v/>
      </c>
    </row>
    <row r="281" spans="1:5" x14ac:dyDescent="0.25">
      <c r="A281">
        <v>4</v>
      </c>
      <c r="B281" t="str">
        <f>IF('SV777-3 (SV004)'!N478&lt;1,"резерв",'SV777-3 (SV004)'!N478)</f>
        <v>резерв</v>
      </c>
      <c r="C281" s="59" t="str">
        <f>'SV777-3 (SV004)'!N479</f>
        <v/>
      </c>
      <c r="D281" s="60" t="str">
        <f>IF(B106="резерв","",'SV777-3 (SV004)'!P479)</f>
        <v/>
      </c>
      <c r="E281" t="str">
        <f>IF('SV777-3 (SV004)'!P478&lt;1,"","ШЛ."&amp;'SV777-3 (SV004)'!P478)</f>
        <v/>
      </c>
    </row>
    <row r="282" spans="1:5" x14ac:dyDescent="0.25">
      <c r="A282">
        <v>5</v>
      </c>
      <c r="B282" t="str">
        <f>IF('SV777-3 (SV004)'!B498&lt;1,"резерв",'SV777-3 (SV004)'!B498)</f>
        <v>резерв</v>
      </c>
      <c r="C282" s="59" t="str">
        <f>'SV777-3 (SV004)'!B499</f>
        <v/>
      </c>
      <c r="D282" s="60">
        <f>IF(B107="резерв","",'SV777-3 (SV004)'!D499)</f>
        <v>0</v>
      </c>
      <c r="E282" t="str">
        <f>IF('SV777-3 (SV004)'!D498&lt;1,"","ШЛ."&amp;'SV777-3 (SV004)'!D498)</f>
        <v/>
      </c>
    </row>
    <row r="283" spans="1:5" x14ac:dyDescent="0.25">
      <c r="A283">
        <v>6</v>
      </c>
      <c r="B283" t="str">
        <f>IF('SV777-3 (SV004)'!F498&lt;1,"резерв",'SV777-3 (SV004)'!F498)</f>
        <v>резерв</v>
      </c>
      <c r="C283" s="59" t="str">
        <f>'SV777-3 (SV004)'!F499</f>
        <v/>
      </c>
      <c r="D283" s="60" t="str">
        <f>IF(B108="резерв","",'SV777-3 (SV004)'!H499)</f>
        <v/>
      </c>
      <c r="E283" t="str">
        <f>IF('SV777-3 (SV004)'!H498&lt;1,"","ШЛ."&amp;'SV777-3 (SV004)'!H498)</f>
        <v/>
      </c>
    </row>
    <row r="284" spans="1:5" x14ac:dyDescent="0.25">
      <c r="A284">
        <v>7</v>
      </c>
      <c r="B284" t="str">
        <f>IF('SV777-3 (SV004)'!J498&lt;1,"резерв",'SV777-3 (SV004)'!J498)</f>
        <v>резерв</v>
      </c>
      <c r="C284" s="59" t="str">
        <f>'SV777-3 (SV004)'!J499</f>
        <v/>
      </c>
      <c r="D284" s="60" t="str">
        <f>IF(B109="резерв","",'SV777-3 (SV004)'!L499)</f>
        <v/>
      </c>
      <c r="E284" t="str">
        <f>IF('SV777-3 (SV004)'!L498&lt;1,"","ШЛ."&amp;'SV777-3 (SV004)'!L498)</f>
        <v/>
      </c>
    </row>
    <row r="285" spans="1:5" x14ac:dyDescent="0.25">
      <c r="A285">
        <v>8</v>
      </c>
      <c r="B285" t="str">
        <f>IF('SV777-3 (SV004)'!N498&lt;1,"резерв",'SV777-3 (SV004)'!N498)</f>
        <v>резерв</v>
      </c>
      <c r="C285" s="59" t="str">
        <f>'SV777-3 (SV004)'!N499</f>
        <v/>
      </c>
      <c r="D285" s="60" t="str">
        <f>IF(B110="резерв","",'SV777-3 (SV004)'!P499)</f>
        <v/>
      </c>
      <c r="E285" t="str">
        <f>IF('SV777-3 (SV004)'!P498&lt;1,"","ШЛ."&amp;'SV777-3 (SV004)'!P498)</f>
        <v/>
      </c>
    </row>
    <row r="286" spans="1:5" x14ac:dyDescent="0.25">
      <c r="B286" t="s">
        <v>181</v>
      </c>
    </row>
    <row r="287" spans="1:5" x14ac:dyDescent="0.25">
      <c r="A287">
        <v>1</v>
      </c>
      <c r="B287" t="str">
        <f>IF('SV777-3 (SV004)'!B520&lt;1,"резерв",'SV777-3 (SV004)'!B520)</f>
        <v>резерв</v>
      </c>
      <c r="C287" s="59" t="str">
        <f>'SV777-3 (SV004)'!B521</f>
        <v/>
      </c>
      <c r="D287" s="60" t="str">
        <f>IF(B112="резерв","",'SV777-3 (SV004)'!D521)</f>
        <v/>
      </c>
      <c r="E287" t="str">
        <f>IF('SV777-3 (SV004)'!D520&lt;1,"","ШЛ."&amp;'SV777-3 (SV004)'!D520)</f>
        <v/>
      </c>
    </row>
    <row r="288" spans="1:5" x14ac:dyDescent="0.25">
      <c r="A288">
        <v>2</v>
      </c>
      <c r="B288" t="str">
        <f>IF('SV777-3 (SV004)'!F520&lt;1,"резерв",'SV777-3 (SV004)'!F520)</f>
        <v>резерв</v>
      </c>
      <c r="C288" s="59" t="str">
        <f>'SV777-3 (SV004)'!F521</f>
        <v/>
      </c>
      <c r="D288" s="60" t="str">
        <f>IF(B113="резерв","",'SV777-3 (SV004)'!H521)</f>
        <v/>
      </c>
      <c r="E288" t="str">
        <f>IF('SV777-3 (SV004)'!H520&lt;1,"","ШЛ."&amp;'SV777-3 (SV004)'!H520)</f>
        <v/>
      </c>
    </row>
    <row r="289" spans="1:5" x14ac:dyDescent="0.25">
      <c r="A289">
        <v>3</v>
      </c>
      <c r="B289" t="str">
        <f>IF('SV777-3 (SV004)'!J520&lt;1,"резерв",'SV777-3 (SV004)'!J520)</f>
        <v>резерв</v>
      </c>
      <c r="C289" s="59" t="str">
        <f>'SV777-3 (SV004)'!J521</f>
        <v/>
      </c>
      <c r="D289" s="60" t="str">
        <f>IF(B114="резерв","",'SV777-3 (SV004)'!L521)</f>
        <v/>
      </c>
      <c r="E289" t="str">
        <f>IF('SV777-3 (SV004)'!L520&lt;1,"","ШЛ."&amp;'SV777-3 (SV004)'!L520)</f>
        <v/>
      </c>
    </row>
    <row r="290" spans="1:5" x14ac:dyDescent="0.25">
      <c r="A290">
        <v>4</v>
      </c>
      <c r="B290" t="str">
        <f>IF('SV777-3 (SV004)'!N520&lt;1,"резерв",'SV777-3 (SV004)'!N520)</f>
        <v>резерв</v>
      </c>
      <c r="C290" s="59" t="str">
        <f>'SV777-3 (SV004)'!N521</f>
        <v/>
      </c>
      <c r="D290" s="60" t="str">
        <f>IF(B115="резерв","",'SV777-3 (SV004)'!P521)</f>
        <v/>
      </c>
      <c r="E290" t="str">
        <f>IF('SV777-3 (SV004)'!P520&lt;1,"","ШЛ."&amp;'SV777-3 (SV004)'!P520)</f>
        <v/>
      </c>
    </row>
    <row r="291" spans="1:5" x14ac:dyDescent="0.25">
      <c r="A291">
        <v>5</v>
      </c>
      <c r="B291" t="str">
        <f>IF('SV777-3 (SV004)'!B540&lt;1,"резерв",'SV777-3 (SV004)'!B540)</f>
        <v>резерв</v>
      </c>
      <c r="C291" s="59" t="str">
        <f>'SV777-3 (SV004)'!B541</f>
        <v/>
      </c>
      <c r="D291" s="60">
        <f>IF(B116="резерв","",'SV777-3 (SV004)'!D541)</f>
        <v>0</v>
      </c>
      <c r="E291" t="str">
        <f>IF('SV777-3 (SV004)'!D540&lt;1,"","ШЛ."&amp;'SV777-3 (SV004)'!D540)</f>
        <v/>
      </c>
    </row>
    <row r="292" spans="1:5" x14ac:dyDescent="0.25">
      <c r="A292">
        <v>6</v>
      </c>
      <c r="B292" t="str">
        <f>IF('SV777-3 (SV004)'!F540&lt;1,"резерв",'SV777-3 (SV004)'!F540)</f>
        <v>резерв</v>
      </c>
      <c r="C292" s="59" t="str">
        <f>'SV777-3 (SV004)'!F541</f>
        <v/>
      </c>
      <c r="D292" s="60" t="str">
        <f>IF(B117="резерв","",'SV777-3 (SV004)'!H541)</f>
        <v/>
      </c>
      <c r="E292" t="str">
        <f>IF('SV777-3 (SV004)'!H540&lt;1,"","ШЛ."&amp;'SV777-3 (SV004)'!H540)</f>
        <v/>
      </c>
    </row>
    <row r="293" spans="1:5" x14ac:dyDescent="0.25">
      <c r="A293">
        <v>7</v>
      </c>
      <c r="B293" t="str">
        <f>IF('SV777-3 (SV004)'!J540&lt;1,"резерв",'SV777-3 (SV004)'!J540)</f>
        <v>резерв</v>
      </c>
      <c r="C293" s="59" t="str">
        <f>'SV777-3 (SV004)'!J541</f>
        <v/>
      </c>
      <c r="D293" s="60" t="str">
        <f>IF(B118="резерв","",'SV777-3 (SV004)'!L541)</f>
        <v/>
      </c>
      <c r="E293" t="str">
        <f>IF('SV777-3 (SV004)'!L540&lt;1,"","ШЛ."&amp;'SV777-3 (SV004)'!L540)</f>
        <v/>
      </c>
    </row>
    <row r="294" spans="1:5" x14ac:dyDescent="0.25">
      <c r="A294">
        <v>8</v>
      </c>
      <c r="B294" t="str">
        <f>IF('SV777-3 (SV004)'!N540&lt;1,"резерв",'SV777-3 (SV004)'!N540)</f>
        <v>резерв</v>
      </c>
      <c r="C294" s="59" t="str">
        <f>'SV777-3 (SV004)'!N541</f>
        <v/>
      </c>
      <c r="D294" s="60" t="str">
        <f>IF(B119="резерв","",'SV777-3 (SV004)'!P541)</f>
        <v/>
      </c>
      <c r="E294" t="str">
        <f>IF('SV777-3 (SV004)'!P540&lt;1,"","ШЛ."&amp;'SV777-3 (SV004)'!P540)</f>
        <v/>
      </c>
    </row>
    <row r="295" spans="1:5" x14ac:dyDescent="0.25">
      <c r="B295" t="s">
        <v>182</v>
      </c>
    </row>
    <row r="296" spans="1:5" x14ac:dyDescent="0.25">
      <c r="A296">
        <v>1</v>
      </c>
      <c r="B296" t="str">
        <f>IF('SV777-3 (SV004)'!B562&lt;1,"резерв",'SV777-3 (SV004)'!B562)</f>
        <v>резерв</v>
      </c>
      <c r="C296" s="59" t="str">
        <f>'SV777-3 (SV004)'!B563</f>
        <v/>
      </c>
      <c r="D296" s="60" t="str">
        <f>IF(B121="резерв","",'SV777-3 (SV004)'!D563)</f>
        <v/>
      </c>
      <c r="E296" t="str">
        <f>IF('SV777-3 (SV004)'!D562&lt;1,"","ШЛ."&amp;'SV777-3 (SV004)'!D562)</f>
        <v/>
      </c>
    </row>
    <row r="297" spans="1:5" x14ac:dyDescent="0.25">
      <c r="A297">
        <v>2</v>
      </c>
      <c r="B297" t="str">
        <f>IF('SV777-3 (SV004)'!F562&lt;1,"резерв",'SV777-3 (SV004)'!F562)</f>
        <v>резерв</v>
      </c>
      <c r="C297" s="59" t="str">
        <f>'SV777-3 (SV004)'!F563</f>
        <v/>
      </c>
      <c r="D297" s="60" t="str">
        <f>IF(B122="резерв","",'SV777-3 (SV004)'!H563)</f>
        <v/>
      </c>
      <c r="E297" t="str">
        <f>IF('SV777-3 (SV004)'!H562&lt;1,"","ШЛ."&amp;'SV777-3 (SV004)'!H562)</f>
        <v/>
      </c>
    </row>
    <row r="298" spans="1:5" x14ac:dyDescent="0.25">
      <c r="A298">
        <v>3</v>
      </c>
      <c r="B298" t="str">
        <f>IF('SV777-3 (SV004)'!J562&lt;1,"резерв",'SV777-3 (SV004)'!J562)</f>
        <v>резерв</v>
      </c>
      <c r="C298" s="59" t="str">
        <f>'SV777-3 (SV004)'!J563</f>
        <v/>
      </c>
      <c r="D298" s="60" t="str">
        <f>IF(B123="резерв","",'SV777-3 (SV004)'!L563)</f>
        <v/>
      </c>
      <c r="E298" t="str">
        <f>IF('SV777-3 (SV004)'!L562&lt;1,"","ШЛ."&amp;'SV777-3 (SV004)'!L562)</f>
        <v/>
      </c>
    </row>
    <row r="299" spans="1:5" x14ac:dyDescent="0.25">
      <c r="A299">
        <v>4</v>
      </c>
      <c r="B299" t="str">
        <f>IF('SV777-3 (SV004)'!N562&lt;1,"резерв",'SV777-3 (SV004)'!N562)</f>
        <v>резерв</v>
      </c>
      <c r="C299" s="59" t="str">
        <f>'SV777-3 (SV004)'!N563</f>
        <v/>
      </c>
      <c r="D299" s="60" t="str">
        <f>IF(B124="резерв","",'SV777-3 (SV004)'!P563)</f>
        <v/>
      </c>
      <c r="E299" t="str">
        <f>IF('SV777-3 (SV004)'!P562&lt;1,"","ШЛ."&amp;'SV777-3 (SV004)'!P562)</f>
        <v/>
      </c>
    </row>
    <row r="300" spans="1:5" x14ac:dyDescent="0.25">
      <c r="A300">
        <v>5</v>
      </c>
      <c r="B300" t="str">
        <f>IF('SV777-3 (SV004)'!B582&lt;1,"резерв",'SV777-3 (SV004)'!B582)</f>
        <v>резерв</v>
      </c>
      <c r="C300" s="59" t="str">
        <f>'SV777-3 (SV004)'!B583</f>
        <v/>
      </c>
      <c r="D300" s="60">
        <f>IF(B125="резерв","",'SV777-3 (SV004)'!D583)</f>
        <v>0</v>
      </c>
      <c r="E300" t="str">
        <f>IF('SV777-3 (SV004)'!D582&lt;1,"","ШЛ."&amp;'SV777-3 (SV004)'!D582)</f>
        <v/>
      </c>
    </row>
    <row r="301" spans="1:5" x14ac:dyDescent="0.25">
      <c r="A301">
        <v>6</v>
      </c>
      <c r="B301" t="str">
        <f>IF('SV777-3 (SV004)'!F582&lt;1,"резерв",'SV777-3 (SV004)'!F582)</f>
        <v>резерв</v>
      </c>
      <c r="C301" s="59" t="str">
        <f>'SV777-3 (SV004)'!F583</f>
        <v/>
      </c>
      <c r="D301" s="60" t="str">
        <f>IF(B126="резерв","",'SV777-3 (SV004)'!H583)</f>
        <v/>
      </c>
      <c r="E301" t="str">
        <f>IF('SV777-3 (SV004)'!H582&lt;1,"","ШЛ."&amp;'SV777-3 (SV004)'!H582)</f>
        <v/>
      </c>
    </row>
    <row r="302" spans="1:5" x14ac:dyDescent="0.25">
      <c r="A302">
        <v>7</v>
      </c>
      <c r="B302" t="str">
        <f>IF('SV777-3 (SV004)'!J582&lt;1,"резерв",'SV777-3 (SV004)'!J582)</f>
        <v>резерв</v>
      </c>
      <c r="C302" s="59" t="str">
        <f>'SV777-3 (SV004)'!J583</f>
        <v/>
      </c>
      <c r="D302" s="60" t="str">
        <f>IF(B127="резерв","",'SV777-3 (SV004)'!L583)</f>
        <v/>
      </c>
      <c r="E302" t="str">
        <f>IF('SV777-3 (SV004)'!L582&lt;1,"","ШЛ."&amp;'SV777-3 (SV004)'!L582)</f>
        <v/>
      </c>
    </row>
    <row r="303" spans="1:5" x14ac:dyDescent="0.25">
      <c r="A303">
        <v>8</v>
      </c>
      <c r="B303" t="str">
        <f>IF('SV777-3 (SV004)'!N582&lt;1,"резерв",'SV777-3 (SV004)'!N582)</f>
        <v>резерв</v>
      </c>
      <c r="C303" s="59" t="str">
        <f>'SV777-3 (SV004)'!N583</f>
        <v/>
      </c>
      <c r="D303" s="60" t="str">
        <f>IF(B128="резерв","",'SV777-3 (SV004)'!P583)</f>
        <v/>
      </c>
      <c r="E303" t="str">
        <f>IF('SV777-3 (SV004)'!P582&lt;1,"","ШЛ."&amp;'SV777-3 (SV004)'!P582)</f>
        <v/>
      </c>
    </row>
    <row r="304" spans="1:5" x14ac:dyDescent="0.25">
      <c r="B304" t="s">
        <v>183</v>
      </c>
    </row>
    <row r="305" spans="1:5" x14ac:dyDescent="0.25">
      <c r="A305">
        <v>1</v>
      </c>
      <c r="B305" t="str">
        <f>IF('SV777-3 (SV004)'!B604&lt;1,"резерв",'SV777-3 (SV004)'!B604)</f>
        <v>резерв</v>
      </c>
      <c r="C305" s="59" t="str">
        <f>'SV777-3 (SV004)'!B605</f>
        <v/>
      </c>
      <c r="D305" s="60" t="str">
        <f>IF(B130="резерв","",'SV777-3 (SV004)'!D605)</f>
        <v/>
      </c>
      <c r="E305" t="str">
        <f>IF('SV777-3 (SV004)'!D604&lt;1,"","ШЛ."&amp;'SV777-3 (SV004)'!D604)</f>
        <v/>
      </c>
    </row>
    <row r="306" spans="1:5" x14ac:dyDescent="0.25">
      <c r="A306">
        <v>2</v>
      </c>
      <c r="B306" t="str">
        <f>IF('SV777-3 (SV004)'!F604&lt;1,"резерв",'SV777-3 (SV004)'!F604)</f>
        <v>резерв</v>
      </c>
      <c r="C306" s="59" t="str">
        <f>'SV777-3 (SV004)'!F605</f>
        <v/>
      </c>
      <c r="D306" s="60" t="str">
        <f>IF(B131="резерв","",'SV777-3 (SV004)'!H605)</f>
        <v/>
      </c>
      <c r="E306" t="str">
        <f>IF('SV777-3 (SV004)'!H604&lt;1,"","ШЛ."&amp;'SV777-3 (SV004)'!H604)</f>
        <v/>
      </c>
    </row>
    <row r="307" spans="1:5" x14ac:dyDescent="0.25">
      <c r="A307">
        <v>3</v>
      </c>
      <c r="B307" t="str">
        <f>IF('SV777-3 (SV004)'!J604&lt;1,"резерв",'SV777-3 (SV004)'!J604)</f>
        <v>резерв</v>
      </c>
      <c r="C307" s="59" t="str">
        <f>'SV777-3 (SV004)'!J605</f>
        <v/>
      </c>
      <c r="D307" s="60" t="str">
        <f>IF(B132="резерв","",'SV777-3 (SV004)'!L605)</f>
        <v/>
      </c>
      <c r="E307" t="str">
        <f>IF('SV777-3 (SV004)'!L604&lt;1,"","ШЛ."&amp;'SV777-3 (SV004)'!L604)</f>
        <v/>
      </c>
    </row>
    <row r="308" spans="1:5" x14ac:dyDescent="0.25">
      <c r="A308">
        <v>4</v>
      </c>
      <c r="B308" t="str">
        <f>IF('SV777-3 (SV004)'!N604&lt;1,"резерв",'SV777-3 (SV004)'!N604)</f>
        <v>резерв</v>
      </c>
      <c r="C308" s="59" t="str">
        <f>'SV777-3 (SV004)'!N605</f>
        <v/>
      </c>
      <c r="D308" s="60" t="str">
        <f>IF(B133="резерв","",'SV777-3 (SV004)'!P605)</f>
        <v/>
      </c>
      <c r="E308" t="str">
        <f>IF('SV777-3 (SV004)'!P604&lt;1,"","ШЛ."&amp;'SV777-3 (SV004)'!P604)</f>
        <v/>
      </c>
    </row>
    <row r="309" spans="1:5" x14ac:dyDescent="0.25">
      <c r="A309">
        <v>5</v>
      </c>
      <c r="B309" t="str">
        <f>IF('SV777-3 (SV004)'!B624&lt;1,"резерв",'SV777-3 (SV004)'!B624)</f>
        <v>резерв</v>
      </c>
      <c r="C309" s="59" t="str">
        <f>'SV777-3 (SV004)'!B625</f>
        <v/>
      </c>
      <c r="D309" s="60">
        <f>IF(B134="резерв","",'SV777-3 (SV004)'!D625)</f>
        <v>0</v>
      </c>
      <c r="E309" t="str">
        <f>IF('SV777-3 (SV004)'!D624&lt;1,"","ШЛ."&amp;'SV777-3 (SV004)'!D624)</f>
        <v/>
      </c>
    </row>
    <row r="310" spans="1:5" x14ac:dyDescent="0.25">
      <c r="A310">
        <v>6</v>
      </c>
      <c r="B310" t="str">
        <f>IF('SV777-3 (SV004)'!F624&lt;1,"резерв",'SV777-3 (SV004)'!F624)</f>
        <v>резерв</v>
      </c>
      <c r="C310" s="59" t="str">
        <f>'SV777-3 (SV004)'!F625</f>
        <v/>
      </c>
      <c r="D310" s="60" t="str">
        <f>IF(B135="резерв","",'SV777-3 (SV004)'!H625)</f>
        <v/>
      </c>
      <c r="E310" t="str">
        <f>IF('SV777-3 (SV004)'!H624&lt;1,"","ШЛ."&amp;'SV777-3 (SV004)'!H624)</f>
        <v/>
      </c>
    </row>
    <row r="311" spans="1:5" x14ac:dyDescent="0.25">
      <c r="A311">
        <v>7</v>
      </c>
      <c r="B311" t="str">
        <f>IF('SV777-3 (SV004)'!J624&lt;1,"резерв",'SV777-3 (SV004)'!J624)</f>
        <v>резерв</v>
      </c>
      <c r="C311" s="59" t="str">
        <f>'SV777-3 (SV004)'!J625</f>
        <v/>
      </c>
      <c r="D311" s="60" t="str">
        <f>IF(B136="резерв","",'SV777-3 (SV004)'!L625)</f>
        <v/>
      </c>
      <c r="E311" t="str">
        <f>IF('SV777-3 (SV004)'!L624&lt;1,"","ШЛ."&amp;'SV777-3 (SV004)'!L624)</f>
        <v/>
      </c>
    </row>
    <row r="312" spans="1:5" x14ac:dyDescent="0.25">
      <c r="A312">
        <v>8</v>
      </c>
      <c r="B312" t="str">
        <f>IF('SV777-3 (SV004)'!N624&lt;1,"резерв",'SV777-3 (SV004)'!N624)</f>
        <v>резерв</v>
      </c>
      <c r="C312" s="59" t="str">
        <f>'SV777-3 (SV004)'!N625</f>
        <v/>
      </c>
      <c r="D312" s="60" t="str">
        <f>IF(B137="резерв","",'SV777-3 (SV004)'!P625)</f>
        <v/>
      </c>
      <c r="E312" t="str">
        <f>IF('SV777-3 (SV004)'!P624&lt;1,"","ШЛ."&amp;'SV777-3 (SV004)'!P624)</f>
        <v/>
      </c>
    </row>
    <row r="313" spans="1:5" x14ac:dyDescent="0.25">
      <c r="B313" t="s">
        <v>184</v>
      </c>
    </row>
    <row r="314" spans="1:5" x14ac:dyDescent="0.25">
      <c r="A314">
        <v>1</v>
      </c>
      <c r="B314" t="str">
        <f>IF('SV777-3 (SV004)'!B646&lt;1,"резерв",'SV777-3 (SV004)'!B646)</f>
        <v>резерв</v>
      </c>
      <c r="C314" s="59" t="str">
        <f>'SV777-3 (SV004)'!B647</f>
        <v/>
      </c>
      <c r="D314" s="60" t="str">
        <f>IF(B139="резерв","",'SV777-3 (SV004)'!D647)</f>
        <v/>
      </c>
      <c r="E314" t="str">
        <f>IF('SV777-3 (SV004)'!D646&lt;1,"","ШЛ."&amp;'SV777-3 (SV004)'!D646)</f>
        <v/>
      </c>
    </row>
    <row r="315" spans="1:5" x14ac:dyDescent="0.25">
      <c r="A315">
        <v>2</v>
      </c>
      <c r="B315" t="str">
        <f>IF('SV777-3 (SV004)'!F646&lt;1,"резерв",'SV777-3 (SV004)'!F646)</f>
        <v>резерв</v>
      </c>
      <c r="C315" s="59" t="str">
        <f>'SV777-3 (SV004)'!F647</f>
        <v/>
      </c>
      <c r="D315" s="60" t="str">
        <f>IF(B140="резерв","",'SV777-3 (SV004)'!H647)</f>
        <v/>
      </c>
      <c r="E315" t="str">
        <f>IF('SV777-3 (SV004)'!H646&lt;1,"","ШЛ."&amp;'SV777-3 (SV004)'!H646)</f>
        <v/>
      </c>
    </row>
    <row r="316" spans="1:5" x14ac:dyDescent="0.25">
      <c r="A316">
        <v>3</v>
      </c>
      <c r="B316" t="str">
        <f>IF('SV777-3 (SV004)'!J646&lt;1,"резерв",'SV777-3 (SV004)'!J646)</f>
        <v>резерв</v>
      </c>
      <c r="C316" s="59" t="str">
        <f>'SV777-3 (SV004)'!J647</f>
        <v/>
      </c>
      <c r="D316" s="60" t="str">
        <f>IF(B141="резерв","",'SV777-3 (SV004)'!L647)</f>
        <v/>
      </c>
      <c r="E316" t="str">
        <f>IF('SV777-3 (SV004)'!L646&lt;1,"","ШЛ."&amp;'SV777-3 (SV004)'!L646)</f>
        <v/>
      </c>
    </row>
    <row r="317" spans="1:5" x14ac:dyDescent="0.25">
      <c r="A317">
        <v>4</v>
      </c>
      <c r="B317" t="str">
        <f>IF('SV777-3 (SV004)'!N646&lt;1,"резерв",'SV777-3 (SV004)'!N646)</f>
        <v>резерв</v>
      </c>
      <c r="C317" s="59" t="str">
        <f>'SV777-3 (SV004)'!N647</f>
        <v/>
      </c>
      <c r="D317" s="60" t="str">
        <f>IF(B142="резерв","",'SV777-3 (SV004)'!P647)</f>
        <v/>
      </c>
      <c r="E317" t="str">
        <f>IF('SV777-3 (SV004)'!P646&lt;1,"","ШЛ."&amp;'SV777-3 (SV004)'!P646)</f>
        <v/>
      </c>
    </row>
    <row r="318" spans="1:5" x14ac:dyDescent="0.25">
      <c r="A318">
        <v>5</v>
      </c>
      <c r="B318" t="str">
        <f>IF('SV777-3 (SV004)'!B666&lt;1,"резерв",'SV777-3 (SV004)'!B666)</f>
        <v>резерв</v>
      </c>
      <c r="C318" s="59" t="str">
        <f>'SV777-3 (SV004)'!B667</f>
        <v/>
      </c>
      <c r="D318" s="60">
        <f>IF(B143="резерв","",'SV777-3 (SV004)'!D667)</f>
        <v>0</v>
      </c>
      <c r="E318" t="str">
        <f>IF('SV777-3 (SV004)'!D666&lt;1,"","ШЛ."&amp;'SV777-3 (SV004)'!D666)</f>
        <v/>
      </c>
    </row>
    <row r="319" spans="1:5" x14ac:dyDescent="0.25">
      <c r="A319">
        <v>6</v>
      </c>
      <c r="B319" t="str">
        <f>IF('SV777-3 (SV004)'!F666&lt;1,"резерв",'SV777-3 (SV004)'!F666)</f>
        <v>резерв</v>
      </c>
      <c r="C319" s="59" t="str">
        <f>'SV777-3 (SV004)'!F667</f>
        <v/>
      </c>
      <c r="D319" s="60" t="str">
        <f>IF(B144="резерв","",'SV777-3 (SV004)'!H667)</f>
        <v/>
      </c>
      <c r="E319" t="str">
        <f>IF('SV777-3 (SV004)'!H666&lt;1,"","ШЛ."&amp;'SV777-3 (SV004)'!H666)</f>
        <v/>
      </c>
    </row>
    <row r="320" spans="1:5" x14ac:dyDescent="0.25">
      <c r="A320">
        <v>7</v>
      </c>
      <c r="B320" t="str">
        <f>IF('SV777-3 (SV004)'!J666&lt;1,"резерв",'SV777-3 (SV004)'!J666)</f>
        <v>резерв</v>
      </c>
      <c r="C320" s="59" t="str">
        <f>'SV777-3 (SV004)'!J667</f>
        <v/>
      </c>
      <c r="D320" s="60" t="str">
        <f>IF(B145="резерв","",'SV777-3 (SV004)'!L667)</f>
        <v/>
      </c>
      <c r="E320" t="str">
        <f>IF('SV777-3 (SV004)'!L666&lt;1,"","ШЛ."&amp;'SV777-3 (SV004)'!L666)</f>
        <v/>
      </c>
    </row>
    <row r="321" spans="1:5" x14ac:dyDescent="0.25">
      <c r="A321">
        <v>8</v>
      </c>
      <c r="B321" t="str">
        <f>IF('SV777-3 (SV004)'!N666&lt;1,"резерв",'SV777-3 (SV004)'!N666)</f>
        <v>резерв</v>
      </c>
      <c r="C321" s="59" t="str">
        <f>'SV777-3 (SV004)'!N667</f>
        <v/>
      </c>
      <c r="D321" s="60" t="str">
        <f>IF(B146="резерв","",'SV777-3 (SV004)'!P667)</f>
        <v/>
      </c>
      <c r="E321" t="str">
        <f>IF('SV777-3 (SV004)'!P666&lt;1,"","ШЛ."&amp;'SV777-3 (SV004)'!P666)</f>
        <v/>
      </c>
    </row>
  </sheetData>
  <pageMargins left="0.7" right="0.7" top="0.75" bottom="0.75" header="0.3" footer="0.3"/>
  <pageSetup paperSize="9" orientation="portrait" useFirstPageNumber="1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L36"/>
  <sheetViews>
    <sheetView zoomScaleNormal="100" workbookViewId="0">
      <selection activeCell="O34" sqref="O34"/>
    </sheetView>
  </sheetViews>
  <sheetFormatPr defaultRowHeight="15" x14ac:dyDescent="0.25"/>
  <cols>
    <col min="1" max="1" width="13" customWidth="1"/>
    <col min="2" max="2" width="2.7109375" style="62" customWidth="1"/>
    <col min="3" max="3" width="17.85546875" style="63" customWidth="1"/>
    <col min="4" max="4" width="2.7109375" style="62" customWidth="1"/>
    <col min="5" max="5" width="17.85546875" style="63" customWidth="1"/>
    <col min="6" max="6" width="2.7109375" style="62" customWidth="1"/>
    <col min="7" max="7" width="17.85546875" style="63" customWidth="1"/>
    <col min="8" max="8" width="2.7109375" style="62" customWidth="1"/>
    <col min="9" max="9" width="17.85546875" style="63" customWidth="1"/>
  </cols>
  <sheetData>
    <row r="1" spans="2:12" ht="15.75" customHeight="1" x14ac:dyDescent="0.25"/>
    <row r="2" spans="2:12" ht="24.75" customHeight="1" x14ac:dyDescent="0.25">
      <c r="B2" s="64" t="s">
        <v>190</v>
      </c>
      <c r="C2" s="65" t="s">
        <v>191</v>
      </c>
      <c r="D2" s="64" t="s">
        <v>190</v>
      </c>
      <c r="E2" s="65" t="s">
        <v>191</v>
      </c>
      <c r="F2" s="64" t="s">
        <v>192</v>
      </c>
      <c r="G2" s="65" t="s">
        <v>193</v>
      </c>
      <c r="H2" s="64" t="s">
        <v>192</v>
      </c>
      <c r="I2" s="65" t="s">
        <v>193</v>
      </c>
      <c r="K2" s="119" t="s">
        <v>194</v>
      </c>
      <c r="L2" s="120"/>
    </row>
    <row r="3" spans="2:12" ht="24.75" customHeight="1" x14ac:dyDescent="0.25">
      <c r="B3" s="64" t="s">
        <v>195</v>
      </c>
      <c r="C3" s="65" t="s">
        <v>196</v>
      </c>
      <c r="D3" s="64" t="s">
        <v>195</v>
      </c>
      <c r="E3" s="65" t="s">
        <v>196</v>
      </c>
      <c r="F3" s="64" t="s">
        <v>197</v>
      </c>
      <c r="G3" s="65" t="s">
        <v>198</v>
      </c>
      <c r="H3" s="64" t="s">
        <v>197</v>
      </c>
      <c r="I3" s="65" t="s">
        <v>198</v>
      </c>
      <c r="K3" s="73"/>
      <c r="L3" s="73"/>
    </row>
    <row r="4" spans="2:12" ht="24.75" customHeight="1" x14ac:dyDescent="0.25">
      <c r="B4" s="64" t="s">
        <v>199</v>
      </c>
      <c r="C4" s="65" t="s">
        <v>200</v>
      </c>
      <c r="D4" s="64" t="s">
        <v>199</v>
      </c>
      <c r="E4" s="65" t="s">
        <v>200</v>
      </c>
      <c r="F4" s="64" t="s">
        <v>201</v>
      </c>
      <c r="G4" s="65" t="s">
        <v>202</v>
      </c>
      <c r="H4" s="64" t="s">
        <v>201</v>
      </c>
      <c r="I4" s="65" t="s">
        <v>202</v>
      </c>
      <c r="K4" s="73"/>
      <c r="L4" s="73"/>
    </row>
    <row r="5" spans="2:12" ht="24.75" customHeight="1" x14ac:dyDescent="0.25">
      <c r="B5" s="64" t="s">
        <v>203</v>
      </c>
      <c r="C5" s="65" t="s">
        <v>204</v>
      </c>
      <c r="D5" s="64" t="s">
        <v>203</v>
      </c>
      <c r="E5" s="65" t="s">
        <v>204</v>
      </c>
      <c r="F5" s="64" t="s">
        <v>205</v>
      </c>
      <c r="G5" s="65" t="s">
        <v>206</v>
      </c>
      <c r="H5" s="64" t="s">
        <v>205</v>
      </c>
      <c r="I5" s="65" t="s">
        <v>206</v>
      </c>
      <c r="K5" s="73"/>
      <c r="L5" s="73"/>
    </row>
    <row r="6" spans="2:12" ht="24.75" customHeight="1" x14ac:dyDescent="0.25">
      <c r="B6" s="64" t="s">
        <v>207</v>
      </c>
      <c r="C6" s="65" t="s">
        <v>208</v>
      </c>
      <c r="D6" s="64" t="s">
        <v>207</v>
      </c>
      <c r="E6" s="65" t="s">
        <v>208</v>
      </c>
      <c r="F6" s="64" t="s">
        <v>209</v>
      </c>
      <c r="G6" s="65" t="s">
        <v>210</v>
      </c>
      <c r="H6" s="64" t="s">
        <v>209</v>
      </c>
      <c r="I6" s="65" t="s">
        <v>210</v>
      </c>
      <c r="K6" s="73"/>
      <c r="L6" s="73"/>
    </row>
    <row r="7" spans="2:12" ht="24.75" customHeight="1" x14ac:dyDescent="0.25">
      <c r="B7" s="64" t="s">
        <v>211</v>
      </c>
      <c r="C7" s="65" t="s">
        <v>212</v>
      </c>
      <c r="D7" s="64" t="s">
        <v>211</v>
      </c>
      <c r="E7" s="65" t="s">
        <v>212</v>
      </c>
      <c r="F7" s="64" t="s">
        <v>213</v>
      </c>
      <c r="G7" s="65" t="s">
        <v>214</v>
      </c>
      <c r="H7" s="64" t="s">
        <v>213</v>
      </c>
      <c r="I7" s="65" t="s">
        <v>214</v>
      </c>
      <c r="K7" s="73"/>
      <c r="L7" s="73"/>
    </row>
    <row r="8" spans="2:12" ht="24.75" customHeight="1" x14ac:dyDescent="0.25">
      <c r="B8" s="64" t="s">
        <v>215</v>
      </c>
      <c r="C8" s="65" t="s">
        <v>216</v>
      </c>
      <c r="D8" s="64" t="s">
        <v>215</v>
      </c>
      <c r="E8" s="65" t="s">
        <v>216</v>
      </c>
      <c r="F8" s="64" t="s">
        <v>217</v>
      </c>
      <c r="G8" s="65" t="s">
        <v>218</v>
      </c>
      <c r="H8" s="64" t="s">
        <v>217</v>
      </c>
      <c r="I8" s="65" t="s">
        <v>218</v>
      </c>
      <c r="K8" s="73"/>
      <c r="L8" s="73"/>
    </row>
    <row r="9" spans="2:12" ht="24.75" customHeight="1" x14ac:dyDescent="0.25">
      <c r="B9" s="64" t="s">
        <v>219</v>
      </c>
      <c r="C9" s="65" t="s">
        <v>220</v>
      </c>
      <c r="D9" s="64" t="s">
        <v>219</v>
      </c>
      <c r="E9" s="65" t="s">
        <v>220</v>
      </c>
      <c r="F9" s="64" t="s">
        <v>221</v>
      </c>
      <c r="G9" s="65" t="s">
        <v>222</v>
      </c>
      <c r="H9" s="64" t="s">
        <v>221</v>
      </c>
      <c r="I9" s="65" t="s">
        <v>222</v>
      </c>
      <c r="K9" s="73"/>
      <c r="L9" s="73"/>
    </row>
    <row r="10" spans="2:12" ht="24.75" customHeight="1" x14ac:dyDescent="0.25">
      <c r="B10" s="64" t="s">
        <v>223</v>
      </c>
      <c r="C10" s="65" t="s">
        <v>224</v>
      </c>
      <c r="D10" s="64" t="s">
        <v>223</v>
      </c>
      <c r="E10" s="65" t="s">
        <v>224</v>
      </c>
      <c r="F10" s="64" t="s">
        <v>225</v>
      </c>
      <c r="G10" s="65" t="s">
        <v>96</v>
      </c>
      <c r="H10" s="64" t="s">
        <v>225</v>
      </c>
      <c r="I10" s="65" t="s">
        <v>96</v>
      </c>
      <c r="K10" s="73"/>
      <c r="L10" s="73"/>
    </row>
    <row r="11" spans="2:12" ht="24.75" customHeight="1" x14ac:dyDescent="0.25">
      <c r="B11" s="64" t="s">
        <v>226</v>
      </c>
      <c r="C11" s="65" t="s">
        <v>227</v>
      </c>
      <c r="D11" s="64" t="s">
        <v>226</v>
      </c>
      <c r="E11" s="65" t="s">
        <v>227</v>
      </c>
      <c r="F11" s="64" t="s">
        <v>228</v>
      </c>
      <c r="G11" s="65" t="s">
        <v>96</v>
      </c>
      <c r="H11" s="64" t="s">
        <v>228</v>
      </c>
      <c r="I11" s="65" t="s">
        <v>96</v>
      </c>
      <c r="K11" s="73"/>
      <c r="L11" s="73"/>
    </row>
    <row r="12" spans="2:12" ht="24.75" customHeight="1" x14ac:dyDescent="0.25">
      <c r="B12" s="64" t="s">
        <v>229</v>
      </c>
      <c r="C12" s="65" t="s">
        <v>230</v>
      </c>
      <c r="D12" s="64" t="s">
        <v>229</v>
      </c>
      <c r="E12" s="65" t="s">
        <v>230</v>
      </c>
      <c r="F12" s="64" t="s">
        <v>231</v>
      </c>
      <c r="G12" s="65" t="s">
        <v>96</v>
      </c>
      <c r="H12" s="64" t="s">
        <v>231</v>
      </c>
      <c r="I12" s="65" t="s">
        <v>96</v>
      </c>
      <c r="K12" s="73"/>
      <c r="L12" s="73"/>
    </row>
    <row r="13" spans="2:12" ht="24.75" customHeight="1" x14ac:dyDescent="0.25">
      <c r="B13" s="64" t="s">
        <v>232</v>
      </c>
      <c r="C13" s="65" t="s">
        <v>233</v>
      </c>
      <c r="D13" s="64" t="s">
        <v>232</v>
      </c>
      <c r="E13" s="65" t="s">
        <v>233</v>
      </c>
      <c r="F13" s="64" t="s">
        <v>234</v>
      </c>
      <c r="G13" s="65" t="s">
        <v>96</v>
      </c>
      <c r="H13" s="64" t="s">
        <v>234</v>
      </c>
      <c r="I13" s="65" t="s">
        <v>96</v>
      </c>
      <c r="K13" s="73"/>
      <c r="L13" s="73"/>
    </row>
    <row r="14" spans="2:12" ht="24.75" customHeight="1" x14ac:dyDescent="0.25">
      <c r="B14" s="64" t="s">
        <v>235</v>
      </c>
      <c r="C14" s="65" t="s">
        <v>236</v>
      </c>
      <c r="D14" s="64" t="s">
        <v>235</v>
      </c>
      <c r="E14" s="65" t="s">
        <v>236</v>
      </c>
      <c r="F14" s="64" t="s">
        <v>237</v>
      </c>
      <c r="G14" s="65" t="s">
        <v>96</v>
      </c>
      <c r="H14" s="64" t="s">
        <v>237</v>
      </c>
      <c r="I14" s="65" t="s">
        <v>96</v>
      </c>
      <c r="K14" s="73"/>
      <c r="L14" s="73"/>
    </row>
    <row r="15" spans="2:12" ht="24.75" customHeight="1" x14ac:dyDescent="0.25">
      <c r="B15" s="64" t="s">
        <v>238</v>
      </c>
      <c r="C15" s="65" t="s">
        <v>239</v>
      </c>
      <c r="D15" s="64" t="s">
        <v>238</v>
      </c>
      <c r="E15" s="65" t="s">
        <v>239</v>
      </c>
      <c r="F15" s="64" t="s">
        <v>240</v>
      </c>
      <c r="G15" s="65" t="s">
        <v>96</v>
      </c>
      <c r="H15" s="64" t="s">
        <v>240</v>
      </c>
      <c r="I15" s="65" t="s">
        <v>96</v>
      </c>
      <c r="K15" s="73"/>
      <c r="L15" s="73"/>
    </row>
    <row r="16" spans="2:12" ht="24.75" customHeight="1" x14ac:dyDescent="0.25">
      <c r="B16" s="64" t="s">
        <v>241</v>
      </c>
      <c r="C16" s="65" t="s">
        <v>242</v>
      </c>
      <c r="D16" s="64" t="s">
        <v>241</v>
      </c>
      <c r="E16" s="65" t="s">
        <v>242</v>
      </c>
      <c r="F16" s="64" t="s">
        <v>243</v>
      </c>
      <c r="G16" s="65" t="s">
        <v>96</v>
      </c>
      <c r="H16" s="64" t="s">
        <v>243</v>
      </c>
      <c r="I16" s="65" t="s">
        <v>96</v>
      </c>
      <c r="K16" s="73"/>
      <c r="L16" s="73"/>
    </row>
    <row r="17" spans="2:12" ht="24.75" customHeight="1" x14ac:dyDescent="0.25">
      <c r="B17" s="64" t="s">
        <v>244</v>
      </c>
      <c r="C17" s="65" t="s">
        <v>245</v>
      </c>
      <c r="D17" s="64" t="s">
        <v>244</v>
      </c>
      <c r="E17" s="65" t="s">
        <v>245</v>
      </c>
      <c r="F17" s="64" t="s">
        <v>246</v>
      </c>
      <c r="G17" s="65" t="s">
        <v>247</v>
      </c>
      <c r="H17" s="64" t="s">
        <v>246</v>
      </c>
      <c r="I17" s="65" t="s">
        <v>248</v>
      </c>
      <c r="K17" s="73"/>
      <c r="L17" s="73"/>
    </row>
    <row r="20" spans="2:12" ht="15.75" customHeight="1" x14ac:dyDescent="0.25"/>
    <row r="21" spans="2:12" ht="24.75" customHeight="1" x14ac:dyDescent="0.25">
      <c r="B21" s="64" t="s">
        <v>249</v>
      </c>
      <c r="C21" s="65" t="s">
        <v>96</v>
      </c>
      <c r="D21" s="64" t="s">
        <v>249</v>
      </c>
      <c r="E21" s="65" t="s">
        <v>96</v>
      </c>
      <c r="F21" s="64" t="s">
        <v>250</v>
      </c>
      <c r="G21" s="65" t="s">
        <v>96</v>
      </c>
      <c r="H21" s="64" t="s">
        <v>250</v>
      </c>
      <c r="I21" s="65" t="s">
        <v>96</v>
      </c>
      <c r="K21" s="119" t="s">
        <v>251</v>
      </c>
      <c r="L21" s="120"/>
    </row>
    <row r="22" spans="2:12" ht="24.75" customHeight="1" x14ac:dyDescent="0.25">
      <c r="B22" s="64" t="s">
        <v>252</v>
      </c>
      <c r="C22" s="65" t="s">
        <v>96</v>
      </c>
      <c r="D22" s="64" t="s">
        <v>252</v>
      </c>
      <c r="E22" s="65" t="s">
        <v>96</v>
      </c>
      <c r="F22" s="64" t="s">
        <v>253</v>
      </c>
      <c r="G22" s="65" t="s">
        <v>96</v>
      </c>
      <c r="H22" s="64" t="s">
        <v>253</v>
      </c>
      <c r="I22" s="65" t="s">
        <v>96</v>
      </c>
      <c r="K22" s="73"/>
      <c r="L22" s="73"/>
    </row>
    <row r="23" spans="2:12" ht="24.75" customHeight="1" x14ac:dyDescent="0.25">
      <c r="B23" s="64" t="s">
        <v>254</v>
      </c>
      <c r="C23" s="65" t="s">
        <v>96</v>
      </c>
      <c r="D23" s="64" t="s">
        <v>254</v>
      </c>
      <c r="E23" s="65" t="s">
        <v>96</v>
      </c>
      <c r="F23" s="64" t="s">
        <v>255</v>
      </c>
      <c r="G23" s="65" t="s">
        <v>96</v>
      </c>
      <c r="H23" s="64" t="s">
        <v>255</v>
      </c>
      <c r="I23" s="65" t="s">
        <v>96</v>
      </c>
      <c r="K23" s="73"/>
      <c r="L23" s="73"/>
    </row>
    <row r="24" spans="2:12" ht="24.75" customHeight="1" x14ac:dyDescent="0.25">
      <c r="B24" s="64" t="s">
        <v>256</v>
      </c>
      <c r="C24" s="65" t="s">
        <v>96</v>
      </c>
      <c r="D24" s="64" t="s">
        <v>256</v>
      </c>
      <c r="E24" s="65" t="s">
        <v>96</v>
      </c>
      <c r="F24" s="64" t="s">
        <v>257</v>
      </c>
      <c r="G24" s="65" t="s">
        <v>96</v>
      </c>
      <c r="H24" s="64" t="s">
        <v>257</v>
      </c>
      <c r="I24" s="65" t="s">
        <v>96</v>
      </c>
      <c r="K24" s="73"/>
      <c r="L24" s="73"/>
    </row>
    <row r="25" spans="2:12" ht="24.75" customHeight="1" x14ac:dyDescent="0.25">
      <c r="B25" s="64" t="s">
        <v>258</v>
      </c>
      <c r="C25" s="65" t="s">
        <v>96</v>
      </c>
      <c r="D25" s="64" t="s">
        <v>258</v>
      </c>
      <c r="E25" s="65" t="s">
        <v>96</v>
      </c>
      <c r="F25" s="64" t="s">
        <v>259</v>
      </c>
      <c r="G25" s="65" t="s">
        <v>96</v>
      </c>
      <c r="H25" s="64" t="s">
        <v>259</v>
      </c>
      <c r="I25" s="65" t="s">
        <v>96</v>
      </c>
      <c r="K25" s="73"/>
      <c r="L25" s="73"/>
    </row>
    <row r="26" spans="2:12" ht="24.75" customHeight="1" x14ac:dyDescent="0.25">
      <c r="B26" s="64" t="s">
        <v>260</v>
      </c>
      <c r="C26" s="65" t="s">
        <v>96</v>
      </c>
      <c r="D26" s="64" t="s">
        <v>260</v>
      </c>
      <c r="E26" s="65" t="s">
        <v>96</v>
      </c>
      <c r="F26" s="64" t="s">
        <v>261</v>
      </c>
      <c r="G26" s="65" t="s">
        <v>96</v>
      </c>
      <c r="H26" s="64" t="s">
        <v>261</v>
      </c>
      <c r="I26" s="65" t="s">
        <v>96</v>
      </c>
      <c r="K26" s="73"/>
      <c r="L26" s="73"/>
    </row>
    <row r="27" spans="2:12" ht="24.75" customHeight="1" x14ac:dyDescent="0.25">
      <c r="B27" s="64" t="s">
        <v>262</v>
      </c>
      <c r="C27" s="65" t="s">
        <v>96</v>
      </c>
      <c r="D27" s="64" t="s">
        <v>262</v>
      </c>
      <c r="E27" s="65" t="s">
        <v>96</v>
      </c>
      <c r="F27" s="64" t="s">
        <v>263</v>
      </c>
      <c r="G27" s="65" t="s">
        <v>96</v>
      </c>
      <c r="H27" s="64" t="s">
        <v>263</v>
      </c>
      <c r="I27" s="65" t="s">
        <v>96</v>
      </c>
      <c r="K27" s="73"/>
      <c r="L27" s="73"/>
    </row>
    <row r="28" spans="2:12" ht="24.75" customHeight="1" x14ac:dyDescent="0.25">
      <c r="B28" s="64" t="s">
        <v>264</v>
      </c>
      <c r="C28" s="65" t="s">
        <v>96</v>
      </c>
      <c r="D28" s="64" t="s">
        <v>264</v>
      </c>
      <c r="E28" s="65" t="s">
        <v>96</v>
      </c>
      <c r="F28" s="64" t="s">
        <v>265</v>
      </c>
      <c r="G28" s="65" t="s">
        <v>96</v>
      </c>
      <c r="H28" s="64" t="s">
        <v>265</v>
      </c>
      <c r="I28" s="65" t="s">
        <v>96</v>
      </c>
      <c r="K28" s="73"/>
      <c r="L28" s="73"/>
    </row>
    <row r="29" spans="2:12" ht="24.75" customHeight="1" x14ac:dyDescent="0.25">
      <c r="B29" s="64" t="s">
        <v>266</v>
      </c>
      <c r="C29" s="65" t="s">
        <v>96</v>
      </c>
      <c r="D29" s="64" t="s">
        <v>266</v>
      </c>
      <c r="E29" s="65" t="s">
        <v>96</v>
      </c>
      <c r="F29" s="64" t="s">
        <v>267</v>
      </c>
      <c r="G29" s="65" t="s">
        <v>96</v>
      </c>
      <c r="H29" s="64" t="s">
        <v>267</v>
      </c>
      <c r="I29" s="65" t="s">
        <v>96</v>
      </c>
      <c r="K29" s="73"/>
      <c r="L29" s="73"/>
    </row>
    <row r="30" spans="2:12" ht="24.75" customHeight="1" x14ac:dyDescent="0.25">
      <c r="B30" s="64" t="s">
        <v>268</v>
      </c>
      <c r="C30" s="65" t="s">
        <v>96</v>
      </c>
      <c r="D30" s="64" t="s">
        <v>268</v>
      </c>
      <c r="E30" s="65" t="s">
        <v>96</v>
      </c>
      <c r="F30" s="64" t="s">
        <v>269</v>
      </c>
      <c r="G30" s="65" t="s">
        <v>96</v>
      </c>
      <c r="H30" s="64" t="s">
        <v>269</v>
      </c>
      <c r="I30" s="65" t="s">
        <v>96</v>
      </c>
      <c r="K30" s="73"/>
      <c r="L30" s="73"/>
    </row>
    <row r="31" spans="2:12" ht="24.75" customHeight="1" x14ac:dyDescent="0.25">
      <c r="B31" s="64" t="s">
        <v>270</v>
      </c>
      <c r="C31" s="65" t="s">
        <v>96</v>
      </c>
      <c r="D31" s="64" t="s">
        <v>270</v>
      </c>
      <c r="E31" s="65" t="s">
        <v>96</v>
      </c>
      <c r="F31" s="64" t="s">
        <v>271</v>
      </c>
      <c r="G31" s="65" t="s">
        <v>96</v>
      </c>
      <c r="H31" s="64" t="s">
        <v>271</v>
      </c>
      <c r="I31" s="65" t="s">
        <v>96</v>
      </c>
      <c r="K31" s="73"/>
      <c r="L31" s="73"/>
    </row>
    <row r="32" spans="2:12" ht="24.75" customHeight="1" x14ac:dyDescent="0.25">
      <c r="B32" s="64" t="s">
        <v>272</v>
      </c>
      <c r="C32" s="65" t="s">
        <v>96</v>
      </c>
      <c r="D32" s="64" t="s">
        <v>272</v>
      </c>
      <c r="E32" s="65" t="s">
        <v>96</v>
      </c>
      <c r="F32" s="64" t="s">
        <v>273</v>
      </c>
      <c r="G32" s="65" t="s">
        <v>96</v>
      </c>
      <c r="H32" s="64" t="s">
        <v>273</v>
      </c>
      <c r="I32" s="65" t="s">
        <v>96</v>
      </c>
      <c r="K32" s="73"/>
      <c r="L32" s="73"/>
    </row>
    <row r="33" spans="2:12" ht="24.75" customHeight="1" x14ac:dyDescent="0.25">
      <c r="B33" s="64" t="s">
        <v>274</v>
      </c>
      <c r="C33" s="65" t="s">
        <v>96</v>
      </c>
      <c r="D33" s="64" t="s">
        <v>274</v>
      </c>
      <c r="E33" s="65" t="s">
        <v>96</v>
      </c>
      <c r="F33" s="64" t="s">
        <v>275</v>
      </c>
      <c r="G33" s="65" t="s">
        <v>96</v>
      </c>
      <c r="H33" s="64" t="s">
        <v>275</v>
      </c>
      <c r="I33" s="65" t="s">
        <v>96</v>
      </c>
      <c r="K33" s="73"/>
      <c r="L33" s="73"/>
    </row>
    <row r="34" spans="2:12" ht="24.75" customHeight="1" x14ac:dyDescent="0.25">
      <c r="B34" s="64" t="s">
        <v>276</v>
      </c>
      <c r="C34" s="65" t="s">
        <v>96</v>
      </c>
      <c r="D34" s="64" t="s">
        <v>276</v>
      </c>
      <c r="E34" s="65" t="s">
        <v>96</v>
      </c>
      <c r="F34" s="64" t="s">
        <v>277</v>
      </c>
      <c r="G34" s="65" t="s">
        <v>96</v>
      </c>
      <c r="H34" s="64" t="s">
        <v>277</v>
      </c>
      <c r="I34" s="65" t="s">
        <v>96</v>
      </c>
      <c r="K34" s="73"/>
      <c r="L34" s="73"/>
    </row>
    <row r="35" spans="2:12" ht="24.75" customHeight="1" x14ac:dyDescent="0.25">
      <c r="B35" s="64" t="s">
        <v>278</v>
      </c>
      <c r="C35" s="65" t="s">
        <v>96</v>
      </c>
      <c r="D35" s="64" t="s">
        <v>278</v>
      </c>
      <c r="E35" s="65" t="s">
        <v>96</v>
      </c>
      <c r="F35" s="64" t="s">
        <v>279</v>
      </c>
      <c r="G35" s="65" t="s">
        <v>96</v>
      </c>
      <c r="H35" s="64" t="s">
        <v>279</v>
      </c>
      <c r="I35" s="65" t="s">
        <v>96</v>
      </c>
      <c r="K35" s="73"/>
      <c r="L35" s="73"/>
    </row>
    <row r="36" spans="2:12" ht="24.75" customHeight="1" x14ac:dyDescent="0.25">
      <c r="B36" s="64" t="s">
        <v>280</v>
      </c>
      <c r="C36" s="65" t="s">
        <v>96</v>
      </c>
      <c r="D36" s="64" t="s">
        <v>280</v>
      </c>
      <c r="E36" s="65" t="s">
        <v>96</v>
      </c>
      <c r="F36" s="64" t="s">
        <v>281</v>
      </c>
      <c r="G36" s="65" t="s">
        <v>247</v>
      </c>
      <c r="H36" s="64" t="s">
        <v>281</v>
      </c>
      <c r="I36" s="65" t="s">
        <v>248</v>
      </c>
      <c r="K36" s="73"/>
      <c r="L36" s="73"/>
    </row>
  </sheetData>
  <mergeCells count="32">
    <mergeCell ref="K35:L35"/>
    <mergeCell ref="K36:L36"/>
    <mergeCell ref="K30:L30"/>
    <mergeCell ref="K31:L31"/>
    <mergeCell ref="K32:L32"/>
    <mergeCell ref="K33:L33"/>
    <mergeCell ref="K34:L34"/>
    <mergeCell ref="K25:L25"/>
    <mergeCell ref="K26:L26"/>
    <mergeCell ref="K27:L27"/>
    <mergeCell ref="K28:L28"/>
    <mergeCell ref="K29:L29"/>
    <mergeCell ref="K17:L17"/>
    <mergeCell ref="K21:L21"/>
    <mergeCell ref="K22:L22"/>
    <mergeCell ref="K23:L23"/>
    <mergeCell ref="K24:L24"/>
    <mergeCell ref="K12:L12"/>
    <mergeCell ref="K13:L13"/>
    <mergeCell ref="K14:L14"/>
    <mergeCell ref="K15:L15"/>
    <mergeCell ref="K16:L16"/>
    <mergeCell ref="K7:L7"/>
    <mergeCell ref="K8:L8"/>
    <mergeCell ref="K9:L9"/>
    <mergeCell ref="K10:L10"/>
    <mergeCell ref="K11:L11"/>
    <mergeCell ref="K2:L2"/>
    <mergeCell ref="K3:L3"/>
    <mergeCell ref="K4:L4"/>
    <mergeCell ref="K5:L5"/>
    <mergeCell ref="K6:L6"/>
  </mergeCells>
  <pageMargins left="0.25" right="0.25" top="0.75" bottom="0.75" header="0.3" footer="0.3"/>
  <pageSetup paperSize="9" orientation="portrait" useFirstPageNumber="1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L36"/>
  <sheetViews>
    <sheetView zoomScaleNormal="100" workbookViewId="0">
      <selection activeCell="O13" sqref="O13"/>
    </sheetView>
  </sheetViews>
  <sheetFormatPr defaultRowHeight="15" x14ac:dyDescent="0.25"/>
  <cols>
    <col min="1" max="1" width="13" customWidth="1"/>
    <col min="2" max="2" width="2.7109375" style="62" customWidth="1"/>
    <col min="3" max="3" width="17.85546875" style="63" customWidth="1"/>
    <col min="4" max="4" width="2.7109375" style="62" customWidth="1"/>
    <col min="5" max="5" width="17.85546875" style="63" customWidth="1"/>
    <col min="6" max="6" width="2.7109375" style="62" customWidth="1"/>
    <col min="7" max="7" width="17.85546875" style="63" customWidth="1"/>
    <col min="8" max="8" width="2.7109375" style="62" customWidth="1"/>
    <col min="9" max="9" width="17.85546875" style="63" customWidth="1"/>
  </cols>
  <sheetData>
    <row r="1" spans="2:12" ht="15.75" customHeight="1" x14ac:dyDescent="0.25"/>
    <row r="2" spans="2:12" ht="24.75" customHeight="1" x14ac:dyDescent="0.25">
      <c r="B2" s="64">
        <v>1</v>
      </c>
      <c r="C2" s="65" t="str">
        <f>CONCATENATE("п.",'шпоргалка-2'!D4," - ",'шпоргалка-2'!B4)</f>
        <v>п. - резерв</v>
      </c>
      <c r="D2" s="64">
        <v>1</v>
      </c>
      <c r="E2" s="65" t="str">
        <f>C2</f>
        <v>п. - резерв</v>
      </c>
      <c r="F2" s="64">
        <v>17</v>
      </c>
      <c r="G2" s="65" t="str">
        <f>CONCATENATE("п.",'шпоргалка-2'!D22," - ",'шпоргалка-2'!B22)</f>
        <v>п. - резерв</v>
      </c>
      <c r="H2" s="64">
        <v>17</v>
      </c>
      <c r="I2" s="65" t="str">
        <f t="shared" ref="I2:I17" si="0">G2</f>
        <v>п. - резерв</v>
      </c>
      <c r="K2" s="119" t="s">
        <v>194</v>
      </c>
      <c r="L2" s="120"/>
    </row>
    <row r="3" spans="2:12" ht="24.75" customHeight="1" x14ac:dyDescent="0.25">
      <c r="B3" s="64">
        <v>2</v>
      </c>
      <c r="C3" s="65" t="str">
        <f>CONCATENATE("п.",'шпоргалка-2'!D5," - ",'шпоргалка-2'!B5)</f>
        <v>п. - резерв</v>
      </c>
      <c r="D3" s="64">
        <v>2</v>
      </c>
      <c r="E3" s="65" t="str">
        <f>C3</f>
        <v>п. - резерв</v>
      </c>
      <c r="F3" s="64">
        <v>18</v>
      </c>
      <c r="G3" s="65" t="str">
        <f>CONCATENATE("п.",'шпоргалка-2'!D23," - ",'шпоргалка-2'!B23)</f>
        <v>п. - резерв</v>
      </c>
      <c r="H3" s="64">
        <v>18</v>
      </c>
      <c r="I3" s="65" t="str">
        <f t="shared" si="0"/>
        <v>п. - резерв</v>
      </c>
      <c r="K3" s="73"/>
      <c r="L3" s="73"/>
    </row>
    <row r="4" spans="2:12" ht="24.75" customHeight="1" x14ac:dyDescent="0.25">
      <c r="B4" s="64">
        <v>3</v>
      </c>
      <c r="C4" s="65" t="str">
        <f>CONCATENATE("п.",'шпоргалка-2'!D6," - ",'шпоргалка-2'!B6)</f>
        <v>п. - резерв</v>
      </c>
      <c r="D4" s="64">
        <v>3</v>
      </c>
      <c r="E4" s="65" t="str">
        <f t="shared" ref="E4:E9" si="1">C4</f>
        <v>п. - резерв</v>
      </c>
      <c r="F4" s="64">
        <v>19</v>
      </c>
      <c r="G4" s="65" t="str">
        <f>CONCATENATE("п.",'шпоргалка-2'!D24," - ",'шпоргалка-2'!B24)</f>
        <v>п. - резерв</v>
      </c>
      <c r="H4" s="64">
        <v>19</v>
      </c>
      <c r="I4" s="65" t="str">
        <f t="shared" si="0"/>
        <v>п. - резерв</v>
      </c>
      <c r="K4" s="73"/>
      <c r="L4" s="73"/>
    </row>
    <row r="5" spans="2:12" ht="24.75" customHeight="1" x14ac:dyDescent="0.25">
      <c r="B5" s="64">
        <v>4</v>
      </c>
      <c r="C5" s="65" t="str">
        <f>CONCATENATE("п.",'шпоргалка-2'!D7," - ",'шпоргалка-2'!B7)</f>
        <v>п. - резерв</v>
      </c>
      <c r="D5" s="64">
        <v>4</v>
      </c>
      <c r="E5" s="65" t="str">
        <f t="shared" si="1"/>
        <v>п. - резерв</v>
      </c>
      <c r="F5" s="64">
        <v>20</v>
      </c>
      <c r="G5" s="65" t="str">
        <f>CONCATENATE("п.",'шпоргалка-2'!D25," - ",'шпоргалка-2'!B25)</f>
        <v>п. - резерв</v>
      </c>
      <c r="H5" s="64">
        <v>20</v>
      </c>
      <c r="I5" s="65" t="str">
        <f t="shared" si="0"/>
        <v>п. - резерв</v>
      </c>
      <c r="K5" s="73"/>
      <c r="L5" s="73"/>
    </row>
    <row r="6" spans="2:12" ht="24.75" customHeight="1" x14ac:dyDescent="0.25">
      <c r="B6" s="64">
        <v>5</v>
      </c>
      <c r="C6" s="65" t="str">
        <f>CONCATENATE("п.",'шпоргалка-2'!D8," - ",'шпоргалка-2'!B8)</f>
        <v>п. - резерв</v>
      </c>
      <c r="D6" s="64">
        <v>5</v>
      </c>
      <c r="E6" s="65" t="str">
        <f t="shared" si="1"/>
        <v>п. - резерв</v>
      </c>
      <c r="F6" s="64">
        <v>21</v>
      </c>
      <c r="G6" s="65" t="str">
        <f>CONCATENATE("п.",'шпоргалка-2'!D26," - ",'шпоргалка-2'!B26)</f>
        <v>п. - резерв</v>
      </c>
      <c r="H6" s="64">
        <v>21</v>
      </c>
      <c r="I6" s="65" t="str">
        <f t="shared" si="0"/>
        <v>п. - резерв</v>
      </c>
      <c r="K6" s="73"/>
      <c r="L6" s="73"/>
    </row>
    <row r="7" spans="2:12" ht="24.75" customHeight="1" x14ac:dyDescent="0.25">
      <c r="B7" s="64">
        <v>6</v>
      </c>
      <c r="C7" s="65" t="str">
        <f>CONCATENATE("п.",'шпоргалка-2'!D9," - ",'шпоргалка-2'!B9)</f>
        <v>п. - резерв</v>
      </c>
      <c r="D7" s="64">
        <v>6</v>
      </c>
      <c r="E7" s="65" t="str">
        <f t="shared" si="1"/>
        <v>п. - резерв</v>
      </c>
      <c r="F7" s="64">
        <v>22</v>
      </c>
      <c r="G7" s="65" t="str">
        <f>CONCATENATE("п.",'шпоргалка-2'!D27," - ",'шпоргалка-2'!B27)</f>
        <v>п. - резерв</v>
      </c>
      <c r="H7" s="64">
        <v>22</v>
      </c>
      <c r="I7" s="65" t="str">
        <f t="shared" si="0"/>
        <v>п. - резерв</v>
      </c>
      <c r="K7" s="73"/>
      <c r="L7" s="73"/>
    </row>
    <row r="8" spans="2:12" ht="24.75" customHeight="1" x14ac:dyDescent="0.25">
      <c r="B8" s="64">
        <v>7</v>
      </c>
      <c r="C8" s="65" t="str">
        <f>CONCATENATE("п.",'шпоргалка-2'!D10," - ",'шпоргалка-2'!B10)</f>
        <v>п. - резерв</v>
      </c>
      <c r="D8" s="64">
        <v>7</v>
      </c>
      <c r="E8" s="65" t="str">
        <f t="shared" si="1"/>
        <v>п. - резерв</v>
      </c>
      <c r="F8" s="64">
        <v>23</v>
      </c>
      <c r="G8" s="65" t="str">
        <f>CONCATENATE("п.",'шпоргалка-2'!D28," - ",'шпоргалка-2'!B28)</f>
        <v>п. - резерв</v>
      </c>
      <c r="H8" s="64">
        <v>23</v>
      </c>
      <c r="I8" s="65" t="str">
        <f t="shared" si="0"/>
        <v>п. - резерв</v>
      </c>
      <c r="K8" s="73"/>
      <c r="L8" s="73"/>
    </row>
    <row r="9" spans="2:12" ht="24.75" customHeight="1" x14ac:dyDescent="0.25">
      <c r="B9" s="64">
        <v>8</v>
      </c>
      <c r="C9" s="65" t="str">
        <f>CONCATENATE("п.",'шпоргалка-2'!D11," - ",'шпоргалка-2'!B11)</f>
        <v>п. - резерв</v>
      </c>
      <c r="D9" s="64">
        <v>8</v>
      </c>
      <c r="E9" s="65" t="str">
        <f t="shared" si="1"/>
        <v>п. - резерв</v>
      </c>
      <c r="F9" s="64">
        <v>24</v>
      </c>
      <c r="G9" s="65" t="str">
        <f>CONCATENATE("п.",'шпоргалка-2'!D29," - ",'шпоргалка-2'!B29)</f>
        <v>п. - резерв</v>
      </c>
      <c r="H9" s="64">
        <v>24</v>
      </c>
      <c r="I9" s="65" t="str">
        <f t="shared" si="0"/>
        <v>п. - резерв</v>
      </c>
      <c r="K9" s="73"/>
      <c r="L9" s="73"/>
    </row>
    <row r="10" spans="2:12" ht="24.75" customHeight="1" x14ac:dyDescent="0.25">
      <c r="B10" s="64">
        <v>9</v>
      </c>
      <c r="C10" s="65" t="str">
        <f>CONCATENATE("п.",'шпоргалка-2'!D13," - ",'шпоргалка-2'!B13)</f>
        <v>п. - резерв</v>
      </c>
      <c r="D10" s="64">
        <v>9</v>
      </c>
      <c r="E10" s="65" t="str">
        <f>C10</f>
        <v>п. - резерв</v>
      </c>
      <c r="F10" s="64">
        <v>25</v>
      </c>
      <c r="G10" s="65" t="str">
        <f>CONCATENATE("п.",'шпоргалка-2'!D31," - ",'шпоргалка-2'!B31)</f>
        <v>п. - резерв</v>
      </c>
      <c r="H10" s="64">
        <v>25</v>
      </c>
      <c r="I10" s="65" t="str">
        <f t="shared" si="0"/>
        <v>п. - резерв</v>
      </c>
      <c r="K10" s="73"/>
      <c r="L10" s="73"/>
    </row>
    <row r="11" spans="2:12" ht="24.75" customHeight="1" x14ac:dyDescent="0.25">
      <c r="B11" s="64">
        <v>10</v>
      </c>
      <c r="C11" s="65" t="str">
        <f>CONCATENATE("п.",'шпоргалка-2'!D14," - ",'шпоргалка-2'!B14)</f>
        <v>п. - резерв</v>
      </c>
      <c r="D11" s="64">
        <v>10</v>
      </c>
      <c r="E11" s="65" t="str">
        <f>C11</f>
        <v>п. - резерв</v>
      </c>
      <c r="F11" s="64">
        <v>26</v>
      </c>
      <c r="G11" s="65" t="str">
        <f>CONCATENATE("п.",'шпоргалка-2'!D32," - ",'шпоргалка-2'!B32)</f>
        <v>п. - резерв</v>
      </c>
      <c r="H11" s="64">
        <v>26</v>
      </c>
      <c r="I11" s="65" t="str">
        <f t="shared" si="0"/>
        <v>п. - резерв</v>
      </c>
      <c r="K11" s="73"/>
      <c r="L11" s="73"/>
    </row>
    <row r="12" spans="2:12" ht="24.75" customHeight="1" x14ac:dyDescent="0.25">
      <c r="B12" s="64">
        <v>11</v>
      </c>
      <c r="C12" s="65" t="str">
        <f>CONCATENATE("п.",'шпоргалка-2'!D15," - ",'шпоргалка-2'!B15)</f>
        <v>п. - резерв</v>
      </c>
      <c r="D12" s="64">
        <v>11</v>
      </c>
      <c r="E12" s="65" t="str">
        <f t="shared" ref="E12:E17" si="2">C12</f>
        <v>п. - резерв</v>
      </c>
      <c r="F12" s="64">
        <v>27</v>
      </c>
      <c r="G12" s="65" t="str">
        <f>CONCATENATE("п.",'шпоргалка-2'!D33," - ",'шпоргалка-2'!B33)</f>
        <v>п. - резерв</v>
      </c>
      <c r="H12" s="64">
        <v>27</v>
      </c>
      <c r="I12" s="65" t="str">
        <f t="shared" si="0"/>
        <v>п. - резерв</v>
      </c>
      <c r="K12" s="73"/>
      <c r="L12" s="73"/>
    </row>
    <row r="13" spans="2:12" ht="24.75" customHeight="1" x14ac:dyDescent="0.25">
      <c r="B13" s="64">
        <v>12</v>
      </c>
      <c r="C13" s="65" t="str">
        <f>CONCATENATE("п.",'шпоргалка-2'!D16," - ",'шпоргалка-2'!B16)</f>
        <v>п. - резерв</v>
      </c>
      <c r="D13" s="64">
        <v>12</v>
      </c>
      <c r="E13" s="65" t="str">
        <f t="shared" si="2"/>
        <v>п. - резерв</v>
      </c>
      <c r="F13" s="64">
        <v>28</v>
      </c>
      <c r="G13" s="65" t="str">
        <f>CONCATENATE("п.",'шпоргалка-2'!D34," - ",'шпоргалка-2'!B34)</f>
        <v>п. - резерв</v>
      </c>
      <c r="H13" s="64">
        <v>28</v>
      </c>
      <c r="I13" s="65" t="str">
        <f t="shared" si="0"/>
        <v>п. - резерв</v>
      </c>
      <c r="K13" s="73"/>
      <c r="L13" s="73"/>
    </row>
    <row r="14" spans="2:12" ht="24.75" customHeight="1" x14ac:dyDescent="0.25">
      <c r="B14" s="64">
        <v>13</v>
      </c>
      <c r="C14" s="65" t="str">
        <f>CONCATENATE("п.",'шпоргалка-2'!D17," - ",'шпоргалка-2'!B17)</f>
        <v>п. - резерв</v>
      </c>
      <c r="D14" s="64">
        <v>13</v>
      </c>
      <c r="E14" s="65" t="str">
        <f t="shared" si="2"/>
        <v>п. - резерв</v>
      </c>
      <c r="F14" s="64">
        <v>29</v>
      </c>
      <c r="G14" s="65" t="str">
        <f>CONCATENATE("п.",'шпоргалка-2'!D35," - ",'шпоргалка-2'!B35)</f>
        <v>п. - резерв</v>
      </c>
      <c r="H14" s="64">
        <v>29</v>
      </c>
      <c r="I14" s="65" t="str">
        <f t="shared" si="0"/>
        <v>п. - резерв</v>
      </c>
      <c r="K14" s="73"/>
      <c r="L14" s="73"/>
    </row>
    <row r="15" spans="2:12" ht="24.75" customHeight="1" x14ac:dyDescent="0.25">
      <c r="B15" s="64">
        <v>14</v>
      </c>
      <c r="C15" s="65" t="str">
        <f>CONCATENATE("п.",'шпоргалка-2'!D18," - ",'шпоргалка-2'!B18)</f>
        <v>п. - резерв</v>
      </c>
      <c r="D15" s="64">
        <v>14</v>
      </c>
      <c r="E15" s="65" t="str">
        <f t="shared" si="2"/>
        <v>п. - резерв</v>
      </c>
      <c r="F15" s="64">
        <v>30</v>
      </c>
      <c r="G15" s="65" t="str">
        <f>CONCATENATE("п.",'шпоргалка-2'!D36," - ",'шпоргалка-2'!B36)</f>
        <v>п. - резерв</v>
      </c>
      <c r="H15" s="64">
        <v>30</v>
      </c>
      <c r="I15" s="65" t="str">
        <f t="shared" si="0"/>
        <v>п. - резерв</v>
      </c>
      <c r="K15" s="73"/>
      <c r="L15" s="73"/>
    </row>
    <row r="16" spans="2:12" ht="24.75" customHeight="1" x14ac:dyDescent="0.25">
      <c r="B16" s="64">
        <v>15</v>
      </c>
      <c r="C16" s="65" t="str">
        <f>CONCATENATE("п.",'шпоргалка-2'!D19," - ",'шпоргалка-2'!B19)</f>
        <v>п. - резерв</v>
      </c>
      <c r="D16" s="64">
        <v>15</v>
      </c>
      <c r="E16" s="65" t="str">
        <f t="shared" si="2"/>
        <v>п. - резерв</v>
      </c>
      <c r="F16" s="64">
        <v>31</v>
      </c>
      <c r="G16" s="65" t="str">
        <f>CONCATENATE("п.",'шпоргалка-2'!D37," - ",'шпоргалка-2'!B37)</f>
        <v>п. - резерв</v>
      </c>
      <c r="H16" s="64">
        <v>31</v>
      </c>
      <c r="I16" s="65" t="str">
        <f t="shared" si="0"/>
        <v>п. - резерв</v>
      </c>
      <c r="K16" s="73"/>
      <c r="L16" s="73"/>
    </row>
    <row r="17" spans="2:12" ht="24.75" customHeight="1" x14ac:dyDescent="0.25">
      <c r="B17" s="64">
        <v>16</v>
      </c>
      <c r="C17" s="65" t="str">
        <f>CONCATENATE("п.",'шпоргалка-2'!D20," - ",'шпоргалка-2'!B20)</f>
        <v>п. - резерв</v>
      </c>
      <c r="D17" s="64">
        <v>16</v>
      </c>
      <c r="E17" s="65" t="str">
        <f t="shared" si="2"/>
        <v>п. - резерв</v>
      </c>
      <c r="F17" s="64">
        <v>32</v>
      </c>
      <c r="G17" s="65" t="str">
        <f>CONCATENATE("п.",'шпоргалка-2'!D38," - ",'шпоргалка-2'!B38)</f>
        <v>п. - резерв</v>
      </c>
      <c r="H17" s="64">
        <v>32</v>
      </c>
      <c r="I17" s="65" t="str">
        <f t="shared" si="0"/>
        <v>п. - резерв</v>
      </c>
      <c r="K17" s="73"/>
      <c r="L17" s="73"/>
    </row>
    <row r="20" spans="2:12" ht="15.75" customHeight="1" x14ac:dyDescent="0.25"/>
    <row r="21" spans="2:12" ht="24.75" customHeight="1" x14ac:dyDescent="0.25">
      <c r="B21" s="64">
        <v>33</v>
      </c>
      <c r="C21" s="65" t="str">
        <f>CONCATENATE("п.",'шпоргалка-2'!D40," - ",'шпоргалка-2'!B40)</f>
        <v>п. - резерв</v>
      </c>
      <c r="D21" s="64">
        <v>33</v>
      </c>
      <c r="E21" s="65" t="str">
        <f t="shared" ref="E21:E36" si="3">C21</f>
        <v>п. - резерв</v>
      </c>
      <c r="F21" s="64">
        <v>49</v>
      </c>
      <c r="G21" s="65" t="str">
        <f>CONCATENATE("п.",'шпоргалка-2'!D58," - ",'шпоргалка-2'!B58)</f>
        <v>п. - резерв</v>
      </c>
      <c r="H21" s="64">
        <v>49</v>
      </c>
      <c r="I21" s="65" t="str">
        <f>G21</f>
        <v>п. - резерв</v>
      </c>
      <c r="K21" s="119" t="s">
        <v>251</v>
      </c>
      <c r="L21" s="120"/>
    </row>
    <row r="22" spans="2:12" ht="24.75" customHeight="1" x14ac:dyDescent="0.25">
      <c r="B22" s="64">
        <v>34</v>
      </c>
      <c r="C22" s="65" t="str">
        <f>CONCATENATE("п.",'шпоргалка-2'!D41," - ",'шпоргалка-2'!B41)</f>
        <v>п. - резерв</v>
      </c>
      <c r="D22" s="64">
        <v>34</v>
      </c>
      <c r="E22" s="65" t="str">
        <f t="shared" si="3"/>
        <v>п. - резерв</v>
      </c>
      <c r="F22" s="64">
        <v>50</v>
      </c>
      <c r="G22" s="65" t="str">
        <f>CONCATENATE("п.",'шпоргалка-2'!D59," - ",'шпоргалка-2'!B59)</f>
        <v>п. - резерв</v>
      </c>
      <c r="H22" s="64">
        <v>50</v>
      </c>
      <c r="I22" s="65" t="str">
        <f>G22</f>
        <v>п. - резерв</v>
      </c>
      <c r="K22" s="73"/>
      <c r="L22" s="73"/>
    </row>
    <row r="23" spans="2:12" ht="24.75" customHeight="1" x14ac:dyDescent="0.25">
      <c r="B23" s="64">
        <v>35</v>
      </c>
      <c r="C23" s="65" t="str">
        <f>CONCATENATE("п.",'шпоргалка-2'!D42," - ",'шпоргалка-2'!B42)</f>
        <v>п. - резерв</v>
      </c>
      <c r="D23" s="64">
        <v>35</v>
      </c>
      <c r="E23" s="65" t="str">
        <f t="shared" si="3"/>
        <v>п. - резерв</v>
      </c>
      <c r="F23" s="64">
        <v>51</v>
      </c>
      <c r="G23" s="65" t="str">
        <f>CONCATENATE("п.",'шпоргалка-2'!D60," - ",'шпоргалка-2'!B60)</f>
        <v>п. - резерв</v>
      </c>
      <c r="H23" s="64">
        <v>51</v>
      </c>
      <c r="I23" s="65" t="str">
        <f t="shared" ref="I23:I36" si="4">G23</f>
        <v>п. - резерв</v>
      </c>
      <c r="K23" s="73"/>
      <c r="L23" s="73"/>
    </row>
    <row r="24" spans="2:12" ht="24.75" customHeight="1" x14ac:dyDescent="0.25">
      <c r="B24" s="64">
        <v>36</v>
      </c>
      <c r="C24" s="65" t="str">
        <f>CONCATENATE("п.",'шпоргалка-2'!D43," - ",'шпоргалка-2'!B43)</f>
        <v>п. - резерв</v>
      </c>
      <c r="D24" s="64">
        <v>36</v>
      </c>
      <c r="E24" s="65" t="str">
        <f t="shared" si="3"/>
        <v>п. - резерв</v>
      </c>
      <c r="F24" s="64">
        <v>52</v>
      </c>
      <c r="G24" s="65" t="str">
        <f>CONCATENATE("п.",'шпоргалка-2'!D61," - ",'шпоргалка-2'!B61)</f>
        <v>п. - резерв</v>
      </c>
      <c r="H24" s="64">
        <v>52</v>
      </c>
      <c r="I24" s="65" t="str">
        <f t="shared" si="4"/>
        <v>п. - резерв</v>
      </c>
      <c r="K24" s="73"/>
      <c r="L24" s="73"/>
    </row>
    <row r="25" spans="2:12" ht="24.75" customHeight="1" x14ac:dyDescent="0.25">
      <c r="B25" s="64">
        <v>37</v>
      </c>
      <c r="C25" s="65" t="str">
        <f>CONCATENATE("п.",'шпоргалка-2'!D44," - ",'шпоргалка-2'!B44)</f>
        <v>п. - резерв</v>
      </c>
      <c r="D25" s="64">
        <v>37</v>
      </c>
      <c r="E25" s="65" t="str">
        <f t="shared" si="3"/>
        <v>п. - резерв</v>
      </c>
      <c r="F25" s="64">
        <v>53</v>
      </c>
      <c r="G25" s="65" t="str">
        <f>CONCATENATE("п.",'шпоргалка-2'!D62," - ",'шпоргалка-2'!B62)</f>
        <v>п. - резерв</v>
      </c>
      <c r="H25" s="64">
        <v>53</v>
      </c>
      <c r="I25" s="65" t="str">
        <f t="shared" si="4"/>
        <v>п. - резерв</v>
      </c>
      <c r="K25" s="73"/>
      <c r="L25" s="73"/>
    </row>
    <row r="26" spans="2:12" ht="24.75" customHeight="1" x14ac:dyDescent="0.25">
      <c r="B26" s="64">
        <v>38</v>
      </c>
      <c r="C26" s="65" t="str">
        <f>CONCATENATE("п.",'шпоргалка-2'!D45," - ",'шпоргалка-2'!B45)</f>
        <v>п. - резерв</v>
      </c>
      <c r="D26" s="64">
        <v>38</v>
      </c>
      <c r="E26" s="65" t="str">
        <f t="shared" si="3"/>
        <v>п. - резерв</v>
      </c>
      <c r="F26" s="64">
        <v>54</v>
      </c>
      <c r="G26" s="65" t="str">
        <f>CONCATENATE("п.",'шпоргалка-2'!D63," - ",'шпоргалка-2'!B63)</f>
        <v>п. - резерв</v>
      </c>
      <c r="H26" s="64">
        <v>54</v>
      </c>
      <c r="I26" s="65" t="str">
        <f t="shared" si="4"/>
        <v>п. - резерв</v>
      </c>
      <c r="K26" s="73"/>
      <c r="L26" s="73"/>
    </row>
    <row r="27" spans="2:12" ht="24.75" customHeight="1" x14ac:dyDescent="0.25">
      <c r="B27" s="64">
        <v>39</v>
      </c>
      <c r="C27" s="65" t="str">
        <f>CONCATENATE("п.",'шпоргалка-2'!D46," - ",'шпоргалка-2'!B46)</f>
        <v>п. - резерв</v>
      </c>
      <c r="D27" s="64">
        <v>39</v>
      </c>
      <c r="E27" s="65" t="str">
        <f t="shared" si="3"/>
        <v>п. - резерв</v>
      </c>
      <c r="F27" s="64">
        <v>55</v>
      </c>
      <c r="G27" s="65" t="str">
        <f>CONCATENATE("п.",'шпоргалка-2'!D64," - ",'шпоргалка-2'!B64)</f>
        <v>п. - резерв</v>
      </c>
      <c r="H27" s="64">
        <v>55</v>
      </c>
      <c r="I27" s="65" t="str">
        <f t="shared" si="4"/>
        <v>п. - резерв</v>
      </c>
      <c r="K27" s="73"/>
      <c r="L27" s="73"/>
    </row>
    <row r="28" spans="2:12" ht="24.75" customHeight="1" x14ac:dyDescent="0.25">
      <c r="B28" s="64">
        <v>40</v>
      </c>
      <c r="C28" s="65" t="str">
        <f>CONCATENATE("п.",'шпоргалка-2'!D47," - ",'шпоргалка-2'!B47)</f>
        <v>п. - резерв</v>
      </c>
      <c r="D28" s="64">
        <v>40</v>
      </c>
      <c r="E28" s="65" t="str">
        <f t="shared" si="3"/>
        <v>п. - резерв</v>
      </c>
      <c r="F28" s="64">
        <v>56</v>
      </c>
      <c r="G28" s="65" t="str">
        <f>CONCATENATE("п.",'шпоргалка-2'!D65," - ",'шпоргалка-2'!B65)</f>
        <v>п. - резерв</v>
      </c>
      <c r="H28" s="64">
        <v>56</v>
      </c>
      <c r="I28" s="65" t="str">
        <f t="shared" si="4"/>
        <v>п. - резерв</v>
      </c>
      <c r="K28" s="73"/>
      <c r="L28" s="73"/>
    </row>
    <row r="29" spans="2:12" ht="24.75" customHeight="1" x14ac:dyDescent="0.25">
      <c r="B29" s="64">
        <v>41</v>
      </c>
      <c r="C29" s="65" t="str">
        <f>CONCATENATE("п.",'шпоргалка-2'!D49," - ",'шпоргалка-2'!B49)</f>
        <v>п. - резерв</v>
      </c>
      <c r="D29" s="64">
        <v>41</v>
      </c>
      <c r="E29" s="65" t="str">
        <f t="shared" si="3"/>
        <v>п. - резерв</v>
      </c>
      <c r="F29" s="64">
        <v>57</v>
      </c>
      <c r="G29" s="65" t="str">
        <f>CONCATENATE("п.",'шпоргалка-2'!D67," - ",'шпоргалка-2'!B67)</f>
        <v>п. - резерв</v>
      </c>
      <c r="H29" s="64">
        <v>57</v>
      </c>
      <c r="I29" s="65" t="str">
        <f t="shared" si="4"/>
        <v>п. - резерв</v>
      </c>
      <c r="K29" s="73"/>
      <c r="L29" s="73"/>
    </row>
    <row r="30" spans="2:12" ht="24.75" customHeight="1" x14ac:dyDescent="0.25">
      <c r="B30" s="64">
        <v>42</v>
      </c>
      <c r="C30" s="65" t="str">
        <f>CONCATENATE("п.",'шпоргалка-2'!D50," - ",'шпоргалка-2'!B50)</f>
        <v>п. - резерв</v>
      </c>
      <c r="D30" s="64">
        <v>42</v>
      </c>
      <c r="E30" s="65" t="str">
        <f t="shared" si="3"/>
        <v>п. - резерв</v>
      </c>
      <c r="F30" s="64">
        <v>58</v>
      </c>
      <c r="G30" s="65" t="str">
        <f>CONCATENATE("п.",'шпоргалка-2'!D68," - ",'шпоргалка-2'!B68)</f>
        <v>п. - резерв</v>
      </c>
      <c r="H30" s="64">
        <v>58</v>
      </c>
      <c r="I30" s="65" t="str">
        <f t="shared" si="4"/>
        <v>п. - резерв</v>
      </c>
      <c r="K30" s="73"/>
      <c r="L30" s="73"/>
    </row>
    <row r="31" spans="2:12" ht="24.75" customHeight="1" x14ac:dyDescent="0.25">
      <c r="B31" s="64">
        <v>43</v>
      </c>
      <c r="C31" s="65" t="str">
        <f>CONCATENATE("п.",'шпоргалка-2'!D51," - ",'шпоргалка-2'!B51)</f>
        <v>п. - резерв</v>
      </c>
      <c r="D31" s="64">
        <v>43</v>
      </c>
      <c r="E31" s="65" t="str">
        <f t="shared" si="3"/>
        <v>п. - резерв</v>
      </c>
      <c r="F31" s="64">
        <v>59</v>
      </c>
      <c r="G31" s="65" t="str">
        <f>CONCATENATE("п.",'шпоргалка-2'!D69," - ",'шпоргалка-2'!B69)</f>
        <v>п. - резерв</v>
      </c>
      <c r="H31" s="64">
        <v>59</v>
      </c>
      <c r="I31" s="65" t="str">
        <f t="shared" si="4"/>
        <v>п. - резерв</v>
      </c>
      <c r="K31" s="73"/>
      <c r="L31" s="73"/>
    </row>
    <row r="32" spans="2:12" ht="24.75" customHeight="1" x14ac:dyDescent="0.25">
      <c r="B32" s="64">
        <v>44</v>
      </c>
      <c r="C32" s="65" t="str">
        <f>CONCATENATE("п.",'шпоргалка-2'!D52," - ",'шпоргалка-2'!B52)</f>
        <v>п. - резерв</v>
      </c>
      <c r="D32" s="64">
        <v>44</v>
      </c>
      <c r="E32" s="65" t="str">
        <f t="shared" si="3"/>
        <v>п. - резерв</v>
      </c>
      <c r="F32" s="64">
        <v>60</v>
      </c>
      <c r="G32" s="65" t="str">
        <f>CONCATENATE("п.",'шпоргалка-2'!D70," - ",'шпоргалка-2'!B70)</f>
        <v>п. - резерв</v>
      </c>
      <c r="H32" s="64">
        <v>60</v>
      </c>
      <c r="I32" s="65" t="str">
        <f t="shared" si="4"/>
        <v>п. - резерв</v>
      </c>
      <c r="K32" s="73"/>
      <c r="L32" s="73"/>
    </row>
    <row r="33" spans="2:12" ht="24.75" customHeight="1" x14ac:dyDescent="0.25">
      <c r="B33" s="64">
        <v>45</v>
      </c>
      <c r="C33" s="65" t="str">
        <f>CONCATENATE("п.",'шпоргалка-2'!D53," - ",'шпоргалка-2'!B53)</f>
        <v>п. - резерв</v>
      </c>
      <c r="D33" s="64">
        <v>45</v>
      </c>
      <c r="E33" s="65" t="str">
        <f t="shared" si="3"/>
        <v>п. - резерв</v>
      </c>
      <c r="F33" s="64">
        <v>61</v>
      </c>
      <c r="G33" s="65" t="str">
        <f>CONCATENATE("п.",'шпоргалка-2'!D71," - ",'шпоргалка-2'!B71)</f>
        <v>п. - резерв</v>
      </c>
      <c r="H33" s="64">
        <v>61</v>
      </c>
      <c r="I33" s="65" t="str">
        <f t="shared" si="4"/>
        <v>п. - резерв</v>
      </c>
      <c r="K33" s="73"/>
      <c r="L33" s="73"/>
    </row>
    <row r="34" spans="2:12" ht="24.75" customHeight="1" x14ac:dyDescent="0.25">
      <c r="B34" s="64">
        <v>46</v>
      </c>
      <c r="C34" s="65" t="str">
        <f>CONCATENATE("п.",'шпоргалка-2'!D54," - ",'шпоргалка-2'!B54)</f>
        <v>п. - резерв</v>
      </c>
      <c r="D34" s="64">
        <v>46</v>
      </c>
      <c r="E34" s="65" t="str">
        <f t="shared" si="3"/>
        <v>п. - резерв</v>
      </c>
      <c r="F34" s="64">
        <v>62</v>
      </c>
      <c r="G34" s="65" t="str">
        <f>CONCATENATE("п.",'шпоргалка-2'!D72," - ",'шпоргалка-2'!B72)</f>
        <v>п. - резерв</v>
      </c>
      <c r="H34" s="64">
        <v>62</v>
      </c>
      <c r="I34" s="65" t="str">
        <f t="shared" si="4"/>
        <v>п. - резерв</v>
      </c>
      <c r="K34" s="73"/>
      <c r="L34" s="73"/>
    </row>
    <row r="35" spans="2:12" ht="24.75" customHeight="1" x14ac:dyDescent="0.25">
      <c r="B35" s="64">
        <v>47</v>
      </c>
      <c r="C35" s="65" t="str">
        <f>CONCATENATE("п.",'шпоргалка-2'!D55," - ",'шпоргалка-2'!B55)</f>
        <v>п. - резерв</v>
      </c>
      <c r="D35" s="64">
        <v>47</v>
      </c>
      <c r="E35" s="65" t="str">
        <f t="shared" si="3"/>
        <v>п. - резерв</v>
      </c>
      <c r="F35" s="64">
        <v>63</v>
      </c>
      <c r="G35" s="65" t="str">
        <f>CONCATENATE("п.",'шпоргалка-2'!D73," - ",'шпоргалка-2'!B73)</f>
        <v>п. - резерв</v>
      </c>
      <c r="H35" s="64">
        <v>63</v>
      </c>
      <c r="I35" s="65" t="str">
        <f t="shared" si="4"/>
        <v>п. - резерв</v>
      </c>
      <c r="K35" s="73"/>
      <c r="L35" s="73"/>
    </row>
    <row r="36" spans="2:12" ht="24.75" customHeight="1" x14ac:dyDescent="0.25">
      <c r="B36" s="64">
        <v>48</v>
      </c>
      <c r="C36" s="65" t="str">
        <f>CONCATENATE("п.",'шпоргалка-2'!D56," - ",'шпоргалка-2'!B56)</f>
        <v>п. - резерв</v>
      </c>
      <c r="D36" s="64">
        <v>48</v>
      </c>
      <c r="E36" s="65" t="str">
        <f t="shared" si="3"/>
        <v>п. - резерв</v>
      </c>
      <c r="F36" s="64">
        <v>64</v>
      </c>
      <c r="G36" s="65" t="str">
        <f>CONCATENATE("п.",'шпоргалка-2'!D74," - ",'шпоргалка-2'!B74)</f>
        <v>п. - резерв</v>
      </c>
      <c r="H36" s="64">
        <v>64</v>
      </c>
      <c r="I36" s="65" t="str">
        <f t="shared" si="4"/>
        <v>п. - резерв</v>
      </c>
      <c r="K36" s="73"/>
      <c r="L36" s="73"/>
    </row>
  </sheetData>
  <mergeCells count="32">
    <mergeCell ref="K35:L35"/>
    <mergeCell ref="K36:L36"/>
    <mergeCell ref="K30:L30"/>
    <mergeCell ref="K31:L31"/>
    <mergeCell ref="K32:L32"/>
    <mergeCell ref="K33:L33"/>
    <mergeCell ref="K34:L34"/>
    <mergeCell ref="K25:L25"/>
    <mergeCell ref="K26:L26"/>
    <mergeCell ref="K27:L27"/>
    <mergeCell ref="K28:L28"/>
    <mergeCell ref="K29:L29"/>
    <mergeCell ref="K17:L17"/>
    <mergeCell ref="K21:L21"/>
    <mergeCell ref="K22:L22"/>
    <mergeCell ref="K23:L23"/>
    <mergeCell ref="K24:L24"/>
    <mergeCell ref="K12:L12"/>
    <mergeCell ref="K13:L13"/>
    <mergeCell ref="K14:L14"/>
    <mergeCell ref="K15:L15"/>
    <mergeCell ref="K16:L16"/>
    <mergeCell ref="K7:L7"/>
    <mergeCell ref="K8:L8"/>
    <mergeCell ref="K9:L9"/>
    <mergeCell ref="K10:L10"/>
    <mergeCell ref="K11:L11"/>
    <mergeCell ref="K2:L2"/>
    <mergeCell ref="K3:L3"/>
    <mergeCell ref="K4:L4"/>
    <mergeCell ref="K5:L5"/>
    <mergeCell ref="K6:L6"/>
  </mergeCells>
  <pageMargins left="0.7" right="0.7" top="0.75" bottom="0.75" header="0.3" footer="0.3"/>
  <pageSetup paperSize="9" orientation="portrait" useFirstPageNumber="1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L36"/>
  <sheetViews>
    <sheetView zoomScaleNormal="100" workbookViewId="0">
      <selection activeCell="O13" sqref="O13"/>
    </sheetView>
  </sheetViews>
  <sheetFormatPr defaultRowHeight="15" x14ac:dyDescent="0.25"/>
  <cols>
    <col min="1" max="1" width="13" customWidth="1"/>
    <col min="2" max="2" width="2.7109375" style="62" customWidth="1"/>
    <col min="3" max="3" width="17.85546875" style="63" customWidth="1"/>
    <col min="4" max="4" width="2.7109375" style="62" customWidth="1"/>
    <col min="5" max="5" width="17.85546875" style="63" customWidth="1"/>
    <col min="6" max="6" width="2.7109375" style="62" customWidth="1"/>
    <col min="7" max="7" width="17.85546875" style="63" customWidth="1"/>
    <col min="8" max="8" width="2.7109375" style="62" customWidth="1"/>
    <col min="9" max="9" width="17.85546875" style="63" customWidth="1"/>
  </cols>
  <sheetData>
    <row r="1" spans="2:12" ht="15.75" customHeight="1" x14ac:dyDescent="0.25"/>
    <row r="2" spans="2:12" ht="24.75" customHeight="1" x14ac:dyDescent="0.25">
      <c r="B2" s="64">
        <v>1</v>
      </c>
      <c r="C2" s="65" t="str">
        <f>CONCATENATE("п.",'шпоргалка-3'!D4," - ",'шпоргалка-3'!B4)</f>
        <v>п. - резерв</v>
      </c>
      <c r="D2" s="64">
        <v>1</v>
      </c>
      <c r="E2" s="65" t="str">
        <f>C2</f>
        <v>п. - резерв</v>
      </c>
      <c r="F2" s="64">
        <v>17</v>
      </c>
      <c r="G2" s="65" t="str">
        <f>CONCATENATE("п.",'шпоргалка-3'!D22," - ",'шпоргалка-3'!B22)</f>
        <v>п. - резерв</v>
      </c>
      <c r="H2" s="64">
        <v>17</v>
      </c>
      <c r="I2" s="65" t="str">
        <f t="shared" ref="I2:I17" si="0">G2</f>
        <v>п. - резерв</v>
      </c>
      <c r="K2" s="119" t="s">
        <v>194</v>
      </c>
      <c r="L2" s="120"/>
    </row>
    <row r="3" spans="2:12" ht="24.75" customHeight="1" x14ac:dyDescent="0.25">
      <c r="B3" s="64">
        <v>2</v>
      </c>
      <c r="C3" s="65" t="str">
        <f>CONCATENATE("п.",'шпоргалка-3'!D5," - ",'шпоргалка-3'!B5)</f>
        <v>п. - резерв</v>
      </c>
      <c r="D3" s="64">
        <v>2</v>
      </c>
      <c r="E3" s="65" t="str">
        <f>C3</f>
        <v>п. - резерв</v>
      </c>
      <c r="F3" s="64">
        <v>18</v>
      </c>
      <c r="G3" s="65" t="str">
        <f>CONCATENATE("п.",'шпоргалка-3'!D23," - ",'шпоргалка-3'!B23)</f>
        <v>п. - резерв</v>
      </c>
      <c r="H3" s="64">
        <v>18</v>
      </c>
      <c r="I3" s="65" t="str">
        <f t="shared" si="0"/>
        <v>п. - резерв</v>
      </c>
      <c r="K3" s="73"/>
      <c r="L3" s="73"/>
    </row>
    <row r="4" spans="2:12" ht="24.75" customHeight="1" x14ac:dyDescent="0.25">
      <c r="B4" s="64">
        <v>3</v>
      </c>
      <c r="C4" s="65" t="str">
        <f>CONCATENATE("п.",'шпоргалка-3'!D6," - ",'шпоргалка-3'!B6)</f>
        <v>п. - резерв</v>
      </c>
      <c r="D4" s="64">
        <v>3</v>
      </c>
      <c r="E4" s="65" t="str">
        <f t="shared" ref="E4:E9" si="1">C4</f>
        <v>п. - резерв</v>
      </c>
      <c r="F4" s="64">
        <v>19</v>
      </c>
      <c r="G4" s="65" t="str">
        <f>CONCATENATE("п.",'шпоргалка-3'!D24," - ",'шпоргалка-3'!B24)</f>
        <v>п. - резерв</v>
      </c>
      <c r="H4" s="64">
        <v>19</v>
      </c>
      <c r="I4" s="65" t="str">
        <f t="shared" si="0"/>
        <v>п. - резерв</v>
      </c>
      <c r="K4" s="73"/>
      <c r="L4" s="73"/>
    </row>
    <row r="5" spans="2:12" ht="24.75" customHeight="1" x14ac:dyDescent="0.25">
      <c r="B5" s="64">
        <v>4</v>
      </c>
      <c r="C5" s="65" t="str">
        <f>CONCATENATE("п.",'шпоргалка-3'!D7," - ",'шпоргалка-3'!B7)</f>
        <v>п. - резерв</v>
      </c>
      <c r="D5" s="64">
        <v>4</v>
      </c>
      <c r="E5" s="65" t="str">
        <f t="shared" si="1"/>
        <v>п. - резерв</v>
      </c>
      <c r="F5" s="64">
        <v>20</v>
      </c>
      <c r="G5" s="65" t="str">
        <f>CONCATENATE("п.",'шпоргалка-3'!D25," - ",'шпоргалка-3'!B25)</f>
        <v>п. - резерв</v>
      </c>
      <c r="H5" s="64">
        <v>20</v>
      </c>
      <c r="I5" s="65" t="str">
        <f t="shared" si="0"/>
        <v>п. - резерв</v>
      </c>
      <c r="K5" s="73"/>
      <c r="L5" s="73"/>
    </row>
    <row r="6" spans="2:12" ht="24.75" customHeight="1" x14ac:dyDescent="0.25">
      <c r="B6" s="64">
        <v>5</v>
      </c>
      <c r="C6" s="65" t="str">
        <f>CONCATENATE("п.",'шпоргалка-3'!D8," - ",'шпоргалка-3'!B8)</f>
        <v>п. - резерв</v>
      </c>
      <c r="D6" s="64">
        <v>5</v>
      </c>
      <c r="E6" s="65" t="str">
        <f t="shared" si="1"/>
        <v>п. - резерв</v>
      </c>
      <c r="F6" s="64">
        <v>21</v>
      </c>
      <c r="G6" s="65" t="str">
        <f>CONCATENATE("п.",'шпоргалка-3'!D26," - ",'шпоргалка-3'!B26)</f>
        <v>п. - резерв</v>
      </c>
      <c r="H6" s="64">
        <v>21</v>
      </c>
      <c r="I6" s="65" t="str">
        <f t="shared" si="0"/>
        <v>п. - резерв</v>
      </c>
      <c r="K6" s="73"/>
      <c r="L6" s="73"/>
    </row>
    <row r="7" spans="2:12" ht="24.75" customHeight="1" x14ac:dyDescent="0.25">
      <c r="B7" s="64">
        <v>6</v>
      </c>
      <c r="C7" s="65" t="str">
        <f>CONCATENATE("п.",'шпоргалка-3'!D9," - ",'шпоргалка-3'!B9)</f>
        <v>п. - резерв</v>
      </c>
      <c r="D7" s="64">
        <v>6</v>
      </c>
      <c r="E7" s="65" t="str">
        <f t="shared" si="1"/>
        <v>п. - резерв</v>
      </c>
      <c r="F7" s="64">
        <v>22</v>
      </c>
      <c r="G7" s="65" t="str">
        <f>CONCATENATE("п.",'шпоргалка-3'!D27," - ",'шпоргалка-3'!B27)</f>
        <v>п. - резерв</v>
      </c>
      <c r="H7" s="64">
        <v>22</v>
      </c>
      <c r="I7" s="65" t="str">
        <f t="shared" si="0"/>
        <v>п. - резерв</v>
      </c>
      <c r="K7" s="73"/>
      <c r="L7" s="73"/>
    </row>
    <row r="8" spans="2:12" ht="24.75" customHeight="1" x14ac:dyDescent="0.25">
      <c r="B8" s="64">
        <v>7</v>
      </c>
      <c r="C8" s="65" t="str">
        <f>CONCATENATE("п.",'шпоргалка-3'!D10," - ",'шпоргалка-3'!B10)</f>
        <v>п. - резерв</v>
      </c>
      <c r="D8" s="64">
        <v>7</v>
      </c>
      <c r="E8" s="65" t="str">
        <f t="shared" si="1"/>
        <v>п. - резерв</v>
      </c>
      <c r="F8" s="64">
        <v>23</v>
      </c>
      <c r="G8" s="65" t="str">
        <f>CONCATENATE("п.",'шпоргалка-3'!D28," - ",'шпоргалка-3'!B28)</f>
        <v>п. - резерв</v>
      </c>
      <c r="H8" s="64">
        <v>23</v>
      </c>
      <c r="I8" s="65" t="str">
        <f t="shared" si="0"/>
        <v>п. - резерв</v>
      </c>
      <c r="K8" s="73"/>
      <c r="L8" s="73"/>
    </row>
    <row r="9" spans="2:12" ht="24.75" customHeight="1" x14ac:dyDescent="0.25">
      <c r="B9" s="64">
        <v>8</v>
      </c>
      <c r="C9" s="65" t="str">
        <f>CONCATENATE("п.",'шпоргалка-3'!D11," - ",'шпоргалка-3'!B11)</f>
        <v>п. - резерв</v>
      </c>
      <c r="D9" s="64">
        <v>8</v>
      </c>
      <c r="E9" s="65" t="str">
        <f t="shared" si="1"/>
        <v>п. - резерв</v>
      </c>
      <c r="F9" s="64">
        <v>24</v>
      </c>
      <c r="G9" s="65" t="str">
        <f>CONCATENATE("п.",'шпоргалка-3'!D29," - ",'шпоргалка-3'!B29)</f>
        <v>п. - резерв</v>
      </c>
      <c r="H9" s="64">
        <v>24</v>
      </c>
      <c r="I9" s="65" t="str">
        <f t="shared" si="0"/>
        <v>п. - резерв</v>
      </c>
      <c r="K9" s="73"/>
      <c r="L9" s="73"/>
    </row>
    <row r="10" spans="2:12" ht="24.75" customHeight="1" x14ac:dyDescent="0.25">
      <c r="B10" s="64">
        <v>9</v>
      </c>
      <c r="C10" s="65" t="str">
        <f>CONCATENATE("п.",'шпоргалка-3'!D13," - ",'шпоргалка-3'!B13)</f>
        <v>п. - резерв</v>
      </c>
      <c r="D10" s="64">
        <v>9</v>
      </c>
      <c r="E10" s="65" t="str">
        <f>C10</f>
        <v>п. - резерв</v>
      </c>
      <c r="F10" s="64">
        <v>25</v>
      </c>
      <c r="G10" s="65" t="str">
        <f>CONCATENATE("п.",'шпоргалка-3'!D31," - ",'шпоргалка-3'!B31)</f>
        <v>п. - резерв</v>
      </c>
      <c r="H10" s="64">
        <v>25</v>
      </c>
      <c r="I10" s="65" t="str">
        <f t="shared" si="0"/>
        <v>п. - резерв</v>
      </c>
      <c r="K10" s="73"/>
      <c r="L10" s="73"/>
    </row>
    <row r="11" spans="2:12" ht="24.75" customHeight="1" x14ac:dyDescent="0.25">
      <c r="B11" s="64">
        <v>10</v>
      </c>
      <c r="C11" s="65" t="str">
        <f>CONCATENATE("п.",'шпоргалка-3'!D14," - ",'шпоргалка-3'!B14)</f>
        <v>п. - резерв</v>
      </c>
      <c r="D11" s="64">
        <v>10</v>
      </c>
      <c r="E11" s="65" t="str">
        <f>C11</f>
        <v>п. - резерв</v>
      </c>
      <c r="F11" s="64">
        <v>26</v>
      </c>
      <c r="G11" s="65" t="str">
        <f>CONCATENATE("п.",'шпоргалка-3'!D32," - ",'шпоргалка-3'!B32)</f>
        <v>п. - резерв</v>
      </c>
      <c r="H11" s="64">
        <v>26</v>
      </c>
      <c r="I11" s="65" t="str">
        <f t="shared" si="0"/>
        <v>п. - резерв</v>
      </c>
      <c r="K11" s="73"/>
      <c r="L11" s="73"/>
    </row>
    <row r="12" spans="2:12" ht="24.75" customHeight="1" x14ac:dyDescent="0.25">
      <c r="B12" s="64">
        <v>11</v>
      </c>
      <c r="C12" s="65" t="str">
        <f>CONCATENATE("п.",'шпоргалка-3'!D15," - ",'шпоргалка-3'!B15)</f>
        <v>п. - резерв</v>
      </c>
      <c r="D12" s="64">
        <v>11</v>
      </c>
      <c r="E12" s="65" t="str">
        <f t="shared" ref="E12:E17" si="2">C12</f>
        <v>п. - резерв</v>
      </c>
      <c r="F12" s="64">
        <v>27</v>
      </c>
      <c r="G12" s="65" t="str">
        <f>CONCATENATE("п.",'шпоргалка-3'!D33," - ",'шпоргалка-3'!B33)</f>
        <v>п. - резерв</v>
      </c>
      <c r="H12" s="64">
        <v>27</v>
      </c>
      <c r="I12" s="65" t="str">
        <f t="shared" si="0"/>
        <v>п. - резерв</v>
      </c>
      <c r="K12" s="73"/>
      <c r="L12" s="73"/>
    </row>
    <row r="13" spans="2:12" ht="24.75" customHeight="1" x14ac:dyDescent="0.25">
      <c r="B13" s="64">
        <v>12</v>
      </c>
      <c r="C13" s="65" t="str">
        <f>CONCATENATE("п.",'шпоргалка-3'!D16," - ",'шпоргалка-3'!B16)</f>
        <v>п. - резерв</v>
      </c>
      <c r="D13" s="64">
        <v>12</v>
      </c>
      <c r="E13" s="65" t="str">
        <f t="shared" si="2"/>
        <v>п. - резерв</v>
      </c>
      <c r="F13" s="64">
        <v>28</v>
      </c>
      <c r="G13" s="65" t="str">
        <f>CONCATENATE("п.",'шпоргалка-3'!D34," - ",'шпоргалка-3'!B34)</f>
        <v>п. - резерв</v>
      </c>
      <c r="H13" s="64">
        <v>28</v>
      </c>
      <c r="I13" s="65" t="str">
        <f t="shared" si="0"/>
        <v>п. - резерв</v>
      </c>
      <c r="K13" s="73"/>
      <c r="L13" s="73"/>
    </row>
    <row r="14" spans="2:12" ht="24.75" customHeight="1" x14ac:dyDescent="0.25">
      <c r="B14" s="64">
        <v>13</v>
      </c>
      <c r="C14" s="65" t="str">
        <f>CONCATENATE("п.",'шпоргалка-3'!D17," - ",'шпоргалка-3'!B17)</f>
        <v>п. - резерв</v>
      </c>
      <c r="D14" s="64">
        <v>13</v>
      </c>
      <c r="E14" s="65" t="str">
        <f t="shared" si="2"/>
        <v>п. - резерв</v>
      </c>
      <c r="F14" s="64">
        <v>29</v>
      </c>
      <c r="G14" s="65" t="str">
        <f>CONCATENATE("п.",'шпоргалка-3'!D35," - ",'шпоргалка-3'!B35)</f>
        <v>п. - резерв</v>
      </c>
      <c r="H14" s="64">
        <v>29</v>
      </c>
      <c r="I14" s="65" t="str">
        <f t="shared" si="0"/>
        <v>п. - резерв</v>
      </c>
      <c r="K14" s="73"/>
      <c r="L14" s="73"/>
    </row>
    <row r="15" spans="2:12" ht="24.75" customHeight="1" x14ac:dyDescent="0.25">
      <c r="B15" s="64">
        <v>14</v>
      </c>
      <c r="C15" s="65" t="str">
        <f>CONCATENATE("п.",'шпоргалка-3'!D18," - ",'шпоргалка-3'!B18)</f>
        <v>п. - резерв</v>
      </c>
      <c r="D15" s="64">
        <v>14</v>
      </c>
      <c r="E15" s="65" t="str">
        <f t="shared" si="2"/>
        <v>п. - резерв</v>
      </c>
      <c r="F15" s="64">
        <v>30</v>
      </c>
      <c r="G15" s="65" t="str">
        <f>CONCATENATE("п.",'шпоргалка-3'!D36," - ",'шпоргалка-3'!B36)</f>
        <v>п. - резерв</v>
      </c>
      <c r="H15" s="64">
        <v>30</v>
      </c>
      <c r="I15" s="65" t="str">
        <f t="shared" si="0"/>
        <v>п. - резерв</v>
      </c>
      <c r="K15" s="73"/>
      <c r="L15" s="73"/>
    </row>
    <row r="16" spans="2:12" ht="24.75" customHeight="1" x14ac:dyDescent="0.25">
      <c r="B16" s="64">
        <v>15</v>
      </c>
      <c r="C16" s="65" t="str">
        <f>CONCATENATE("п.",'шпоргалка-3'!D19," - ",'шпоргалка-3'!B19)</f>
        <v>п. - резерв</v>
      </c>
      <c r="D16" s="64">
        <v>15</v>
      </c>
      <c r="E16" s="65" t="str">
        <f t="shared" si="2"/>
        <v>п. - резерв</v>
      </c>
      <c r="F16" s="64">
        <v>31</v>
      </c>
      <c r="G16" s="65" t="str">
        <f>CONCATENATE("п.",'шпоргалка-3'!D37," - ",'шпоргалка-3'!B37)</f>
        <v>п. - резерв</v>
      </c>
      <c r="H16" s="64">
        <v>31</v>
      </c>
      <c r="I16" s="65" t="str">
        <f t="shared" si="0"/>
        <v>п. - резерв</v>
      </c>
      <c r="K16" s="73"/>
      <c r="L16" s="73"/>
    </row>
    <row r="17" spans="2:12" ht="24.75" customHeight="1" x14ac:dyDescent="0.25">
      <c r="B17" s="64">
        <v>16</v>
      </c>
      <c r="C17" s="65" t="str">
        <f>CONCATENATE("п.",'шпоргалка-3'!D20," - ",'шпоргалка-3'!B20)</f>
        <v>п. - резерв</v>
      </c>
      <c r="D17" s="64">
        <v>16</v>
      </c>
      <c r="E17" s="65" t="str">
        <f t="shared" si="2"/>
        <v>п. - резерв</v>
      </c>
      <c r="F17" s="64">
        <v>32</v>
      </c>
      <c r="G17" s="65" t="str">
        <f>CONCATENATE("п.",'шпоргалка-3'!D38," - ",'шпоргалка-3'!B38)</f>
        <v>п. - резерв</v>
      </c>
      <c r="H17" s="64">
        <v>32</v>
      </c>
      <c r="I17" s="65" t="str">
        <f t="shared" si="0"/>
        <v>п. - резерв</v>
      </c>
      <c r="K17" s="73"/>
      <c r="L17" s="73"/>
    </row>
    <row r="20" spans="2:12" ht="15.75" customHeight="1" x14ac:dyDescent="0.25"/>
    <row r="21" spans="2:12" ht="24.75" customHeight="1" x14ac:dyDescent="0.25">
      <c r="B21" s="64">
        <v>33</v>
      </c>
      <c r="C21" s="65" t="str">
        <f>CONCATENATE("п.",'шпоргалка-3'!D40," - ",'шпоргалка-3'!B40)</f>
        <v>п. - резерв</v>
      </c>
      <c r="D21" s="64">
        <v>33</v>
      </c>
      <c r="E21" s="65" t="str">
        <f t="shared" ref="E21:E36" si="3">C21</f>
        <v>п. - резерв</v>
      </c>
      <c r="F21" s="64">
        <v>49</v>
      </c>
      <c r="G21" s="65" t="str">
        <f>CONCATENATE("п.",'шпоргалка-3'!D58," - ",'шпоргалка-3'!B58)</f>
        <v>п. - резерв</v>
      </c>
      <c r="H21" s="64">
        <v>49</v>
      </c>
      <c r="I21" s="65" t="str">
        <f>G21</f>
        <v>п. - резерв</v>
      </c>
      <c r="K21" s="119" t="s">
        <v>251</v>
      </c>
      <c r="L21" s="120"/>
    </row>
    <row r="22" spans="2:12" ht="24.75" customHeight="1" x14ac:dyDescent="0.25">
      <c r="B22" s="64">
        <v>34</v>
      </c>
      <c r="C22" s="65" t="str">
        <f>CONCATENATE("п.",'шпоргалка-3'!D41," - ",'шпоргалка-3'!B41)</f>
        <v>п. - резерв</v>
      </c>
      <c r="D22" s="64">
        <v>34</v>
      </c>
      <c r="E22" s="65" t="str">
        <f t="shared" si="3"/>
        <v>п. - резерв</v>
      </c>
      <c r="F22" s="64">
        <v>50</v>
      </c>
      <c r="G22" s="65" t="str">
        <f>CONCATENATE("п.",'шпоргалка-3'!D59," - ",'шпоргалка-3'!B59)</f>
        <v>п. - резерв</v>
      </c>
      <c r="H22" s="64">
        <v>50</v>
      </c>
      <c r="I22" s="65" t="str">
        <f>G22</f>
        <v>п. - резерв</v>
      </c>
      <c r="K22" s="73"/>
      <c r="L22" s="73"/>
    </row>
    <row r="23" spans="2:12" ht="24.75" customHeight="1" x14ac:dyDescent="0.25">
      <c r="B23" s="64">
        <v>35</v>
      </c>
      <c r="C23" s="65" t="str">
        <f>CONCATENATE("п.",'шпоргалка-3'!D42," - ",'шпоргалка-3'!B42)</f>
        <v>п. - резерв</v>
      </c>
      <c r="D23" s="64">
        <v>35</v>
      </c>
      <c r="E23" s="65" t="str">
        <f t="shared" si="3"/>
        <v>п. - резерв</v>
      </c>
      <c r="F23" s="64">
        <v>51</v>
      </c>
      <c r="G23" s="65" t="str">
        <f>CONCATENATE("п.",'шпоргалка-3'!D60," - ",'шпоргалка-3'!B60)</f>
        <v>п. - резерв</v>
      </c>
      <c r="H23" s="64">
        <v>51</v>
      </c>
      <c r="I23" s="65" t="str">
        <f t="shared" ref="I23:I36" si="4">G23</f>
        <v>п. - резерв</v>
      </c>
      <c r="K23" s="73"/>
      <c r="L23" s="73"/>
    </row>
    <row r="24" spans="2:12" ht="24.75" customHeight="1" x14ac:dyDescent="0.25">
      <c r="B24" s="64">
        <v>36</v>
      </c>
      <c r="C24" s="65" t="str">
        <f>CONCATENATE("п.",'шпоргалка-3'!D43," - ",'шпоргалка-3'!B43)</f>
        <v>п. - резерв</v>
      </c>
      <c r="D24" s="64">
        <v>36</v>
      </c>
      <c r="E24" s="65" t="str">
        <f t="shared" si="3"/>
        <v>п. - резерв</v>
      </c>
      <c r="F24" s="64">
        <v>52</v>
      </c>
      <c r="G24" s="65" t="str">
        <f>CONCATENATE("п.",'шпоргалка-3'!D61," - ",'шпоргалка-3'!B61)</f>
        <v>п. - резерв</v>
      </c>
      <c r="H24" s="64">
        <v>52</v>
      </c>
      <c r="I24" s="65" t="str">
        <f t="shared" si="4"/>
        <v>п. - резерв</v>
      </c>
      <c r="K24" s="73"/>
      <c r="L24" s="73"/>
    </row>
    <row r="25" spans="2:12" ht="24.75" customHeight="1" x14ac:dyDescent="0.25">
      <c r="B25" s="64">
        <v>37</v>
      </c>
      <c r="C25" s="65" t="str">
        <f>CONCATENATE("п.",'шпоргалка-3'!D44," - ",'шпоргалка-3'!B44)</f>
        <v>п. - резерв</v>
      </c>
      <c r="D25" s="64">
        <v>37</v>
      </c>
      <c r="E25" s="65" t="str">
        <f t="shared" si="3"/>
        <v>п. - резерв</v>
      </c>
      <c r="F25" s="64">
        <v>53</v>
      </c>
      <c r="G25" s="65" t="str">
        <f>CONCATENATE("п.",'шпоргалка-3'!D62," - ",'шпоргалка-3'!B62)</f>
        <v>п. - резерв</v>
      </c>
      <c r="H25" s="64">
        <v>53</v>
      </c>
      <c r="I25" s="65" t="str">
        <f t="shared" si="4"/>
        <v>п. - резерв</v>
      </c>
      <c r="K25" s="73"/>
      <c r="L25" s="73"/>
    </row>
    <row r="26" spans="2:12" ht="24.75" customHeight="1" x14ac:dyDescent="0.25">
      <c r="B26" s="64">
        <v>38</v>
      </c>
      <c r="C26" s="65" t="str">
        <f>CONCATENATE("п.",'шпоргалка-3'!D45," - ",'шпоргалка-3'!B45)</f>
        <v>п. - резерв</v>
      </c>
      <c r="D26" s="64">
        <v>38</v>
      </c>
      <c r="E26" s="65" t="str">
        <f t="shared" si="3"/>
        <v>п. - резерв</v>
      </c>
      <c r="F26" s="64">
        <v>54</v>
      </c>
      <c r="G26" s="65" t="str">
        <f>CONCATENATE("п.",'шпоргалка-3'!D63," - ",'шпоргалка-3'!B63)</f>
        <v>п. - резерв</v>
      </c>
      <c r="H26" s="64">
        <v>54</v>
      </c>
      <c r="I26" s="65" t="str">
        <f t="shared" si="4"/>
        <v>п. - резерв</v>
      </c>
      <c r="K26" s="73"/>
      <c r="L26" s="73"/>
    </row>
    <row r="27" spans="2:12" ht="24.75" customHeight="1" x14ac:dyDescent="0.25">
      <c r="B27" s="64">
        <v>39</v>
      </c>
      <c r="C27" s="65" t="str">
        <f>CONCATENATE("п.",'шпоргалка-3'!D46," - ",'шпоргалка-3'!B46)</f>
        <v>п. - резерв</v>
      </c>
      <c r="D27" s="64">
        <v>39</v>
      </c>
      <c r="E27" s="65" t="str">
        <f t="shared" si="3"/>
        <v>п. - резерв</v>
      </c>
      <c r="F27" s="64">
        <v>55</v>
      </c>
      <c r="G27" s="65" t="str">
        <f>CONCATENATE("п.",'шпоргалка-3'!D64," - ",'шпоргалка-3'!B64)</f>
        <v>п. - резерв</v>
      </c>
      <c r="H27" s="64">
        <v>55</v>
      </c>
      <c r="I27" s="65" t="str">
        <f t="shared" si="4"/>
        <v>п. - резерв</v>
      </c>
      <c r="K27" s="73"/>
      <c r="L27" s="73"/>
    </row>
    <row r="28" spans="2:12" ht="24.75" customHeight="1" x14ac:dyDescent="0.25">
      <c r="B28" s="64">
        <v>40</v>
      </c>
      <c r="C28" s="65" t="str">
        <f>CONCATENATE("п.",'шпоргалка-3'!D47," - ",'шпоргалка-3'!B47)</f>
        <v>п. - резерв</v>
      </c>
      <c r="D28" s="64">
        <v>40</v>
      </c>
      <c r="E28" s="65" t="str">
        <f t="shared" si="3"/>
        <v>п. - резерв</v>
      </c>
      <c r="F28" s="64">
        <v>56</v>
      </c>
      <c r="G28" s="65" t="str">
        <f>CONCATENATE("п.",'шпоргалка-3'!D65," - ",'шпоргалка-3'!B65)</f>
        <v>п. - резерв</v>
      </c>
      <c r="H28" s="64">
        <v>56</v>
      </c>
      <c r="I28" s="65" t="str">
        <f t="shared" si="4"/>
        <v>п. - резерв</v>
      </c>
      <c r="K28" s="73"/>
      <c r="L28" s="73"/>
    </row>
    <row r="29" spans="2:12" ht="24.75" customHeight="1" x14ac:dyDescent="0.25">
      <c r="B29" s="64">
        <v>41</v>
      </c>
      <c r="C29" s="65" t="str">
        <f>CONCATENATE("п.",'шпоргалка-3'!D49," - ",'шпоргалка-3'!B49)</f>
        <v>п. - резерв</v>
      </c>
      <c r="D29" s="64">
        <v>41</v>
      </c>
      <c r="E29" s="65" t="str">
        <f t="shared" si="3"/>
        <v>п. - резерв</v>
      </c>
      <c r="F29" s="64">
        <v>57</v>
      </c>
      <c r="G29" s="65" t="str">
        <f>CONCATENATE("п.",'шпоргалка-3'!D67," - ",'шпоргалка-3'!B67)</f>
        <v>п. - резерв</v>
      </c>
      <c r="H29" s="64">
        <v>57</v>
      </c>
      <c r="I29" s="65" t="str">
        <f t="shared" si="4"/>
        <v>п. - резерв</v>
      </c>
      <c r="K29" s="73"/>
      <c r="L29" s="73"/>
    </row>
    <row r="30" spans="2:12" ht="24.75" customHeight="1" x14ac:dyDescent="0.25">
      <c r="B30" s="64">
        <v>42</v>
      </c>
      <c r="C30" s="65" t="str">
        <f>CONCATENATE("п.",'шпоргалка-3'!D50," - ",'шпоргалка-3'!B50)</f>
        <v>п. - резерв</v>
      </c>
      <c r="D30" s="64">
        <v>42</v>
      </c>
      <c r="E30" s="65" t="str">
        <f t="shared" si="3"/>
        <v>п. - резерв</v>
      </c>
      <c r="F30" s="64">
        <v>58</v>
      </c>
      <c r="G30" s="65" t="str">
        <f>CONCATENATE("п.",'шпоргалка-3'!D68," - ",'шпоргалка-3'!B68)</f>
        <v>п. - резерв</v>
      </c>
      <c r="H30" s="64">
        <v>58</v>
      </c>
      <c r="I30" s="65" t="str">
        <f t="shared" si="4"/>
        <v>п. - резерв</v>
      </c>
      <c r="K30" s="73"/>
      <c r="L30" s="73"/>
    </row>
    <row r="31" spans="2:12" ht="24.75" customHeight="1" x14ac:dyDescent="0.25">
      <c r="B31" s="64">
        <v>43</v>
      </c>
      <c r="C31" s="65" t="str">
        <f>CONCATENATE("п.",'шпоргалка-3'!D51," - ",'шпоргалка-3'!B51)</f>
        <v>п. - резерв</v>
      </c>
      <c r="D31" s="64">
        <v>43</v>
      </c>
      <c r="E31" s="65" t="str">
        <f t="shared" si="3"/>
        <v>п. - резерв</v>
      </c>
      <c r="F31" s="64">
        <v>59</v>
      </c>
      <c r="G31" s="65" t="str">
        <f>CONCATENATE("п.",'шпоргалка-3'!D69," - ",'шпоргалка-3'!B69)</f>
        <v>п. - резерв</v>
      </c>
      <c r="H31" s="64">
        <v>59</v>
      </c>
      <c r="I31" s="65" t="str">
        <f t="shared" si="4"/>
        <v>п. - резерв</v>
      </c>
      <c r="K31" s="73"/>
      <c r="L31" s="73"/>
    </row>
    <row r="32" spans="2:12" ht="24.75" customHeight="1" x14ac:dyDescent="0.25">
      <c r="B32" s="64">
        <v>44</v>
      </c>
      <c r="C32" s="65" t="str">
        <f>CONCATENATE("п.",'шпоргалка-3'!D52," - ",'шпоргалка-3'!B52)</f>
        <v>п. - резерв</v>
      </c>
      <c r="D32" s="64">
        <v>44</v>
      </c>
      <c r="E32" s="65" t="str">
        <f t="shared" si="3"/>
        <v>п. - резерв</v>
      </c>
      <c r="F32" s="64">
        <v>60</v>
      </c>
      <c r="G32" s="65" t="str">
        <f>CONCATENATE("п.",'шпоргалка-3'!D70," - ",'шпоргалка-3'!B70)</f>
        <v>п. - резерв</v>
      </c>
      <c r="H32" s="64">
        <v>60</v>
      </c>
      <c r="I32" s="65" t="str">
        <f t="shared" si="4"/>
        <v>п. - резерв</v>
      </c>
      <c r="K32" s="73"/>
      <c r="L32" s="73"/>
    </row>
    <row r="33" spans="2:12" ht="24.75" customHeight="1" x14ac:dyDescent="0.25">
      <c r="B33" s="64">
        <v>45</v>
      </c>
      <c r="C33" s="65" t="str">
        <f>CONCATENATE("п.",'шпоргалка-3'!D53," - ",'шпоргалка-3'!B53)</f>
        <v>п. - резерв</v>
      </c>
      <c r="D33" s="64">
        <v>45</v>
      </c>
      <c r="E33" s="65" t="str">
        <f t="shared" si="3"/>
        <v>п. - резерв</v>
      </c>
      <c r="F33" s="64">
        <v>61</v>
      </c>
      <c r="G33" s="65" t="str">
        <f>CONCATENATE("п.",'шпоргалка-3'!D71," - ",'шпоргалка-3'!B71)</f>
        <v>п. - резерв</v>
      </c>
      <c r="H33" s="64">
        <v>61</v>
      </c>
      <c r="I33" s="65" t="str">
        <f t="shared" si="4"/>
        <v>п. - резерв</v>
      </c>
      <c r="K33" s="73"/>
      <c r="L33" s="73"/>
    </row>
    <row r="34" spans="2:12" ht="24.75" customHeight="1" x14ac:dyDescent="0.25">
      <c r="B34" s="64">
        <v>46</v>
      </c>
      <c r="C34" s="65" t="str">
        <f>CONCATENATE("п.",'шпоргалка-3'!D54," - ",'шпоргалка-3'!B54)</f>
        <v>п. - резерв</v>
      </c>
      <c r="D34" s="64">
        <v>46</v>
      </c>
      <c r="E34" s="65" t="str">
        <f t="shared" si="3"/>
        <v>п. - резерв</v>
      </c>
      <c r="F34" s="64">
        <v>62</v>
      </c>
      <c r="G34" s="65" t="str">
        <f>CONCATENATE("п.",'шпоргалка-3'!D72," - ",'шпоргалка-3'!B72)</f>
        <v>п. - резерв</v>
      </c>
      <c r="H34" s="64">
        <v>62</v>
      </c>
      <c r="I34" s="65" t="str">
        <f t="shared" si="4"/>
        <v>п. - резерв</v>
      </c>
      <c r="K34" s="73"/>
      <c r="L34" s="73"/>
    </row>
    <row r="35" spans="2:12" ht="24.75" customHeight="1" x14ac:dyDescent="0.25">
      <c r="B35" s="64">
        <v>47</v>
      </c>
      <c r="C35" s="65" t="str">
        <f>CONCATENATE("п.",'шпоргалка-3'!D55," - ",'шпоргалка-3'!B55)</f>
        <v>п. - резерв</v>
      </c>
      <c r="D35" s="64">
        <v>47</v>
      </c>
      <c r="E35" s="65" t="str">
        <f t="shared" si="3"/>
        <v>п. - резерв</v>
      </c>
      <c r="F35" s="64">
        <v>63</v>
      </c>
      <c r="G35" s="65" t="str">
        <f>CONCATENATE("п.",'шпоргалка-3'!D73," - ",'шпоргалка-3'!B73)</f>
        <v>п. - резерв</v>
      </c>
      <c r="H35" s="64">
        <v>63</v>
      </c>
      <c r="I35" s="65" t="str">
        <f t="shared" si="4"/>
        <v>п. - резерв</v>
      </c>
      <c r="K35" s="73"/>
      <c r="L35" s="73"/>
    </row>
    <row r="36" spans="2:12" ht="24.75" customHeight="1" x14ac:dyDescent="0.25">
      <c r="B36" s="64">
        <v>48</v>
      </c>
      <c r="C36" s="65" t="str">
        <f>CONCATENATE("п.",'шпоргалка-3'!D56," - ",'шпоргалка-3'!B56)</f>
        <v>п. - резерв</v>
      </c>
      <c r="D36" s="64">
        <v>48</v>
      </c>
      <c r="E36" s="65" t="str">
        <f t="shared" si="3"/>
        <v>п. - резерв</v>
      </c>
      <c r="F36" s="64">
        <v>64</v>
      </c>
      <c r="G36" s="65" t="str">
        <f>CONCATENATE("п.",'шпоргалка-3'!D74," - ",'шпоргалка-3'!B74)</f>
        <v>п. - резерв</v>
      </c>
      <c r="H36" s="64">
        <v>64</v>
      </c>
      <c r="I36" s="65" t="str">
        <f t="shared" si="4"/>
        <v>п. - резерв</v>
      </c>
      <c r="K36" s="73"/>
      <c r="L36" s="73"/>
    </row>
  </sheetData>
  <mergeCells count="32">
    <mergeCell ref="K35:L35"/>
    <mergeCell ref="K36:L36"/>
    <mergeCell ref="K30:L30"/>
    <mergeCell ref="K31:L31"/>
    <mergeCell ref="K32:L32"/>
    <mergeCell ref="K33:L33"/>
    <mergeCell ref="K34:L34"/>
    <mergeCell ref="K25:L25"/>
    <mergeCell ref="K26:L26"/>
    <mergeCell ref="K27:L27"/>
    <mergeCell ref="K28:L28"/>
    <mergeCell ref="K29:L29"/>
    <mergeCell ref="K17:L17"/>
    <mergeCell ref="K21:L21"/>
    <mergeCell ref="K22:L22"/>
    <mergeCell ref="K23:L23"/>
    <mergeCell ref="K24:L24"/>
    <mergeCell ref="K12:L12"/>
    <mergeCell ref="K13:L13"/>
    <mergeCell ref="K14:L14"/>
    <mergeCell ref="K15:L15"/>
    <mergeCell ref="K16:L16"/>
    <mergeCell ref="K7:L7"/>
    <mergeCell ref="K8:L8"/>
    <mergeCell ref="K9:L9"/>
    <mergeCell ref="K10:L10"/>
    <mergeCell ref="K11:L11"/>
    <mergeCell ref="K2:L2"/>
    <mergeCell ref="K3:L3"/>
    <mergeCell ref="K4:L4"/>
    <mergeCell ref="K5:L5"/>
    <mergeCell ref="K6:L6"/>
  </mergeCells>
  <pageMargins left="0.7" right="0.7" top="0.75" bottom="0.75" header="0.3" footer="0.3"/>
  <pageSetup paperSize="9"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10</vt:i4>
      </vt:variant>
      <vt:variant>
        <vt:lpstr>Именованные диапазоны</vt:lpstr>
      </vt:variant>
      <vt:variant>
        <vt:i4>1</vt:i4>
      </vt:variant>
    </vt:vector>
  </HeadingPairs>
  <TitlesOfParts>
    <vt:vector size="11" baseType="lpstr">
      <vt:lpstr>SV777-1 (SV004)</vt:lpstr>
      <vt:lpstr>SV777-2 (SV004)</vt:lpstr>
      <vt:lpstr>SV777-3 (SV004)</vt:lpstr>
      <vt:lpstr>шпоргалка-1</vt:lpstr>
      <vt:lpstr>шпоргалка-2</vt:lpstr>
      <vt:lpstr>шпоргалка-3</vt:lpstr>
      <vt:lpstr>Шпоргалка общая</vt:lpstr>
      <vt:lpstr>Disp-1</vt:lpstr>
      <vt:lpstr>Disp-2</vt:lpstr>
      <vt:lpstr>Disp-3</vt:lpstr>
      <vt:lpstr>'Disp-1'!Область_печати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2023-05-23T06:47:53Z</cp:lastPrinted>
  <dcterms:created xsi:type="dcterms:W3CDTF">2011-09-21T09:47:06Z</dcterms:created>
  <dcterms:modified xsi:type="dcterms:W3CDTF">2026-07-04T07:32:55Z</dcterms:modified>
</cp:coreProperties>
</file>