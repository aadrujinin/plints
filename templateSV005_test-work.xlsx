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\soft\расшивки\access-control-service_sv005_working\"/>
    </mc:Choice>
  </mc:AlternateContent>
  <xr:revisionPtr revIDLastSave="0" documentId="13_ncr:1_{F3A7DC6E-CD5A-4E12-8896-36F01F70E635}" xr6:coauthVersionLast="47" xr6:coauthVersionMax="47" xr10:uidLastSave="{00000000-0000-0000-0000-000000000000}"/>
  <bookViews>
    <workbookView xWindow="-28920" yWindow="-120" windowWidth="29040" windowHeight="15720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44" i="1" l="1"/>
  <c r="B545" i="1" s="1"/>
  <c r="B526" i="1"/>
  <c r="B509" i="1"/>
  <c r="B510" i="1" s="1"/>
  <c r="B491" i="1"/>
  <c r="B474" i="1"/>
  <c r="B475" i="1" s="1"/>
  <c r="B457" i="1"/>
  <c r="B440" i="1"/>
  <c r="B441" i="1" s="1"/>
  <c r="B423" i="1"/>
  <c r="B406" i="1"/>
  <c r="B407" i="1" s="1"/>
  <c r="B389" i="1"/>
  <c r="B372" i="1"/>
  <c r="B373" i="1" s="1"/>
  <c r="B355" i="1"/>
  <c r="B338" i="1"/>
  <c r="B339" i="1" s="1"/>
  <c r="B321" i="1"/>
  <c r="B304" i="1"/>
  <c r="B305" i="1" s="1"/>
  <c r="B287" i="1"/>
  <c r="B270" i="1"/>
  <c r="B271" i="1" s="1"/>
  <c r="B253" i="1"/>
  <c r="B236" i="1"/>
  <c r="B237" i="1" s="1"/>
  <c r="B219" i="1"/>
  <c r="B202" i="1"/>
  <c r="B203" i="1" s="1"/>
  <c r="B185" i="1"/>
  <c r="B168" i="1"/>
  <c r="B169" i="1" s="1"/>
  <c r="B151" i="1"/>
  <c r="B134" i="1"/>
  <c r="B135" i="1" s="1"/>
  <c r="B117" i="1"/>
  <c r="B100" i="1"/>
  <c r="B101" i="1" s="1"/>
  <c r="B83" i="1"/>
  <c r="B66" i="1"/>
  <c r="B67" i="1" s="1"/>
  <c r="B49" i="1"/>
  <c r="B32" i="1"/>
  <c r="B33" i="1" s="1"/>
  <c r="B15" i="1"/>
</calcChain>
</file>

<file path=xl/sharedStrings.xml><?xml version="1.0" encoding="utf-8"?>
<sst xmlns="http://schemas.openxmlformats.org/spreadsheetml/2006/main" count="496" uniqueCount="14">
  <si>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</si>
  <si>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</si>
  <si>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</si>
  <si>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</si>
  <si>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</si>
  <si>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</si>
  <si>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</si>
  <si>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</si>
  <si>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</si>
  <si>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</si>
  <si>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оборудование\                                  кабель</t>
  </si>
  <si>
    <t>*(помещение№)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</si>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</sst>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0" fillId="0" borderId="1" xfId="0" applyBorder="1"/>
    <xf numFmtId="49" fontId="2" fillId="0" borderId="0" xfId="0" applyNumberFormat="1" applyFont="1" applyAlignment="1">
      <alignment horizontal="left"/>
    </xf>
    <xf numFmtId="0" fontId="0" fillId="0" borderId="2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6" xfId="0" applyBorder="1" applyAlignment="1">
      <alignment horizontal="right" vertical="center" textRotation="90"/>
    </xf>
    <xf numFmtId="0" fontId="0" fillId="2" borderId="27" xfId="0" applyFill="1" applyBorder="1" applyAlignment="1">
      <alignment horizontal="right" vertical="center"/>
    </xf>
    <xf numFmtId="0" fontId="0" fillId="0" borderId="27" xfId="0" applyBorder="1" applyAlignment="1">
      <alignment horizontal="left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2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2" borderId="23" xfId="0" applyNumberFormat="1" applyFill="1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16" fontId="0" fillId="2" borderId="24" xfId="0" applyNumberFormat="1" applyFill="1" applyBorder="1" applyAlignment="1">
      <alignment horizontal="center" vertical="center"/>
    </xf>
    <xf numFmtId="0" fontId="0" fillId="3" borderId="0" xfId="0" applyFill="1" applyBorder="1"/>
    <xf numFmtId="0" fontId="0" fillId="0" borderId="0" xfId="0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545"/>
  <sheetViews>
    <sheetView tabSelected="1" topLeftCell="A500" workbookViewId="0">
      <selection activeCell="X519" sqref="X519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ht="18.75" x14ac:dyDescent="0.3">
      <c r="E1" s="1" t="s">
        <v>0</v>
      </c>
      <c r="G1" s="2"/>
      <c r="H1" s="2"/>
      <c r="I1" s="2"/>
      <c r="J1" s="2"/>
      <c r="K1" s="2"/>
      <c r="L1" s="2"/>
      <c r="M1" s="37" t="s">
        <v>1</v>
      </c>
      <c r="N1" s="3"/>
    </row>
    <row r="2" spans="1:22" ht="18.75" x14ac:dyDescent="0.3">
      <c r="E2" s="1" t="s">
        <v>2</v>
      </c>
      <c r="J2" s="4"/>
      <c r="K2" s="4"/>
      <c r="L2" s="4"/>
      <c r="M2" s="37" t="s">
        <v>3</v>
      </c>
      <c r="N2" s="5"/>
    </row>
    <row r="3" spans="1:22" ht="18.75" x14ac:dyDescent="0.3">
      <c r="E3" t="s">
        <v>4</v>
      </c>
      <c r="H3" s="2"/>
      <c r="I3" s="2"/>
      <c r="J3" s="2"/>
      <c r="K3" s="2"/>
      <c r="L3" s="2"/>
      <c r="M3" s="38" t="s">
        <v>3</v>
      </c>
      <c r="N3" s="6"/>
    </row>
    <row r="4" spans="1:22" ht="18.75" x14ac:dyDescent="0.3">
      <c r="E4" t="s">
        <v>5</v>
      </c>
      <c r="L4" s="4"/>
      <c r="M4" s="38" t="s">
        <v>6</v>
      </c>
      <c r="N4" s="6"/>
      <c r="O4" s="6"/>
    </row>
    <row r="5" spans="1:22" ht="18.75" x14ac:dyDescent="0.3">
      <c r="E5" s="7" t="s">
        <v>7</v>
      </c>
      <c r="I5" s="2"/>
      <c r="J5" s="2"/>
      <c r="K5" s="2"/>
      <c r="L5" s="2"/>
      <c r="M5" s="38" t="s">
        <v>3</v>
      </c>
      <c r="N5" s="6"/>
    </row>
    <row r="6" spans="1:22" ht="15.75" thickBot="1" x14ac:dyDescent="0.3">
      <c r="E6" s="59" t="s">
        <v>8</v>
      </c>
      <c r="F6" s="59"/>
      <c r="G6" s="59"/>
      <c r="H6" s="59"/>
      <c r="I6" s="8"/>
      <c r="J6" s="8"/>
      <c r="K6" s="8"/>
      <c r="L6" s="8"/>
      <c r="M6" s="28" t="s">
        <v>3</v>
      </c>
      <c r="N6" s="36"/>
      <c r="O6" s="36"/>
    </row>
    <row r="7" spans="1:22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</row>
    <row r="9" spans="1:22" x14ac:dyDescent="0.25">
      <c r="A9" s="15"/>
      <c r="B9" s="61" t="s">
        <v>9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55"/>
      <c r="V9" s="16"/>
    </row>
    <row r="10" spans="1:22" ht="15.75" thickBot="1" x14ac:dyDescent="0.3">
      <c r="A10" s="17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16"/>
    </row>
    <row r="11" spans="1:22" x14ac:dyDescent="0.25">
      <c r="A11" s="17"/>
      <c r="B11" s="52">
        <v>0</v>
      </c>
      <c r="C11" s="53"/>
      <c r="D11" s="53">
        <v>1</v>
      </c>
      <c r="E11" s="53">
        <v>1</v>
      </c>
      <c r="F11" s="53">
        <v>2</v>
      </c>
      <c r="G11" s="53">
        <v>2</v>
      </c>
      <c r="H11" s="53">
        <v>3</v>
      </c>
      <c r="I11" s="54">
        <v>3</v>
      </c>
      <c r="J11" s="52">
        <v>4</v>
      </c>
      <c r="K11" s="53">
        <v>4</v>
      </c>
      <c r="L11" s="53">
        <v>5</v>
      </c>
      <c r="M11" s="53"/>
      <c r="N11" s="53">
        <v>6</v>
      </c>
      <c r="O11" s="53">
        <v>1</v>
      </c>
      <c r="P11" s="53">
        <v>7</v>
      </c>
      <c r="Q11" s="54">
        <v>2</v>
      </c>
      <c r="R11" s="55">
        <v>8</v>
      </c>
      <c r="S11" s="56">
        <v>3</v>
      </c>
      <c r="T11" s="56">
        <v>9</v>
      </c>
      <c r="U11" s="56">
        <v>4</v>
      </c>
      <c r="V11" s="18"/>
    </row>
    <row r="12" spans="1:22" ht="15.75" thickBot="1" x14ac:dyDescent="0.3">
      <c r="A12" s="17"/>
      <c r="B12" s="19"/>
      <c r="C12" s="20"/>
      <c r="D12" s="20"/>
      <c r="E12" s="20"/>
      <c r="F12" s="20"/>
      <c r="G12" s="20"/>
      <c r="H12" s="20"/>
      <c r="I12" s="21"/>
      <c r="J12" s="19"/>
      <c r="K12" s="20"/>
      <c r="L12" s="20"/>
      <c r="M12" s="20"/>
      <c r="N12" s="20"/>
      <c r="O12" s="20"/>
      <c r="P12" s="20"/>
      <c r="Q12" s="21"/>
      <c r="R12" s="22"/>
      <c r="S12" s="13"/>
      <c r="T12" s="13"/>
      <c r="U12" s="13"/>
      <c r="V12" s="18"/>
    </row>
    <row r="13" spans="1:22" ht="15.75" thickBot="1" x14ac:dyDescent="0.3">
      <c r="A13" s="23"/>
      <c r="B13" s="24"/>
      <c r="C13" s="24"/>
      <c r="D13" s="24"/>
      <c r="E13" s="24"/>
      <c r="F13" s="25"/>
      <c r="G13" s="24"/>
      <c r="H13" s="24"/>
      <c r="I13" s="24"/>
      <c r="J13" s="24"/>
      <c r="K13" s="25"/>
      <c r="L13" s="24"/>
      <c r="M13" s="25"/>
      <c r="N13" s="24"/>
      <c r="O13" s="25"/>
      <c r="P13" s="24"/>
      <c r="Q13" s="25"/>
      <c r="R13" s="26"/>
      <c r="S13" s="26"/>
      <c r="T13" s="26"/>
      <c r="U13" s="26"/>
      <c r="V13" s="27"/>
    </row>
    <row r="14" spans="1:22" ht="15.75" thickBot="1" x14ac:dyDescent="0.3">
      <c r="A14" s="28"/>
      <c r="B14" s="28"/>
      <c r="C14" s="28"/>
      <c r="D14" s="28"/>
      <c r="E14" s="28"/>
      <c r="F14" s="29"/>
      <c r="G14" s="28"/>
      <c r="H14" s="28"/>
      <c r="I14" s="28"/>
      <c r="J14" s="28"/>
      <c r="K14" s="29"/>
      <c r="L14" s="28"/>
      <c r="M14" s="29"/>
      <c r="N14" s="28"/>
      <c r="O14" s="29"/>
      <c r="P14" s="28"/>
      <c r="Q14" s="29"/>
      <c r="R14" s="28"/>
      <c r="S14" s="28"/>
      <c r="T14" s="28"/>
      <c r="U14" s="28"/>
      <c r="V14" s="30"/>
    </row>
    <row r="15" spans="1:22" ht="69.95" customHeight="1" thickBot="1" x14ac:dyDescent="0.3">
      <c r="A15" s="28"/>
      <c r="B15" s="39" t="str">
        <f>IF(Q15&gt;1,"Считыватель вх",IF(F15&lt;1,"","Считыватель вх"))</f>
        <v>Считыватель вх</v>
      </c>
      <c r="C15" s="40"/>
      <c r="D15" s="41"/>
      <c r="E15" s="41"/>
      <c r="F15" s="42">
        <v>1</v>
      </c>
      <c r="G15" s="42"/>
      <c r="H15" s="43"/>
      <c r="I15" s="44"/>
      <c r="J15" s="31"/>
      <c r="K15" s="32"/>
      <c r="L15" s="33"/>
      <c r="M15" s="33"/>
      <c r="N15" s="34"/>
      <c r="O15" s="32"/>
      <c r="P15" s="34"/>
      <c r="Q15" s="35"/>
      <c r="R15" s="45" t="s">
        <v>10</v>
      </c>
      <c r="S15" s="46"/>
      <c r="T15" s="46"/>
      <c r="U15" s="46"/>
      <c r="V15" s="46"/>
    </row>
    <row r="16" spans="1:22" ht="15.75" thickBot="1" x14ac:dyDescent="0.3">
      <c r="A16" s="28"/>
      <c r="B16" s="63"/>
      <c r="C16" s="42"/>
      <c r="D16" s="42"/>
      <c r="E16" s="42"/>
      <c r="F16" s="42"/>
      <c r="G16" s="42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50" t="s">
        <v>11</v>
      </c>
      <c r="S16" s="50"/>
      <c r="T16" s="50"/>
      <c r="U16" s="50"/>
      <c r="V16" s="50"/>
    </row>
    <row r="17" spans="1:22" s="68" customFormat="1" x14ac:dyDescent="0.25"/>
    <row r="18" spans="1:22" ht="18.75" x14ac:dyDescent="0.3">
      <c r="E18" s="1" t="s">
        <v>0</v>
      </c>
      <c r="G18" s="2"/>
      <c r="H18" s="2"/>
      <c r="I18" s="2"/>
      <c r="J18" s="2"/>
      <c r="K18" s="2"/>
      <c r="L18" s="2"/>
      <c r="M18" s="37" t="s">
        <v>1</v>
      </c>
      <c r="N18" s="3"/>
    </row>
    <row r="19" spans="1:22" ht="18.75" x14ac:dyDescent="0.3">
      <c r="E19" s="1" t="s">
        <v>2</v>
      </c>
      <c r="J19" s="4"/>
      <c r="K19" s="4"/>
      <c r="L19" s="4"/>
      <c r="M19" s="37" t="s">
        <v>3</v>
      </c>
      <c r="N19" s="5"/>
    </row>
    <row r="20" spans="1:22" ht="18.75" x14ac:dyDescent="0.3">
      <c r="E20" t="s">
        <v>4</v>
      </c>
      <c r="H20" s="2"/>
      <c r="I20" s="2"/>
      <c r="J20" s="2"/>
      <c r="K20" s="2"/>
      <c r="L20" s="2"/>
      <c r="M20" s="38" t="s">
        <v>3</v>
      </c>
      <c r="N20" s="6"/>
    </row>
    <row r="21" spans="1:22" ht="18.75" x14ac:dyDescent="0.3">
      <c r="E21" t="s">
        <v>5</v>
      </c>
      <c r="L21" s="4"/>
      <c r="M21" s="38" t="s">
        <v>6</v>
      </c>
      <c r="N21" s="58"/>
      <c r="O21" s="58"/>
    </row>
    <row r="22" spans="1:22" ht="18.75" x14ac:dyDescent="0.3">
      <c r="E22" s="7" t="s">
        <v>7</v>
      </c>
      <c r="I22" s="2"/>
      <c r="J22" s="2"/>
      <c r="K22" s="2"/>
      <c r="L22" s="2"/>
      <c r="M22" s="38" t="s">
        <v>3</v>
      </c>
      <c r="N22" s="6"/>
    </row>
    <row r="23" spans="1:22" ht="15.75" thickBot="1" x14ac:dyDescent="0.3">
      <c r="E23" s="59" t="s">
        <v>8</v>
      </c>
      <c r="F23" s="59"/>
      <c r="G23" s="59"/>
      <c r="H23" s="59"/>
      <c r="I23" s="8"/>
      <c r="J23" s="8"/>
      <c r="K23" s="8"/>
      <c r="L23" s="8"/>
      <c r="M23" s="28" t="s">
        <v>3</v>
      </c>
      <c r="N23" s="60"/>
      <c r="O23" s="60"/>
    </row>
    <row r="24" spans="1:22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/>
    </row>
    <row r="26" spans="1:22" x14ac:dyDescent="0.25">
      <c r="A26" s="15"/>
      <c r="B26" s="61" t="s">
        <v>12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55"/>
      <c r="V26" s="16"/>
    </row>
    <row r="27" spans="1:22" ht="15.75" thickBot="1" x14ac:dyDescent="0.3">
      <c r="A27" s="17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16"/>
    </row>
    <row r="28" spans="1:22" x14ac:dyDescent="0.25">
      <c r="A28" s="17"/>
      <c r="B28" s="52">
        <v>0</v>
      </c>
      <c r="C28" s="53"/>
      <c r="D28" s="53">
        <v>1</v>
      </c>
      <c r="E28" s="53">
        <v>1</v>
      </c>
      <c r="F28" s="53">
        <v>2</v>
      </c>
      <c r="G28" s="53">
        <v>2</v>
      </c>
      <c r="H28" s="53">
        <v>3</v>
      </c>
      <c r="I28" s="54">
        <v>3</v>
      </c>
      <c r="J28" s="52">
        <v>4</v>
      </c>
      <c r="K28" s="53">
        <v>4</v>
      </c>
      <c r="L28" s="53">
        <v>5</v>
      </c>
      <c r="M28" s="53"/>
      <c r="N28" s="53">
        <v>6</v>
      </c>
      <c r="O28" s="53">
        <v>1</v>
      </c>
      <c r="P28" s="53">
        <v>7</v>
      </c>
      <c r="Q28" s="54">
        <v>2</v>
      </c>
      <c r="R28" s="55">
        <v>8</v>
      </c>
      <c r="S28" s="56">
        <v>3</v>
      </c>
      <c r="T28" s="56">
        <v>9</v>
      </c>
      <c r="U28" s="56">
        <v>4</v>
      </c>
      <c r="V28" s="18"/>
    </row>
    <row r="29" spans="1:22" ht="15.75" thickBot="1" x14ac:dyDescent="0.3">
      <c r="A29" s="17"/>
      <c r="B29" s="19"/>
      <c r="C29" s="20"/>
      <c r="D29" s="20"/>
      <c r="E29" s="20"/>
      <c r="F29" s="20"/>
      <c r="G29" s="20"/>
      <c r="H29" s="20"/>
      <c r="I29" s="21"/>
      <c r="J29" s="19"/>
      <c r="K29" s="20"/>
      <c r="L29" s="20"/>
      <c r="M29" s="20"/>
      <c r="N29" s="20"/>
      <c r="O29" s="20"/>
      <c r="P29" s="20"/>
      <c r="Q29" s="21"/>
      <c r="R29" s="22"/>
      <c r="S29" s="13"/>
      <c r="T29" s="13"/>
      <c r="U29" s="13"/>
      <c r="V29" s="18"/>
    </row>
    <row r="30" spans="1:22" ht="15.75" thickBot="1" x14ac:dyDescent="0.3">
      <c r="A30" s="23"/>
      <c r="B30" s="24"/>
      <c r="C30" s="24"/>
      <c r="D30" s="24"/>
      <c r="E30" s="24"/>
      <c r="F30" s="25"/>
      <c r="G30" s="24"/>
      <c r="H30" s="24"/>
      <c r="I30" s="24"/>
      <c r="J30" s="24"/>
      <c r="K30" s="25"/>
      <c r="L30" s="24"/>
      <c r="M30" s="25"/>
      <c r="N30" s="24"/>
      <c r="O30" s="25"/>
      <c r="P30" s="24"/>
      <c r="Q30" s="25"/>
      <c r="R30" s="26"/>
      <c r="S30" s="26"/>
      <c r="T30" s="26"/>
      <c r="U30" s="26"/>
      <c r="V30" s="27"/>
    </row>
    <row r="31" spans="1:22" ht="15.75" thickBot="1" x14ac:dyDescent="0.3">
      <c r="A31" s="28"/>
      <c r="B31" s="28"/>
      <c r="C31" s="28"/>
      <c r="D31" s="28"/>
      <c r="E31" s="28"/>
      <c r="F31" s="29"/>
      <c r="G31" s="28"/>
      <c r="H31" s="28"/>
      <c r="I31" s="28"/>
      <c r="J31" s="28"/>
      <c r="K31" s="29"/>
      <c r="L31" s="28"/>
      <c r="M31" s="29"/>
      <c r="N31" s="28"/>
      <c r="O31" s="29"/>
      <c r="P31" s="28"/>
      <c r="Q31" s="29"/>
      <c r="R31" s="28"/>
      <c r="S31" s="28"/>
      <c r="T31" s="28"/>
      <c r="U31" s="28"/>
      <c r="V31" s="30"/>
    </row>
    <row r="32" spans="1:22" ht="69.95" customHeight="1" thickBot="1" x14ac:dyDescent="0.3">
      <c r="A32" s="28"/>
      <c r="B32" s="39" t="str">
        <f>IF(Q32&gt;1,"Считыватель вх",IF(F32&lt;1,"","Считыватель вых"))</f>
        <v>Считыватель вых</v>
      </c>
      <c r="C32" s="40"/>
      <c r="D32" s="41"/>
      <c r="E32" s="41"/>
      <c r="F32" s="42">
        <v>4</v>
      </c>
      <c r="G32" s="42"/>
      <c r="H32" s="43"/>
      <c r="I32" s="44"/>
      <c r="J32" s="31"/>
      <c r="K32" s="32"/>
      <c r="L32" s="33"/>
      <c r="M32" s="33"/>
      <c r="N32" s="34"/>
      <c r="O32" s="32"/>
      <c r="P32" s="34"/>
      <c r="Q32" s="35"/>
      <c r="R32" s="45" t="s">
        <v>10</v>
      </c>
      <c r="S32" s="46"/>
      <c r="T32" s="46"/>
      <c r="U32" s="46"/>
      <c r="V32" s="46"/>
    </row>
    <row r="33" spans="1:22" ht="15.75" thickBot="1" x14ac:dyDescent="0.3">
      <c r="A33" s="28"/>
      <c r="B33" s="64">
        <f>IF(B32="Считыватель вых",B16,IF(B32="Считыватель вх",J33,""))</f>
        <v>0</v>
      </c>
      <c r="C33" s="43"/>
      <c r="D33" s="43"/>
      <c r="E33" s="43"/>
      <c r="F33" s="43"/>
      <c r="G33" s="43"/>
      <c r="H33" s="43"/>
      <c r="I33" s="43"/>
      <c r="J33" s="65" t="s">
        <v>13</v>
      </c>
      <c r="K33" s="43"/>
      <c r="L33" s="43"/>
      <c r="M33" s="43"/>
      <c r="N33" s="43"/>
      <c r="O33" s="43"/>
      <c r="P33" s="43"/>
      <c r="Q33" s="44"/>
      <c r="R33" s="50" t="s">
        <v>11</v>
      </c>
      <c r="S33" s="50"/>
      <c r="T33" s="50"/>
      <c r="U33" s="50"/>
      <c r="V33" s="50"/>
    </row>
    <row r="34" spans="1:22" s="68" customFormat="1" x14ac:dyDescent="0.25"/>
    <row r="35" spans="1:22" ht="18.75" x14ac:dyDescent="0.3">
      <c r="E35" s="1" t="s">
        <v>0</v>
      </c>
      <c r="G35" s="2"/>
      <c r="H35" s="2"/>
      <c r="I35" s="2"/>
      <c r="J35" s="2"/>
      <c r="K35" s="2"/>
      <c r="L35" s="2"/>
      <c r="M35" s="37" t="s">
        <v>1</v>
      </c>
      <c r="N35" s="3"/>
    </row>
    <row r="36" spans="1:22" ht="18.75" x14ac:dyDescent="0.3">
      <c r="E36" s="1" t="s">
        <v>2</v>
      </c>
      <c r="J36" s="4"/>
      <c r="K36" s="4"/>
      <c r="L36" s="4"/>
      <c r="M36" s="37" t="s">
        <v>3</v>
      </c>
      <c r="N36" s="5"/>
    </row>
    <row r="37" spans="1:22" ht="18.75" x14ac:dyDescent="0.3">
      <c r="E37" t="s">
        <v>4</v>
      </c>
      <c r="H37" s="2"/>
      <c r="I37" s="2"/>
      <c r="J37" s="2"/>
      <c r="K37" s="2"/>
      <c r="L37" s="2"/>
      <c r="M37" s="38" t="s">
        <v>3</v>
      </c>
      <c r="N37" s="6"/>
    </row>
    <row r="38" spans="1:22" ht="18.75" x14ac:dyDescent="0.3">
      <c r="E38" t="s">
        <v>5</v>
      </c>
      <c r="L38" s="4"/>
      <c r="M38" s="38" t="s">
        <v>6</v>
      </c>
      <c r="N38" s="6"/>
      <c r="O38" s="6"/>
    </row>
    <row r="39" spans="1:22" ht="18.75" x14ac:dyDescent="0.3">
      <c r="E39" s="7" t="s">
        <v>7</v>
      </c>
      <c r="I39" s="2"/>
      <c r="J39" s="2"/>
      <c r="K39" s="2"/>
      <c r="L39" s="2"/>
      <c r="M39" s="38" t="s">
        <v>3</v>
      </c>
      <c r="N39" s="6"/>
    </row>
    <row r="40" spans="1:22" ht="15.75" thickBot="1" x14ac:dyDescent="0.3">
      <c r="E40" s="59" t="s">
        <v>8</v>
      </c>
      <c r="F40" s="59"/>
      <c r="G40" s="59"/>
      <c r="H40" s="59"/>
      <c r="I40" s="8"/>
      <c r="J40" s="8"/>
      <c r="K40" s="8"/>
      <c r="L40" s="8"/>
      <c r="M40" s="28" t="s">
        <v>3</v>
      </c>
      <c r="N40" s="36"/>
      <c r="O40" s="36"/>
    </row>
    <row r="41" spans="1:22" x14ac:dyDescent="0.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x14ac:dyDescent="0.2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4"/>
    </row>
    <row r="43" spans="1:22" x14ac:dyDescent="0.25">
      <c r="A43" s="15"/>
      <c r="B43" s="61" t="s">
        <v>9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55"/>
      <c r="V43" s="16"/>
    </row>
    <row r="44" spans="1:22" ht="15.75" thickBot="1" x14ac:dyDescent="0.3">
      <c r="A44" s="1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16"/>
    </row>
    <row r="45" spans="1:22" x14ac:dyDescent="0.25">
      <c r="A45" s="17"/>
      <c r="B45" s="52">
        <v>0</v>
      </c>
      <c r="C45" s="53"/>
      <c r="D45" s="53">
        <v>1</v>
      </c>
      <c r="E45" s="53">
        <v>1</v>
      </c>
      <c r="F45" s="53">
        <v>2</v>
      </c>
      <c r="G45" s="53">
        <v>2</v>
      </c>
      <c r="H45" s="53">
        <v>3</v>
      </c>
      <c r="I45" s="54">
        <v>3</v>
      </c>
      <c r="J45" s="52">
        <v>4</v>
      </c>
      <c r="K45" s="53">
        <v>4</v>
      </c>
      <c r="L45" s="53">
        <v>5</v>
      </c>
      <c r="M45" s="53"/>
      <c r="N45" s="53">
        <v>6</v>
      </c>
      <c r="O45" s="53">
        <v>1</v>
      </c>
      <c r="P45" s="53">
        <v>7</v>
      </c>
      <c r="Q45" s="54">
        <v>2</v>
      </c>
      <c r="R45" s="55">
        <v>8</v>
      </c>
      <c r="S45" s="56">
        <v>3</v>
      </c>
      <c r="T45" s="56">
        <v>9</v>
      </c>
      <c r="U45" s="56">
        <v>4</v>
      </c>
      <c r="V45" s="18"/>
    </row>
    <row r="46" spans="1:22" ht="15.75" thickBot="1" x14ac:dyDescent="0.3">
      <c r="A46" s="17"/>
      <c r="B46" s="19"/>
      <c r="C46" s="20"/>
      <c r="D46" s="20"/>
      <c r="E46" s="20"/>
      <c r="F46" s="20"/>
      <c r="G46" s="20"/>
      <c r="H46" s="20"/>
      <c r="I46" s="21"/>
      <c r="J46" s="19"/>
      <c r="K46" s="20"/>
      <c r="L46" s="20"/>
      <c r="M46" s="20"/>
      <c r="N46" s="20"/>
      <c r="O46" s="20"/>
      <c r="P46" s="20"/>
      <c r="Q46" s="21"/>
      <c r="R46" s="22"/>
      <c r="S46" s="13"/>
      <c r="T46" s="13"/>
      <c r="U46" s="13"/>
      <c r="V46" s="18"/>
    </row>
    <row r="47" spans="1:22" ht="15.75" thickBot="1" x14ac:dyDescent="0.3">
      <c r="A47" s="23"/>
      <c r="B47" s="24"/>
      <c r="C47" s="24"/>
      <c r="D47" s="24"/>
      <c r="E47" s="24"/>
      <c r="F47" s="25"/>
      <c r="G47" s="24"/>
      <c r="H47" s="24"/>
      <c r="I47" s="24"/>
      <c r="J47" s="24"/>
      <c r="K47" s="25"/>
      <c r="L47" s="24"/>
      <c r="M47" s="25"/>
      <c r="N47" s="24"/>
      <c r="O47" s="25"/>
      <c r="P47" s="24"/>
      <c r="Q47" s="25"/>
      <c r="R47" s="26"/>
      <c r="S47" s="26"/>
      <c r="T47" s="26"/>
      <c r="U47" s="26"/>
      <c r="V47" s="27"/>
    </row>
    <row r="48" spans="1:22" ht="15.75" thickBot="1" x14ac:dyDescent="0.3">
      <c r="A48" s="28"/>
      <c r="B48" s="28"/>
      <c r="C48" s="28"/>
      <c r="D48" s="28"/>
      <c r="E48" s="28"/>
      <c r="F48" s="29"/>
      <c r="G48" s="28"/>
      <c r="H48" s="28"/>
      <c r="I48" s="28"/>
      <c r="J48" s="28"/>
      <c r="K48" s="29"/>
      <c r="L48" s="28"/>
      <c r="M48" s="29"/>
      <c r="N48" s="28"/>
      <c r="O48" s="29"/>
      <c r="P48" s="28"/>
      <c r="Q48" s="29"/>
      <c r="R48" s="28"/>
      <c r="S48" s="28"/>
      <c r="T48" s="28"/>
      <c r="U48" s="28"/>
      <c r="V48" s="30"/>
    </row>
    <row r="49" spans="1:22" ht="69.95" customHeight="1" thickBot="1" x14ac:dyDescent="0.3">
      <c r="A49" s="28"/>
      <c r="B49" s="39" t="str">
        <f>IF(Q49&gt;1,"Считыватель вх",IF(F49&lt;1,"","Считыватель вх"))</f>
        <v>Считыватель вх</v>
      </c>
      <c r="C49" s="40"/>
      <c r="D49" s="41"/>
      <c r="E49" s="41"/>
      <c r="F49" s="42">
        <v>1</v>
      </c>
      <c r="G49" s="42"/>
      <c r="H49" s="43"/>
      <c r="I49" s="44"/>
      <c r="J49" s="31"/>
      <c r="K49" s="32"/>
      <c r="L49" s="33"/>
      <c r="M49" s="33"/>
      <c r="N49" s="34"/>
      <c r="O49" s="32"/>
      <c r="P49" s="34"/>
      <c r="Q49" s="35"/>
      <c r="R49" s="45" t="s">
        <v>10</v>
      </c>
      <c r="S49" s="46"/>
      <c r="T49" s="46"/>
      <c r="U49" s="46"/>
      <c r="V49" s="46"/>
    </row>
    <row r="50" spans="1:22" ht="15.75" thickBot="1" x14ac:dyDescent="0.3">
      <c r="A50" s="28"/>
      <c r="B50" s="63"/>
      <c r="C50" s="42"/>
      <c r="D50" s="42"/>
      <c r="E50" s="42"/>
      <c r="F50" s="42"/>
      <c r="G50" s="42"/>
      <c r="H50" s="43"/>
      <c r="I50" s="43"/>
      <c r="J50" s="43"/>
      <c r="K50" s="43"/>
      <c r="L50" s="43"/>
      <c r="M50" s="43"/>
      <c r="N50" s="43"/>
      <c r="O50" s="43"/>
      <c r="P50" s="43"/>
      <c r="Q50" s="44"/>
      <c r="R50" s="50" t="s">
        <v>11</v>
      </c>
      <c r="S50" s="50"/>
      <c r="T50" s="50"/>
      <c r="U50" s="50"/>
      <c r="V50" s="50"/>
    </row>
    <row r="51" spans="1:22" s="68" customFormat="1" x14ac:dyDescent="0.25"/>
    <row r="52" spans="1:22" ht="18.75" x14ac:dyDescent="0.3">
      <c r="E52" s="1" t="s">
        <v>0</v>
      </c>
      <c r="G52" s="2"/>
      <c r="H52" s="2"/>
      <c r="I52" s="2"/>
      <c r="J52" s="2"/>
      <c r="K52" s="2"/>
      <c r="L52" s="2"/>
      <c r="M52" s="37" t="s">
        <v>1</v>
      </c>
      <c r="N52" s="3"/>
    </row>
    <row r="53" spans="1:22" ht="18.75" x14ac:dyDescent="0.3">
      <c r="E53" s="1" t="s">
        <v>2</v>
      </c>
      <c r="J53" s="4"/>
      <c r="K53" s="4"/>
      <c r="L53" s="4"/>
      <c r="M53" s="37" t="s">
        <v>3</v>
      </c>
      <c r="N53" s="5"/>
    </row>
    <row r="54" spans="1:22" ht="18.75" x14ac:dyDescent="0.3">
      <c r="E54" t="s">
        <v>4</v>
      </c>
      <c r="H54" s="2"/>
      <c r="I54" s="2"/>
      <c r="J54" s="2"/>
      <c r="K54" s="2"/>
      <c r="L54" s="2"/>
      <c r="M54" s="38" t="s">
        <v>3</v>
      </c>
      <c r="N54" s="6"/>
    </row>
    <row r="55" spans="1:22" ht="18.75" x14ac:dyDescent="0.3">
      <c r="E55" t="s">
        <v>5</v>
      </c>
      <c r="L55" s="4"/>
      <c r="M55" s="38" t="s">
        <v>6</v>
      </c>
      <c r="N55" s="58"/>
      <c r="O55" s="58"/>
    </row>
    <row r="56" spans="1:22" ht="18.75" x14ac:dyDescent="0.3">
      <c r="E56" s="7" t="s">
        <v>7</v>
      </c>
      <c r="I56" s="2"/>
      <c r="J56" s="2"/>
      <c r="K56" s="2"/>
      <c r="L56" s="2"/>
      <c r="M56" s="38" t="s">
        <v>3</v>
      </c>
      <c r="N56" s="6"/>
    </row>
    <row r="57" spans="1:22" ht="15.75" thickBot="1" x14ac:dyDescent="0.3">
      <c r="E57" s="59" t="s">
        <v>8</v>
      </c>
      <c r="F57" s="59"/>
      <c r="G57" s="59"/>
      <c r="H57" s="59"/>
      <c r="I57" s="8"/>
      <c r="J57" s="8"/>
      <c r="K57" s="8"/>
      <c r="L57" s="8"/>
      <c r="M57" s="28" t="s">
        <v>3</v>
      </c>
      <c r="N57" s="60"/>
      <c r="O57" s="60"/>
    </row>
    <row r="58" spans="1:22" x14ac:dyDescent="0.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4"/>
    </row>
    <row r="60" spans="1:22" x14ac:dyDescent="0.25">
      <c r="A60" s="15"/>
      <c r="B60" s="61" t="s">
        <v>12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55"/>
      <c r="V60" s="16"/>
    </row>
    <row r="61" spans="1:22" ht="15.75" thickBot="1" x14ac:dyDescent="0.3">
      <c r="A61" s="17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16"/>
    </row>
    <row r="62" spans="1:22" x14ac:dyDescent="0.25">
      <c r="A62" s="17"/>
      <c r="B62" s="52">
        <v>0</v>
      </c>
      <c r="C62" s="53"/>
      <c r="D62" s="53">
        <v>1</v>
      </c>
      <c r="E62" s="53">
        <v>1</v>
      </c>
      <c r="F62" s="53">
        <v>2</v>
      </c>
      <c r="G62" s="53">
        <v>2</v>
      </c>
      <c r="H62" s="53">
        <v>3</v>
      </c>
      <c r="I62" s="54">
        <v>3</v>
      </c>
      <c r="J62" s="52">
        <v>4</v>
      </c>
      <c r="K62" s="53">
        <v>4</v>
      </c>
      <c r="L62" s="53">
        <v>5</v>
      </c>
      <c r="M62" s="53"/>
      <c r="N62" s="53">
        <v>6</v>
      </c>
      <c r="O62" s="53">
        <v>1</v>
      </c>
      <c r="P62" s="53">
        <v>7</v>
      </c>
      <c r="Q62" s="54">
        <v>2</v>
      </c>
      <c r="R62" s="55">
        <v>8</v>
      </c>
      <c r="S62" s="56">
        <v>3</v>
      </c>
      <c r="T62" s="56">
        <v>9</v>
      </c>
      <c r="U62" s="56">
        <v>4</v>
      </c>
      <c r="V62" s="18"/>
    </row>
    <row r="63" spans="1:22" ht="15.75" thickBot="1" x14ac:dyDescent="0.3">
      <c r="A63" s="17"/>
      <c r="B63" s="19"/>
      <c r="C63" s="20"/>
      <c r="D63" s="20"/>
      <c r="E63" s="20"/>
      <c r="F63" s="20"/>
      <c r="G63" s="20"/>
      <c r="H63" s="20"/>
      <c r="I63" s="21"/>
      <c r="J63" s="19"/>
      <c r="K63" s="20"/>
      <c r="L63" s="20"/>
      <c r="M63" s="20"/>
      <c r="N63" s="20"/>
      <c r="O63" s="20"/>
      <c r="P63" s="20"/>
      <c r="Q63" s="21"/>
      <c r="R63" s="22"/>
      <c r="S63" s="13"/>
      <c r="T63" s="13"/>
      <c r="U63" s="13"/>
      <c r="V63" s="18"/>
    </row>
    <row r="64" spans="1:22" ht="15.75" thickBot="1" x14ac:dyDescent="0.3">
      <c r="A64" s="23"/>
      <c r="B64" s="24"/>
      <c r="C64" s="24"/>
      <c r="D64" s="24"/>
      <c r="E64" s="24"/>
      <c r="F64" s="25"/>
      <c r="G64" s="24"/>
      <c r="H64" s="24"/>
      <c r="I64" s="24"/>
      <c r="J64" s="24"/>
      <c r="K64" s="25"/>
      <c r="L64" s="24"/>
      <c r="M64" s="25"/>
      <c r="N64" s="24"/>
      <c r="O64" s="25"/>
      <c r="P64" s="24"/>
      <c r="Q64" s="25"/>
      <c r="R64" s="26"/>
      <c r="S64" s="26"/>
      <c r="T64" s="26"/>
      <c r="U64" s="26"/>
      <c r="V64" s="27"/>
    </row>
    <row r="65" spans="1:22" ht="15.75" thickBot="1" x14ac:dyDescent="0.3">
      <c r="A65" s="28"/>
      <c r="B65" s="28"/>
      <c r="C65" s="28"/>
      <c r="D65" s="28"/>
      <c r="E65" s="28"/>
      <c r="F65" s="29"/>
      <c r="G65" s="28"/>
      <c r="H65" s="28"/>
      <c r="I65" s="28"/>
      <c r="J65" s="28"/>
      <c r="K65" s="29"/>
      <c r="L65" s="28"/>
      <c r="M65" s="29"/>
      <c r="N65" s="28"/>
      <c r="O65" s="29"/>
      <c r="P65" s="28"/>
      <c r="Q65" s="29"/>
      <c r="R65" s="28"/>
      <c r="S65" s="28"/>
      <c r="T65" s="28"/>
      <c r="U65" s="28"/>
      <c r="V65" s="30"/>
    </row>
    <row r="66" spans="1:22" ht="69.95" customHeight="1" thickBot="1" x14ac:dyDescent="0.3">
      <c r="A66" s="28"/>
      <c r="B66" s="39" t="str">
        <f>IF(Q66&gt;1,"Считыватель вх",IF(F66&lt;1,"","Считыватель вых"))</f>
        <v>Считыватель вых</v>
      </c>
      <c r="C66" s="40"/>
      <c r="D66" s="41"/>
      <c r="E66" s="41"/>
      <c r="F66" s="42">
        <v>4</v>
      </c>
      <c r="G66" s="42"/>
      <c r="H66" s="43"/>
      <c r="I66" s="44"/>
      <c r="J66" s="31"/>
      <c r="K66" s="32"/>
      <c r="L66" s="33"/>
      <c r="M66" s="33"/>
      <c r="N66" s="34"/>
      <c r="O66" s="32"/>
      <c r="P66" s="34"/>
      <c r="Q66" s="35"/>
      <c r="R66" s="45" t="s">
        <v>10</v>
      </c>
      <c r="S66" s="46"/>
      <c r="T66" s="46"/>
      <c r="U66" s="46"/>
      <c r="V66" s="46"/>
    </row>
    <row r="67" spans="1:22" ht="15.75" thickBot="1" x14ac:dyDescent="0.3">
      <c r="A67" s="28"/>
      <c r="B67" s="64">
        <f>IF(B66="Считыватель вых",B50,IF(B66="Считыватель вх",J67,""))</f>
        <v>0</v>
      </c>
      <c r="C67" s="43"/>
      <c r="D67" s="43"/>
      <c r="E67" s="43"/>
      <c r="F67" s="43"/>
      <c r="G67" s="43"/>
      <c r="H67" s="43"/>
      <c r="I67" s="43"/>
      <c r="J67" s="65" t="s">
        <v>13</v>
      </c>
      <c r="K67" s="43"/>
      <c r="L67" s="43"/>
      <c r="M67" s="43"/>
      <c r="N67" s="43"/>
      <c r="O67" s="43"/>
      <c r="P67" s="43"/>
      <c r="Q67" s="44"/>
      <c r="R67" s="50" t="s">
        <v>11</v>
      </c>
      <c r="S67" s="50"/>
      <c r="T67" s="50"/>
      <c r="U67" s="50"/>
      <c r="V67" s="50"/>
    </row>
    <row r="68" spans="1:22" s="68" customFormat="1" x14ac:dyDescent="0.25"/>
    <row r="69" spans="1:22" ht="18.75" x14ac:dyDescent="0.3">
      <c r="E69" s="1" t="s">
        <v>0</v>
      </c>
      <c r="G69" s="2"/>
      <c r="H69" s="2"/>
      <c r="I69" s="2"/>
      <c r="J69" s="2"/>
      <c r="K69" s="2"/>
      <c r="L69" s="2"/>
      <c r="M69" s="37" t="s">
        <v>1</v>
      </c>
      <c r="N69" s="3"/>
    </row>
    <row r="70" spans="1:22" ht="18.75" x14ac:dyDescent="0.3">
      <c r="E70" s="1" t="s">
        <v>2</v>
      </c>
      <c r="J70" s="4"/>
      <c r="K70" s="4"/>
      <c r="L70" s="4"/>
      <c r="M70" s="37" t="s">
        <v>3</v>
      </c>
      <c r="N70" s="5"/>
    </row>
    <row r="71" spans="1:22" ht="18.75" x14ac:dyDescent="0.3">
      <c r="E71" t="s">
        <v>4</v>
      </c>
      <c r="H71" s="2"/>
      <c r="I71" s="2"/>
      <c r="J71" s="2"/>
      <c r="K71" s="2"/>
      <c r="L71" s="2"/>
      <c r="M71" s="38" t="s">
        <v>3</v>
      </c>
      <c r="N71" s="6"/>
    </row>
    <row r="72" spans="1:22" ht="18.75" x14ac:dyDescent="0.3">
      <c r="E72" t="s">
        <v>5</v>
      </c>
      <c r="L72" s="4"/>
      <c r="M72" s="38" t="s">
        <v>6</v>
      </c>
      <c r="N72" s="6"/>
      <c r="O72" s="6"/>
    </row>
    <row r="73" spans="1:22" ht="18.75" x14ac:dyDescent="0.3">
      <c r="E73" s="7" t="s">
        <v>7</v>
      </c>
      <c r="I73" s="2"/>
      <c r="J73" s="2"/>
      <c r="K73" s="2"/>
      <c r="L73" s="2"/>
      <c r="M73" s="38" t="s">
        <v>3</v>
      </c>
      <c r="N73" s="6"/>
    </row>
    <row r="74" spans="1:22" ht="15.75" thickBot="1" x14ac:dyDescent="0.3">
      <c r="E74" s="59" t="s">
        <v>8</v>
      </c>
      <c r="F74" s="59"/>
      <c r="G74" s="59"/>
      <c r="H74" s="59"/>
      <c r="I74" s="8"/>
      <c r="J74" s="8"/>
      <c r="K74" s="8"/>
      <c r="L74" s="8"/>
      <c r="M74" s="28" t="s">
        <v>3</v>
      </c>
      <c r="N74" s="36"/>
      <c r="O74" s="36"/>
    </row>
    <row r="75" spans="1:22" x14ac:dyDescent="0.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x14ac:dyDescent="0.25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4"/>
    </row>
    <row r="77" spans="1:22" x14ac:dyDescent="0.25">
      <c r="A77" s="15"/>
      <c r="B77" s="61" t="s">
        <v>9</v>
      </c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55"/>
      <c r="V77" s="16"/>
    </row>
    <row r="78" spans="1:22" ht="15.75" thickBot="1" x14ac:dyDescent="0.3">
      <c r="A78" s="17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16"/>
    </row>
    <row r="79" spans="1:22" x14ac:dyDescent="0.25">
      <c r="A79" s="17"/>
      <c r="B79" s="52">
        <v>0</v>
      </c>
      <c r="C79" s="53"/>
      <c r="D79" s="53">
        <v>1</v>
      </c>
      <c r="E79" s="53">
        <v>1</v>
      </c>
      <c r="F79" s="53">
        <v>2</v>
      </c>
      <c r="G79" s="53">
        <v>2</v>
      </c>
      <c r="H79" s="53">
        <v>3</v>
      </c>
      <c r="I79" s="54">
        <v>3</v>
      </c>
      <c r="J79" s="52">
        <v>4</v>
      </c>
      <c r="K79" s="53">
        <v>4</v>
      </c>
      <c r="L79" s="53">
        <v>5</v>
      </c>
      <c r="M79" s="53"/>
      <c r="N79" s="53">
        <v>6</v>
      </c>
      <c r="O79" s="53">
        <v>1</v>
      </c>
      <c r="P79" s="53">
        <v>7</v>
      </c>
      <c r="Q79" s="54">
        <v>2</v>
      </c>
      <c r="R79" s="55">
        <v>8</v>
      </c>
      <c r="S79" s="56">
        <v>3</v>
      </c>
      <c r="T79" s="56">
        <v>9</v>
      </c>
      <c r="U79" s="56">
        <v>4</v>
      </c>
      <c r="V79" s="18"/>
    </row>
    <row r="80" spans="1:22" ht="15.75" thickBot="1" x14ac:dyDescent="0.3">
      <c r="A80" s="17"/>
      <c r="B80" s="19"/>
      <c r="C80" s="20"/>
      <c r="D80" s="20"/>
      <c r="E80" s="20"/>
      <c r="F80" s="20"/>
      <c r="G80" s="20"/>
      <c r="H80" s="20"/>
      <c r="I80" s="21"/>
      <c r="J80" s="19"/>
      <c r="K80" s="20"/>
      <c r="L80" s="20"/>
      <c r="M80" s="20"/>
      <c r="N80" s="20"/>
      <c r="O80" s="20"/>
      <c r="P80" s="20"/>
      <c r="Q80" s="21"/>
      <c r="R80" s="22"/>
      <c r="S80" s="13"/>
      <c r="T80" s="13"/>
      <c r="U80" s="13"/>
      <c r="V80" s="18"/>
    </row>
    <row r="81" spans="1:22" ht="15.75" thickBot="1" x14ac:dyDescent="0.3">
      <c r="A81" s="23"/>
      <c r="B81" s="24"/>
      <c r="C81" s="24"/>
      <c r="D81" s="24"/>
      <c r="E81" s="24"/>
      <c r="F81" s="25"/>
      <c r="G81" s="24"/>
      <c r="H81" s="24"/>
      <c r="I81" s="24"/>
      <c r="J81" s="24"/>
      <c r="K81" s="25"/>
      <c r="L81" s="24"/>
      <c r="M81" s="25"/>
      <c r="N81" s="24"/>
      <c r="O81" s="25"/>
      <c r="P81" s="24"/>
      <c r="Q81" s="25"/>
      <c r="R81" s="26"/>
      <c r="S81" s="26"/>
      <c r="T81" s="26"/>
      <c r="U81" s="26"/>
      <c r="V81" s="27"/>
    </row>
    <row r="82" spans="1:22" ht="15.75" thickBot="1" x14ac:dyDescent="0.3">
      <c r="A82" s="28"/>
      <c r="B82" s="28"/>
      <c r="C82" s="28"/>
      <c r="D82" s="28"/>
      <c r="E82" s="28"/>
      <c r="F82" s="29"/>
      <c r="G82" s="28"/>
      <c r="H82" s="28"/>
      <c r="I82" s="28"/>
      <c r="J82" s="28"/>
      <c r="K82" s="29"/>
      <c r="L82" s="28"/>
      <c r="M82" s="29"/>
      <c r="N82" s="28"/>
      <c r="O82" s="29"/>
      <c r="P82" s="28"/>
      <c r="Q82" s="29"/>
      <c r="R82" s="28"/>
      <c r="S82" s="28"/>
      <c r="T82" s="28"/>
      <c r="U82" s="28"/>
      <c r="V82" s="30"/>
    </row>
    <row r="83" spans="1:22" ht="69.95" customHeight="1" thickBot="1" x14ac:dyDescent="0.3">
      <c r="A83" s="28"/>
      <c r="B83" s="39" t="str">
        <f>IF(Q83&gt;1,"Считыватель вх",IF(F83&lt;1,"","Считыватель вх"))</f>
        <v>Считыватель вх</v>
      </c>
      <c r="C83" s="40"/>
      <c r="D83" s="41"/>
      <c r="E83" s="41"/>
      <c r="F83" s="42">
        <v>1</v>
      </c>
      <c r="G83" s="42"/>
      <c r="H83" s="43"/>
      <c r="I83" s="44"/>
      <c r="J83" s="31"/>
      <c r="K83" s="32"/>
      <c r="L83" s="33"/>
      <c r="M83" s="33"/>
      <c r="N83" s="34"/>
      <c r="O83" s="32"/>
      <c r="P83" s="34"/>
      <c r="Q83" s="35"/>
      <c r="R83" s="45" t="s">
        <v>10</v>
      </c>
      <c r="S83" s="46"/>
      <c r="T83" s="46"/>
      <c r="U83" s="46"/>
      <c r="V83" s="46"/>
    </row>
    <row r="84" spans="1:22" x14ac:dyDescent="0.25">
      <c r="A84" s="28"/>
      <c r="B84" s="49"/>
      <c r="C84" s="57"/>
      <c r="D84" s="57"/>
      <c r="E84" s="57"/>
      <c r="F84" s="57"/>
      <c r="G84" s="57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0" t="s">
        <v>11</v>
      </c>
      <c r="S84" s="50"/>
      <c r="T84" s="50"/>
      <c r="U84" s="50"/>
      <c r="V84" s="50"/>
    </row>
    <row r="85" spans="1:22" s="68" customFormat="1" x14ac:dyDescent="0.25"/>
    <row r="86" spans="1:22" ht="18.75" x14ac:dyDescent="0.3">
      <c r="E86" s="1" t="s">
        <v>0</v>
      </c>
      <c r="G86" s="2"/>
      <c r="H86" s="2"/>
      <c r="I86" s="2"/>
      <c r="J86" s="2"/>
      <c r="K86" s="2"/>
      <c r="L86" s="2"/>
      <c r="M86" s="37" t="s">
        <v>1</v>
      </c>
      <c r="N86" s="3"/>
    </row>
    <row r="87" spans="1:22" ht="18.75" x14ac:dyDescent="0.3">
      <c r="E87" s="1" t="s">
        <v>2</v>
      </c>
      <c r="J87" s="4"/>
      <c r="K87" s="4"/>
      <c r="L87" s="4"/>
      <c r="M87" s="37" t="s">
        <v>3</v>
      </c>
      <c r="N87" s="5"/>
    </row>
    <row r="88" spans="1:22" ht="18.75" x14ac:dyDescent="0.3">
      <c r="E88" t="s">
        <v>4</v>
      </c>
      <c r="H88" s="2"/>
      <c r="I88" s="2"/>
      <c r="J88" s="2"/>
      <c r="K88" s="2"/>
      <c r="L88" s="2"/>
      <c r="M88" s="38" t="s">
        <v>3</v>
      </c>
      <c r="N88" s="6"/>
    </row>
    <row r="89" spans="1:22" ht="18.75" x14ac:dyDescent="0.3">
      <c r="E89" t="s">
        <v>5</v>
      </c>
      <c r="L89" s="4"/>
      <c r="M89" s="38" t="s">
        <v>6</v>
      </c>
      <c r="N89" s="58"/>
      <c r="O89" s="58"/>
    </row>
    <row r="90" spans="1:22" ht="18.75" x14ac:dyDescent="0.3">
      <c r="E90" s="7" t="s">
        <v>7</v>
      </c>
      <c r="I90" s="2"/>
      <c r="J90" s="2"/>
      <c r="K90" s="2"/>
      <c r="L90" s="2"/>
      <c r="M90" s="38" t="s">
        <v>3</v>
      </c>
      <c r="N90" s="6"/>
    </row>
    <row r="91" spans="1:22" ht="15.75" thickBot="1" x14ac:dyDescent="0.3">
      <c r="E91" s="59" t="s">
        <v>8</v>
      </c>
      <c r="F91" s="59"/>
      <c r="G91" s="59"/>
      <c r="H91" s="59"/>
      <c r="I91" s="8"/>
      <c r="J91" s="8"/>
      <c r="K91" s="8"/>
      <c r="L91" s="8"/>
      <c r="M91" s="28" t="s">
        <v>3</v>
      </c>
      <c r="N91" s="60"/>
      <c r="O91" s="60"/>
    </row>
    <row r="92" spans="1:22" x14ac:dyDescent="0.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x14ac:dyDescent="0.25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4"/>
    </row>
    <row r="94" spans="1:22" x14ac:dyDescent="0.25">
      <c r="A94" s="15"/>
      <c r="B94" s="61" t="s">
        <v>12</v>
      </c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55"/>
      <c r="V94" s="16"/>
    </row>
    <row r="95" spans="1:22" ht="15.75" thickBot="1" x14ac:dyDescent="0.3">
      <c r="A95" s="17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16"/>
    </row>
    <row r="96" spans="1:22" x14ac:dyDescent="0.25">
      <c r="A96" s="17"/>
      <c r="B96" s="52">
        <v>0</v>
      </c>
      <c r="C96" s="53"/>
      <c r="D96" s="53">
        <v>1</v>
      </c>
      <c r="E96" s="53">
        <v>1</v>
      </c>
      <c r="F96" s="53">
        <v>2</v>
      </c>
      <c r="G96" s="53">
        <v>2</v>
      </c>
      <c r="H96" s="53">
        <v>3</v>
      </c>
      <c r="I96" s="54">
        <v>3</v>
      </c>
      <c r="J96" s="52">
        <v>4</v>
      </c>
      <c r="K96" s="53">
        <v>4</v>
      </c>
      <c r="L96" s="53">
        <v>5</v>
      </c>
      <c r="M96" s="53"/>
      <c r="N96" s="53">
        <v>6</v>
      </c>
      <c r="O96" s="53">
        <v>1</v>
      </c>
      <c r="P96" s="53">
        <v>7</v>
      </c>
      <c r="Q96" s="54">
        <v>2</v>
      </c>
      <c r="R96" s="55">
        <v>8</v>
      </c>
      <c r="S96" s="56">
        <v>3</v>
      </c>
      <c r="T96" s="56">
        <v>9</v>
      </c>
      <c r="U96" s="56">
        <v>4</v>
      </c>
      <c r="V96" s="18"/>
    </row>
    <row r="97" spans="1:22" ht="15.75" thickBot="1" x14ac:dyDescent="0.3">
      <c r="A97" s="17"/>
      <c r="B97" s="19"/>
      <c r="C97" s="20"/>
      <c r="D97" s="20"/>
      <c r="E97" s="20"/>
      <c r="F97" s="20"/>
      <c r="G97" s="20"/>
      <c r="H97" s="20"/>
      <c r="I97" s="21"/>
      <c r="J97" s="19"/>
      <c r="K97" s="20"/>
      <c r="L97" s="20"/>
      <c r="M97" s="20"/>
      <c r="N97" s="20"/>
      <c r="O97" s="20"/>
      <c r="P97" s="20"/>
      <c r="Q97" s="21"/>
      <c r="R97" s="22"/>
      <c r="S97" s="13"/>
      <c r="T97" s="13"/>
      <c r="U97" s="13"/>
      <c r="V97" s="18"/>
    </row>
    <row r="98" spans="1:22" ht="15.75" thickBot="1" x14ac:dyDescent="0.3">
      <c r="A98" s="23"/>
      <c r="B98" s="24"/>
      <c r="C98" s="24"/>
      <c r="D98" s="24"/>
      <c r="E98" s="24"/>
      <c r="F98" s="25"/>
      <c r="G98" s="24"/>
      <c r="H98" s="24"/>
      <c r="I98" s="24"/>
      <c r="J98" s="24"/>
      <c r="K98" s="25"/>
      <c r="L98" s="24"/>
      <c r="M98" s="25"/>
      <c r="N98" s="24"/>
      <c r="O98" s="25"/>
      <c r="P98" s="24"/>
      <c r="Q98" s="25"/>
      <c r="R98" s="26"/>
      <c r="S98" s="26"/>
      <c r="T98" s="26"/>
      <c r="U98" s="26"/>
      <c r="V98" s="27"/>
    </row>
    <row r="99" spans="1:22" ht="15.75" thickBot="1" x14ac:dyDescent="0.3">
      <c r="A99" s="28"/>
      <c r="B99" s="28"/>
      <c r="C99" s="28"/>
      <c r="D99" s="28"/>
      <c r="E99" s="28"/>
      <c r="F99" s="29"/>
      <c r="G99" s="28"/>
      <c r="H99" s="28"/>
      <c r="I99" s="28"/>
      <c r="J99" s="28"/>
      <c r="K99" s="29"/>
      <c r="L99" s="28"/>
      <c r="M99" s="29"/>
      <c r="N99" s="28"/>
      <c r="O99" s="29"/>
      <c r="P99" s="28"/>
      <c r="Q99" s="29"/>
      <c r="R99" s="28"/>
      <c r="S99" s="28"/>
      <c r="T99" s="28"/>
      <c r="U99" s="28"/>
      <c r="V99" s="30"/>
    </row>
    <row r="100" spans="1:22" ht="69.95" customHeight="1" thickBot="1" x14ac:dyDescent="0.3">
      <c r="A100" s="28"/>
      <c r="B100" s="39" t="str">
        <f>IF(Q100&gt;1,"Считыватель вх",IF(F100&lt;1,"","Считыватель вых"))</f>
        <v>Считыватель вых</v>
      </c>
      <c r="C100" s="40"/>
      <c r="D100" s="41"/>
      <c r="E100" s="41"/>
      <c r="F100" s="42">
        <v>4</v>
      </c>
      <c r="G100" s="42"/>
      <c r="H100" s="43"/>
      <c r="I100" s="44"/>
      <c r="J100" s="31"/>
      <c r="K100" s="32"/>
      <c r="L100" s="33"/>
      <c r="M100" s="33"/>
      <c r="N100" s="34"/>
      <c r="O100" s="32"/>
      <c r="P100" s="34"/>
      <c r="Q100" s="35"/>
      <c r="R100" s="45" t="s">
        <v>10</v>
      </c>
      <c r="S100" s="46"/>
      <c r="T100" s="46"/>
      <c r="U100" s="46"/>
      <c r="V100" s="46"/>
    </row>
    <row r="101" spans="1:22" x14ac:dyDescent="0.25">
      <c r="A101" s="28"/>
      <c r="B101" s="47">
        <f>IF(B100="Считыватель вых",B84,IF(B100="Считыватель вх",J101,""))</f>
        <v>0</v>
      </c>
      <c r="C101" s="48"/>
      <c r="D101" s="48"/>
      <c r="E101" s="48"/>
      <c r="F101" s="48"/>
      <c r="G101" s="48"/>
      <c r="H101" s="48"/>
      <c r="I101" s="48"/>
      <c r="J101" s="49" t="s">
        <v>13</v>
      </c>
      <c r="K101" s="48"/>
      <c r="L101" s="48"/>
      <c r="M101" s="48"/>
      <c r="N101" s="48"/>
      <c r="O101" s="48"/>
      <c r="P101" s="48"/>
      <c r="Q101" s="48"/>
      <c r="R101" s="50" t="s">
        <v>11</v>
      </c>
      <c r="S101" s="50"/>
      <c r="T101" s="50"/>
      <c r="U101" s="50"/>
      <c r="V101" s="50"/>
    </row>
    <row r="102" spans="1:22" s="68" customFormat="1" x14ac:dyDescent="0.25"/>
    <row r="103" spans="1:22" ht="18.75" x14ac:dyDescent="0.3">
      <c r="E103" s="1" t="s">
        <v>0</v>
      </c>
      <c r="G103" s="2"/>
      <c r="H103" s="2"/>
      <c r="I103" s="2"/>
      <c r="J103" s="2"/>
      <c r="K103" s="2"/>
      <c r="L103" s="2"/>
      <c r="M103" s="37" t="s">
        <v>1</v>
      </c>
      <c r="N103" s="3"/>
    </row>
    <row r="104" spans="1:22" ht="18.75" x14ac:dyDescent="0.3">
      <c r="E104" s="1" t="s">
        <v>2</v>
      </c>
      <c r="J104" s="4"/>
      <c r="K104" s="4"/>
      <c r="L104" s="4"/>
      <c r="M104" s="37" t="s">
        <v>3</v>
      </c>
      <c r="N104" s="5"/>
    </row>
    <row r="105" spans="1:22" ht="18.75" x14ac:dyDescent="0.3">
      <c r="E105" t="s">
        <v>4</v>
      </c>
      <c r="H105" s="2"/>
      <c r="I105" s="2"/>
      <c r="J105" s="2"/>
      <c r="K105" s="2"/>
      <c r="L105" s="2"/>
      <c r="M105" s="38" t="s">
        <v>3</v>
      </c>
      <c r="N105" s="6"/>
    </row>
    <row r="106" spans="1:22" ht="18.75" x14ac:dyDescent="0.3">
      <c r="E106" t="s">
        <v>5</v>
      </c>
      <c r="L106" s="4"/>
      <c r="M106" s="38" t="s">
        <v>6</v>
      </c>
      <c r="N106" s="6"/>
      <c r="O106" s="6"/>
    </row>
    <row r="107" spans="1:22" ht="18.75" x14ac:dyDescent="0.3">
      <c r="E107" s="7" t="s">
        <v>7</v>
      </c>
      <c r="I107" s="2"/>
      <c r="J107" s="2"/>
      <c r="K107" s="2"/>
      <c r="L107" s="2"/>
      <c r="M107" s="38" t="s">
        <v>3</v>
      </c>
      <c r="N107" s="6"/>
    </row>
    <row r="108" spans="1:22" ht="15.75" thickBot="1" x14ac:dyDescent="0.3">
      <c r="E108" s="59" t="s">
        <v>8</v>
      </c>
      <c r="F108" s="59"/>
      <c r="G108" s="59"/>
      <c r="H108" s="59"/>
      <c r="I108" s="8"/>
      <c r="J108" s="8"/>
      <c r="K108" s="8"/>
      <c r="L108" s="8"/>
      <c r="M108" s="28" t="s">
        <v>3</v>
      </c>
      <c r="N108" s="36"/>
      <c r="O108" s="36"/>
    </row>
    <row r="109" spans="1:22" x14ac:dyDescent="0.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4"/>
    </row>
    <row r="111" spans="1:22" x14ac:dyDescent="0.25">
      <c r="A111" s="15"/>
      <c r="B111" s="61" t="s">
        <v>9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55"/>
      <c r="V111" s="16"/>
    </row>
    <row r="112" spans="1:22" ht="15.75" thickBot="1" x14ac:dyDescent="0.3">
      <c r="A112" s="17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16"/>
    </row>
    <row r="113" spans="1:22" x14ac:dyDescent="0.25">
      <c r="A113" s="17"/>
      <c r="B113" s="52">
        <v>0</v>
      </c>
      <c r="C113" s="53"/>
      <c r="D113" s="53">
        <v>1</v>
      </c>
      <c r="E113" s="53">
        <v>1</v>
      </c>
      <c r="F113" s="53">
        <v>2</v>
      </c>
      <c r="G113" s="53">
        <v>2</v>
      </c>
      <c r="H113" s="53">
        <v>3</v>
      </c>
      <c r="I113" s="54">
        <v>3</v>
      </c>
      <c r="J113" s="52">
        <v>4</v>
      </c>
      <c r="K113" s="53">
        <v>4</v>
      </c>
      <c r="L113" s="53">
        <v>5</v>
      </c>
      <c r="M113" s="53"/>
      <c r="N113" s="53">
        <v>6</v>
      </c>
      <c r="O113" s="53">
        <v>1</v>
      </c>
      <c r="P113" s="53">
        <v>7</v>
      </c>
      <c r="Q113" s="54">
        <v>2</v>
      </c>
      <c r="R113" s="55">
        <v>8</v>
      </c>
      <c r="S113" s="56">
        <v>3</v>
      </c>
      <c r="T113" s="56">
        <v>9</v>
      </c>
      <c r="U113" s="56">
        <v>4</v>
      </c>
      <c r="V113" s="18"/>
    </row>
    <row r="114" spans="1:22" ht="15.75" thickBot="1" x14ac:dyDescent="0.3">
      <c r="A114" s="17"/>
      <c r="B114" s="19"/>
      <c r="C114" s="20"/>
      <c r="D114" s="20"/>
      <c r="E114" s="20"/>
      <c r="F114" s="20"/>
      <c r="G114" s="20"/>
      <c r="H114" s="20"/>
      <c r="I114" s="21"/>
      <c r="J114" s="19"/>
      <c r="K114" s="20"/>
      <c r="L114" s="20"/>
      <c r="M114" s="20"/>
      <c r="N114" s="20"/>
      <c r="O114" s="20"/>
      <c r="P114" s="20"/>
      <c r="Q114" s="21"/>
      <c r="R114" s="22"/>
      <c r="S114" s="13"/>
      <c r="T114" s="13"/>
      <c r="U114" s="13"/>
      <c r="V114" s="18"/>
    </row>
    <row r="115" spans="1:22" ht="15.75" thickBot="1" x14ac:dyDescent="0.3">
      <c r="A115" s="23"/>
      <c r="B115" s="24"/>
      <c r="C115" s="24"/>
      <c r="D115" s="24"/>
      <c r="E115" s="24"/>
      <c r="F115" s="25"/>
      <c r="G115" s="24"/>
      <c r="H115" s="24"/>
      <c r="I115" s="24"/>
      <c r="J115" s="24"/>
      <c r="K115" s="25"/>
      <c r="L115" s="24"/>
      <c r="M115" s="25"/>
      <c r="N115" s="24"/>
      <c r="O115" s="25"/>
      <c r="P115" s="24"/>
      <c r="Q115" s="25"/>
      <c r="R115" s="26"/>
      <c r="S115" s="26"/>
      <c r="T115" s="26"/>
      <c r="U115" s="26"/>
      <c r="V115" s="27"/>
    </row>
    <row r="116" spans="1:22" ht="15.75" thickBot="1" x14ac:dyDescent="0.3">
      <c r="A116" s="28"/>
      <c r="B116" s="28"/>
      <c r="C116" s="28"/>
      <c r="D116" s="28"/>
      <c r="E116" s="28"/>
      <c r="F116" s="29"/>
      <c r="G116" s="28"/>
      <c r="H116" s="28"/>
      <c r="I116" s="28"/>
      <c r="J116" s="28"/>
      <c r="K116" s="29"/>
      <c r="L116" s="28"/>
      <c r="M116" s="29"/>
      <c r="N116" s="28"/>
      <c r="O116" s="29"/>
      <c r="P116" s="28"/>
      <c r="Q116" s="29"/>
      <c r="R116" s="28"/>
      <c r="S116" s="28"/>
      <c r="T116" s="28"/>
      <c r="U116" s="28"/>
      <c r="V116" s="30"/>
    </row>
    <row r="117" spans="1:22" ht="69.95" customHeight="1" thickBot="1" x14ac:dyDescent="0.3">
      <c r="A117" s="28"/>
      <c r="B117" s="39" t="str">
        <f>IF(Q117&gt;1,"Считыватель вх",IF(F117&lt;1,"","Считыватель вх"))</f>
        <v>Считыватель вх</v>
      </c>
      <c r="C117" s="40"/>
      <c r="D117" s="41"/>
      <c r="E117" s="41"/>
      <c r="F117" s="42">
        <v>1</v>
      </c>
      <c r="G117" s="42"/>
      <c r="H117" s="43"/>
      <c r="I117" s="44"/>
      <c r="J117" s="31"/>
      <c r="K117" s="32"/>
      <c r="L117" s="33"/>
      <c r="M117" s="33"/>
      <c r="N117" s="34"/>
      <c r="O117" s="32"/>
      <c r="P117" s="34"/>
      <c r="Q117" s="35"/>
      <c r="R117" s="45" t="s">
        <v>10</v>
      </c>
      <c r="S117" s="46"/>
      <c r="T117" s="46"/>
      <c r="U117" s="46"/>
      <c r="V117" s="46"/>
    </row>
    <row r="118" spans="1:22" x14ac:dyDescent="0.25">
      <c r="A118" s="28"/>
      <c r="B118" s="49"/>
      <c r="C118" s="57"/>
      <c r="D118" s="57"/>
      <c r="E118" s="57"/>
      <c r="F118" s="57"/>
      <c r="G118" s="57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50" t="s">
        <v>11</v>
      </c>
      <c r="S118" s="50"/>
      <c r="T118" s="50"/>
      <c r="U118" s="50"/>
      <c r="V118" s="50"/>
    </row>
    <row r="119" spans="1:22" s="68" customFormat="1" x14ac:dyDescent="0.25"/>
    <row r="120" spans="1:22" ht="18.75" x14ac:dyDescent="0.3">
      <c r="E120" s="1" t="s">
        <v>0</v>
      </c>
      <c r="G120" s="2"/>
      <c r="H120" s="2"/>
      <c r="I120" s="2"/>
      <c r="J120" s="2"/>
      <c r="K120" s="2"/>
      <c r="L120" s="2"/>
      <c r="M120" s="37" t="s">
        <v>1</v>
      </c>
      <c r="N120" s="3"/>
    </row>
    <row r="121" spans="1:22" ht="18.75" x14ac:dyDescent="0.3">
      <c r="E121" s="1" t="s">
        <v>2</v>
      </c>
      <c r="J121" s="4"/>
      <c r="K121" s="4"/>
      <c r="L121" s="4"/>
      <c r="M121" s="37" t="s">
        <v>3</v>
      </c>
      <c r="N121" s="5"/>
    </row>
    <row r="122" spans="1:22" ht="18.75" x14ac:dyDescent="0.3">
      <c r="E122" t="s">
        <v>4</v>
      </c>
      <c r="H122" s="2"/>
      <c r="I122" s="2"/>
      <c r="J122" s="2"/>
      <c r="K122" s="2"/>
      <c r="L122" s="2"/>
      <c r="M122" s="38" t="s">
        <v>3</v>
      </c>
      <c r="N122" s="6"/>
    </row>
    <row r="123" spans="1:22" ht="18.75" x14ac:dyDescent="0.3">
      <c r="E123" t="s">
        <v>5</v>
      </c>
      <c r="L123" s="4"/>
      <c r="M123" s="38" t="s">
        <v>6</v>
      </c>
      <c r="N123" s="58"/>
      <c r="O123" s="58"/>
    </row>
    <row r="124" spans="1:22" ht="18.75" x14ac:dyDescent="0.3">
      <c r="E124" s="7" t="s">
        <v>7</v>
      </c>
      <c r="I124" s="2"/>
      <c r="J124" s="2"/>
      <c r="K124" s="2"/>
      <c r="L124" s="2"/>
      <c r="M124" s="38" t="s">
        <v>3</v>
      </c>
      <c r="N124" s="6"/>
    </row>
    <row r="125" spans="1:22" ht="15.75" thickBot="1" x14ac:dyDescent="0.3">
      <c r="E125" s="59" t="s">
        <v>8</v>
      </c>
      <c r="F125" s="59"/>
      <c r="G125" s="59"/>
      <c r="H125" s="59"/>
      <c r="I125" s="8"/>
      <c r="J125" s="8"/>
      <c r="K125" s="8"/>
      <c r="L125" s="8"/>
      <c r="M125" s="28" t="s">
        <v>3</v>
      </c>
      <c r="N125" s="60"/>
      <c r="O125" s="60"/>
    </row>
    <row r="126" spans="1:22" x14ac:dyDescent="0.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x14ac:dyDescent="0.25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4"/>
    </row>
    <row r="128" spans="1:22" x14ac:dyDescent="0.25">
      <c r="A128" s="15"/>
      <c r="B128" s="61" t="s">
        <v>12</v>
      </c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55"/>
      <c r="V128" s="16"/>
    </row>
    <row r="129" spans="1:22" ht="15.75" thickBot="1" x14ac:dyDescent="0.3">
      <c r="A129" s="17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16"/>
    </row>
    <row r="130" spans="1:22" x14ac:dyDescent="0.25">
      <c r="A130" s="17"/>
      <c r="B130" s="52">
        <v>0</v>
      </c>
      <c r="C130" s="53"/>
      <c r="D130" s="53">
        <v>1</v>
      </c>
      <c r="E130" s="53">
        <v>1</v>
      </c>
      <c r="F130" s="53">
        <v>2</v>
      </c>
      <c r="G130" s="53">
        <v>2</v>
      </c>
      <c r="H130" s="53">
        <v>3</v>
      </c>
      <c r="I130" s="54">
        <v>3</v>
      </c>
      <c r="J130" s="52">
        <v>4</v>
      </c>
      <c r="K130" s="53">
        <v>4</v>
      </c>
      <c r="L130" s="53">
        <v>5</v>
      </c>
      <c r="M130" s="53"/>
      <c r="N130" s="53">
        <v>6</v>
      </c>
      <c r="O130" s="53">
        <v>1</v>
      </c>
      <c r="P130" s="53">
        <v>7</v>
      </c>
      <c r="Q130" s="54">
        <v>2</v>
      </c>
      <c r="R130" s="55">
        <v>8</v>
      </c>
      <c r="S130" s="56">
        <v>3</v>
      </c>
      <c r="T130" s="56">
        <v>9</v>
      </c>
      <c r="U130" s="56">
        <v>4</v>
      </c>
      <c r="V130" s="18"/>
    </row>
    <row r="131" spans="1:22" ht="15.75" thickBot="1" x14ac:dyDescent="0.3">
      <c r="A131" s="17"/>
      <c r="B131" s="19"/>
      <c r="C131" s="20"/>
      <c r="D131" s="20"/>
      <c r="E131" s="20"/>
      <c r="F131" s="20"/>
      <c r="G131" s="20"/>
      <c r="H131" s="20"/>
      <c r="I131" s="21"/>
      <c r="J131" s="19"/>
      <c r="K131" s="20"/>
      <c r="L131" s="20"/>
      <c r="M131" s="20"/>
      <c r="N131" s="20"/>
      <c r="O131" s="20"/>
      <c r="P131" s="20"/>
      <c r="Q131" s="21"/>
      <c r="R131" s="22"/>
      <c r="S131" s="13"/>
      <c r="T131" s="13"/>
      <c r="U131" s="13"/>
      <c r="V131" s="18"/>
    </row>
    <row r="132" spans="1:22" ht="15.75" thickBot="1" x14ac:dyDescent="0.3">
      <c r="A132" s="23"/>
      <c r="B132" s="24"/>
      <c r="C132" s="24"/>
      <c r="D132" s="24"/>
      <c r="E132" s="24"/>
      <c r="F132" s="25"/>
      <c r="G132" s="24"/>
      <c r="H132" s="24"/>
      <c r="I132" s="24"/>
      <c r="J132" s="24"/>
      <c r="K132" s="25"/>
      <c r="L132" s="24"/>
      <c r="M132" s="25"/>
      <c r="N132" s="24"/>
      <c r="O132" s="25"/>
      <c r="P132" s="24"/>
      <c r="Q132" s="25"/>
      <c r="R132" s="26"/>
      <c r="S132" s="26"/>
      <c r="T132" s="26"/>
      <c r="U132" s="26"/>
      <c r="V132" s="27"/>
    </row>
    <row r="133" spans="1:22" ht="15.75" thickBot="1" x14ac:dyDescent="0.3">
      <c r="A133" s="28"/>
      <c r="B133" s="28"/>
      <c r="C133" s="28"/>
      <c r="D133" s="28"/>
      <c r="E133" s="28"/>
      <c r="F133" s="29"/>
      <c r="G133" s="28"/>
      <c r="H133" s="28"/>
      <c r="I133" s="28"/>
      <c r="J133" s="28"/>
      <c r="K133" s="29"/>
      <c r="L133" s="28"/>
      <c r="M133" s="29"/>
      <c r="N133" s="28"/>
      <c r="O133" s="29"/>
      <c r="P133" s="28"/>
      <c r="Q133" s="29"/>
      <c r="R133" s="28"/>
      <c r="S133" s="28"/>
      <c r="T133" s="28"/>
      <c r="U133" s="28"/>
      <c r="V133" s="30"/>
    </row>
    <row r="134" spans="1:22" ht="69.95" customHeight="1" thickBot="1" x14ac:dyDescent="0.3">
      <c r="A134" s="28"/>
      <c r="B134" s="39" t="str">
        <f>IF(Q134&gt;1,"Считыватель вх",IF(F134&lt;1,"","Считыватель вых"))</f>
        <v>Считыватель вых</v>
      </c>
      <c r="C134" s="40"/>
      <c r="D134" s="41"/>
      <c r="E134" s="41"/>
      <c r="F134" s="42">
        <v>4</v>
      </c>
      <c r="G134" s="42"/>
      <c r="H134" s="43"/>
      <c r="I134" s="44"/>
      <c r="J134" s="31"/>
      <c r="K134" s="32"/>
      <c r="L134" s="33"/>
      <c r="M134" s="33"/>
      <c r="N134" s="34"/>
      <c r="O134" s="32"/>
      <c r="P134" s="34"/>
      <c r="Q134" s="35"/>
      <c r="R134" s="45" t="s">
        <v>10</v>
      </c>
      <c r="S134" s="46"/>
      <c r="T134" s="46"/>
      <c r="U134" s="46"/>
      <c r="V134" s="46"/>
    </row>
    <row r="135" spans="1:22" x14ac:dyDescent="0.25">
      <c r="A135" s="28"/>
      <c r="B135" s="47">
        <f>IF(B134="Считыватель вых",B118,IF(B134="Считыватель вх",J135,""))</f>
        <v>0</v>
      </c>
      <c r="C135" s="48"/>
      <c r="D135" s="48"/>
      <c r="E135" s="48"/>
      <c r="F135" s="48"/>
      <c r="G135" s="48"/>
      <c r="H135" s="48"/>
      <c r="I135" s="48"/>
      <c r="J135" s="49" t="s">
        <v>13</v>
      </c>
      <c r="K135" s="48"/>
      <c r="L135" s="48"/>
      <c r="M135" s="48"/>
      <c r="N135" s="48"/>
      <c r="O135" s="48"/>
      <c r="P135" s="48"/>
      <c r="Q135" s="48"/>
      <c r="R135" s="50" t="s">
        <v>11</v>
      </c>
      <c r="S135" s="50"/>
      <c r="T135" s="50"/>
      <c r="U135" s="50"/>
      <c r="V135" s="50"/>
    </row>
    <row r="136" spans="1:22" s="68" customFormat="1" x14ac:dyDescent="0.25"/>
    <row r="137" spans="1:22" ht="18.75" x14ac:dyDescent="0.3">
      <c r="E137" s="1" t="s">
        <v>0</v>
      </c>
      <c r="G137" s="2"/>
      <c r="H137" s="2"/>
      <c r="I137" s="2"/>
      <c r="J137" s="2"/>
      <c r="K137" s="2"/>
      <c r="L137" s="2"/>
      <c r="M137" s="37" t="s">
        <v>1</v>
      </c>
      <c r="N137" s="3"/>
    </row>
    <row r="138" spans="1:22" ht="18.75" x14ac:dyDescent="0.3">
      <c r="E138" s="1" t="s">
        <v>2</v>
      </c>
      <c r="J138" s="4"/>
      <c r="K138" s="4"/>
      <c r="L138" s="4"/>
      <c r="M138" s="37" t="s">
        <v>3</v>
      </c>
      <c r="N138" s="5"/>
    </row>
    <row r="139" spans="1:22" ht="18.75" x14ac:dyDescent="0.3">
      <c r="E139" t="s">
        <v>4</v>
      </c>
      <c r="H139" s="2"/>
      <c r="I139" s="2"/>
      <c r="J139" s="2"/>
      <c r="K139" s="2"/>
      <c r="L139" s="2"/>
      <c r="M139" s="38" t="s">
        <v>3</v>
      </c>
      <c r="N139" s="6"/>
    </row>
    <row r="140" spans="1:22" ht="18.75" x14ac:dyDescent="0.3">
      <c r="E140" t="s">
        <v>5</v>
      </c>
      <c r="L140" s="4"/>
      <c r="M140" s="38" t="s">
        <v>6</v>
      </c>
      <c r="N140" s="6"/>
      <c r="O140" s="6"/>
    </row>
    <row r="141" spans="1:22" ht="18.75" x14ac:dyDescent="0.3">
      <c r="E141" s="7" t="s">
        <v>7</v>
      </c>
      <c r="I141" s="2"/>
      <c r="J141" s="2"/>
      <c r="K141" s="2"/>
      <c r="L141" s="2"/>
      <c r="M141" s="38" t="s">
        <v>3</v>
      </c>
      <c r="N141" s="6"/>
    </row>
    <row r="142" spans="1:22" ht="15.75" thickBot="1" x14ac:dyDescent="0.3">
      <c r="E142" s="59" t="s">
        <v>8</v>
      </c>
      <c r="F142" s="59"/>
      <c r="G142" s="59"/>
      <c r="H142" s="59"/>
      <c r="I142" s="8"/>
      <c r="J142" s="8"/>
      <c r="K142" s="8"/>
      <c r="L142" s="8"/>
      <c r="M142" s="28" t="s">
        <v>3</v>
      </c>
      <c r="N142" s="36"/>
      <c r="O142" s="36"/>
    </row>
    <row r="143" spans="1:22" x14ac:dyDescent="0.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x14ac:dyDescent="0.25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4"/>
    </row>
    <row r="145" spans="1:22" x14ac:dyDescent="0.25">
      <c r="A145" s="15"/>
      <c r="B145" s="61" t="s">
        <v>9</v>
      </c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55"/>
      <c r="V145" s="16"/>
    </row>
    <row r="146" spans="1:22" ht="15.75" thickBot="1" x14ac:dyDescent="0.3">
      <c r="A146" s="17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16"/>
    </row>
    <row r="147" spans="1:22" x14ac:dyDescent="0.25">
      <c r="A147" s="17"/>
      <c r="B147" s="52">
        <v>0</v>
      </c>
      <c r="C147" s="53"/>
      <c r="D147" s="53">
        <v>1</v>
      </c>
      <c r="E147" s="53">
        <v>1</v>
      </c>
      <c r="F147" s="53">
        <v>2</v>
      </c>
      <c r="G147" s="53">
        <v>2</v>
      </c>
      <c r="H147" s="53">
        <v>3</v>
      </c>
      <c r="I147" s="54">
        <v>3</v>
      </c>
      <c r="J147" s="52">
        <v>4</v>
      </c>
      <c r="K147" s="53">
        <v>4</v>
      </c>
      <c r="L147" s="53">
        <v>5</v>
      </c>
      <c r="M147" s="53"/>
      <c r="N147" s="53">
        <v>6</v>
      </c>
      <c r="O147" s="53">
        <v>1</v>
      </c>
      <c r="P147" s="53">
        <v>7</v>
      </c>
      <c r="Q147" s="54">
        <v>2</v>
      </c>
      <c r="R147" s="55">
        <v>8</v>
      </c>
      <c r="S147" s="56">
        <v>3</v>
      </c>
      <c r="T147" s="56">
        <v>9</v>
      </c>
      <c r="U147" s="56">
        <v>4</v>
      </c>
      <c r="V147" s="18"/>
    </row>
    <row r="148" spans="1:22" ht="15.75" thickBot="1" x14ac:dyDescent="0.3">
      <c r="A148" s="17"/>
      <c r="B148" s="19"/>
      <c r="C148" s="20"/>
      <c r="D148" s="20"/>
      <c r="E148" s="20"/>
      <c r="F148" s="20"/>
      <c r="G148" s="20"/>
      <c r="H148" s="20"/>
      <c r="I148" s="21"/>
      <c r="J148" s="19"/>
      <c r="K148" s="20"/>
      <c r="L148" s="20"/>
      <c r="M148" s="20"/>
      <c r="N148" s="20"/>
      <c r="O148" s="20"/>
      <c r="P148" s="20"/>
      <c r="Q148" s="21"/>
      <c r="R148" s="22"/>
      <c r="S148" s="13"/>
      <c r="T148" s="13"/>
      <c r="U148" s="13"/>
      <c r="V148" s="18"/>
    </row>
    <row r="149" spans="1:22" ht="15.75" thickBot="1" x14ac:dyDescent="0.3">
      <c r="A149" s="23"/>
      <c r="B149" s="24"/>
      <c r="C149" s="24"/>
      <c r="D149" s="24"/>
      <c r="E149" s="24"/>
      <c r="F149" s="25"/>
      <c r="G149" s="24"/>
      <c r="H149" s="24"/>
      <c r="I149" s="24"/>
      <c r="J149" s="24"/>
      <c r="K149" s="25"/>
      <c r="L149" s="24"/>
      <c r="M149" s="25"/>
      <c r="N149" s="24"/>
      <c r="O149" s="25"/>
      <c r="P149" s="24"/>
      <c r="Q149" s="25"/>
      <c r="R149" s="26"/>
      <c r="S149" s="26"/>
      <c r="T149" s="26"/>
      <c r="U149" s="26"/>
      <c r="V149" s="27"/>
    </row>
    <row r="150" spans="1:22" ht="15.75" thickBot="1" x14ac:dyDescent="0.3">
      <c r="A150" s="28"/>
      <c r="B150" s="28"/>
      <c r="C150" s="28"/>
      <c r="D150" s="28"/>
      <c r="E150" s="28"/>
      <c r="F150" s="29"/>
      <c r="G150" s="28"/>
      <c r="H150" s="28"/>
      <c r="I150" s="28"/>
      <c r="J150" s="28"/>
      <c r="K150" s="29"/>
      <c r="L150" s="28"/>
      <c r="M150" s="29"/>
      <c r="N150" s="28"/>
      <c r="O150" s="29"/>
      <c r="P150" s="28"/>
      <c r="Q150" s="29"/>
      <c r="R150" s="28"/>
      <c r="S150" s="28"/>
      <c r="T150" s="28"/>
      <c r="U150" s="28"/>
      <c r="V150" s="30"/>
    </row>
    <row r="151" spans="1:22" ht="69.95" customHeight="1" thickBot="1" x14ac:dyDescent="0.3">
      <c r="A151" s="28"/>
      <c r="B151" s="39" t="str">
        <f>IF(Q151&gt;1,"Считыватель вх",IF(F151&lt;1,"","Считыватель вх"))</f>
        <v>Считыватель вх</v>
      </c>
      <c r="C151" s="40"/>
      <c r="D151" s="41"/>
      <c r="E151" s="41"/>
      <c r="F151" s="42">
        <v>1</v>
      </c>
      <c r="G151" s="42"/>
      <c r="H151" s="43"/>
      <c r="I151" s="44"/>
      <c r="J151" s="31"/>
      <c r="K151" s="32"/>
      <c r="L151" s="33"/>
      <c r="M151" s="33"/>
      <c r="N151" s="34"/>
      <c r="O151" s="32"/>
      <c r="P151" s="34"/>
      <c r="Q151" s="35"/>
      <c r="R151" s="45" t="s">
        <v>10</v>
      </c>
      <c r="S151" s="46"/>
      <c r="T151" s="46"/>
      <c r="U151" s="46"/>
      <c r="V151" s="46"/>
    </row>
    <row r="152" spans="1:22" x14ac:dyDescent="0.25">
      <c r="A152" s="28"/>
      <c r="B152" s="49"/>
      <c r="C152" s="57"/>
      <c r="D152" s="57"/>
      <c r="E152" s="57"/>
      <c r="F152" s="57"/>
      <c r="G152" s="57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50" t="s">
        <v>11</v>
      </c>
      <c r="S152" s="50"/>
      <c r="T152" s="50"/>
      <c r="U152" s="50"/>
      <c r="V152" s="50"/>
    </row>
    <row r="153" spans="1:22" s="68" customFormat="1" x14ac:dyDescent="0.25"/>
    <row r="154" spans="1:22" ht="18.75" x14ac:dyDescent="0.3">
      <c r="E154" s="1" t="s">
        <v>0</v>
      </c>
      <c r="G154" s="2"/>
      <c r="H154" s="2"/>
      <c r="I154" s="2"/>
      <c r="J154" s="2"/>
      <c r="K154" s="2"/>
      <c r="L154" s="2"/>
      <c r="M154" s="37" t="s">
        <v>1</v>
      </c>
      <c r="N154" s="3"/>
    </row>
    <row r="155" spans="1:22" ht="18.75" x14ac:dyDescent="0.3">
      <c r="E155" s="1" t="s">
        <v>2</v>
      </c>
      <c r="J155" s="4"/>
      <c r="K155" s="4"/>
      <c r="L155" s="4"/>
      <c r="M155" s="37" t="s">
        <v>3</v>
      </c>
      <c r="N155" s="5"/>
    </row>
    <row r="156" spans="1:22" ht="18.75" x14ac:dyDescent="0.3">
      <c r="E156" t="s">
        <v>4</v>
      </c>
      <c r="H156" s="2"/>
      <c r="I156" s="2"/>
      <c r="J156" s="2"/>
      <c r="K156" s="2"/>
      <c r="L156" s="2"/>
      <c r="M156" s="38" t="s">
        <v>3</v>
      </c>
      <c r="N156" s="6"/>
    </row>
    <row r="157" spans="1:22" ht="18.75" x14ac:dyDescent="0.3">
      <c r="E157" t="s">
        <v>5</v>
      </c>
      <c r="L157" s="4"/>
      <c r="M157" s="38" t="s">
        <v>6</v>
      </c>
      <c r="N157" s="58"/>
      <c r="O157" s="58"/>
    </row>
    <row r="158" spans="1:22" ht="18.75" x14ac:dyDescent="0.3">
      <c r="E158" s="7" t="s">
        <v>7</v>
      </c>
      <c r="I158" s="2"/>
      <c r="J158" s="2"/>
      <c r="K158" s="2"/>
      <c r="L158" s="2"/>
      <c r="M158" s="38" t="s">
        <v>3</v>
      </c>
      <c r="N158" s="6"/>
    </row>
    <row r="159" spans="1:22" ht="15.75" thickBot="1" x14ac:dyDescent="0.3">
      <c r="E159" s="59" t="s">
        <v>8</v>
      </c>
      <c r="F159" s="59"/>
      <c r="G159" s="59"/>
      <c r="H159" s="59"/>
      <c r="I159" s="8"/>
      <c r="J159" s="8"/>
      <c r="K159" s="8"/>
      <c r="L159" s="8"/>
      <c r="M159" s="28" t="s">
        <v>3</v>
      </c>
      <c r="N159" s="60"/>
      <c r="O159" s="60"/>
    </row>
    <row r="160" spans="1:22" x14ac:dyDescent="0.2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4"/>
    </row>
    <row r="162" spans="1:22" x14ac:dyDescent="0.25">
      <c r="A162" s="15"/>
      <c r="B162" s="61" t="s">
        <v>12</v>
      </c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55"/>
      <c r="V162" s="16"/>
    </row>
    <row r="163" spans="1:22" ht="15.75" thickBot="1" x14ac:dyDescent="0.3">
      <c r="A163" s="17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16"/>
    </row>
    <row r="164" spans="1:22" x14ac:dyDescent="0.25">
      <c r="A164" s="17"/>
      <c r="B164" s="52">
        <v>0</v>
      </c>
      <c r="C164" s="53"/>
      <c r="D164" s="53">
        <v>1</v>
      </c>
      <c r="E164" s="53">
        <v>1</v>
      </c>
      <c r="F164" s="53">
        <v>2</v>
      </c>
      <c r="G164" s="53">
        <v>2</v>
      </c>
      <c r="H164" s="53">
        <v>3</v>
      </c>
      <c r="I164" s="54">
        <v>3</v>
      </c>
      <c r="J164" s="52">
        <v>4</v>
      </c>
      <c r="K164" s="53">
        <v>4</v>
      </c>
      <c r="L164" s="53">
        <v>5</v>
      </c>
      <c r="M164" s="53"/>
      <c r="N164" s="53">
        <v>6</v>
      </c>
      <c r="O164" s="53">
        <v>1</v>
      </c>
      <c r="P164" s="53">
        <v>7</v>
      </c>
      <c r="Q164" s="54">
        <v>2</v>
      </c>
      <c r="R164" s="55">
        <v>8</v>
      </c>
      <c r="S164" s="56">
        <v>3</v>
      </c>
      <c r="T164" s="56">
        <v>9</v>
      </c>
      <c r="U164" s="56">
        <v>4</v>
      </c>
      <c r="V164" s="18"/>
    </row>
    <row r="165" spans="1:22" ht="15.75" thickBot="1" x14ac:dyDescent="0.3">
      <c r="A165" s="17"/>
      <c r="B165" s="19"/>
      <c r="C165" s="20"/>
      <c r="D165" s="20"/>
      <c r="E165" s="20"/>
      <c r="F165" s="20"/>
      <c r="G165" s="20"/>
      <c r="H165" s="20"/>
      <c r="I165" s="21"/>
      <c r="J165" s="19"/>
      <c r="K165" s="20"/>
      <c r="L165" s="20"/>
      <c r="M165" s="20"/>
      <c r="N165" s="20"/>
      <c r="O165" s="20"/>
      <c r="P165" s="20"/>
      <c r="Q165" s="21"/>
      <c r="R165" s="22"/>
      <c r="S165" s="13"/>
      <c r="T165" s="13"/>
      <c r="U165" s="13"/>
      <c r="V165" s="18"/>
    </row>
    <row r="166" spans="1:22" ht="15.75" thickBot="1" x14ac:dyDescent="0.3">
      <c r="A166" s="23"/>
      <c r="B166" s="24"/>
      <c r="C166" s="24"/>
      <c r="D166" s="24"/>
      <c r="E166" s="24"/>
      <c r="F166" s="25"/>
      <c r="G166" s="24"/>
      <c r="H166" s="24"/>
      <c r="I166" s="24"/>
      <c r="J166" s="24"/>
      <c r="K166" s="25"/>
      <c r="L166" s="24"/>
      <c r="M166" s="25"/>
      <c r="N166" s="24"/>
      <c r="O166" s="25"/>
      <c r="P166" s="24"/>
      <c r="Q166" s="25"/>
      <c r="R166" s="26"/>
      <c r="S166" s="26"/>
      <c r="T166" s="26"/>
      <c r="U166" s="26"/>
      <c r="V166" s="27"/>
    </row>
    <row r="167" spans="1:22" ht="15.75" thickBot="1" x14ac:dyDescent="0.3">
      <c r="A167" s="28"/>
      <c r="B167" s="28"/>
      <c r="C167" s="28"/>
      <c r="D167" s="28"/>
      <c r="E167" s="28"/>
      <c r="F167" s="29"/>
      <c r="G167" s="28"/>
      <c r="H167" s="28"/>
      <c r="I167" s="28"/>
      <c r="J167" s="28"/>
      <c r="K167" s="29"/>
      <c r="L167" s="28"/>
      <c r="M167" s="29"/>
      <c r="N167" s="28"/>
      <c r="O167" s="29"/>
      <c r="P167" s="28"/>
      <c r="Q167" s="29"/>
      <c r="R167" s="28"/>
      <c r="S167" s="28"/>
      <c r="T167" s="28"/>
      <c r="U167" s="28"/>
      <c r="V167" s="30"/>
    </row>
    <row r="168" spans="1:22" ht="69.95" customHeight="1" thickBot="1" x14ac:dyDescent="0.3">
      <c r="A168" s="28"/>
      <c r="B168" s="39" t="str">
        <f>IF(Q168&gt;1,"Считыватель вх",IF(F168&lt;1,"","Считыватель вых"))</f>
        <v>Считыватель вых</v>
      </c>
      <c r="C168" s="40"/>
      <c r="D168" s="41"/>
      <c r="E168" s="41"/>
      <c r="F168" s="42">
        <v>4</v>
      </c>
      <c r="G168" s="42"/>
      <c r="H168" s="43"/>
      <c r="I168" s="44"/>
      <c r="J168" s="31"/>
      <c r="K168" s="32"/>
      <c r="L168" s="33"/>
      <c r="M168" s="33"/>
      <c r="N168" s="34"/>
      <c r="O168" s="32"/>
      <c r="P168" s="34"/>
      <c r="Q168" s="35"/>
      <c r="R168" s="45" t="s">
        <v>10</v>
      </c>
      <c r="S168" s="46"/>
      <c r="T168" s="46"/>
      <c r="U168" s="46"/>
      <c r="V168" s="46"/>
    </row>
    <row r="169" spans="1:22" x14ac:dyDescent="0.25">
      <c r="A169" s="28"/>
      <c r="B169" s="47">
        <f>IF(B168="Считыватель вых",B152,IF(B168="Считыватель вх",J169,""))</f>
        <v>0</v>
      </c>
      <c r="C169" s="48"/>
      <c r="D169" s="48"/>
      <c r="E169" s="48"/>
      <c r="F169" s="48"/>
      <c r="G169" s="48"/>
      <c r="H169" s="48"/>
      <c r="I169" s="48"/>
      <c r="J169" s="49" t="s">
        <v>13</v>
      </c>
      <c r="K169" s="48"/>
      <c r="L169" s="48"/>
      <c r="M169" s="48"/>
      <c r="N169" s="48"/>
      <c r="O169" s="48"/>
      <c r="P169" s="48"/>
      <c r="Q169" s="48"/>
      <c r="R169" s="50" t="s">
        <v>11</v>
      </c>
      <c r="S169" s="50"/>
      <c r="T169" s="50"/>
      <c r="U169" s="50"/>
      <c r="V169" s="50"/>
    </row>
    <row r="170" spans="1:22" s="68" customFormat="1" x14ac:dyDescent="0.25"/>
    <row r="171" spans="1:22" ht="18.75" x14ac:dyDescent="0.3">
      <c r="E171" s="1" t="s">
        <v>0</v>
      </c>
      <c r="G171" s="2"/>
      <c r="H171" s="2"/>
      <c r="I171" s="2"/>
      <c r="J171" s="2"/>
      <c r="K171" s="2"/>
      <c r="L171" s="2"/>
      <c r="M171" s="37" t="s">
        <v>1</v>
      </c>
      <c r="N171" s="3"/>
    </row>
    <row r="172" spans="1:22" ht="18.75" x14ac:dyDescent="0.3">
      <c r="E172" s="1" t="s">
        <v>2</v>
      </c>
      <c r="J172" s="4"/>
      <c r="K172" s="4"/>
      <c r="L172" s="4"/>
      <c r="M172" s="37" t="s">
        <v>3</v>
      </c>
      <c r="N172" s="5"/>
    </row>
    <row r="173" spans="1:22" ht="18.75" x14ac:dyDescent="0.3">
      <c r="E173" t="s">
        <v>4</v>
      </c>
      <c r="H173" s="2"/>
      <c r="I173" s="2"/>
      <c r="J173" s="2"/>
      <c r="K173" s="2"/>
      <c r="L173" s="2"/>
      <c r="M173" s="38" t="s">
        <v>3</v>
      </c>
      <c r="N173" s="6"/>
    </row>
    <row r="174" spans="1:22" ht="18.75" x14ac:dyDescent="0.3">
      <c r="E174" t="s">
        <v>5</v>
      </c>
      <c r="L174" s="4"/>
      <c r="M174" s="38" t="s">
        <v>6</v>
      </c>
      <c r="N174" s="6"/>
      <c r="O174" s="6"/>
    </row>
    <row r="175" spans="1:22" ht="18.75" x14ac:dyDescent="0.3">
      <c r="E175" s="7" t="s">
        <v>7</v>
      </c>
      <c r="I175" s="2"/>
      <c r="J175" s="2"/>
      <c r="K175" s="2"/>
      <c r="L175" s="2"/>
      <c r="M175" s="38" t="s">
        <v>3</v>
      </c>
      <c r="N175" s="6"/>
    </row>
    <row r="176" spans="1:22" ht="15.75" thickBot="1" x14ac:dyDescent="0.3">
      <c r="E176" s="59" t="s">
        <v>8</v>
      </c>
      <c r="F176" s="59"/>
      <c r="G176" s="59"/>
      <c r="H176" s="59"/>
      <c r="I176" s="8"/>
      <c r="J176" s="8"/>
      <c r="K176" s="8"/>
      <c r="L176" s="8"/>
      <c r="M176" s="28" t="s">
        <v>3</v>
      </c>
      <c r="N176" s="36"/>
      <c r="O176" s="36"/>
    </row>
    <row r="177" spans="1:22" x14ac:dyDescent="0.2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x14ac:dyDescent="0.25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4"/>
    </row>
    <row r="179" spans="1:22" x14ac:dyDescent="0.25">
      <c r="A179" s="15"/>
      <c r="B179" s="61" t="s">
        <v>9</v>
      </c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55"/>
      <c r="V179" s="16"/>
    </row>
    <row r="180" spans="1:22" ht="15.75" thickBot="1" x14ac:dyDescent="0.3">
      <c r="A180" s="17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16"/>
    </row>
    <row r="181" spans="1:22" x14ac:dyDescent="0.25">
      <c r="A181" s="17"/>
      <c r="B181" s="52">
        <v>0</v>
      </c>
      <c r="C181" s="53"/>
      <c r="D181" s="53">
        <v>1</v>
      </c>
      <c r="E181" s="53">
        <v>1</v>
      </c>
      <c r="F181" s="53">
        <v>2</v>
      </c>
      <c r="G181" s="53">
        <v>2</v>
      </c>
      <c r="H181" s="53">
        <v>3</v>
      </c>
      <c r="I181" s="54">
        <v>3</v>
      </c>
      <c r="J181" s="52">
        <v>4</v>
      </c>
      <c r="K181" s="53">
        <v>4</v>
      </c>
      <c r="L181" s="53">
        <v>5</v>
      </c>
      <c r="M181" s="53"/>
      <c r="N181" s="53">
        <v>6</v>
      </c>
      <c r="O181" s="53">
        <v>1</v>
      </c>
      <c r="P181" s="53">
        <v>7</v>
      </c>
      <c r="Q181" s="54">
        <v>2</v>
      </c>
      <c r="R181" s="55">
        <v>8</v>
      </c>
      <c r="S181" s="56">
        <v>3</v>
      </c>
      <c r="T181" s="56">
        <v>9</v>
      </c>
      <c r="U181" s="56">
        <v>4</v>
      </c>
      <c r="V181" s="18"/>
    </row>
    <row r="182" spans="1:22" ht="15.75" thickBot="1" x14ac:dyDescent="0.3">
      <c r="A182" s="17"/>
      <c r="B182" s="19"/>
      <c r="C182" s="20"/>
      <c r="D182" s="20"/>
      <c r="E182" s="20"/>
      <c r="F182" s="20"/>
      <c r="G182" s="20"/>
      <c r="H182" s="20"/>
      <c r="I182" s="21"/>
      <c r="J182" s="19"/>
      <c r="K182" s="20"/>
      <c r="L182" s="20"/>
      <c r="M182" s="20"/>
      <c r="N182" s="20"/>
      <c r="O182" s="20"/>
      <c r="P182" s="20"/>
      <c r="Q182" s="21"/>
      <c r="R182" s="22"/>
      <c r="S182" s="13"/>
      <c r="T182" s="13"/>
      <c r="U182" s="13"/>
      <c r="V182" s="18"/>
    </row>
    <row r="183" spans="1:22" ht="15.75" thickBot="1" x14ac:dyDescent="0.3">
      <c r="A183" s="23"/>
      <c r="B183" s="24"/>
      <c r="C183" s="24"/>
      <c r="D183" s="24"/>
      <c r="E183" s="24"/>
      <c r="F183" s="25"/>
      <c r="G183" s="24"/>
      <c r="H183" s="24"/>
      <c r="I183" s="24"/>
      <c r="J183" s="24"/>
      <c r="K183" s="25"/>
      <c r="L183" s="24"/>
      <c r="M183" s="25"/>
      <c r="N183" s="24"/>
      <c r="O183" s="25"/>
      <c r="P183" s="24"/>
      <c r="Q183" s="25"/>
      <c r="R183" s="26"/>
      <c r="S183" s="26"/>
      <c r="T183" s="26"/>
      <c r="U183" s="26"/>
      <c r="V183" s="27"/>
    </row>
    <row r="184" spans="1:22" ht="15.75" thickBot="1" x14ac:dyDescent="0.3">
      <c r="A184" s="28"/>
      <c r="B184" s="28"/>
      <c r="C184" s="28"/>
      <c r="D184" s="28"/>
      <c r="E184" s="28"/>
      <c r="F184" s="29"/>
      <c r="G184" s="28"/>
      <c r="H184" s="28"/>
      <c r="I184" s="28"/>
      <c r="J184" s="28"/>
      <c r="K184" s="29"/>
      <c r="L184" s="28"/>
      <c r="M184" s="29"/>
      <c r="N184" s="28"/>
      <c r="O184" s="29"/>
      <c r="P184" s="28"/>
      <c r="Q184" s="29"/>
      <c r="R184" s="28"/>
      <c r="S184" s="28"/>
      <c r="T184" s="28"/>
      <c r="U184" s="28"/>
      <c r="V184" s="30"/>
    </row>
    <row r="185" spans="1:22" ht="69.95" customHeight="1" thickBot="1" x14ac:dyDescent="0.3">
      <c r="A185" s="28"/>
      <c r="B185" s="39" t="str">
        <f>IF(Q185&gt;1,"Считыватель вх",IF(F185&lt;1,"","Считыватель вх"))</f>
        <v>Считыватель вх</v>
      </c>
      <c r="C185" s="40"/>
      <c r="D185" s="41"/>
      <c r="E185" s="41"/>
      <c r="F185" s="42">
        <v>1</v>
      </c>
      <c r="G185" s="42"/>
      <c r="H185" s="43"/>
      <c r="I185" s="44"/>
      <c r="J185" s="31"/>
      <c r="K185" s="32"/>
      <c r="L185" s="33"/>
      <c r="M185" s="33"/>
      <c r="N185" s="34"/>
      <c r="O185" s="32"/>
      <c r="P185" s="34"/>
      <c r="Q185" s="35"/>
      <c r="R185" s="45" t="s">
        <v>10</v>
      </c>
      <c r="S185" s="46"/>
      <c r="T185" s="46"/>
      <c r="U185" s="46"/>
      <c r="V185" s="46"/>
    </row>
    <row r="186" spans="1:22" x14ac:dyDescent="0.25">
      <c r="A186" s="28"/>
      <c r="B186" s="49"/>
      <c r="C186" s="57"/>
      <c r="D186" s="57"/>
      <c r="E186" s="57"/>
      <c r="F186" s="57"/>
      <c r="G186" s="57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50" t="s">
        <v>11</v>
      </c>
      <c r="S186" s="50"/>
      <c r="T186" s="50"/>
      <c r="U186" s="50"/>
      <c r="V186" s="50"/>
    </row>
    <row r="187" spans="1:22" s="68" customFormat="1" x14ac:dyDescent="0.25"/>
    <row r="188" spans="1:22" ht="18.75" x14ac:dyDescent="0.3">
      <c r="E188" s="1" t="s">
        <v>0</v>
      </c>
      <c r="G188" s="2"/>
      <c r="H188" s="2"/>
      <c r="I188" s="2"/>
      <c r="J188" s="2"/>
      <c r="K188" s="2"/>
      <c r="L188" s="2"/>
      <c r="M188" s="37" t="s">
        <v>1</v>
      </c>
      <c r="N188" s="3"/>
    </row>
    <row r="189" spans="1:22" ht="18.75" x14ac:dyDescent="0.3">
      <c r="E189" s="1" t="s">
        <v>2</v>
      </c>
      <c r="J189" s="4"/>
      <c r="K189" s="4"/>
      <c r="L189" s="4"/>
      <c r="M189" s="37" t="s">
        <v>3</v>
      </c>
      <c r="N189" s="5"/>
    </row>
    <row r="190" spans="1:22" ht="18.75" x14ac:dyDescent="0.3">
      <c r="E190" t="s">
        <v>4</v>
      </c>
      <c r="H190" s="2"/>
      <c r="I190" s="2"/>
      <c r="J190" s="2"/>
      <c r="K190" s="2"/>
      <c r="L190" s="2"/>
      <c r="M190" s="38" t="s">
        <v>3</v>
      </c>
      <c r="N190" s="6"/>
    </row>
    <row r="191" spans="1:22" ht="18.75" x14ac:dyDescent="0.3">
      <c r="E191" t="s">
        <v>5</v>
      </c>
      <c r="L191" s="4"/>
      <c r="M191" s="38" t="s">
        <v>6</v>
      </c>
      <c r="N191" s="58"/>
      <c r="O191" s="58"/>
    </row>
    <row r="192" spans="1:22" ht="18.75" x14ac:dyDescent="0.3">
      <c r="E192" s="7" t="s">
        <v>7</v>
      </c>
      <c r="I192" s="2"/>
      <c r="J192" s="2"/>
      <c r="K192" s="2"/>
      <c r="L192" s="2"/>
      <c r="M192" s="38" t="s">
        <v>3</v>
      </c>
      <c r="N192" s="6"/>
    </row>
    <row r="193" spans="1:22" ht="15.75" thickBot="1" x14ac:dyDescent="0.3">
      <c r="E193" s="59" t="s">
        <v>8</v>
      </c>
      <c r="F193" s="59"/>
      <c r="G193" s="59"/>
      <c r="H193" s="59"/>
      <c r="I193" s="8"/>
      <c r="J193" s="8"/>
      <c r="K193" s="8"/>
      <c r="L193" s="8"/>
      <c r="M193" s="28" t="s">
        <v>3</v>
      </c>
      <c r="N193" s="60"/>
      <c r="O193" s="60"/>
    </row>
    <row r="194" spans="1:22" x14ac:dyDescent="0.2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x14ac:dyDescent="0.25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4"/>
    </row>
    <row r="196" spans="1:22" x14ac:dyDescent="0.25">
      <c r="A196" s="15"/>
      <c r="B196" s="61" t="s">
        <v>12</v>
      </c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55"/>
      <c r="V196" s="16"/>
    </row>
    <row r="197" spans="1:22" ht="15.75" thickBot="1" x14ac:dyDescent="0.3">
      <c r="A197" s="17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16"/>
    </row>
    <row r="198" spans="1:22" x14ac:dyDescent="0.25">
      <c r="A198" s="17"/>
      <c r="B198" s="52">
        <v>0</v>
      </c>
      <c r="C198" s="53"/>
      <c r="D198" s="53">
        <v>1</v>
      </c>
      <c r="E198" s="53">
        <v>1</v>
      </c>
      <c r="F198" s="53">
        <v>2</v>
      </c>
      <c r="G198" s="53">
        <v>2</v>
      </c>
      <c r="H198" s="53">
        <v>3</v>
      </c>
      <c r="I198" s="54">
        <v>3</v>
      </c>
      <c r="J198" s="52">
        <v>4</v>
      </c>
      <c r="K198" s="53">
        <v>4</v>
      </c>
      <c r="L198" s="53">
        <v>5</v>
      </c>
      <c r="M198" s="53"/>
      <c r="N198" s="53">
        <v>6</v>
      </c>
      <c r="O198" s="53">
        <v>1</v>
      </c>
      <c r="P198" s="53">
        <v>7</v>
      </c>
      <c r="Q198" s="54">
        <v>2</v>
      </c>
      <c r="R198" s="55">
        <v>8</v>
      </c>
      <c r="S198" s="56">
        <v>3</v>
      </c>
      <c r="T198" s="56">
        <v>9</v>
      </c>
      <c r="U198" s="56">
        <v>4</v>
      </c>
      <c r="V198" s="18"/>
    </row>
    <row r="199" spans="1:22" ht="15.75" thickBot="1" x14ac:dyDescent="0.3">
      <c r="A199" s="17"/>
      <c r="B199" s="19"/>
      <c r="C199" s="20"/>
      <c r="D199" s="20"/>
      <c r="E199" s="20"/>
      <c r="F199" s="20"/>
      <c r="G199" s="20"/>
      <c r="H199" s="20"/>
      <c r="I199" s="21"/>
      <c r="J199" s="19"/>
      <c r="K199" s="20"/>
      <c r="L199" s="20"/>
      <c r="M199" s="20"/>
      <c r="N199" s="20"/>
      <c r="O199" s="20"/>
      <c r="P199" s="20"/>
      <c r="Q199" s="21"/>
      <c r="R199" s="22"/>
      <c r="S199" s="13"/>
      <c r="T199" s="13"/>
      <c r="U199" s="13"/>
      <c r="V199" s="18"/>
    </row>
    <row r="200" spans="1:22" ht="15.75" thickBot="1" x14ac:dyDescent="0.3">
      <c r="A200" s="23"/>
      <c r="B200" s="24"/>
      <c r="C200" s="24"/>
      <c r="D200" s="24"/>
      <c r="E200" s="24"/>
      <c r="F200" s="25"/>
      <c r="G200" s="24"/>
      <c r="H200" s="24"/>
      <c r="I200" s="24"/>
      <c r="J200" s="24"/>
      <c r="K200" s="25"/>
      <c r="L200" s="24"/>
      <c r="M200" s="25"/>
      <c r="N200" s="24"/>
      <c r="O200" s="25"/>
      <c r="P200" s="24"/>
      <c r="Q200" s="25"/>
      <c r="R200" s="26"/>
      <c r="S200" s="26"/>
      <c r="T200" s="26"/>
      <c r="U200" s="26"/>
      <c r="V200" s="27"/>
    </row>
    <row r="201" spans="1:22" ht="15.75" thickBot="1" x14ac:dyDescent="0.3">
      <c r="A201" s="28"/>
      <c r="B201" s="28"/>
      <c r="C201" s="28"/>
      <c r="D201" s="28"/>
      <c r="E201" s="28"/>
      <c r="F201" s="29"/>
      <c r="G201" s="28"/>
      <c r="H201" s="28"/>
      <c r="I201" s="28"/>
      <c r="J201" s="28"/>
      <c r="K201" s="29"/>
      <c r="L201" s="28"/>
      <c r="M201" s="29"/>
      <c r="N201" s="28"/>
      <c r="O201" s="29"/>
      <c r="P201" s="28"/>
      <c r="Q201" s="29"/>
      <c r="R201" s="28"/>
      <c r="S201" s="28"/>
      <c r="T201" s="28"/>
      <c r="U201" s="28"/>
      <c r="V201" s="30"/>
    </row>
    <row r="202" spans="1:22" ht="69.95" customHeight="1" thickBot="1" x14ac:dyDescent="0.3">
      <c r="A202" s="28"/>
      <c r="B202" s="39" t="str">
        <f>IF(Q202&gt;1,"Считыватель вх",IF(F202&lt;1,"","Считыватель вых"))</f>
        <v>Считыватель вых</v>
      </c>
      <c r="C202" s="40"/>
      <c r="D202" s="41"/>
      <c r="E202" s="41"/>
      <c r="F202" s="42">
        <v>4</v>
      </c>
      <c r="G202" s="42"/>
      <c r="H202" s="43"/>
      <c r="I202" s="44"/>
      <c r="J202" s="31"/>
      <c r="K202" s="32"/>
      <c r="L202" s="33"/>
      <c r="M202" s="33"/>
      <c r="N202" s="34"/>
      <c r="O202" s="32"/>
      <c r="P202" s="34"/>
      <c r="Q202" s="35"/>
      <c r="R202" s="45" t="s">
        <v>10</v>
      </c>
      <c r="S202" s="46"/>
      <c r="T202" s="46"/>
      <c r="U202" s="46"/>
      <c r="V202" s="46"/>
    </row>
    <row r="203" spans="1:22" x14ac:dyDescent="0.25">
      <c r="A203" s="28"/>
      <c r="B203" s="47">
        <f>IF(B202="Считыватель вых",B186,IF(B202="Считыватель вх",J203,""))</f>
        <v>0</v>
      </c>
      <c r="C203" s="48"/>
      <c r="D203" s="48"/>
      <c r="E203" s="48"/>
      <c r="F203" s="48"/>
      <c r="G203" s="48"/>
      <c r="H203" s="48"/>
      <c r="I203" s="48"/>
      <c r="J203" s="49" t="s">
        <v>13</v>
      </c>
      <c r="K203" s="48"/>
      <c r="L203" s="48"/>
      <c r="M203" s="48"/>
      <c r="N203" s="48"/>
      <c r="O203" s="48"/>
      <c r="P203" s="48"/>
      <c r="Q203" s="48"/>
      <c r="R203" s="50" t="s">
        <v>11</v>
      </c>
      <c r="S203" s="50"/>
      <c r="T203" s="50"/>
      <c r="U203" s="50"/>
      <c r="V203" s="50"/>
    </row>
    <row r="204" spans="1:22" s="68" customFormat="1" x14ac:dyDescent="0.25"/>
    <row r="205" spans="1:22" ht="18.75" x14ac:dyDescent="0.3">
      <c r="E205" s="1" t="s">
        <v>0</v>
      </c>
      <c r="G205" s="2"/>
      <c r="H205" s="2"/>
      <c r="I205" s="2"/>
      <c r="J205" s="2"/>
      <c r="K205" s="2"/>
      <c r="L205" s="2"/>
      <c r="M205" s="37" t="s">
        <v>1</v>
      </c>
      <c r="N205" s="3"/>
    </row>
    <row r="206" spans="1:22" ht="18.75" x14ac:dyDescent="0.3">
      <c r="E206" s="1" t="s">
        <v>2</v>
      </c>
      <c r="J206" s="4"/>
      <c r="K206" s="4"/>
      <c r="L206" s="4"/>
      <c r="M206" s="37" t="s">
        <v>3</v>
      </c>
      <c r="N206" s="5"/>
    </row>
    <row r="207" spans="1:22" ht="18.75" x14ac:dyDescent="0.3">
      <c r="E207" t="s">
        <v>4</v>
      </c>
      <c r="H207" s="2"/>
      <c r="I207" s="2"/>
      <c r="J207" s="2"/>
      <c r="K207" s="2"/>
      <c r="L207" s="2"/>
      <c r="M207" s="38" t="s">
        <v>3</v>
      </c>
      <c r="N207" s="6"/>
    </row>
    <row r="208" spans="1:22" ht="18.75" x14ac:dyDescent="0.3">
      <c r="E208" t="s">
        <v>5</v>
      </c>
      <c r="L208" s="4"/>
      <c r="M208" s="38" t="s">
        <v>6</v>
      </c>
      <c r="N208" s="6"/>
      <c r="O208" s="6"/>
    </row>
    <row r="209" spans="1:22" ht="18.75" x14ac:dyDescent="0.3">
      <c r="E209" s="7" t="s">
        <v>7</v>
      </c>
      <c r="I209" s="2"/>
      <c r="J209" s="2"/>
      <c r="K209" s="2"/>
      <c r="L209" s="2"/>
      <c r="M209" s="38" t="s">
        <v>3</v>
      </c>
      <c r="N209" s="6"/>
    </row>
    <row r="210" spans="1:22" ht="15.75" thickBot="1" x14ac:dyDescent="0.3">
      <c r="E210" s="59" t="s">
        <v>8</v>
      </c>
      <c r="F210" s="59"/>
      <c r="G210" s="59"/>
      <c r="H210" s="59"/>
      <c r="I210" s="8"/>
      <c r="J210" s="8"/>
      <c r="K210" s="8"/>
      <c r="L210" s="8"/>
      <c r="M210" s="28" t="s">
        <v>3</v>
      </c>
      <c r="N210" s="36"/>
      <c r="O210" s="36"/>
    </row>
    <row r="211" spans="1:22" x14ac:dyDescent="0.25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x14ac:dyDescent="0.25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4"/>
    </row>
    <row r="213" spans="1:22" x14ac:dyDescent="0.25">
      <c r="A213" s="15"/>
      <c r="B213" s="61" t="s">
        <v>9</v>
      </c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55"/>
      <c r="V213" s="16"/>
    </row>
    <row r="214" spans="1:22" ht="15.75" thickBot="1" x14ac:dyDescent="0.3">
      <c r="A214" s="17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16"/>
    </row>
    <row r="215" spans="1:22" x14ac:dyDescent="0.25">
      <c r="A215" s="17"/>
      <c r="B215" s="52">
        <v>0</v>
      </c>
      <c r="C215" s="53"/>
      <c r="D215" s="53">
        <v>1</v>
      </c>
      <c r="E215" s="53">
        <v>1</v>
      </c>
      <c r="F215" s="53">
        <v>2</v>
      </c>
      <c r="G215" s="53">
        <v>2</v>
      </c>
      <c r="H215" s="53">
        <v>3</v>
      </c>
      <c r="I215" s="54">
        <v>3</v>
      </c>
      <c r="J215" s="52">
        <v>4</v>
      </c>
      <c r="K215" s="53">
        <v>4</v>
      </c>
      <c r="L215" s="53">
        <v>5</v>
      </c>
      <c r="M215" s="53"/>
      <c r="N215" s="53">
        <v>6</v>
      </c>
      <c r="O215" s="53">
        <v>1</v>
      </c>
      <c r="P215" s="53">
        <v>7</v>
      </c>
      <c r="Q215" s="54">
        <v>2</v>
      </c>
      <c r="R215" s="55">
        <v>8</v>
      </c>
      <c r="S215" s="56">
        <v>3</v>
      </c>
      <c r="T215" s="56">
        <v>9</v>
      </c>
      <c r="U215" s="56">
        <v>4</v>
      </c>
      <c r="V215" s="18"/>
    </row>
    <row r="216" spans="1:22" ht="15.75" thickBot="1" x14ac:dyDescent="0.3">
      <c r="A216" s="17"/>
      <c r="B216" s="19"/>
      <c r="C216" s="20"/>
      <c r="D216" s="20"/>
      <c r="E216" s="20"/>
      <c r="F216" s="20"/>
      <c r="G216" s="20"/>
      <c r="H216" s="20"/>
      <c r="I216" s="21"/>
      <c r="J216" s="19"/>
      <c r="K216" s="20"/>
      <c r="L216" s="20"/>
      <c r="M216" s="20"/>
      <c r="N216" s="20"/>
      <c r="O216" s="20"/>
      <c r="P216" s="20"/>
      <c r="Q216" s="21"/>
      <c r="R216" s="22"/>
      <c r="S216" s="13"/>
      <c r="T216" s="13"/>
      <c r="U216" s="13"/>
      <c r="V216" s="18"/>
    </row>
    <row r="217" spans="1:22" ht="15.75" thickBot="1" x14ac:dyDescent="0.3">
      <c r="A217" s="23"/>
      <c r="B217" s="24"/>
      <c r="C217" s="24"/>
      <c r="D217" s="24"/>
      <c r="E217" s="24"/>
      <c r="F217" s="25"/>
      <c r="G217" s="24"/>
      <c r="H217" s="24"/>
      <c r="I217" s="24"/>
      <c r="J217" s="24"/>
      <c r="K217" s="25"/>
      <c r="L217" s="24"/>
      <c r="M217" s="25"/>
      <c r="N217" s="24"/>
      <c r="O217" s="25"/>
      <c r="P217" s="24"/>
      <c r="Q217" s="25"/>
      <c r="R217" s="26"/>
      <c r="S217" s="26"/>
      <c r="T217" s="26"/>
      <c r="U217" s="26"/>
      <c r="V217" s="27"/>
    </row>
    <row r="218" spans="1:22" ht="15.75" thickBot="1" x14ac:dyDescent="0.3">
      <c r="A218" s="28"/>
      <c r="B218" s="28"/>
      <c r="C218" s="28"/>
      <c r="D218" s="28"/>
      <c r="E218" s="28"/>
      <c r="F218" s="29"/>
      <c r="G218" s="28"/>
      <c r="H218" s="28"/>
      <c r="I218" s="28"/>
      <c r="J218" s="28"/>
      <c r="K218" s="29"/>
      <c r="L218" s="28"/>
      <c r="M218" s="29"/>
      <c r="N218" s="28"/>
      <c r="O218" s="29"/>
      <c r="P218" s="28"/>
      <c r="Q218" s="29"/>
      <c r="R218" s="28"/>
      <c r="S218" s="28"/>
      <c r="T218" s="28"/>
      <c r="U218" s="28"/>
      <c r="V218" s="30"/>
    </row>
    <row r="219" spans="1:22" ht="69.95" customHeight="1" thickBot="1" x14ac:dyDescent="0.3">
      <c r="A219" s="28"/>
      <c r="B219" s="39" t="str">
        <f>IF(Q219&gt;1,"Считыватель вх",IF(F219&lt;1,"","Считыватель вх"))</f>
        <v>Считыватель вх</v>
      </c>
      <c r="C219" s="40"/>
      <c r="D219" s="41"/>
      <c r="E219" s="41"/>
      <c r="F219" s="42">
        <v>1</v>
      </c>
      <c r="G219" s="42"/>
      <c r="H219" s="43"/>
      <c r="I219" s="44"/>
      <c r="J219" s="31"/>
      <c r="K219" s="32"/>
      <c r="L219" s="33"/>
      <c r="M219" s="33"/>
      <c r="N219" s="34"/>
      <c r="O219" s="32"/>
      <c r="P219" s="34"/>
      <c r="Q219" s="35"/>
      <c r="R219" s="45" t="s">
        <v>10</v>
      </c>
      <c r="S219" s="46"/>
      <c r="T219" s="46"/>
      <c r="U219" s="46"/>
      <c r="V219" s="46"/>
    </row>
    <row r="220" spans="1:22" x14ac:dyDescent="0.25">
      <c r="A220" s="28"/>
      <c r="B220" s="49"/>
      <c r="C220" s="57"/>
      <c r="D220" s="57"/>
      <c r="E220" s="57"/>
      <c r="F220" s="57"/>
      <c r="G220" s="57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50" t="s">
        <v>11</v>
      </c>
      <c r="S220" s="50"/>
      <c r="T220" s="50"/>
      <c r="U220" s="50"/>
      <c r="V220" s="50"/>
    </row>
    <row r="221" spans="1:22" s="68" customFormat="1" x14ac:dyDescent="0.25"/>
    <row r="222" spans="1:22" ht="18.75" x14ac:dyDescent="0.3">
      <c r="E222" s="1" t="s">
        <v>0</v>
      </c>
      <c r="G222" s="2"/>
      <c r="H222" s="2"/>
      <c r="I222" s="2"/>
      <c r="J222" s="2"/>
      <c r="K222" s="2"/>
      <c r="L222" s="2"/>
      <c r="M222" s="37" t="s">
        <v>1</v>
      </c>
      <c r="N222" s="3"/>
    </row>
    <row r="223" spans="1:22" ht="18.75" x14ac:dyDescent="0.3">
      <c r="E223" s="1" t="s">
        <v>2</v>
      </c>
      <c r="J223" s="4"/>
      <c r="K223" s="4"/>
      <c r="L223" s="4"/>
      <c r="M223" s="37" t="s">
        <v>3</v>
      </c>
      <c r="N223" s="5"/>
    </row>
    <row r="224" spans="1:22" ht="18.75" x14ac:dyDescent="0.3">
      <c r="E224" t="s">
        <v>4</v>
      </c>
      <c r="H224" s="2"/>
      <c r="I224" s="2"/>
      <c r="J224" s="2"/>
      <c r="K224" s="2"/>
      <c r="L224" s="2"/>
      <c r="M224" s="38" t="s">
        <v>3</v>
      </c>
      <c r="N224" s="6"/>
    </row>
    <row r="225" spans="1:22" ht="18.75" x14ac:dyDescent="0.3">
      <c r="E225" t="s">
        <v>5</v>
      </c>
      <c r="L225" s="4"/>
      <c r="M225" s="38" t="s">
        <v>6</v>
      </c>
      <c r="N225" s="58"/>
      <c r="O225" s="58"/>
    </row>
    <row r="226" spans="1:22" ht="18.75" x14ac:dyDescent="0.3">
      <c r="E226" s="7" t="s">
        <v>7</v>
      </c>
      <c r="I226" s="2"/>
      <c r="J226" s="2"/>
      <c r="K226" s="2"/>
      <c r="L226" s="2"/>
      <c r="M226" s="38" t="s">
        <v>3</v>
      </c>
      <c r="N226" s="6"/>
    </row>
    <row r="227" spans="1:22" ht="15.75" thickBot="1" x14ac:dyDescent="0.3">
      <c r="E227" s="59" t="s">
        <v>8</v>
      </c>
      <c r="F227" s="59"/>
      <c r="G227" s="59"/>
      <c r="H227" s="59"/>
      <c r="I227" s="8"/>
      <c r="J227" s="8"/>
      <c r="K227" s="8"/>
      <c r="L227" s="8"/>
      <c r="M227" s="28" t="s">
        <v>3</v>
      </c>
      <c r="N227" s="60"/>
      <c r="O227" s="60"/>
    </row>
    <row r="228" spans="1:22" x14ac:dyDescent="0.25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x14ac:dyDescent="0.2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4"/>
    </row>
    <row r="230" spans="1:22" x14ac:dyDescent="0.25">
      <c r="A230" s="15"/>
      <c r="B230" s="61" t="s">
        <v>12</v>
      </c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55"/>
      <c r="V230" s="16"/>
    </row>
    <row r="231" spans="1:22" ht="15.75" thickBot="1" x14ac:dyDescent="0.3">
      <c r="A231" s="17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16"/>
    </row>
    <row r="232" spans="1:22" x14ac:dyDescent="0.25">
      <c r="A232" s="17"/>
      <c r="B232" s="52">
        <v>0</v>
      </c>
      <c r="C232" s="53"/>
      <c r="D232" s="53">
        <v>1</v>
      </c>
      <c r="E232" s="53">
        <v>1</v>
      </c>
      <c r="F232" s="53">
        <v>2</v>
      </c>
      <c r="G232" s="53">
        <v>2</v>
      </c>
      <c r="H232" s="53">
        <v>3</v>
      </c>
      <c r="I232" s="54">
        <v>3</v>
      </c>
      <c r="J232" s="52">
        <v>4</v>
      </c>
      <c r="K232" s="53">
        <v>4</v>
      </c>
      <c r="L232" s="53">
        <v>5</v>
      </c>
      <c r="M232" s="53"/>
      <c r="N232" s="53">
        <v>6</v>
      </c>
      <c r="O232" s="53">
        <v>1</v>
      </c>
      <c r="P232" s="53">
        <v>7</v>
      </c>
      <c r="Q232" s="54">
        <v>2</v>
      </c>
      <c r="R232" s="55">
        <v>8</v>
      </c>
      <c r="S232" s="56">
        <v>3</v>
      </c>
      <c r="T232" s="56">
        <v>9</v>
      </c>
      <c r="U232" s="56">
        <v>4</v>
      </c>
      <c r="V232" s="18"/>
    </row>
    <row r="233" spans="1:22" ht="15.75" thickBot="1" x14ac:dyDescent="0.3">
      <c r="A233" s="17"/>
      <c r="B233" s="19"/>
      <c r="C233" s="20"/>
      <c r="D233" s="20"/>
      <c r="E233" s="20"/>
      <c r="F233" s="20"/>
      <c r="G233" s="20"/>
      <c r="H233" s="20"/>
      <c r="I233" s="21"/>
      <c r="J233" s="19"/>
      <c r="K233" s="20"/>
      <c r="L233" s="20"/>
      <c r="M233" s="20"/>
      <c r="N233" s="20"/>
      <c r="O233" s="20"/>
      <c r="P233" s="20"/>
      <c r="Q233" s="21"/>
      <c r="R233" s="22"/>
      <c r="S233" s="13"/>
      <c r="T233" s="13"/>
      <c r="U233" s="13"/>
      <c r="V233" s="18"/>
    </row>
    <row r="234" spans="1:22" ht="15.75" thickBot="1" x14ac:dyDescent="0.3">
      <c r="A234" s="23"/>
      <c r="B234" s="24"/>
      <c r="C234" s="24"/>
      <c r="D234" s="24"/>
      <c r="E234" s="24"/>
      <c r="F234" s="25"/>
      <c r="G234" s="24"/>
      <c r="H234" s="24"/>
      <c r="I234" s="24"/>
      <c r="J234" s="24"/>
      <c r="K234" s="25"/>
      <c r="L234" s="24"/>
      <c r="M234" s="25"/>
      <c r="N234" s="24"/>
      <c r="O234" s="25"/>
      <c r="P234" s="24"/>
      <c r="Q234" s="25"/>
      <c r="R234" s="26"/>
      <c r="S234" s="26"/>
      <c r="T234" s="26"/>
      <c r="U234" s="26"/>
      <c r="V234" s="27"/>
    </row>
    <row r="235" spans="1:22" ht="15.75" thickBot="1" x14ac:dyDescent="0.3">
      <c r="A235" s="28"/>
      <c r="B235" s="28"/>
      <c r="C235" s="28"/>
      <c r="D235" s="28"/>
      <c r="E235" s="28"/>
      <c r="F235" s="29"/>
      <c r="G235" s="28"/>
      <c r="H235" s="28"/>
      <c r="I235" s="28"/>
      <c r="J235" s="28"/>
      <c r="K235" s="29"/>
      <c r="L235" s="28"/>
      <c r="M235" s="29"/>
      <c r="N235" s="28"/>
      <c r="O235" s="29"/>
      <c r="P235" s="28"/>
      <c r="Q235" s="29"/>
      <c r="R235" s="28"/>
      <c r="S235" s="28"/>
      <c r="T235" s="28"/>
      <c r="U235" s="28"/>
      <c r="V235" s="30"/>
    </row>
    <row r="236" spans="1:22" ht="69.95" customHeight="1" thickBot="1" x14ac:dyDescent="0.3">
      <c r="A236" s="28"/>
      <c r="B236" s="39" t="str">
        <f>IF(Q236&gt;1,"Считыватель вх",IF(F236&lt;1,"","Считыватель вых"))</f>
        <v>Считыватель вых</v>
      </c>
      <c r="C236" s="40"/>
      <c r="D236" s="41"/>
      <c r="E236" s="41"/>
      <c r="F236" s="42">
        <v>4</v>
      </c>
      <c r="G236" s="42"/>
      <c r="H236" s="43"/>
      <c r="I236" s="44"/>
      <c r="J236" s="31"/>
      <c r="K236" s="32"/>
      <c r="L236" s="33"/>
      <c r="M236" s="33"/>
      <c r="N236" s="34"/>
      <c r="O236" s="32"/>
      <c r="P236" s="34"/>
      <c r="Q236" s="35"/>
      <c r="R236" s="45" t="s">
        <v>10</v>
      </c>
      <c r="S236" s="46"/>
      <c r="T236" s="46"/>
      <c r="U236" s="46"/>
      <c r="V236" s="46"/>
    </row>
    <row r="237" spans="1:22" x14ac:dyDescent="0.25">
      <c r="A237" s="28"/>
      <c r="B237" s="47">
        <f>IF(B236="Считыватель вых",B220,IF(B236="Считыватель вх",J237,""))</f>
        <v>0</v>
      </c>
      <c r="C237" s="48"/>
      <c r="D237" s="48"/>
      <c r="E237" s="48"/>
      <c r="F237" s="48"/>
      <c r="G237" s="48"/>
      <c r="H237" s="48"/>
      <c r="I237" s="48"/>
      <c r="J237" s="49" t="s">
        <v>13</v>
      </c>
      <c r="K237" s="48"/>
      <c r="L237" s="48"/>
      <c r="M237" s="48"/>
      <c r="N237" s="48"/>
      <c r="O237" s="48"/>
      <c r="P237" s="48"/>
      <c r="Q237" s="48"/>
      <c r="R237" s="50" t="s">
        <v>11</v>
      </c>
      <c r="S237" s="50"/>
      <c r="T237" s="50"/>
      <c r="U237" s="50"/>
      <c r="V237" s="50"/>
    </row>
    <row r="238" spans="1:22" s="68" customFormat="1" x14ac:dyDescent="0.25"/>
    <row r="239" spans="1:22" ht="18.75" x14ac:dyDescent="0.3">
      <c r="E239" s="1" t="s">
        <v>0</v>
      </c>
      <c r="G239" s="2"/>
      <c r="H239" s="2"/>
      <c r="I239" s="2"/>
      <c r="J239" s="2"/>
      <c r="K239" s="2"/>
      <c r="L239" s="2"/>
      <c r="M239" s="37" t="s">
        <v>1</v>
      </c>
      <c r="N239" s="3"/>
    </row>
    <row r="240" spans="1:22" ht="18.75" x14ac:dyDescent="0.3">
      <c r="E240" s="1" t="s">
        <v>2</v>
      </c>
      <c r="J240" s="4"/>
      <c r="K240" s="4"/>
      <c r="L240" s="4"/>
      <c r="M240" s="37" t="s">
        <v>3</v>
      </c>
      <c r="N240" s="5"/>
    </row>
    <row r="241" spans="1:22" ht="18.75" x14ac:dyDescent="0.3">
      <c r="E241" t="s">
        <v>4</v>
      </c>
      <c r="H241" s="2"/>
      <c r="I241" s="2"/>
      <c r="J241" s="2"/>
      <c r="K241" s="2"/>
      <c r="L241" s="2"/>
      <c r="M241" s="38" t="s">
        <v>3</v>
      </c>
      <c r="N241" s="6"/>
    </row>
    <row r="242" spans="1:22" ht="18.75" x14ac:dyDescent="0.3">
      <c r="E242" t="s">
        <v>5</v>
      </c>
      <c r="L242" s="4"/>
      <c r="M242" s="38" t="s">
        <v>6</v>
      </c>
      <c r="N242" s="6"/>
      <c r="O242" s="6"/>
    </row>
    <row r="243" spans="1:22" ht="18.75" x14ac:dyDescent="0.3">
      <c r="E243" s="7" t="s">
        <v>7</v>
      </c>
      <c r="I243" s="2"/>
      <c r="J243" s="2"/>
      <c r="K243" s="2"/>
      <c r="L243" s="2"/>
      <c r="M243" s="38" t="s">
        <v>3</v>
      </c>
      <c r="N243" s="6"/>
    </row>
    <row r="244" spans="1:22" ht="15.75" thickBot="1" x14ac:dyDescent="0.3">
      <c r="E244" s="59" t="s">
        <v>8</v>
      </c>
      <c r="F244" s="59"/>
      <c r="G244" s="59"/>
      <c r="H244" s="59"/>
      <c r="I244" s="8"/>
      <c r="J244" s="8"/>
      <c r="K244" s="8"/>
      <c r="L244" s="8"/>
      <c r="M244" s="28" t="s">
        <v>3</v>
      </c>
      <c r="N244" s="36"/>
      <c r="O244" s="36"/>
    </row>
    <row r="245" spans="1:22" x14ac:dyDescent="0.25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x14ac:dyDescent="0.25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4"/>
    </row>
    <row r="247" spans="1:22" x14ac:dyDescent="0.25">
      <c r="A247" s="15"/>
      <c r="B247" s="61" t="s">
        <v>9</v>
      </c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55"/>
      <c r="V247" s="16"/>
    </row>
    <row r="248" spans="1:22" ht="15.75" thickBot="1" x14ac:dyDescent="0.3">
      <c r="A248" s="17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16"/>
    </row>
    <row r="249" spans="1:22" x14ac:dyDescent="0.25">
      <c r="A249" s="17"/>
      <c r="B249" s="52">
        <v>0</v>
      </c>
      <c r="C249" s="53"/>
      <c r="D249" s="53">
        <v>1</v>
      </c>
      <c r="E249" s="53">
        <v>1</v>
      </c>
      <c r="F249" s="53">
        <v>2</v>
      </c>
      <c r="G249" s="53">
        <v>2</v>
      </c>
      <c r="H249" s="53">
        <v>3</v>
      </c>
      <c r="I249" s="54">
        <v>3</v>
      </c>
      <c r="J249" s="52">
        <v>4</v>
      </c>
      <c r="K249" s="53">
        <v>4</v>
      </c>
      <c r="L249" s="53">
        <v>5</v>
      </c>
      <c r="M249" s="53"/>
      <c r="N249" s="53">
        <v>6</v>
      </c>
      <c r="O249" s="53">
        <v>1</v>
      </c>
      <c r="P249" s="53">
        <v>7</v>
      </c>
      <c r="Q249" s="54">
        <v>2</v>
      </c>
      <c r="R249" s="55">
        <v>8</v>
      </c>
      <c r="S249" s="56">
        <v>3</v>
      </c>
      <c r="T249" s="56">
        <v>9</v>
      </c>
      <c r="U249" s="56">
        <v>4</v>
      </c>
      <c r="V249" s="18"/>
    </row>
    <row r="250" spans="1:22" ht="15.75" thickBot="1" x14ac:dyDescent="0.3">
      <c r="A250" s="17"/>
      <c r="B250" s="19"/>
      <c r="C250" s="20"/>
      <c r="D250" s="20"/>
      <c r="E250" s="20"/>
      <c r="F250" s="20"/>
      <c r="G250" s="20"/>
      <c r="H250" s="20"/>
      <c r="I250" s="21"/>
      <c r="J250" s="19"/>
      <c r="K250" s="20"/>
      <c r="L250" s="20"/>
      <c r="M250" s="20"/>
      <c r="N250" s="20"/>
      <c r="O250" s="20"/>
      <c r="P250" s="20"/>
      <c r="Q250" s="21"/>
      <c r="R250" s="22"/>
      <c r="S250" s="13"/>
      <c r="T250" s="13"/>
      <c r="U250" s="13"/>
      <c r="V250" s="18"/>
    </row>
    <row r="251" spans="1:22" ht="15.75" thickBot="1" x14ac:dyDescent="0.3">
      <c r="A251" s="23"/>
      <c r="B251" s="24"/>
      <c r="C251" s="24"/>
      <c r="D251" s="24"/>
      <c r="E251" s="24"/>
      <c r="F251" s="25"/>
      <c r="G251" s="24"/>
      <c r="H251" s="24"/>
      <c r="I251" s="24"/>
      <c r="J251" s="24"/>
      <c r="K251" s="25"/>
      <c r="L251" s="24"/>
      <c r="M251" s="25"/>
      <c r="N251" s="24"/>
      <c r="O251" s="25"/>
      <c r="P251" s="24"/>
      <c r="Q251" s="25"/>
      <c r="R251" s="26"/>
      <c r="S251" s="26"/>
      <c r="T251" s="26"/>
      <c r="U251" s="26"/>
      <c r="V251" s="27"/>
    </row>
    <row r="252" spans="1:22" ht="15.75" thickBot="1" x14ac:dyDescent="0.3">
      <c r="A252" s="28"/>
      <c r="B252" s="28"/>
      <c r="C252" s="28"/>
      <c r="D252" s="28"/>
      <c r="E252" s="28"/>
      <c r="F252" s="29"/>
      <c r="G252" s="28"/>
      <c r="H252" s="28"/>
      <c r="I252" s="28"/>
      <c r="J252" s="28"/>
      <c r="K252" s="29"/>
      <c r="L252" s="28"/>
      <c r="M252" s="29"/>
      <c r="N252" s="28"/>
      <c r="O252" s="29"/>
      <c r="P252" s="28"/>
      <c r="Q252" s="29"/>
      <c r="R252" s="28"/>
      <c r="S252" s="28"/>
      <c r="T252" s="28"/>
      <c r="U252" s="28"/>
      <c r="V252" s="30"/>
    </row>
    <row r="253" spans="1:22" ht="69.95" customHeight="1" thickBot="1" x14ac:dyDescent="0.3">
      <c r="A253" s="28"/>
      <c r="B253" s="39" t="str">
        <f>IF(Q253&gt;1,"Считыватель вх",IF(F253&lt;1,"","Считыватель вх"))</f>
        <v>Считыватель вх</v>
      </c>
      <c r="C253" s="40"/>
      <c r="D253" s="41"/>
      <c r="E253" s="41"/>
      <c r="F253" s="42">
        <v>1</v>
      </c>
      <c r="G253" s="42"/>
      <c r="H253" s="43"/>
      <c r="I253" s="44"/>
      <c r="J253" s="31"/>
      <c r="K253" s="32"/>
      <c r="L253" s="33"/>
      <c r="M253" s="33"/>
      <c r="N253" s="34"/>
      <c r="O253" s="32"/>
      <c r="P253" s="34"/>
      <c r="Q253" s="35"/>
      <c r="R253" s="45" t="s">
        <v>10</v>
      </c>
      <c r="S253" s="46"/>
      <c r="T253" s="46"/>
      <c r="U253" s="46"/>
      <c r="V253" s="46"/>
    </row>
    <row r="254" spans="1:22" x14ac:dyDescent="0.25">
      <c r="A254" s="28"/>
      <c r="B254" s="49"/>
      <c r="C254" s="57"/>
      <c r="D254" s="57"/>
      <c r="E254" s="57"/>
      <c r="F254" s="57"/>
      <c r="G254" s="57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50" t="s">
        <v>11</v>
      </c>
      <c r="S254" s="50"/>
      <c r="T254" s="50"/>
      <c r="U254" s="50"/>
      <c r="V254" s="50"/>
    </row>
    <row r="255" spans="1:22" s="68" customFormat="1" x14ac:dyDescent="0.25"/>
    <row r="256" spans="1:22" ht="18.75" x14ac:dyDescent="0.3">
      <c r="E256" s="1" t="s">
        <v>0</v>
      </c>
      <c r="G256" s="2"/>
      <c r="H256" s="2"/>
      <c r="I256" s="2"/>
      <c r="J256" s="2"/>
      <c r="K256" s="2"/>
      <c r="L256" s="2"/>
      <c r="M256" s="37" t="s">
        <v>1</v>
      </c>
      <c r="N256" s="3"/>
    </row>
    <row r="257" spans="1:22" ht="18.75" x14ac:dyDescent="0.3">
      <c r="E257" s="1" t="s">
        <v>2</v>
      </c>
      <c r="J257" s="4"/>
      <c r="K257" s="4"/>
      <c r="L257" s="4"/>
      <c r="M257" s="37" t="s">
        <v>3</v>
      </c>
      <c r="N257" s="5"/>
    </row>
    <row r="258" spans="1:22" ht="18.75" x14ac:dyDescent="0.3">
      <c r="E258" t="s">
        <v>4</v>
      </c>
      <c r="H258" s="2"/>
      <c r="I258" s="2"/>
      <c r="J258" s="2"/>
      <c r="K258" s="2"/>
      <c r="L258" s="2"/>
      <c r="M258" s="38" t="s">
        <v>3</v>
      </c>
      <c r="N258" s="6"/>
    </row>
    <row r="259" spans="1:22" ht="18.75" x14ac:dyDescent="0.3">
      <c r="E259" t="s">
        <v>5</v>
      </c>
      <c r="L259" s="4"/>
      <c r="M259" s="38" t="s">
        <v>6</v>
      </c>
      <c r="N259" s="58"/>
      <c r="O259" s="58"/>
    </row>
    <row r="260" spans="1:22" ht="18.75" x14ac:dyDescent="0.3">
      <c r="E260" s="7" t="s">
        <v>7</v>
      </c>
      <c r="I260" s="2"/>
      <c r="J260" s="2"/>
      <c r="K260" s="2"/>
      <c r="L260" s="2"/>
      <c r="M260" s="38" t="s">
        <v>3</v>
      </c>
      <c r="N260" s="6"/>
    </row>
    <row r="261" spans="1:22" ht="15.75" thickBot="1" x14ac:dyDescent="0.3">
      <c r="E261" s="59" t="s">
        <v>8</v>
      </c>
      <c r="F261" s="59"/>
      <c r="G261" s="59"/>
      <c r="H261" s="59"/>
      <c r="I261" s="8"/>
      <c r="J261" s="8"/>
      <c r="K261" s="8"/>
      <c r="L261" s="8"/>
      <c r="M261" s="28" t="s">
        <v>3</v>
      </c>
      <c r="N261" s="60"/>
      <c r="O261" s="60"/>
    </row>
    <row r="262" spans="1:22" x14ac:dyDescent="0.25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x14ac:dyDescent="0.25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4"/>
    </row>
    <row r="264" spans="1:22" x14ac:dyDescent="0.25">
      <c r="A264" s="15"/>
      <c r="B264" s="61" t="s">
        <v>12</v>
      </c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55"/>
      <c r="V264" s="16"/>
    </row>
    <row r="265" spans="1:22" ht="15.75" thickBot="1" x14ac:dyDescent="0.3">
      <c r="A265" s="17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16"/>
    </row>
    <row r="266" spans="1:22" x14ac:dyDescent="0.25">
      <c r="A266" s="17"/>
      <c r="B266" s="52">
        <v>0</v>
      </c>
      <c r="C266" s="53"/>
      <c r="D266" s="53">
        <v>1</v>
      </c>
      <c r="E266" s="53">
        <v>1</v>
      </c>
      <c r="F266" s="53">
        <v>2</v>
      </c>
      <c r="G266" s="53">
        <v>2</v>
      </c>
      <c r="H266" s="53">
        <v>3</v>
      </c>
      <c r="I266" s="54">
        <v>3</v>
      </c>
      <c r="J266" s="52">
        <v>4</v>
      </c>
      <c r="K266" s="53">
        <v>4</v>
      </c>
      <c r="L266" s="53">
        <v>5</v>
      </c>
      <c r="M266" s="53"/>
      <c r="N266" s="53">
        <v>6</v>
      </c>
      <c r="O266" s="53">
        <v>1</v>
      </c>
      <c r="P266" s="53">
        <v>7</v>
      </c>
      <c r="Q266" s="54">
        <v>2</v>
      </c>
      <c r="R266" s="55">
        <v>8</v>
      </c>
      <c r="S266" s="56">
        <v>3</v>
      </c>
      <c r="T266" s="56">
        <v>9</v>
      </c>
      <c r="U266" s="56">
        <v>4</v>
      </c>
      <c r="V266" s="18"/>
    </row>
    <row r="267" spans="1:22" ht="15.75" thickBot="1" x14ac:dyDescent="0.3">
      <c r="A267" s="17"/>
      <c r="B267" s="19"/>
      <c r="C267" s="20"/>
      <c r="D267" s="20"/>
      <c r="E267" s="20"/>
      <c r="F267" s="20"/>
      <c r="G267" s="20"/>
      <c r="H267" s="20"/>
      <c r="I267" s="21"/>
      <c r="J267" s="19"/>
      <c r="K267" s="20"/>
      <c r="L267" s="20"/>
      <c r="M267" s="20"/>
      <c r="N267" s="20"/>
      <c r="O267" s="20"/>
      <c r="P267" s="20"/>
      <c r="Q267" s="21"/>
      <c r="R267" s="22"/>
      <c r="S267" s="13"/>
      <c r="T267" s="13"/>
      <c r="U267" s="13"/>
      <c r="V267" s="18"/>
    </row>
    <row r="268" spans="1:22" ht="15.75" thickBot="1" x14ac:dyDescent="0.3">
      <c r="A268" s="23"/>
      <c r="B268" s="24"/>
      <c r="C268" s="24"/>
      <c r="D268" s="24"/>
      <c r="E268" s="24"/>
      <c r="F268" s="25"/>
      <c r="G268" s="24"/>
      <c r="H268" s="24"/>
      <c r="I268" s="24"/>
      <c r="J268" s="24"/>
      <c r="K268" s="25"/>
      <c r="L268" s="24"/>
      <c r="M268" s="25"/>
      <c r="N268" s="24"/>
      <c r="O268" s="25"/>
      <c r="P268" s="24"/>
      <c r="Q268" s="25"/>
      <c r="R268" s="26"/>
      <c r="S268" s="26"/>
      <c r="T268" s="26"/>
      <c r="U268" s="26"/>
      <c r="V268" s="27"/>
    </row>
    <row r="269" spans="1:22" ht="15.75" thickBot="1" x14ac:dyDescent="0.3">
      <c r="A269" s="28"/>
      <c r="B269" s="28"/>
      <c r="C269" s="28"/>
      <c r="D269" s="28"/>
      <c r="E269" s="28"/>
      <c r="F269" s="29"/>
      <c r="G269" s="28"/>
      <c r="H269" s="28"/>
      <c r="I269" s="28"/>
      <c r="J269" s="28"/>
      <c r="K269" s="29"/>
      <c r="L269" s="28"/>
      <c r="M269" s="29"/>
      <c r="N269" s="28"/>
      <c r="O269" s="29"/>
      <c r="P269" s="28"/>
      <c r="Q269" s="29"/>
      <c r="R269" s="28"/>
      <c r="S269" s="28"/>
      <c r="T269" s="28"/>
      <c r="U269" s="28"/>
      <c r="V269" s="30"/>
    </row>
    <row r="270" spans="1:22" ht="69.95" customHeight="1" thickBot="1" x14ac:dyDescent="0.3">
      <c r="A270" s="28"/>
      <c r="B270" s="39" t="str">
        <f>IF(Q270&gt;1,"Считыватель вх",IF(F270&lt;1,"","Считыватель вых"))</f>
        <v>Считыватель вых</v>
      </c>
      <c r="C270" s="40"/>
      <c r="D270" s="41"/>
      <c r="E270" s="41"/>
      <c r="F270" s="42">
        <v>4</v>
      </c>
      <c r="G270" s="42"/>
      <c r="H270" s="43"/>
      <c r="I270" s="44"/>
      <c r="J270" s="31"/>
      <c r="K270" s="32"/>
      <c r="L270" s="33"/>
      <c r="M270" s="33"/>
      <c r="N270" s="34"/>
      <c r="O270" s="32"/>
      <c r="P270" s="34"/>
      <c r="Q270" s="35"/>
      <c r="R270" s="45" t="s">
        <v>10</v>
      </c>
      <c r="S270" s="46"/>
      <c r="T270" s="46"/>
      <c r="U270" s="46"/>
      <c r="V270" s="46"/>
    </row>
    <row r="271" spans="1:22" x14ac:dyDescent="0.25">
      <c r="A271" s="28"/>
      <c r="B271" s="47">
        <f>IF(B270="Считыватель вых",B254,IF(B270="Считыватель вх",J271,""))</f>
        <v>0</v>
      </c>
      <c r="C271" s="48"/>
      <c r="D271" s="48"/>
      <c r="E271" s="48"/>
      <c r="F271" s="48"/>
      <c r="G271" s="48"/>
      <c r="H271" s="48"/>
      <c r="I271" s="48"/>
      <c r="J271" s="49" t="s">
        <v>13</v>
      </c>
      <c r="K271" s="48"/>
      <c r="L271" s="48"/>
      <c r="M271" s="48"/>
      <c r="N271" s="48"/>
      <c r="O271" s="48"/>
      <c r="P271" s="48"/>
      <c r="Q271" s="48"/>
      <c r="R271" s="50" t="s">
        <v>11</v>
      </c>
      <c r="S271" s="50"/>
      <c r="T271" s="50"/>
      <c r="U271" s="50"/>
      <c r="V271" s="50"/>
    </row>
    <row r="272" spans="1:22" s="68" customFormat="1" x14ac:dyDescent="0.25"/>
    <row r="273" spans="1:22" ht="18.75" x14ac:dyDescent="0.3">
      <c r="E273" s="1" t="s">
        <v>0</v>
      </c>
      <c r="G273" s="2"/>
      <c r="H273" s="2"/>
      <c r="I273" s="2"/>
      <c r="J273" s="2"/>
      <c r="K273" s="2"/>
      <c r="L273" s="2"/>
      <c r="M273" s="37" t="s">
        <v>1</v>
      </c>
      <c r="N273" s="3"/>
    </row>
    <row r="274" spans="1:22" ht="18.75" x14ac:dyDescent="0.3">
      <c r="E274" s="1" t="s">
        <v>2</v>
      </c>
      <c r="J274" s="4"/>
      <c r="K274" s="4"/>
      <c r="L274" s="4"/>
      <c r="M274" s="37" t="s">
        <v>3</v>
      </c>
      <c r="N274" s="5"/>
    </row>
    <row r="275" spans="1:22" ht="18.75" x14ac:dyDescent="0.3">
      <c r="E275" t="s">
        <v>4</v>
      </c>
      <c r="H275" s="2"/>
      <c r="I275" s="2"/>
      <c r="J275" s="2"/>
      <c r="K275" s="2"/>
      <c r="L275" s="2"/>
      <c r="M275" s="38" t="s">
        <v>3</v>
      </c>
      <c r="N275" s="6"/>
    </row>
    <row r="276" spans="1:22" ht="18.75" x14ac:dyDescent="0.3">
      <c r="E276" t="s">
        <v>5</v>
      </c>
      <c r="L276" s="4"/>
      <c r="M276" s="38" t="s">
        <v>6</v>
      </c>
      <c r="N276" s="6"/>
      <c r="O276" s="6"/>
    </row>
    <row r="277" spans="1:22" ht="18.75" x14ac:dyDescent="0.3">
      <c r="E277" s="7" t="s">
        <v>7</v>
      </c>
      <c r="I277" s="2"/>
      <c r="J277" s="2"/>
      <c r="K277" s="2"/>
      <c r="L277" s="2"/>
      <c r="M277" s="38" t="s">
        <v>3</v>
      </c>
      <c r="N277" s="6"/>
    </row>
    <row r="278" spans="1:22" ht="15.75" thickBot="1" x14ac:dyDescent="0.3">
      <c r="E278" s="59" t="s">
        <v>8</v>
      </c>
      <c r="F278" s="59"/>
      <c r="G278" s="59"/>
      <c r="H278" s="59"/>
      <c r="I278" s="8"/>
      <c r="J278" s="8"/>
      <c r="K278" s="8"/>
      <c r="L278" s="8"/>
      <c r="M278" s="28" t="s">
        <v>3</v>
      </c>
      <c r="N278" s="36"/>
      <c r="O278" s="36"/>
    </row>
    <row r="279" spans="1:22" x14ac:dyDescent="0.25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x14ac:dyDescent="0.25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4"/>
    </row>
    <row r="281" spans="1:22" x14ac:dyDescent="0.25">
      <c r="A281" s="15"/>
      <c r="B281" s="61" t="s">
        <v>9</v>
      </c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55"/>
      <c r="V281" s="16"/>
    </row>
    <row r="282" spans="1:22" ht="15.75" thickBot="1" x14ac:dyDescent="0.3">
      <c r="A282" s="17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16"/>
    </row>
    <row r="283" spans="1:22" x14ac:dyDescent="0.25">
      <c r="A283" s="17"/>
      <c r="B283" s="52">
        <v>0</v>
      </c>
      <c r="C283" s="53"/>
      <c r="D283" s="53">
        <v>1</v>
      </c>
      <c r="E283" s="53">
        <v>1</v>
      </c>
      <c r="F283" s="53">
        <v>2</v>
      </c>
      <c r="G283" s="53">
        <v>2</v>
      </c>
      <c r="H283" s="53">
        <v>3</v>
      </c>
      <c r="I283" s="54">
        <v>3</v>
      </c>
      <c r="J283" s="52">
        <v>4</v>
      </c>
      <c r="K283" s="53">
        <v>4</v>
      </c>
      <c r="L283" s="53">
        <v>5</v>
      </c>
      <c r="M283" s="53"/>
      <c r="N283" s="53">
        <v>6</v>
      </c>
      <c r="O283" s="53">
        <v>1</v>
      </c>
      <c r="P283" s="53">
        <v>7</v>
      </c>
      <c r="Q283" s="54">
        <v>2</v>
      </c>
      <c r="R283" s="55">
        <v>8</v>
      </c>
      <c r="S283" s="56">
        <v>3</v>
      </c>
      <c r="T283" s="56">
        <v>9</v>
      </c>
      <c r="U283" s="56">
        <v>4</v>
      </c>
      <c r="V283" s="18"/>
    </row>
    <row r="284" spans="1:22" ht="15.75" thickBot="1" x14ac:dyDescent="0.3">
      <c r="A284" s="17"/>
      <c r="B284" s="19"/>
      <c r="C284" s="20"/>
      <c r="D284" s="20"/>
      <c r="E284" s="20"/>
      <c r="F284" s="20"/>
      <c r="G284" s="20"/>
      <c r="H284" s="20"/>
      <c r="I284" s="21"/>
      <c r="J284" s="19"/>
      <c r="K284" s="20"/>
      <c r="L284" s="20"/>
      <c r="M284" s="20"/>
      <c r="N284" s="20"/>
      <c r="O284" s="20"/>
      <c r="P284" s="20"/>
      <c r="Q284" s="21"/>
      <c r="R284" s="22"/>
      <c r="S284" s="13"/>
      <c r="T284" s="13"/>
      <c r="U284" s="13"/>
      <c r="V284" s="18"/>
    </row>
    <row r="285" spans="1:22" ht="15.75" thickBot="1" x14ac:dyDescent="0.3">
      <c r="A285" s="23"/>
      <c r="B285" s="24"/>
      <c r="C285" s="24"/>
      <c r="D285" s="24"/>
      <c r="E285" s="24"/>
      <c r="F285" s="25"/>
      <c r="G285" s="24"/>
      <c r="H285" s="24"/>
      <c r="I285" s="24"/>
      <c r="J285" s="24"/>
      <c r="K285" s="25"/>
      <c r="L285" s="24"/>
      <c r="M285" s="25"/>
      <c r="N285" s="24"/>
      <c r="O285" s="25"/>
      <c r="P285" s="24"/>
      <c r="Q285" s="25"/>
      <c r="R285" s="26"/>
      <c r="S285" s="26"/>
      <c r="T285" s="26"/>
      <c r="U285" s="26"/>
      <c r="V285" s="27"/>
    </row>
    <row r="286" spans="1:22" ht="15.75" thickBot="1" x14ac:dyDescent="0.3">
      <c r="A286" s="28"/>
      <c r="B286" s="28"/>
      <c r="C286" s="28"/>
      <c r="D286" s="28"/>
      <c r="E286" s="28"/>
      <c r="F286" s="29"/>
      <c r="G286" s="28"/>
      <c r="H286" s="28"/>
      <c r="I286" s="28"/>
      <c r="J286" s="28"/>
      <c r="K286" s="29"/>
      <c r="L286" s="28"/>
      <c r="M286" s="29"/>
      <c r="N286" s="28"/>
      <c r="O286" s="29"/>
      <c r="P286" s="28"/>
      <c r="Q286" s="29"/>
      <c r="R286" s="28"/>
      <c r="S286" s="28"/>
      <c r="T286" s="28"/>
      <c r="U286" s="28"/>
      <c r="V286" s="30"/>
    </row>
    <row r="287" spans="1:22" ht="69.95" customHeight="1" thickBot="1" x14ac:dyDescent="0.3">
      <c r="A287" s="28"/>
      <c r="B287" s="39" t="str">
        <f>IF(Q287&gt;1,"Считыватель вх",IF(F287&lt;1,"","Считыватель вх"))</f>
        <v>Считыватель вх</v>
      </c>
      <c r="C287" s="40"/>
      <c r="D287" s="41"/>
      <c r="E287" s="41"/>
      <c r="F287" s="42">
        <v>1</v>
      </c>
      <c r="G287" s="42"/>
      <c r="H287" s="43"/>
      <c r="I287" s="44"/>
      <c r="J287" s="31"/>
      <c r="K287" s="32"/>
      <c r="L287" s="33"/>
      <c r="M287" s="33"/>
      <c r="N287" s="34"/>
      <c r="O287" s="32"/>
      <c r="P287" s="34"/>
      <c r="Q287" s="35"/>
      <c r="R287" s="45" t="s">
        <v>10</v>
      </c>
      <c r="S287" s="46"/>
      <c r="T287" s="46"/>
      <c r="U287" s="46"/>
      <c r="V287" s="46"/>
    </row>
    <row r="288" spans="1:22" x14ac:dyDescent="0.25">
      <c r="A288" s="28"/>
      <c r="B288" s="49"/>
      <c r="C288" s="57"/>
      <c r="D288" s="57"/>
      <c r="E288" s="57"/>
      <c r="F288" s="57"/>
      <c r="G288" s="57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50" t="s">
        <v>11</v>
      </c>
      <c r="S288" s="50"/>
      <c r="T288" s="50"/>
      <c r="U288" s="50"/>
      <c r="V288" s="50"/>
    </row>
    <row r="289" spans="1:22" s="68" customFormat="1" x14ac:dyDescent="0.25"/>
    <row r="290" spans="1:22" ht="18.75" x14ac:dyDescent="0.3">
      <c r="E290" s="1" t="s">
        <v>0</v>
      </c>
      <c r="G290" s="2"/>
      <c r="H290" s="2"/>
      <c r="I290" s="2"/>
      <c r="J290" s="2"/>
      <c r="K290" s="2"/>
      <c r="L290" s="2"/>
      <c r="M290" s="37" t="s">
        <v>1</v>
      </c>
      <c r="N290" s="3"/>
    </row>
    <row r="291" spans="1:22" ht="18.75" x14ac:dyDescent="0.3">
      <c r="E291" s="1" t="s">
        <v>2</v>
      </c>
      <c r="J291" s="4"/>
      <c r="K291" s="4"/>
      <c r="L291" s="4"/>
      <c r="M291" s="37" t="s">
        <v>3</v>
      </c>
      <c r="N291" s="5"/>
    </row>
    <row r="292" spans="1:22" ht="18.75" x14ac:dyDescent="0.3">
      <c r="E292" t="s">
        <v>4</v>
      </c>
      <c r="H292" s="2"/>
      <c r="I292" s="2"/>
      <c r="J292" s="2"/>
      <c r="K292" s="2"/>
      <c r="L292" s="2"/>
      <c r="M292" s="38" t="s">
        <v>3</v>
      </c>
      <c r="N292" s="6"/>
    </row>
    <row r="293" spans="1:22" ht="18.75" x14ac:dyDescent="0.3">
      <c r="E293" t="s">
        <v>5</v>
      </c>
      <c r="L293" s="4"/>
      <c r="M293" s="38" t="s">
        <v>6</v>
      </c>
      <c r="N293" s="58"/>
      <c r="O293" s="58"/>
    </row>
    <row r="294" spans="1:22" ht="18.75" x14ac:dyDescent="0.3">
      <c r="E294" s="7" t="s">
        <v>7</v>
      </c>
      <c r="I294" s="2"/>
      <c r="J294" s="2"/>
      <c r="K294" s="2"/>
      <c r="L294" s="2"/>
      <c r="M294" s="38" t="s">
        <v>3</v>
      </c>
      <c r="N294" s="6"/>
    </row>
    <row r="295" spans="1:22" ht="15.75" thickBot="1" x14ac:dyDescent="0.3">
      <c r="E295" s="59" t="s">
        <v>8</v>
      </c>
      <c r="F295" s="59"/>
      <c r="G295" s="59"/>
      <c r="H295" s="59"/>
      <c r="I295" s="8"/>
      <c r="J295" s="8"/>
      <c r="K295" s="8"/>
      <c r="L295" s="8"/>
      <c r="M295" s="28" t="s">
        <v>3</v>
      </c>
      <c r="N295" s="60"/>
      <c r="O295" s="60"/>
    </row>
    <row r="296" spans="1:22" x14ac:dyDescent="0.25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x14ac:dyDescent="0.25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4"/>
    </row>
    <row r="298" spans="1:22" x14ac:dyDescent="0.25">
      <c r="A298" s="15"/>
      <c r="B298" s="61" t="s">
        <v>12</v>
      </c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55"/>
      <c r="V298" s="16"/>
    </row>
    <row r="299" spans="1:22" ht="15.75" thickBot="1" x14ac:dyDescent="0.3">
      <c r="A299" s="17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16"/>
    </row>
    <row r="300" spans="1:22" x14ac:dyDescent="0.25">
      <c r="A300" s="17"/>
      <c r="B300" s="52">
        <v>0</v>
      </c>
      <c r="C300" s="53"/>
      <c r="D300" s="53">
        <v>1</v>
      </c>
      <c r="E300" s="53">
        <v>1</v>
      </c>
      <c r="F300" s="53">
        <v>2</v>
      </c>
      <c r="G300" s="53">
        <v>2</v>
      </c>
      <c r="H300" s="53">
        <v>3</v>
      </c>
      <c r="I300" s="54">
        <v>3</v>
      </c>
      <c r="J300" s="52">
        <v>4</v>
      </c>
      <c r="K300" s="53">
        <v>4</v>
      </c>
      <c r="L300" s="53">
        <v>5</v>
      </c>
      <c r="M300" s="53"/>
      <c r="N300" s="53">
        <v>6</v>
      </c>
      <c r="O300" s="53">
        <v>1</v>
      </c>
      <c r="P300" s="53">
        <v>7</v>
      </c>
      <c r="Q300" s="54">
        <v>2</v>
      </c>
      <c r="R300" s="55">
        <v>8</v>
      </c>
      <c r="S300" s="56">
        <v>3</v>
      </c>
      <c r="T300" s="56">
        <v>9</v>
      </c>
      <c r="U300" s="56">
        <v>4</v>
      </c>
      <c r="V300" s="18"/>
    </row>
    <row r="301" spans="1:22" ht="15.75" thickBot="1" x14ac:dyDescent="0.3">
      <c r="A301" s="17"/>
      <c r="B301" s="19"/>
      <c r="C301" s="20"/>
      <c r="D301" s="20"/>
      <c r="E301" s="20"/>
      <c r="F301" s="20"/>
      <c r="G301" s="20"/>
      <c r="H301" s="20"/>
      <c r="I301" s="21"/>
      <c r="J301" s="19"/>
      <c r="K301" s="20"/>
      <c r="L301" s="20"/>
      <c r="M301" s="20"/>
      <c r="N301" s="20"/>
      <c r="O301" s="20"/>
      <c r="P301" s="20"/>
      <c r="Q301" s="21"/>
      <c r="R301" s="22"/>
      <c r="S301" s="13"/>
      <c r="T301" s="13"/>
      <c r="U301" s="13"/>
      <c r="V301" s="18"/>
    </row>
    <row r="302" spans="1:22" ht="15.75" thickBot="1" x14ac:dyDescent="0.3">
      <c r="A302" s="23"/>
      <c r="B302" s="24"/>
      <c r="C302" s="24"/>
      <c r="D302" s="24"/>
      <c r="E302" s="24"/>
      <c r="F302" s="25"/>
      <c r="G302" s="24"/>
      <c r="H302" s="24"/>
      <c r="I302" s="24"/>
      <c r="J302" s="24"/>
      <c r="K302" s="25"/>
      <c r="L302" s="24"/>
      <c r="M302" s="25"/>
      <c r="N302" s="24"/>
      <c r="O302" s="25"/>
      <c r="P302" s="24"/>
      <c r="Q302" s="25"/>
      <c r="R302" s="26"/>
      <c r="S302" s="26"/>
      <c r="T302" s="26"/>
      <c r="U302" s="26"/>
      <c r="V302" s="27"/>
    </row>
    <row r="303" spans="1:22" ht="15.75" thickBot="1" x14ac:dyDescent="0.3">
      <c r="A303" s="28"/>
      <c r="B303" s="28"/>
      <c r="C303" s="28"/>
      <c r="D303" s="28"/>
      <c r="E303" s="28"/>
      <c r="F303" s="29"/>
      <c r="G303" s="28"/>
      <c r="H303" s="28"/>
      <c r="I303" s="28"/>
      <c r="J303" s="28"/>
      <c r="K303" s="29"/>
      <c r="L303" s="28"/>
      <c r="M303" s="29"/>
      <c r="N303" s="28"/>
      <c r="O303" s="29"/>
      <c r="P303" s="28"/>
      <c r="Q303" s="29"/>
      <c r="R303" s="28"/>
      <c r="S303" s="28"/>
      <c r="T303" s="28"/>
      <c r="U303" s="28"/>
      <c r="V303" s="30"/>
    </row>
    <row r="304" spans="1:22" ht="69.95" customHeight="1" thickBot="1" x14ac:dyDescent="0.3">
      <c r="A304" s="28"/>
      <c r="B304" s="39" t="str">
        <f>IF(Q304&gt;1,"Считыватель вх",IF(F304&lt;1,"","Считыватель вых"))</f>
        <v>Считыватель вых</v>
      </c>
      <c r="C304" s="40"/>
      <c r="D304" s="41"/>
      <c r="E304" s="41"/>
      <c r="F304" s="42">
        <v>4</v>
      </c>
      <c r="G304" s="42"/>
      <c r="H304" s="43"/>
      <c r="I304" s="44"/>
      <c r="J304" s="31"/>
      <c r="K304" s="32"/>
      <c r="L304" s="33"/>
      <c r="M304" s="33"/>
      <c r="N304" s="34"/>
      <c r="O304" s="32"/>
      <c r="P304" s="34"/>
      <c r="Q304" s="35"/>
      <c r="R304" s="45" t="s">
        <v>10</v>
      </c>
      <c r="S304" s="46"/>
      <c r="T304" s="46"/>
      <c r="U304" s="46"/>
      <c r="V304" s="46"/>
    </row>
    <row r="305" spans="1:22" x14ac:dyDescent="0.25">
      <c r="A305" s="28"/>
      <c r="B305" s="47">
        <f>IF(B304="Считыватель вых",B288,IF(B304="Считыватель вх",J305,""))</f>
        <v>0</v>
      </c>
      <c r="C305" s="48"/>
      <c r="D305" s="48"/>
      <c r="E305" s="48"/>
      <c r="F305" s="48"/>
      <c r="G305" s="48"/>
      <c r="H305" s="48"/>
      <c r="I305" s="48"/>
      <c r="J305" s="49" t="s">
        <v>13</v>
      </c>
      <c r="K305" s="48"/>
      <c r="L305" s="48"/>
      <c r="M305" s="48"/>
      <c r="N305" s="48"/>
      <c r="O305" s="48"/>
      <c r="P305" s="48"/>
      <c r="Q305" s="48"/>
      <c r="R305" s="50" t="s">
        <v>11</v>
      </c>
      <c r="S305" s="50"/>
      <c r="T305" s="50"/>
      <c r="U305" s="50"/>
      <c r="V305" s="50"/>
    </row>
    <row r="306" spans="1:22" s="68" customFormat="1" x14ac:dyDescent="0.25"/>
    <row r="307" spans="1:22" ht="18.75" x14ac:dyDescent="0.3">
      <c r="E307" s="1" t="s">
        <v>0</v>
      </c>
      <c r="G307" s="2"/>
      <c r="H307" s="2"/>
      <c r="I307" s="2"/>
      <c r="J307" s="2"/>
      <c r="K307" s="2"/>
      <c r="L307" s="2"/>
      <c r="M307" s="37" t="s">
        <v>1</v>
      </c>
      <c r="N307" s="3"/>
    </row>
    <row r="308" spans="1:22" ht="18.75" x14ac:dyDescent="0.3">
      <c r="E308" s="1" t="s">
        <v>2</v>
      </c>
      <c r="J308" s="4"/>
      <c r="K308" s="4"/>
      <c r="L308" s="4"/>
      <c r="M308" s="37" t="s">
        <v>3</v>
      </c>
      <c r="N308" s="5"/>
    </row>
    <row r="309" spans="1:22" ht="18.75" x14ac:dyDescent="0.3">
      <c r="E309" t="s">
        <v>4</v>
      </c>
      <c r="H309" s="2"/>
      <c r="I309" s="2"/>
      <c r="J309" s="2"/>
      <c r="K309" s="2"/>
      <c r="L309" s="2"/>
      <c r="M309" s="38" t="s">
        <v>3</v>
      </c>
      <c r="N309" s="6"/>
    </row>
    <row r="310" spans="1:22" ht="18.75" x14ac:dyDescent="0.3">
      <c r="E310" t="s">
        <v>5</v>
      </c>
      <c r="L310" s="4"/>
      <c r="M310" s="38" t="s">
        <v>6</v>
      </c>
      <c r="N310" s="6"/>
      <c r="O310" s="6"/>
    </row>
    <row r="311" spans="1:22" ht="18.75" x14ac:dyDescent="0.3">
      <c r="E311" s="7" t="s">
        <v>7</v>
      </c>
      <c r="I311" s="2"/>
      <c r="J311" s="2"/>
      <c r="K311" s="2"/>
      <c r="L311" s="2"/>
      <c r="M311" s="38" t="s">
        <v>3</v>
      </c>
      <c r="N311" s="6"/>
    </row>
    <row r="312" spans="1:22" ht="15.75" thickBot="1" x14ac:dyDescent="0.3">
      <c r="E312" s="59" t="s">
        <v>8</v>
      </c>
      <c r="F312" s="59"/>
      <c r="G312" s="59"/>
      <c r="H312" s="59"/>
      <c r="I312" s="8"/>
      <c r="J312" s="8"/>
      <c r="K312" s="8"/>
      <c r="L312" s="8"/>
      <c r="M312" s="28" t="s">
        <v>3</v>
      </c>
      <c r="N312" s="36"/>
      <c r="O312" s="36"/>
    </row>
    <row r="313" spans="1:22" x14ac:dyDescent="0.25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x14ac:dyDescent="0.25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4"/>
    </row>
    <row r="315" spans="1:22" x14ac:dyDescent="0.25">
      <c r="A315" s="15"/>
      <c r="B315" s="61" t="s">
        <v>9</v>
      </c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55"/>
      <c r="V315" s="16"/>
    </row>
    <row r="316" spans="1:22" ht="15.75" thickBot="1" x14ac:dyDescent="0.3">
      <c r="A316" s="17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16"/>
    </row>
    <row r="317" spans="1:22" x14ac:dyDescent="0.25">
      <c r="A317" s="17"/>
      <c r="B317" s="52">
        <v>0</v>
      </c>
      <c r="C317" s="53"/>
      <c r="D317" s="53">
        <v>1</v>
      </c>
      <c r="E317" s="53">
        <v>1</v>
      </c>
      <c r="F317" s="53">
        <v>2</v>
      </c>
      <c r="G317" s="53">
        <v>2</v>
      </c>
      <c r="H317" s="53">
        <v>3</v>
      </c>
      <c r="I317" s="54">
        <v>3</v>
      </c>
      <c r="J317" s="52">
        <v>4</v>
      </c>
      <c r="K317" s="53">
        <v>4</v>
      </c>
      <c r="L317" s="53">
        <v>5</v>
      </c>
      <c r="M317" s="53"/>
      <c r="N317" s="53">
        <v>6</v>
      </c>
      <c r="O317" s="53">
        <v>1</v>
      </c>
      <c r="P317" s="53">
        <v>7</v>
      </c>
      <c r="Q317" s="54">
        <v>2</v>
      </c>
      <c r="R317" s="55">
        <v>8</v>
      </c>
      <c r="S317" s="56">
        <v>3</v>
      </c>
      <c r="T317" s="56">
        <v>9</v>
      </c>
      <c r="U317" s="56">
        <v>4</v>
      </c>
      <c r="V317" s="18"/>
    </row>
    <row r="318" spans="1:22" ht="15.75" thickBot="1" x14ac:dyDescent="0.3">
      <c r="A318" s="17"/>
      <c r="B318" s="19"/>
      <c r="C318" s="20"/>
      <c r="D318" s="20"/>
      <c r="E318" s="20"/>
      <c r="F318" s="20"/>
      <c r="G318" s="20"/>
      <c r="H318" s="20"/>
      <c r="I318" s="21"/>
      <c r="J318" s="19"/>
      <c r="K318" s="20"/>
      <c r="L318" s="20"/>
      <c r="M318" s="20"/>
      <c r="N318" s="20"/>
      <c r="O318" s="20"/>
      <c r="P318" s="20"/>
      <c r="Q318" s="21"/>
      <c r="R318" s="22"/>
      <c r="S318" s="13"/>
      <c r="T318" s="13"/>
      <c r="U318" s="13"/>
      <c r="V318" s="18"/>
    </row>
    <row r="319" spans="1:22" ht="15.75" thickBot="1" x14ac:dyDescent="0.3">
      <c r="A319" s="23"/>
      <c r="B319" s="24"/>
      <c r="C319" s="24"/>
      <c r="D319" s="24"/>
      <c r="E319" s="24"/>
      <c r="F319" s="25"/>
      <c r="G319" s="24"/>
      <c r="H319" s="24"/>
      <c r="I319" s="24"/>
      <c r="J319" s="24"/>
      <c r="K319" s="25"/>
      <c r="L319" s="24"/>
      <c r="M319" s="25"/>
      <c r="N319" s="24"/>
      <c r="O319" s="25"/>
      <c r="P319" s="24"/>
      <c r="Q319" s="25"/>
      <c r="R319" s="26"/>
      <c r="S319" s="26"/>
      <c r="T319" s="26"/>
      <c r="U319" s="26"/>
      <c r="V319" s="27"/>
    </row>
    <row r="320" spans="1:22" ht="15.75" thickBot="1" x14ac:dyDescent="0.3">
      <c r="A320" s="28"/>
      <c r="B320" s="28"/>
      <c r="C320" s="28"/>
      <c r="D320" s="28"/>
      <c r="E320" s="28"/>
      <c r="F320" s="29"/>
      <c r="G320" s="28"/>
      <c r="H320" s="28"/>
      <c r="I320" s="28"/>
      <c r="J320" s="28"/>
      <c r="K320" s="29"/>
      <c r="L320" s="28"/>
      <c r="M320" s="29"/>
      <c r="N320" s="28"/>
      <c r="O320" s="29"/>
      <c r="P320" s="28"/>
      <c r="Q320" s="29"/>
      <c r="R320" s="28"/>
      <c r="S320" s="28"/>
      <c r="T320" s="28"/>
      <c r="U320" s="28"/>
      <c r="V320" s="30"/>
    </row>
    <row r="321" spans="1:22" ht="69.95" customHeight="1" thickBot="1" x14ac:dyDescent="0.3">
      <c r="A321" s="28"/>
      <c r="B321" s="39" t="str">
        <f>IF(Q321&gt;1,"Считыватель вх",IF(F321&lt;1,"","Считыватель вх"))</f>
        <v>Считыватель вх</v>
      </c>
      <c r="C321" s="40"/>
      <c r="D321" s="41"/>
      <c r="E321" s="41"/>
      <c r="F321" s="42">
        <v>1</v>
      </c>
      <c r="G321" s="42"/>
      <c r="H321" s="43"/>
      <c r="I321" s="44"/>
      <c r="J321" s="31"/>
      <c r="K321" s="32"/>
      <c r="L321" s="33"/>
      <c r="M321" s="33"/>
      <c r="N321" s="34"/>
      <c r="O321" s="32"/>
      <c r="P321" s="34"/>
      <c r="Q321" s="35"/>
      <c r="R321" s="45" t="s">
        <v>10</v>
      </c>
      <c r="S321" s="46"/>
      <c r="T321" s="46"/>
      <c r="U321" s="46"/>
      <c r="V321" s="46"/>
    </row>
    <row r="322" spans="1:22" x14ac:dyDescent="0.25">
      <c r="A322" s="28"/>
      <c r="B322" s="49"/>
      <c r="C322" s="57"/>
      <c r="D322" s="57"/>
      <c r="E322" s="57"/>
      <c r="F322" s="57"/>
      <c r="G322" s="57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50" t="s">
        <v>11</v>
      </c>
      <c r="S322" s="50"/>
      <c r="T322" s="50"/>
      <c r="U322" s="50"/>
      <c r="V322" s="50"/>
    </row>
    <row r="323" spans="1:22" s="68" customFormat="1" x14ac:dyDescent="0.25"/>
    <row r="324" spans="1:22" ht="18.75" x14ac:dyDescent="0.3">
      <c r="E324" s="1" t="s">
        <v>0</v>
      </c>
      <c r="G324" s="2"/>
      <c r="H324" s="2"/>
      <c r="I324" s="2"/>
      <c r="J324" s="2"/>
      <c r="K324" s="2"/>
      <c r="L324" s="2"/>
      <c r="M324" s="37" t="s">
        <v>1</v>
      </c>
      <c r="N324" s="3"/>
    </row>
    <row r="325" spans="1:22" ht="18.75" x14ac:dyDescent="0.3">
      <c r="E325" s="1" t="s">
        <v>2</v>
      </c>
      <c r="J325" s="4"/>
      <c r="K325" s="4"/>
      <c r="L325" s="4"/>
      <c r="M325" s="37" t="s">
        <v>3</v>
      </c>
      <c r="N325" s="5"/>
    </row>
    <row r="326" spans="1:22" ht="18.75" x14ac:dyDescent="0.3">
      <c r="E326" t="s">
        <v>4</v>
      </c>
      <c r="H326" s="2"/>
      <c r="I326" s="2"/>
      <c r="J326" s="2"/>
      <c r="K326" s="2"/>
      <c r="L326" s="2"/>
      <c r="M326" s="38" t="s">
        <v>3</v>
      </c>
      <c r="N326" s="6"/>
    </row>
    <row r="327" spans="1:22" ht="18.75" x14ac:dyDescent="0.3">
      <c r="E327" t="s">
        <v>5</v>
      </c>
      <c r="L327" s="4"/>
      <c r="M327" s="38" t="s">
        <v>6</v>
      </c>
      <c r="N327" s="58"/>
      <c r="O327" s="58"/>
    </row>
    <row r="328" spans="1:22" ht="18.75" x14ac:dyDescent="0.3">
      <c r="E328" s="7" t="s">
        <v>7</v>
      </c>
      <c r="I328" s="2"/>
      <c r="J328" s="2"/>
      <c r="K328" s="2"/>
      <c r="L328" s="2"/>
      <c r="M328" s="38" t="s">
        <v>3</v>
      </c>
      <c r="N328" s="6"/>
    </row>
    <row r="329" spans="1:22" ht="15.75" thickBot="1" x14ac:dyDescent="0.3">
      <c r="E329" s="59" t="s">
        <v>8</v>
      </c>
      <c r="F329" s="59"/>
      <c r="G329" s="59"/>
      <c r="H329" s="59"/>
      <c r="I329" s="8"/>
      <c r="J329" s="8"/>
      <c r="K329" s="8"/>
      <c r="L329" s="8"/>
      <c r="M329" s="28" t="s">
        <v>3</v>
      </c>
      <c r="N329" s="60"/>
      <c r="O329" s="60"/>
    </row>
    <row r="330" spans="1:22" x14ac:dyDescent="0.25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x14ac:dyDescent="0.2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4"/>
    </row>
    <row r="332" spans="1:22" x14ac:dyDescent="0.25">
      <c r="A332" s="15"/>
      <c r="B332" s="61" t="s">
        <v>12</v>
      </c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55"/>
      <c r="V332" s="16"/>
    </row>
    <row r="333" spans="1:22" ht="15.75" thickBot="1" x14ac:dyDescent="0.3">
      <c r="A333" s="17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16"/>
    </row>
    <row r="334" spans="1:22" x14ac:dyDescent="0.25">
      <c r="A334" s="17"/>
      <c r="B334" s="52">
        <v>0</v>
      </c>
      <c r="C334" s="53"/>
      <c r="D334" s="53">
        <v>1</v>
      </c>
      <c r="E334" s="53">
        <v>1</v>
      </c>
      <c r="F334" s="53">
        <v>2</v>
      </c>
      <c r="G334" s="53">
        <v>2</v>
      </c>
      <c r="H334" s="53">
        <v>3</v>
      </c>
      <c r="I334" s="54">
        <v>3</v>
      </c>
      <c r="J334" s="52">
        <v>4</v>
      </c>
      <c r="K334" s="53">
        <v>4</v>
      </c>
      <c r="L334" s="53">
        <v>5</v>
      </c>
      <c r="M334" s="53"/>
      <c r="N334" s="53">
        <v>6</v>
      </c>
      <c r="O334" s="53">
        <v>1</v>
      </c>
      <c r="P334" s="53">
        <v>7</v>
      </c>
      <c r="Q334" s="54">
        <v>2</v>
      </c>
      <c r="R334" s="55">
        <v>8</v>
      </c>
      <c r="S334" s="56">
        <v>3</v>
      </c>
      <c r="T334" s="56">
        <v>9</v>
      </c>
      <c r="U334" s="56">
        <v>4</v>
      </c>
      <c r="V334" s="18"/>
    </row>
    <row r="335" spans="1:22" ht="15.75" thickBot="1" x14ac:dyDescent="0.3">
      <c r="A335" s="17"/>
      <c r="B335" s="19"/>
      <c r="C335" s="20"/>
      <c r="D335" s="20"/>
      <c r="E335" s="20"/>
      <c r="F335" s="20"/>
      <c r="G335" s="20"/>
      <c r="H335" s="20"/>
      <c r="I335" s="21"/>
      <c r="J335" s="19"/>
      <c r="K335" s="20"/>
      <c r="L335" s="20"/>
      <c r="M335" s="20"/>
      <c r="N335" s="20"/>
      <c r="O335" s="20"/>
      <c r="P335" s="20"/>
      <c r="Q335" s="21"/>
      <c r="R335" s="22"/>
      <c r="S335" s="13"/>
      <c r="T335" s="13"/>
      <c r="U335" s="13"/>
      <c r="V335" s="18"/>
    </row>
    <row r="336" spans="1:22" ht="15.75" thickBot="1" x14ac:dyDescent="0.3">
      <c r="A336" s="23"/>
      <c r="B336" s="24"/>
      <c r="C336" s="24"/>
      <c r="D336" s="24"/>
      <c r="E336" s="24"/>
      <c r="F336" s="25"/>
      <c r="G336" s="24"/>
      <c r="H336" s="24"/>
      <c r="I336" s="24"/>
      <c r="J336" s="24"/>
      <c r="K336" s="25"/>
      <c r="L336" s="24"/>
      <c r="M336" s="25"/>
      <c r="N336" s="24"/>
      <c r="O336" s="25"/>
      <c r="P336" s="24"/>
      <c r="Q336" s="25"/>
      <c r="R336" s="26"/>
      <c r="S336" s="26"/>
      <c r="T336" s="26"/>
      <c r="U336" s="26"/>
      <c r="V336" s="27"/>
    </row>
    <row r="337" spans="1:22" ht="15.75" thickBot="1" x14ac:dyDescent="0.3">
      <c r="A337" s="28"/>
      <c r="B337" s="28"/>
      <c r="C337" s="28"/>
      <c r="D337" s="28"/>
      <c r="E337" s="28"/>
      <c r="F337" s="29"/>
      <c r="G337" s="28"/>
      <c r="H337" s="28"/>
      <c r="I337" s="28"/>
      <c r="J337" s="28"/>
      <c r="K337" s="29"/>
      <c r="L337" s="28"/>
      <c r="M337" s="29"/>
      <c r="N337" s="28"/>
      <c r="O337" s="29"/>
      <c r="P337" s="28"/>
      <c r="Q337" s="29"/>
      <c r="R337" s="28"/>
      <c r="S337" s="28"/>
      <c r="T337" s="28"/>
      <c r="U337" s="28"/>
      <c r="V337" s="30"/>
    </row>
    <row r="338" spans="1:22" ht="69.95" customHeight="1" thickBot="1" x14ac:dyDescent="0.3">
      <c r="A338" s="28"/>
      <c r="B338" s="39" t="str">
        <f>IF(Q338&gt;1,"Считыватель вх",IF(F338&lt;1,"","Считыватель вых"))</f>
        <v>Считыватель вых</v>
      </c>
      <c r="C338" s="40"/>
      <c r="D338" s="41"/>
      <c r="E338" s="41"/>
      <c r="F338" s="42">
        <v>4</v>
      </c>
      <c r="G338" s="42"/>
      <c r="H338" s="43"/>
      <c r="I338" s="44"/>
      <c r="J338" s="31"/>
      <c r="K338" s="32"/>
      <c r="L338" s="33"/>
      <c r="M338" s="33"/>
      <c r="N338" s="34"/>
      <c r="O338" s="32"/>
      <c r="P338" s="34"/>
      <c r="Q338" s="35"/>
      <c r="R338" s="45" t="s">
        <v>10</v>
      </c>
      <c r="S338" s="46"/>
      <c r="T338" s="46"/>
      <c r="U338" s="46"/>
      <c r="V338" s="46"/>
    </row>
    <row r="339" spans="1:22" x14ac:dyDescent="0.25">
      <c r="A339" s="28"/>
      <c r="B339" s="47">
        <f>IF(B338="Считыватель вых",B322,IF(B338="Считыватель вх",J339,""))</f>
        <v>0</v>
      </c>
      <c r="C339" s="48"/>
      <c r="D339" s="48"/>
      <c r="E339" s="48"/>
      <c r="F339" s="48"/>
      <c r="G339" s="48"/>
      <c r="H339" s="48"/>
      <c r="I339" s="48"/>
      <c r="J339" s="49" t="s">
        <v>13</v>
      </c>
      <c r="K339" s="48"/>
      <c r="L339" s="48"/>
      <c r="M339" s="48"/>
      <c r="N339" s="48"/>
      <c r="O339" s="48"/>
      <c r="P339" s="48"/>
      <c r="Q339" s="48"/>
      <c r="R339" s="50" t="s">
        <v>11</v>
      </c>
      <c r="S339" s="50"/>
      <c r="T339" s="50"/>
      <c r="U339" s="50"/>
      <c r="V339" s="50"/>
    </row>
    <row r="340" spans="1:22" s="68" customFormat="1" x14ac:dyDescent="0.25"/>
    <row r="341" spans="1:22" ht="18.75" x14ac:dyDescent="0.3">
      <c r="E341" s="1" t="s">
        <v>0</v>
      </c>
      <c r="G341" s="2"/>
      <c r="H341" s="2"/>
      <c r="I341" s="2"/>
      <c r="J341" s="2"/>
      <c r="K341" s="2"/>
      <c r="L341" s="2"/>
      <c r="M341" s="37" t="s">
        <v>1</v>
      </c>
      <c r="N341" s="3"/>
    </row>
    <row r="342" spans="1:22" ht="18.75" x14ac:dyDescent="0.3">
      <c r="E342" s="1" t="s">
        <v>2</v>
      </c>
      <c r="J342" s="4"/>
      <c r="K342" s="4"/>
      <c r="L342" s="4"/>
      <c r="M342" s="37" t="s">
        <v>3</v>
      </c>
      <c r="N342" s="5"/>
    </row>
    <row r="343" spans="1:22" ht="18.75" x14ac:dyDescent="0.3">
      <c r="E343" t="s">
        <v>4</v>
      </c>
      <c r="H343" s="2"/>
      <c r="I343" s="2"/>
      <c r="J343" s="2"/>
      <c r="K343" s="2"/>
      <c r="L343" s="2"/>
      <c r="M343" s="38" t="s">
        <v>3</v>
      </c>
      <c r="N343" s="6"/>
    </row>
    <row r="344" spans="1:22" ht="18.75" x14ac:dyDescent="0.3">
      <c r="E344" t="s">
        <v>5</v>
      </c>
      <c r="L344" s="4"/>
      <c r="M344" s="38" t="s">
        <v>6</v>
      </c>
      <c r="N344" s="6"/>
      <c r="O344" s="6"/>
    </row>
    <row r="345" spans="1:22" ht="18.75" x14ac:dyDescent="0.3">
      <c r="E345" s="7" t="s">
        <v>7</v>
      </c>
      <c r="I345" s="2"/>
      <c r="J345" s="2"/>
      <c r="K345" s="2"/>
      <c r="L345" s="2"/>
      <c r="M345" s="38" t="s">
        <v>3</v>
      </c>
      <c r="N345" s="6"/>
    </row>
    <row r="346" spans="1:22" ht="15.75" thickBot="1" x14ac:dyDescent="0.3">
      <c r="E346" s="59" t="s">
        <v>8</v>
      </c>
      <c r="F346" s="59"/>
      <c r="G346" s="59"/>
      <c r="H346" s="59"/>
      <c r="I346" s="8"/>
      <c r="J346" s="8"/>
      <c r="K346" s="8"/>
      <c r="L346" s="8"/>
      <c r="M346" s="28" t="s">
        <v>3</v>
      </c>
      <c r="N346" s="36"/>
      <c r="O346" s="36"/>
    </row>
    <row r="347" spans="1:22" x14ac:dyDescent="0.25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x14ac:dyDescent="0.25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4"/>
    </row>
    <row r="349" spans="1:22" x14ac:dyDescent="0.25">
      <c r="A349" s="15"/>
      <c r="B349" s="61" t="s">
        <v>9</v>
      </c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55"/>
      <c r="V349" s="16"/>
    </row>
    <row r="350" spans="1:22" ht="15.75" thickBot="1" x14ac:dyDescent="0.3">
      <c r="A350" s="17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16"/>
    </row>
    <row r="351" spans="1:22" x14ac:dyDescent="0.25">
      <c r="A351" s="17"/>
      <c r="B351" s="52">
        <v>0</v>
      </c>
      <c r="C351" s="53"/>
      <c r="D351" s="53">
        <v>1</v>
      </c>
      <c r="E351" s="53">
        <v>1</v>
      </c>
      <c r="F351" s="53">
        <v>2</v>
      </c>
      <c r="G351" s="53">
        <v>2</v>
      </c>
      <c r="H351" s="53">
        <v>3</v>
      </c>
      <c r="I351" s="54">
        <v>3</v>
      </c>
      <c r="J351" s="52">
        <v>4</v>
      </c>
      <c r="K351" s="53">
        <v>4</v>
      </c>
      <c r="L351" s="53">
        <v>5</v>
      </c>
      <c r="M351" s="53"/>
      <c r="N351" s="53">
        <v>6</v>
      </c>
      <c r="O351" s="53">
        <v>1</v>
      </c>
      <c r="P351" s="53">
        <v>7</v>
      </c>
      <c r="Q351" s="54">
        <v>2</v>
      </c>
      <c r="R351" s="55">
        <v>8</v>
      </c>
      <c r="S351" s="56">
        <v>3</v>
      </c>
      <c r="T351" s="56">
        <v>9</v>
      </c>
      <c r="U351" s="56">
        <v>4</v>
      </c>
      <c r="V351" s="18"/>
    </row>
    <row r="352" spans="1:22" ht="15.75" thickBot="1" x14ac:dyDescent="0.3">
      <c r="A352" s="17"/>
      <c r="B352" s="19"/>
      <c r="C352" s="20"/>
      <c r="D352" s="20"/>
      <c r="E352" s="20"/>
      <c r="F352" s="20"/>
      <c r="G352" s="20"/>
      <c r="H352" s="20"/>
      <c r="I352" s="21"/>
      <c r="J352" s="19"/>
      <c r="K352" s="20"/>
      <c r="L352" s="20"/>
      <c r="M352" s="20"/>
      <c r="N352" s="20"/>
      <c r="O352" s="20"/>
      <c r="P352" s="20"/>
      <c r="Q352" s="21"/>
      <c r="R352" s="22"/>
      <c r="S352" s="13"/>
      <c r="T352" s="13"/>
      <c r="U352" s="13"/>
      <c r="V352" s="18"/>
    </row>
    <row r="353" spans="1:22" ht="15.75" thickBot="1" x14ac:dyDescent="0.3">
      <c r="A353" s="23"/>
      <c r="B353" s="24"/>
      <c r="C353" s="24"/>
      <c r="D353" s="24"/>
      <c r="E353" s="24"/>
      <c r="F353" s="25"/>
      <c r="G353" s="24"/>
      <c r="H353" s="24"/>
      <c r="I353" s="24"/>
      <c r="J353" s="24"/>
      <c r="K353" s="25"/>
      <c r="L353" s="24"/>
      <c r="M353" s="25"/>
      <c r="N353" s="24"/>
      <c r="O353" s="25"/>
      <c r="P353" s="24"/>
      <c r="Q353" s="25"/>
      <c r="R353" s="26"/>
      <c r="S353" s="26"/>
      <c r="T353" s="26"/>
      <c r="U353" s="26"/>
      <c r="V353" s="27"/>
    </row>
    <row r="354" spans="1:22" ht="15.75" thickBot="1" x14ac:dyDescent="0.3">
      <c r="A354" s="28"/>
      <c r="B354" s="28"/>
      <c r="C354" s="28"/>
      <c r="D354" s="28"/>
      <c r="E354" s="28"/>
      <c r="F354" s="29"/>
      <c r="G354" s="28"/>
      <c r="H354" s="28"/>
      <c r="I354" s="28"/>
      <c r="J354" s="28"/>
      <c r="K354" s="29"/>
      <c r="L354" s="28"/>
      <c r="M354" s="29"/>
      <c r="N354" s="28"/>
      <c r="O354" s="29"/>
      <c r="P354" s="28"/>
      <c r="Q354" s="29"/>
      <c r="R354" s="28"/>
      <c r="S354" s="28"/>
      <c r="T354" s="28"/>
      <c r="U354" s="28"/>
      <c r="V354" s="30"/>
    </row>
    <row r="355" spans="1:22" ht="69.95" customHeight="1" thickBot="1" x14ac:dyDescent="0.3">
      <c r="A355" s="28"/>
      <c r="B355" s="39" t="str">
        <f>IF(Q355&gt;1,"Считыватель вх",IF(F355&lt;1,"","Считыватель вх"))</f>
        <v>Считыватель вх</v>
      </c>
      <c r="C355" s="40"/>
      <c r="D355" s="41"/>
      <c r="E355" s="41"/>
      <c r="F355" s="42">
        <v>1</v>
      </c>
      <c r="G355" s="42"/>
      <c r="H355" s="43"/>
      <c r="I355" s="44"/>
      <c r="J355" s="31"/>
      <c r="K355" s="32"/>
      <c r="L355" s="33"/>
      <c r="M355" s="33"/>
      <c r="N355" s="34"/>
      <c r="O355" s="32"/>
      <c r="P355" s="34"/>
      <c r="Q355" s="35"/>
      <c r="R355" s="45" t="s">
        <v>10</v>
      </c>
      <c r="S355" s="46"/>
      <c r="T355" s="46"/>
      <c r="U355" s="46"/>
      <c r="V355" s="46"/>
    </row>
    <row r="356" spans="1:22" x14ac:dyDescent="0.25">
      <c r="A356" s="28"/>
      <c r="B356" s="49"/>
      <c r="C356" s="57"/>
      <c r="D356" s="57"/>
      <c r="E356" s="57"/>
      <c r="F356" s="57"/>
      <c r="G356" s="57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50" t="s">
        <v>11</v>
      </c>
      <c r="S356" s="50"/>
      <c r="T356" s="50"/>
      <c r="U356" s="50"/>
      <c r="V356" s="50"/>
    </row>
    <row r="357" spans="1:22" s="68" customFormat="1" x14ac:dyDescent="0.25"/>
    <row r="358" spans="1:22" ht="18.75" x14ac:dyDescent="0.3">
      <c r="E358" s="1" t="s">
        <v>0</v>
      </c>
      <c r="G358" s="2"/>
      <c r="H358" s="2"/>
      <c r="I358" s="2"/>
      <c r="J358" s="2"/>
      <c r="K358" s="2"/>
      <c r="L358" s="2"/>
      <c r="M358" s="37" t="s">
        <v>1</v>
      </c>
      <c r="N358" s="3"/>
    </row>
    <row r="359" spans="1:22" ht="18.75" x14ac:dyDescent="0.3">
      <c r="E359" s="1" t="s">
        <v>2</v>
      </c>
      <c r="J359" s="4"/>
      <c r="K359" s="4"/>
      <c r="L359" s="4"/>
      <c r="M359" s="37" t="s">
        <v>3</v>
      </c>
      <c r="N359" s="5"/>
    </row>
    <row r="360" spans="1:22" ht="18.75" x14ac:dyDescent="0.3">
      <c r="E360" t="s">
        <v>4</v>
      </c>
      <c r="H360" s="2"/>
      <c r="I360" s="2"/>
      <c r="J360" s="2"/>
      <c r="K360" s="2"/>
      <c r="L360" s="2"/>
      <c r="M360" s="38" t="s">
        <v>3</v>
      </c>
      <c r="N360" s="6"/>
    </row>
    <row r="361" spans="1:22" ht="18.75" x14ac:dyDescent="0.3">
      <c r="E361" t="s">
        <v>5</v>
      </c>
      <c r="L361" s="4"/>
      <c r="M361" s="38" t="s">
        <v>6</v>
      </c>
      <c r="N361" s="58"/>
      <c r="O361" s="58"/>
    </row>
    <row r="362" spans="1:22" ht="18.75" x14ac:dyDescent="0.3">
      <c r="E362" s="7" t="s">
        <v>7</v>
      </c>
      <c r="I362" s="2"/>
      <c r="J362" s="2"/>
      <c r="K362" s="2"/>
      <c r="L362" s="2"/>
      <c r="M362" s="38" t="s">
        <v>3</v>
      </c>
      <c r="N362" s="6"/>
    </row>
    <row r="363" spans="1:22" ht="15.75" thickBot="1" x14ac:dyDescent="0.3">
      <c r="E363" s="59" t="s">
        <v>8</v>
      </c>
      <c r="F363" s="59"/>
      <c r="G363" s="59"/>
      <c r="H363" s="59"/>
      <c r="I363" s="8"/>
      <c r="J363" s="8"/>
      <c r="K363" s="8"/>
      <c r="L363" s="8"/>
      <c r="M363" s="28" t="s">
        <v>3</v>
      </c>
      <c r="N363" s="60"/>
      <c r="O363" s="60"/>
    </row>
    <row r="364" spans="1:22" x14ac:dyDescent="0.25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x14ac:dyDescent="0.25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4"/>
    </row>
    <row r="366" spans="1:22" x14ac:dyDescent="0.25">
      <c r="A366" s="15"/>
      <c r="B366" s="61" t="s">
        <v>12</v>
      </c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55"/>
      <c r="V366" s="16"/>
    </row>
    <row r="367" spans="1:22" ht="15.75" thickBot="1" x14ac:dyDescent="0.3">
      <c r="A367" s="17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16"/>
    </row>
    <row r="368" spans="1:22" x14ac:dyDescent="0.25">
      <c r="A368" s="17"/>
      <c r="B368" s="52">
        <v>0</v>
      </c>
      <c r="C368" s="53"/>
      <c r="D368" s="53">
        <v>1</v>
      </c>
      <c r="E368" s="53">
        <v>1</v>
      </c>
      <c r="F368" s="53">
        <v>2</v>
      </c>
      <c r="G368" s="53">
        <v>2</v>
      </c>
      <c r="H368" s="53">
        <v>3</v>
      </c>
      <c r="I368" s="54">
        <v>3</v>
      </c>
      <c r="J368" s="52">
        <v>4</v>
      </c>
      <c r="K368" s="53">
        <v>4</v>
      </c>
      <c r="L368" s="53">
        <v>5</v>
      </c>
      <c r="M368" s="53"/>
      <c r="N368" s="53">
        <v>6</v>
      </c>
      <c r="O368" s="53">
        <v>1</v>
      </c>
      <c r="P368" s="53">
        <v>7</v>
      </c>
      <c r="Q368" s="54">
        <v>2</v>
      </c>
      <c r="R368" s="55">
        <v>8</v>
      </c>
      <c r="S368" s="56">
        <v>3</v>
      </c>
      <c r="T368" s="56">
        <v>9</v>
      </c>
      <c r="U368" s="56">
        <v>4</v>
      </c>
      <c r="V368" s="18"/>
    </row>
    <row r="369" spans="1:22" ht="15.75" thickBot="1" x14ac:dyDescent="0.3">
      <c r="A369" s="17"/>
      <c r="B369" s="19"/>
      <c r="C369" s="20"/>
      <c r="D369" s="20"/>
      <c r="E369" s="20"/>
      <c r="F369" s="20"/>
      <c r="G369" s="20"/>
      <c r="H369" s="20"/>
      <c r="I369" s="21"/>
      <c r="J369" s="19"/>
      <c r="K369" s="20"/>
      <c r="L369" s="20"/>
      <c r="M369" s="20"/>
      <c r="N369" s="20"/>
      <c r="O369" s="20"/>
      <c r="P369" s="20"/>
      <c r="Q369" s="21"/>
      <c r="R369" s="22"/>
      <c r="S369" s="13"/>
      <c r="T369" s="13"/>
      <c r="U369" s="13"/>
      <c r="V369" s="18"/>
    </row>
    <row r="370" spans="1:22" ht="15.75" thickBot="1" x14ac:dyDescent="0.3">
      <c r="A370" s="23"/>
      <c r="B370" s="24"/>
      <c r="C370" s="24"/>
      <c r="D370" s="24"/>
      <c r="E370" s="24"/>
      <c r="F370" s="25"/>
      <c r="G370" s="24"/>
      <c r="H370" s="24"/>
      <c r="I370" s="24"/>
      <c r="J370" s="24"/>
      <c r="K370" s="25"/>
      <c r="L370" s="24"/>
      <c r="M370" s="25"/>
      <c r="N370" s="24"/>
      <c r="O370" s="25"/>
      <c r="P370" s="24"/>
      <c r="Q370" s="25"/>
      <c r="R370" s="26"/>
      <c r="S370" s="26"/>
      <c r="T370" s="26"/>
      <c r="U370" s="26"/>
      <c r="V370" s="27"/>
    </row>
    <row r="371" spans="1:22" ht="15.75" thickBot="1" x14ac:dyDescent="0.3">
      <c r="A371" s="28"/>
      <c r="B371" s="28"/>
      <c r="C371" s="28"/>
      <c r="D371" s="28"/>
      <c r="E371" s="28"/>
      <c r="F371" s="29"/>
      <c r="G371" s="28"/>
      <c r="H371" s="28"/>
      <c r="I371" s="28"/>
      <c r="J371" s="28"/>
      <c r="K371" s="29"/>
      <c r="L371" s="28"/>
      <c r="M371" s="29"/>
      <c r="N371" s="28"/>
      <c r="O371" s="29"/>
      <c r="P371" s="28"/>
      <c r="Q371" s="29"/>
      <c r="R371" s="28"/>
      <c r="S371" s="28"/>
      <c r="T371" s="28"/>
      <c r="U371" s="28"/>
      <c r="V371" s="30"/>
    </row>
    <row r="372" spans="1:22" ht="69.95" customHeight="1" thickBot="1" x14ac:dyDescent="0.3">
      <c r="A372" s="28"/>
      <c r="B372" s="39" t="str">
        <f>IF(Q372&gt;1,"Считыватель вх",IF(F372&lt;1,"","Считыватель вых"))</f>
        <v>Считыватель вых</v>
      </c>
      <c r="C372" s="40"/>
      <c r="D372" s="41"/>
      <c r="E372" s="41"/>
      <c r="F372" s="42">
        <v>4</v>
      </c>
      <c r="G372" s="42"/>
      <c r="H372" s="43"/>
      <c r="I372" s="44"/>
      <c r="J372" s="31"/>
      <c r="K372" s="32"/>
      <c r="L372" s="33"/>
      <c r="M372" s="33"/>
      <c r="N372" s="34"/>
      <c r="O372" s="32"/>
      <c r="P372" s="34"/>
      <c r="Q372" s="35"/>
      <c r="R372" s="45" t="s">
        <v>10</v>
      </c>
      <c r="S372" s="46"/>
      <c r="T372" s="46"/>
      <c r="U372" s="46"/>
      <c r="V372" s="46"/>
    </row>
    <row r="373" spans="1:22" x14ac:dyDescent="0.25">
      <c r="A373" s="28"/>
      <c r="B373" s="47">
        <f>IF(B372="Считыватель вых",B356,IF(B372="Считыватель вх",J373,""))</f>
        <v>0</v>
      </c>
      <c r="C373" s="48"/>
      <c r="D373" s="48"/>
      <c r="E373" s="48"/>
      <c r="F373" s="48"/>
      <c r="G373" s="48"/>
      <c r="H373" s="48"/>
      <c r="I373" s="48"/>
      <c r="J373" s="49" t="s">
        <v>13</v>
      </c>
      <c r="K373" s="48"/>
      <c r="L373" s="48"/>
      <c r="M373" s="48"/>
      <c r="N373" s="48"/>
      <c r="O373" s="48"/>
      <c r="P373" s="48"/>
      <c r="Q373" s="48"/>
      <c r="R373" s="50" t="s">
        <v>11</v>
      </c>
      <c r="S373" s="50"/>
      <c r="T373" s="50"/>
      <c r="U373" s="50"/>
      <c r="V373" s="50"/>
    </row>
    <row r="374" spans="1:22" s="68" customFormat="1" x14ac:dyDescent="0.25"/>
    <row r="375" spans="1:22" ht="18.75" x14ac:dyDescent="0.3">
      <c r="E375" s="1" t="s">
        <v>0</v>
      </c>
      <c r="G375" s="2"/>
      <c r="H375" s="2"/>
      <c r="I375" s="2"/>
      <c r="J375" s="2"/>
      <c r="K375" s="2"/>
      <c r="L375" s="2"/>
      <c r="M375" s="37" t="s">
        <v>1</v>
      </c>
      <c r="N375" s="3"/>
    </row>
    <row r="376" spans="1:22" ht="18.75" x14ac:dyDescent="0.3">
      <c r="E376" s="1" t="s">
        <v>2</v>
      </c>
      <c r="J376" s="4"/>
      <c r="K376" s="4"/>
      <c r="L376" s="4"/>
      <c r="M376" s="37" t="s">
        <v>3</v>
      </c>
      <c r="N376" s="5"/>
    </row>
    <row r="377" spans="1:22" ht="18.75" x14ac:dyDescent="0.3">
      <c r="E377" t="s">
        <v>4</v>
      </c>
      <c r="H377" s="2"/>
      <c r="I377" s="2"/>
      <c r="J377" s="2"/>
      <c r="K377" s="2"/>
      <c r="L377" s="2"/>
      <c r="M377" s="38" t="s">
        <v>3</v>
      </c>
      <c r="N377" s="6"/>
    </row>
    <row r="378" spans="1:22" ht="18.75" x14ac:dyDescent="0.3">
      <c r="E378" t="s">
        <v>5</v>
      </c>
      <c r="L378" s="4"/>
      <c r="M378" s="38" t="s">
        <v>6</v>
      </c>
      <c r="N378" s="6"/>
      <c r="O378" s="6"/>
    </row>
    <row r="379" spans="1:22" ht="18.75" x14ac:dyDescent="0.3">
      <c r="E379" s="7" t="s">
        <v>7</v>
      </c>
      <c r="I379" s="2"/>
      <c r="J379" s="2"/>
      <c r="K379" s="2"/>
      <c r="L379" s="2"/>
      <c r="M379" s="38" t="s">
        <v>3</v>
      </c>
      <c r="N379" s="6"/>
    </row>
    <row r="380" spans="1:22" ht="15.75" thickBot="1" x14ac:dyDescent="0.3">
      <c r="E380" s="59" t="s">
        <v>8</v>
      </c>
      <c r="F380" s="59"/>
      <c r="G380" s="59"/>
      <c r="H380" s="59"/>
      <c r="I380" s="8"/>
      <c r="J380" s="8"/>
      <c r="K380" s="8"/>
      <c r="L380" s="8"/>
      <c r="M380" s="28" t="s">
        <v>3</v>
      </c>
      <c r="N380" s="36"/>
      <c r="O380" s="36"/>
    </row>
    <row r="381" spans="1:22" x14ac:dyDescent="0.25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x14ac:dyDescent="0.25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4"/>
    </row>
    <row r="383" spans="1:22" x14ac:dyDescent="0.25">
      <c r="A383" s="15"/>
      <c r="B383" s="61" t="s">
        <v>9</v>
      </c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55"/>
      <c r="V383" s="16"/>
    </row>
    <row r="384" spans="1:22" ht="15.75" thickBot="1" x14ac:dyDescent="0.3">
      <c r="A384" s="17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16"/>
    </row>
    <row r="385" spans="1:22" x14ac:dyDescent="0.25">
      <c r="A385" s="17"/>
      <c r="B385" s="52">
        <v>0</v>
      </c>
      <c r="C385" s="53"/>
      <c r="D385" s="53">
        <v>1</v>
      </c>
      <c r="E385" s="53">
        <v>1</v>
      </c>
      <c r="F385" s="53">
        <v>2</v>
      </c>
      <c r="G385" s="53">
        <v>2</v>
      </c>
      <c r="H385" s="53">
        <v>3</v>
      </c>
      <c r="I385" s="54">
        <v>3</v>
      </c>
      <c r="J385" s="52">
        <v>4</v>
      </c>
      <c r="K385" s="53">
        <v>4</v>
      </c>
      <c r="L385" s="53">
        <v>5</v>
      </c>
      <c r="M385" s="53"/>
      <c r="N385" s="53">
        <v>6</v>
      </c>
      <c r="O385" s="53">
        <v>1</v>
      </c>
      <c r="P385" s="53">
        <v>7</v>
      </c>
      <c r="Q385" s="54">
        <v>2</v>
      </c>
      <c r="R385" s="55">
        <v>8</v>
      </c>
      <c r="S385" s="56">
        <v>3</v>
      </c>
      <c r="T385" s="56">
        <v>9</v>
      </c>
      <c r="U385" s="56">
        <v>4</v>
      </c>
      <c r="V385" s="18"/>
    </row>
    <row r="386" spans="1:22" ht="15.75" thickBot="1" x14ac:dyDescent="0.3">
      <c r="A386" s="17"/>
      <c r="B386" s="19"/>
      <c r="C386" s="20"/>
      <c r="D386" s="20"/>
      <c r="E386" s="20"/>
      <c r="F386" s="20"/>
      <c r="G386" s="20"/>
      <c r="H386" s="20"/>
      <c r="I386" s="21"/>
      <c r="J386" s="19"/>
      <c r="K386" s="20"/>
      <c r="L386" s="20"/>
      <c r="M386" s="20"/>
      <c r="N386" s="20"/>
      <c r="O386" s="20"/>
      <c r="P386" s="20"/>
      <c r="Q386" s="21"/>
      <c r="R386" s="22"/>
      <c r="S386" s="13"/>
      <c r="T386" s="13"/>
      <c r="U386" s="13"/>
      <c r="V386" s="18"/>
    </row>
    <row r="387" spans="1:22" ht="15.75" thickBot="1" x14ac:dyDescent="0.3">
      <c r="A387" s="23"/>
      <c r="B387" s="24"/>
      <c r="C387" s="24"/>
      <c r="D387" s="24"/>
      <c r="E387" s="24"/>
      <c r="F387" s="25"/>
      <c r="G387" s="24"/>
      <c r="H387" s="24"/>
      <c r="I387" s="24"/>
      <c r="J387" s="24"/>
      <c r="K387" s="25"/>
      <c r="L387" s="24"/>
      <c r="M387" s="25"/>
      <c r="N387" s="24"/>
      <c r="O387" s="25"/>
      <c r="P387" s="24"/>
      <c r="Q387" s="25"/>
      <c r="R387" s="26"/>
      <c r="S387" s="26"/>
      <c r="T387" s="26"/>
      <c r="U387" s="26"/>
      <c r="V387" s="27"/>
    </row>
    <row r="388" spans="1:22" ht="15.75" thickBot="1" x14ac:dyDescent="0.3">
      <c r="A388" s="28"/>
      <c r="B388" s="28"/>
      <c r="C388" s="28"/>
      <c r="D388" s="28"/>
      <c r="E388" s="28"/>
      <c r="F388" s="29"/>
      <c r="G388" s="28"/>
      <c r="H388" s="28"/>
      <c r="I388" s="28"/>
      <c r="J388" s="28"/>
      <c r="K388" s="29"/>
      <c r="L388" s="28"/>
      <c r="M388" s="29"/>
      <c r="N388" s="28"/>
      <c r="O388" s="29"/>
      <c r="P388" s="28"/>
      <c r="Q388" s="29"/>
      <c r="R388" s="28"/>
      <c r="S388" s="28"/>
      <c r="T388" s="28"/>
      <c r="U388" s="28"/>
      <c r="V388" s="30"/>
    </row>
    <row r="389" spans="1:22" ht="69.95" customHeight="1" thickBot="1" x14ac:dyDescent="0.3">
      <c r="A389" s="28"/>
      <c r="B389" s="39" t="str">
        <f>IF(Q389&gt;1,"Считыватель вх",IF(F389&lt;1,"","Считыватель вх"))</f>
        <v>Считыватель вх</v>
      </c>
      <c r="C389" s="40"/>
      <c r="D389" s="41"/>
      <c r="E389" s="41"/>
      <c r="F389" s="42">
        <v>1</v>
      </c>
      <c r="G389" s="42"/>
      <c r="H389" s="43"/>
      <c r="I389" s="44"/>
      <c r="J389" s="31"/>
      <c r="K389" s="32"/>
      <c r="L389" s="33"/>
      <c r="M389" s="33"/>
      <c r="N389" s="34"/>
      <c r="O389" s="32"/>
      <c r="P389" s="34"/>
      <c r="Q389" s="35"/>
      <c r="R389" s="45" t="s">
        <v>10</v>
      </c>
      <c r="S389" s="46"/>
      <c r="T389" s="46"/>
      <c r="U389" s="46"/>
      <c r="V389" s="46"/>
    </row>
    <row r="390" spans="1:22" x14ac:dyDescent="0.25">
      <c r="A390" s="28"/>
      <c r="B390" s="49"/>
      <c r="C390" s="57"/>
      <c r="D390" s="57"/>
      <c r="E390" s="57"/>
      <c r="F390" s="57"/>
      <c r="G390" s="57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50" t="s">
        <v>11</v>
      </c>
      <c r="S390" s="50"/>
      <c r="T390" s="50"/>
      <c r="U390" s="50"/>
      <c r="V390" s="50"/>
    </row>
    <row r="391" spans="1:22" s="68" customFormat="1" x14ac:dyDescent="0.25"/>
    <row r="392" spans="1:22" ht="18.75" x14ac:dyDescent="0.3">
      <c r="E392" s="1" t="s">
        <v>0</v>
      </c>
      <c r="G392" s="2"/>
      <c r="H392" s="2"/>
      <c r="I392" s="2"/>
      <c r="J392" s="2"/>
      <c r="K392" s="2"/>
      <c r="L392" s="2"/>
      <c r="M392" s="37" t="s">
        <v>1</v>
      </c>
      <c r="N392" s="3"/>
    </row>
    <row r="393" spans="1:22" ht="18.75" x14ac:dyDescent="0.3">
      <c r="E393" s="1" t="s">
        <v>2</v>
      </c>
      <c r="J393" s="4"/>
      <c r="K393" s="4"/>
      <c r="L393" s="4"/>
      <c r="M393" s="37" t="s">
        <v>3</v>
      </c>
      <c r="N393" s="5"/>
    </row>
    <row r="394" spans="1:22" ht="18.75" x14ac:dyDescent="0.3">
      <c r="E394" t="s">
        <v>4</v>
      </c>
      <c r="H394" s="2"/>
      <c r="I394" s="2"/>
      <c r="J394" s="2"/>
      <c r="K394" s="2"/>
      <c r="L394" s="2"/>
      <c r="M394" s="38" t="s">
        <v>3</v>
      </c>
      <c r="N394" s="6"/>
    </row>
    <row r="395" spans="1:22" ht="18.75" x14ac:dyDescent="0.3">
      <c r="E395" t="s">
        <v>5</v>
      </c>
      <c r="L395" s="4"/>
      <c r="M395" s="38" t="s">
        <v>6</v>
      </c>
      <c r="N395" s="58"/>
      <c r="O395" s="58"/>
    </row>
    <row r="396" spans="1:22" ht="18.75" x14ac:dyDescent="0.3">
      <c r="E396" s="7" t="s">
        <v>7</v>
      </c>
      <c r="I396" s="2"/>
      <c r="J396" s="2"/>
      <c r="K396" s="2"/>
      <c r="L396" s="2"/>
      <c r="M396" s="38" t="s">
        <v>3</v>
      </c>
      <c r="N396" s="6"/>
    </row>
    <row r="397" spans="1:22" ht="15.75" thickBot="1" x14ac:dyDescent="0.3">
      <c r="E397" s="59" t="s">
        <v>8</v>
      </c>
      <c r="F397" s="59"/>
      <c r="G397" s="59"/>
      <c r="H397" s="59"/>
      <c r="I397" s="8"/>
      <c r="J397" s="8"/>
      <c r="K397" s="8"/>
      <c r="L397" s="8"/>
      <c r="M397" s="28" t="s">
        <v>3</v>
      </c>
      <c r="N397" s="60"/>
      <c r="O397" s="60"/>
    </row>
    <row r="398" spans="1:22" x14ac:dyDescent="0.25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x14ac:dyDescent="0.25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4"/>
    </row>
    <row r="400" spans="1:22" x14ac:dyDescent="0.25">
      <c r="A400" s="15"/>
      <c r="B400" s="61" t="s">
        <v>12</v>
      </c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55"/>
      <c r="V400" s="16"/>
    </row>
    <row r="401" spans="1:22" ht="15.75" thickBot="1" x14ac:dyDescent="0.3">
      <c r="A401" s="17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16"/>
    </row>
    <row r="402" spans="1:22" x14ac:dyDescent="0.25">
      <c r="A402" s="17"/>
      <c r="B402" s="52">
        <v>0</v>
      </c>
      <c r="C402" s="53"/>
      <c r="D402" s="53">
        <v>1</v>
      </c>
      <c r="E402" s="53">
        <v>1</v>
      </c>
      <c r="F402" s="53">
        <v>2</v>
      </c>
      <c r="G402" s="53">
        <v>2</v>
      </c>
      <c r="H402" s="53">
        <v>3</v>
      </c>
      <c r="I402" s="54">
        <v>3</v>
      </c>
      <c r="J402" s="52">
        <v>4</v>
      </c>
      <c r="K402" s="53">
        <v>4</v>
      </c>
      <c r="L402" s="53">
        <v>5</v>
      </c>
      <c r="M402" s="53"/>
      <c r="N402" s="53">
        <v>6</v>
      </c>
      <c r="O402" s="53">
        <v>1</v>
      </c>
      <c r="P402" s="53">
        <v>7</v>
      </c>
      <c r="Q402" s="54">
        <v>2</v>
      </c>
      <c r="R402" s="55">
        <v>8</v>
      </c>
      <c r="S402" s="56">
        <v>3</v>
      </c>
      <c r="T402" s="56">
        <v>9</v>
      </c>
      <c r="U402" s="56">
        <v>4</v>
      </c>
      <c r="V402" s="18"/>
    </row>
    <row r="403" spans="1:22" ht="15.75" thickBot="1" x14ac:dyDescent="0.3">
      <c r="A403" s="17"/>
      <c r="B403" s="19"/>
      <c r="C403" s="20"/>
      <c r="D403" s="20"/>
      <c r="E403" s="20"/>
      <c r="F403" s="20"/>
      <c r="G403" s="20"/>
      <c r="H403" s="20"/>
      <c r="I403" s="21"/>
      <c r="J403" s="19"/>
      <c r="K403" s="20"/>
      <c r="L403" s="20"/>
      <c r="M403" s="20"/>
      <c r="N403" s="20"/>
      <c r="O403" s="20"/>
      <c r="P403" s="20"/>
      <c r="Q403" s="21"/>
      <c r="R403" s="22"/>
      <c r="S403" s="13"/>
      <c r="T403" s="13"/>
      <c r="U403" s="13"/>
      <c r="V403" s="18"/>
    </row>
    <row r="404" spans="1:22" ht="15.75" thickBot="1" x14ac:dyDescent="0.3">
      <c r="A404" s="23"/>
      <c r="B404" s="24"/>
      <c r="C404" s="24"/>
      <c r="D404" s="24"/>
      <c r="E404" s="24"/>
      <c r="F404" s="25"/>
      <c r="G404" s="24"/>
      <c r="H404" s="24"/>
      <c r="I404" s="24"/>
      <c r="J404" s="24"/>
      <c r="K404" s="25"/>
      <c r="L404" s="24"/>
      <c r="M404" s="25"/>
      <c r="N404" s="24"/>
      <c r="O404" s="25"/>
      <c r="P404" s="24"/>
      <c r="Q404" s="25"/>
      <c r="R404" s="26"/>
      <c r="S404" s="26"/>
      <c r="T404" s="26"/>
      <c r="U404" s="26"/>
      <c r="V404" s="27"/>
    </row>
    <row r="405" spans="1:22" ht="15.75" thickBot="1" x14ac:dyDescent="0.3">
      <c r="A405" s="28"/>
      <c r="B405" s="28"/>
      <c r="C405" s="28"/>
      <c r="D405" s="28"/>
      <c r="E405" s="28"/>
      <c r="F405" s="29"/>
      <c r="G405" s="28"/>
      <c r="H405" s="28"/>
      <c r="I405" s="28"/>
      <c r="J405" s="28"/>
      <c r="K405" s="29"/>
      <c r="L405" s="28"/>
      <c r="M405" s="29"/>
      <c r="N405" s="28"/>
      <c r="O405" s="29"/>
      <c r="P405" s="28"/>
      <c r="Q405" s="29"/>
      <c r="R405" s="28"/>
      <c r="S405" s="28"/>
      <c r="T405" s="28"/>
      <c r="U405" s="28"/>
      <c r="V405" s="30"/>
    </row>
    <row r="406" spans="1:22" ht="69.95" customHeight="1" thickBot="1" x14ac:dyDescent="0.3">
      <c r="A406" s="28"/>
      <c r="B406" s="39" t="str">
        <f>IF(Q406&gt;1,"Считыватель вх",IF(F406&lt;1,"","Считыватель вых"))</f>
        <v>Считыватель вых</v>
      </c>
      <c r="C406" s="40"/>
      <c r="D406" s="41"/>
      <c r="E406" s="41"/>
      <c r="F406" s="42">
        <v>4</v>
      </c>
      <c r="G406" s="42"/>
      <c r="H406" s="43"/>
      <c r="I406" s="44"/>
      <c r="J406" s="31"/>
      <c r="K406" s="32"/>
      <c r="L406" s="33"/>
      <c r="M406" s="33"/>
      <c r="N406" s="34"/>
      <c r="O406" s="32"/>
      <c r="P406" s="34"/>
      <c r="Q406" s="35"/>
      <c r="R406" s="45" t="s">
        <v>10</v>
      </c>
      <c r="S406" s="46"/>
      <c r="T406" s="46"/>
      <c r="U406" s="46"/>
      <c r="V406" s="46"/>
    </row>
    <row r="407" spans="1:22" x14ac:dyDescent="0.25">
      <c r="A407" s="28"/>
      <c r="B407" s="47">
        <f>IF(B406="Считыватель вых",B390,IF(B406="Считыватель вх",J407,""))</f>
        <v>0</v>
      </c>
      <c r="C407" s="48"/>
      <c r="D407" s="48"/>
      <c r="E407" s="48"/>
      <c r="F407" s="48"/>
      <c r="G407" s="48"/>
      <c r="H407" s="48"/>
      <c r="I407" s="48"/>
      <c r="J407" s="49" t="s">
        <v>13</v>
      </c>
      <c r="K407" s="48"/>
      <c r="L407" s="48"/>
      <c r="M407" s="48"/>
      <c r="N407" s="48"/>
      <c r="O407" s="48"/>
      <c r="P407" s="48"/>
      <c r="Q407" s="48"/>
      <c r="R407" s="50" t="s">
        <v>11</v>
      </c>
      <c r="S407" s="50"/>
      <c r="T407" s="50"/>
      <c r="U407" s="50"/>
      <c r="V407" s="50"/>
    </row>
    <row r="408" spans="1:22" s="68" customFormat="1" x14ac:dyDescent="0.25"/>
    <row r="409" spans="1:22" ht="18.75" x14ac:dyDescent="0.3">
      <c r="E409" s="1" t="s">
        <v>0</v>
      </c>
      <c r="G409" s="2"/>
      <c r="H409" s="2"/>
      <c r="I409" s="2"/>
      <c r="J409" s="2"/>
      <c r="K409" s="2"/>
      <c r="L409" s="2"/>
      <c r="M409" s="37" t="s">
        <v>1</v>
      </c>
      <c r="N409" s="3"/>
    </row>
    <row r="410" spans="1:22" ht="18.75" x14ac:dyDescent="0.3">
      <c r="E410" s="1" t="s">
        <v>2</v>
      </c>
      <c r="J410" s="4"/>
      <c r="K410" s="4"/>
      <c r="L410" s="4"/>
      <c r="M410" s="37" t="s">
        <v>3</v>
      </c>
      <c r="N410" s="5"/>
    </row>
    <row r="411" spans="1:22" ht="18.75" x14ac:dyDescent="0.3">
      <c r="E411" t="s">
        <v>4</v>
      </c>
      <c r="H411" s="2"/>
      <c r="I411" s="2"/>
      <c r="J411" s="2"/>
      <c r="K411" s="2"/>
      <c r="L411" s="2"/>
      <c r="M411" s="38" t="s">
        <v>3</v>
      </c>
      <c r="N411" s="6"/>
    </row>
    <row r="412" spans="1:22" ht="18.75" x14ac:dyDescent="0.3">
      <c r="E412" t="s">
        <v>5</v>
      </c>
      <c r="L412" s="4"/>
      <c r="M412" s="38" t="s">
        <v>6</v>
      </c>
      <c r="N412" s="6"/>
      <c r="O412" s="6"/>
    </row>
    <row r="413" spans="1:22" ht="18.75" x14ac:dyDescent="0.3">
      <c r="E413" s="7" t="s">
        <v>7</v>
      </c>
      <c r="I413" s="2"/>
      <c r="J413" s="2"/>
      <c r="K413" s="2"/>
      <c r="L413" s="2"/>
      <c r="M413" s="38" t="s">
        <v>3</v>
      </c>
      <c r="N413" s="6"/>
    </row>
    <row r="414" spans="1:22" ht="15.75" thickBot="1" x14ac:dyDescent="0.3">
      <c r="E414" s="59" t="s">
        <v>8</v>
      </c>
      <c r="F414" s="59"/>
      <c r="G414" s="59"/>
      <c r="H414" s="59"/>
      <c r="I414" s="8"/>
      <c r="J414" s="8"/>
      <c r="K414" s="8"/>
      <c r="L414" s="8"/>
      <c r="M414" s="28" t="s">
        <v>3</v>
      </c>
      <c r="N414" s="36"/>
      <c r="O414" s="36"/>
    </row>
    <row r="415" spans="1:22" x14ac:dyDescent="0.25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x14ac:dyDescent="0.25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4"/>
    </row>
    <row r="417" spans="1:22" x14ac:dyDescent="0.25">
      <c r="A417" s="15"/>
      <c r="B417" s="61" t="s">
        <v>9</v>
      </c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55"/>
      <c r="V417" s="16"/>
    </row>
    <row r="418" spans="1:22" ht="15.75" thickBot="1" x14ac:dyDescent="0.3">
      <c r="A418" s="17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16"/>
    </row>
    <row r="419" spans="1:22" x14ac:dyDescent="0.25">
      <c r="A419" s="17"/>
      <c r="B419" s="52">
        <v>0</v>
      </c>
      <c r="C419" s="53"/>
      <c r="D419" s="53">
        <v>1</v>
      </c>
      <c r="E419" s="53">
        <v>1</v>
      </c>
      <c r="F419" s="53">
        <v>2</v>
      </c>
      <c r="G419" s="53">
        <v>2</v>
      </c>
      <c r="H419" s="53">
        <v>3</v>
      </c>
      <c r="I419" s="54">
        <v>3</v>
      </c>
      <c r="J419" s="52">
        <v>4</v>
      </c>
      <c r="K419" s="53">
        <v>4</v>
      </c>
      <c r="L419" s="53">
        <v>5</v>
      </c>
      <c r="M419" s="53"/>
      <c r="N419" s="53">
        <v>6</v>
      </c>
      <c r="O419" s="53">
        <v>1</v>
      </c>
      <c r="P419" s="53">
        <v>7</v>
      </c>
      <c r="Q419" s="54">
        <v>2</v>
      </c>
      <c r="R419" s="55">
        <v>8</v>
      </c>
      <c r="S419" s="56">
        <v>3</v>
      </c>
      <c r="T419" s="56">
        <v>9</v>
      </c>
      <c r="U419" s="56">
        <v>4</v>
      </c>
      <c r="V419" s="18"/>
    </row>
    <row r="420" spans="1:22" ht="15.75" thickBot="1" x14ac:dyDescent="0.3">
      <c r="A420" s="17"/>
      <c r="B420" s="19"/>
      <c r="C420" s="20"/>
      <c r="D420" s="20"/>
      <c r="E420" s="20"/>
      <c r="F420" s="20"/>
      <c r="G420" s="20"/>
      <c r="H420" s="20"/>
      <c r="I420" s="21"/>
      <c r="J420" s="19"/>
      <c r="K420" s="20"/>
      <c r="L420" s="20"/>
      <c r="M420" s="20"/>
      <c r="N420" s="20"/>
      <c r="O420" s="20"/>
      <c r="P420" s="20"/>
      <c r="Q420" s="21"/>
      <c r="R420" s="22"/>
      <c r="S420" s="13"/>
      <c r="T420" s="13"/>
      <c r="U420" s="13"/>
      <c r="V420" s="18"/>
    </row>
    <row r="421" spans="1:22" ht="15.75" thickBot="1" x14ac:dyDescent="0.3">
      <c r="A421" s="23"/>
      <c r="B421" s="24"/>
      <c r="C421" s="24"/>
      <c r="D421" s="24"/>
      <c r="E421" s="24"/>
      <c r="F421" s="25"/>
      <c r="G421" s="24"/>
      <c r="H421" s="24"/>
      <c r="I421" s="24"/>
      <c r="J421" s="24"/>
      <c r="K421" s="25"/>
      <c r="L421" s="24"/>
      <c r="M421" s="25"/>
      <c r="N421" s="24"/>
      <c r="O421" s="25"/>
      <c r="P421" s="24"/>
      <c r="Q421" s="25"/>
      <c r="R421" s="26"/>
      <c r="S421" s="26"/>
      <c r="T421" s="26"/>
      <c r="U421" s="26"/>
      <c r="V421" s="27"/>
    </row>
    <row r="422" spans="1:22" ht="15.75" thickBot="1" x14ac:dyDescent="0.3">
      <c r="A422" s="28"/>
      <c r="B422" s="28"/>
      <c r="C422" s="28"/>
      <c r="D422" s="28"/>
      <c r="E422" s="28"/>
      <c r="F422" s="29"/>
      <c r="G422" s="28"/>
      <c r="H422" s="28"/>
      <c r="I422" s="28"/>
      <c r="J422" s="28"/>
      <c r="K422" s="29"/>
      <c r="L422" s="28"/>
      <c r="M422" s="29"/>
      <c r="N422" s="28"/>
      <c r="O422" s="29"/>
      <c r="P422" s="28"/>
      <c r="Q422" s="29"/>
      <c r="R422" s="28"/>
      <c r="S422" s="28"/>
      <c r="T422" s="28"/>
      <c r="U422" s="28"/>
      <c r="V422" s="30"/>
    </row>
    <row r="423" spans="1:22" ht="69.95" customHeight="1" thickBot="1" x14ac:dyDescent="0.3">
      <c r="A423" s="28"/>
      <c r="B423" s="39" t="str">
        <f>IF(Q423&gt;1,"Считыватель вх",IF(F423&lt;1,"","Считыватель вх"))</f>
        <v>Считыватель вх</v>
      </c>
      <c r="C423" s="40"/>
      <c r="D423" s="41"/>
      <c r="E423" s="41"/>
      <c r="F423" s="42">
        <v>1</v>
      </c>
      <c r="G423" s="42"/>
      <c r="H423" s="43"/>
      <c r="I423" s="44"/>
      <c r="J423" s="31"/>
      <c r="K423" s="32"/>
      <c r="L423" s="33"/>
      <c r="M423" s="33"/>
      <c r="N423" s="34"/>
      <c r="O423" s="32"/>
      <c r="P423" s="34"/>
      <c r="Q423" s="35"/>
      <c r="R423" s="45" t="s">
        <v>10</v>
      </c>
      <c r="S423" s="46"/>
      <c r="T423" s="46"/>
      <c r="U423" s="46"/>
      <c r="V423" s="46"/>
    </row>
    <row r="424" spans="1:22" x14ac:dyDescent="0.25">
      <c r="A424" s="28"/>
      <c r="B424" s="49"/>
      <c r="C424" s="57"/>
      <c r="D424" s="57"/>
      <c r="E424" s="57"/>
      <c r="F424" s="57"/>
      <c r="G424" s="57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50" t="s">
        <v>11</v>
      </c>
      <c r="S424" s="50"/>
      <c r="T424" s="50"/>
      <c r="U424" s="50"/>
      <c r="V424" s="50"/>
    </row>
    <row r="425" spans="1:22" s="68" customFormat="1" x14ac:dyDescent="0.25"/>
    <row r="426" spans="1:22" ht="18.75" x14ac:dyDescent="0.3">
      <c r="E426" s="1" t="s">
        <v>0</v>
      </c>
      <c r="G426" s="2"/>
      <c r="H426" s="2"/>
      <c r="I426" s="2"/>
      <c r="J426" s="2"/>
      <c r="K426" s="2"/>
      <c r="L426" s="2"/>
      <c r="M426" s="37" t="s">
        <v>1</v>
      </c>
      <c r="N426" s="3"/>
    </row>
    <row r="427" spans="1:22" ht="18.75" x14ac:dyDescent="0.3">
      <c r="E427" s="1" t="s">
        <v>2</v>
      </c>
      <c r="J427" s="4"/>
      <c r="K427" s="4"/>
      <c r="L427" s="4"/>
      <c r="M427" s="37" t="s">
        <v>3</v>
      </c>
      <c r="N427" s="5"/>
    </row>
    <row r="428" spans="1:22" ht="18.75" x14ac:dyDescent="0.3">
      <c r="E428" t="s">
        <v>4</v>
      </c>
      <c r="H428" s="2"/>
      <c r="I428" s="2"/>
      <c r="J428" s="2"/>
      <c r="K428" s="2"/>
      <c r="L428" s="2"/>
      <c r="M428" s="38" t="s">
        <v>3</v>
      </c>
      <c r="N428" s="6"/>
    </row>
    <row r="429" spans="1:22" ht="18.75" x14ac:dyDescent="0.3">
      <c r="E429" t="s">
        <v>5</v>
      </c>
      <c r="L429" s="4"/>
      <c r="M429" s="38" t="s">
        <v>6</v>
      </c>
      <c r="N429" s="58"/>
      <c r="O429" s="58"/>
    </row>
    <row r="430" spans="1:22" ht="18.75" x14ac:dyDescent="0.3">
      <c r="E430" s="7" t="s">
        <v>7</v>
      </c>
      <c r="I430" s="2"/>
      <c r="J430" s="2"/>
      <c r="K430" s="2"/>
      <c r="L430" s="2"/>
      <c r="M430" s="38" t="s">
        <v>3</v>
      </c>
      <c r="N430" s="6"/>
    </row>
    <row r="431" spans="1:22" ht="15.75" thickBot="1" x14ac:dyDescent="0.3">
      <c r="E431" s="59" t="s">
        <v>8</v>
      </c>
      <c r="F431" s="59"/>
      <c r="G431" s="59"/>
      <c r="H431" s="59"/>
      <c r="I431" s="8"/>
      <c r="J431" s="8"/>
      <c r="K431" s="8"/>
      <c r="L431" s="8"/>
      <c r="M431" s="28" t="s">
        <v>3</v>
      </c>
      <c r="N431" s="60"/>
      <c r="O431" s="60"/>
    </row>
    <row r="432" spans="1:22" x14ac:dyDescent="0.25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x14ac:dyDescent="0.25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4"/>
    </row>
    <row r="434" spans="1:22" x14ac:dyDescent="0.25">
      <c r="A434" s="15"/>
      <c r="B434" s="61" t="s">
        <v>12</v>
      </c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55"/>
      <c r="V434" s="16"/>
    </row>
    <row r="435" spans="1:22" ht="15.75" thickBot="1" x14ac:dyDescent="0.3">
      <c r="A435" s="17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16"/>
    </row>
    <row r="436" spans="1:22" x14ac:dyDescent="0.25">
      <c r="A436" s="17"/>
      <c r="B436" s="52">
        <v>0</v>
      </c>
      <c r="C436" s="53"/>
      <c r="D436" s="53">
        <v>1</v>
      </c>
      <c r="E436" s="53">
        <v>1</v>
      </c>
      <c r="F436" s="53">
        <v>2</v>
      </c>
      <c r="G436" s="53">
        <v>2</v>
      </c>
      <c r="H436" s="53">
        <v>3</v>
      </c>
      <c r="I436" s="54">
        <v>3</v>
      </c>
      <c r="J436" s="52">
        <v>4</v>
      </c>
      <c r="K436" s="53">
        <v>4</v>
      </c>
      <c r="L436" s="53">
        <v>5</v>
      </c>
      <c r="M436" s="53"/>
      <c r="N436" s="53">
        <v>6</v>
      </c>
      <c r="O436" s="53">
        <v>1</v>
      </c>
      <c r="P436" s="53">
        <v>7</v>
      </c>
      <c r="Q436" s="54">
        <v>2</v>
      </c>
      <c r="R436" s="55">
        <v>8</v>
      </c>
      <c r="S436" s="56">
        <v>3</v>
      </c>
      <c r="T436" s="56">
        <v>9</v>
      </c>
      <c r="U436" s="56">
        <v>4</v>
      </c>
      <c r="V436" s="18"/>
    </row>
    <row r="437" spans="1:22" ht="15.75" thickBot="1" x14ac:dyDescent="0.3">
      <c r="A437" s="17"/>
      <c r="B437" s="19"/>
      <c r="C437" s="20"/>
      <c r="D437" s="20"/>
      <c r="E437" s="20"/>
      <c r="F437" s="20"/>
      <c r="G437" s="20"/>
      <c r="H437" s="20"/>
      <c r="I437" s="21"/>
      <c r="J437" s="19"/>
      <c r="K437" s="20"/>
      <c r="L437" s="20"/>
      <c r="M437" s="20"/>
      <c r="N437" s="20"/>
      <c r="O437" s="20"/>
      <c r="P437" s="20"/>
      <c r="Q437" s="21"/>
      <c r="R437" s="22"/>
      <c r="S437" s="13"/>
      <c r="T437" s="13"/>
      <c r="U437" s="13"/>
      <c r="V437" s="18"/>
    </row>
    <row r="438" spans="1:22" ht="15.75" thickBot="1" x14ac:dyDescent="0.3">
      <c r="A438" s="23"/>
      <c r="B438" s="24"/>
      <c r="C438" s="24"/>
      <c r="D438" s="24"/>
      <c r="E438" s="24"/>
      <c r="F438" s="25"/>
      <c r="G438" s="24"/>
      <c r="H438" s="24"/>
      <c r="I438" s="24"/>
      <c r="J438" s="24"/>
      <c r="K438" s="25"/>
      <c r="L438" s="24"/>
      <c r="M438" s="25"/>
      <c r="N438" s="24"/>
      <c r="O438" s="25"/>
      <c r="P438" s="24"/>
      <c r="Q438" s="25"/>
      <c r="R438" s="26"/>
      <c r="S438" s="26"/>
      <c r="T438" s="26"/>
      <c r="U438" s="26"/>
      <c r="V438" s="27"/>
    </row>
    <row r="439" spans="1:22" ht="15.75" thickBot="1" x14ac:dyDescent="0.3">
      <c r="A439" s="28"/>
      <c r="B439" s="28"/>
      <c r="C439" s="28"/>
      <c r="D439" s="28"/>
      <c r="E439" s="28"/>
      <c r="F439" s="29"/>
      <c r="G439" s="28"/>
      <c r="H439" s="28"/>
      <c r="I439" s="28"/>
      <c r="J439" s="28"/>
      <c r="K439" s="29"/>
      <c r="L439" s="28"/>
      <c r="M439" s="29"/>
      <c r="N439" s="28"/>
      <c r="O439" s="29"/>
      <c r="P439" s="28"/>
      <c r="Q439" s="29"/>
      <c r="R439" s="28"/>
      <c r="S439" s="28"/>
      <c r="T439" s="28"/>
      <c r="U439" s="28"/>
      <c r="V439" s="30"/>
    </row>
    <row r="440" spans="1:22" ht="69.95" customHeight="1" thickBot="1" x14ac:dyDescent="0.3">
      <c r="A440" s="28"/>
      <c r="B440" s="39" t="str">
        <f>IF(Q440&gt;1,"Считыватель вх",IF(F440&lt;1,"","Считыватель вых"))</f>
        <v>Считыватель вых</v>
      </c>
      <c r="C440" s="40"/>
      <c r="D440" s="41"/>
      <c r="E440" s="41"/>
      <c r="F440" s="42">
        <v>4</v>
      </c>
      <c r="G440" s="42"/>
      <c r="H440" s="43"/>
      <c r="I440" s="44"/>
      <c r="J440" s="31"/>
      <c r="K440" s="32"/>
      <c r="L440" s="33"/>
      <c r="M440" s="33"/>
      <c r="N440" s="34"/>
      <c r="O440" s="32"/>
      <c r="P440" s="34"/>
      <c r="Q440" s="35"/>
      <c r="R440" s="45" t="s">
        <v>10</v>
      </c>
      <c r="S440" s="46"/>
      <c r="T440" s="46"/>
      <c r="U440" s="46"/>
      <c r="V440" s="46"/>
    </row>
    <row r="441" spans="1:22" x14ac:dyDescent="0.25">
      <c r="A441" s="28"/>
      <c r="B441" s="47">
        <f>IF(B440="Считыватель вых",B424,IF(B440="Считыватель вх",J441,""))</f>
        <v>0</v>
      </c>
      <c r="C441" s="48"/>
      <c r="D441" s="48"/>
      <c r="E441" s="48"/>
      <c r="F441" s="48"/>
      <c r="G441" s="48"/>
      <c r="H441" s="48"/>
      <c r="I441" s="48"/>
      <c r="J441" s="49" t="s">
        <v>13</v>
      </c>
      <c r="K441" s="48"/>
      <c r="L441" s="48"/>
      <c r="M441" s="48"/>
      <c r="N441" s="48"/>
      <c r="O441" s="48"/>
      <c r="P441" s="48"/>
      <c r="Q441" s="48"/>
      <c r="R441" s="50" t="s">
        <v>11</v>
      </c>
      <c r="S441" s="50"/>
      <c r="T441" s="50"/>
      <c r="U441" s="50"/>
      <c r="V441" s="50"/>
    </row>
    <row r="442" spans="1:22" s="68" customFormat="1" x14ac:dyDescent="0.25"/>
    <row r="443" spans="1:22" ht="18.75" x14ac:dyDescent="0.3">
      <c r="E443" s="1" t="s">
        <v>0</v>
      </c>
      <c r="G443" s="2"/>
      <c r="H443" s="2"/>
      <c r="I443" s="2"/>
      <c r="J443" s="2"/>
      <c r="K443" s="2"/>
      <c r="L443" s="2"/>
      <c r="M443" s="37" t="s">
        <v>1</v>
      </c>
      <c r="N443" s="3"/>
    </row>
    <row r="444" spans="1:22" ht="18.75" x14ac:dyDescent="0.3">
      <c r="E444" s="1" t="s">
        <v>2</v>
      </c>
      <c r="J444" s="4"/>
      <c r="K444" s="4"/>
      <c r="L444" s="4"/>
      <c r="M444" s="37" t="s">
        <v>3</v>
      </c>
      <c r="N444" s="5"/>
    </row>
    <row r="445" spans="1:22" ht="18.75" x14ac:dyDescent="0.3">
      <c r="E445" t="s">
        <v>4</v>
      </c>
      <c r="H445" s="2"/>
      <c r="I445" s="2"/>
      <c r="J445" s="2"/>
      <c r="K445" s="2"/>
      <c r="L445" s="2"/>
      <c r="M445" s="38" t="s">
        <v>3</v>
      </c>
      <c r="N445" s="6"/>
    </row>
    <row r="446" spans="1:22" ht="18.75" x14ac:dyDescent="0.3">
      <c r="E446" t="s">
        <v>5</v>
      </c>
      <c r="L446" s="4"/>
      <c r="M446" s="38" t="s">
        <v>6</v>
      </c>
      <c r="N446" s="6"/>
      <c r="O446" s="6"/>
    </row>
    <row r="447" spans="1:22" ht="18.75" x14ac:dyDescent="0.3">
      <c r="E447" s="7" t="s">
        <v>7</v>
      </c>
      <c r="I447" s="2"/>
      <c r="J447" s="2"/>
      <c r="K447" s="2"/>
      <c r="L447" s="2"/>
      <c r="M447" s="38" t="s">
        <v>3</v>
      </c>
      <c r="N447" s="6"/>
    </row>
    <row r="448" spans="1:22" ht="15.75" thickBot="1" x14ac:dyDescent="0.3">
      <c r="E448" s="59" t="s">
        <v>8</v>
      </c>
      <c r="F448" s="59"/>
      <c r="G448" s="59"/>
      <c r="H448" s="59"/>
      <c r="I448" s="8"/>
      <c r="J448" s="8"/>
      <c r="K448" s="8"/>
      <c r="L448" s="8"/>
      <c r="M448" s="28" t="s">
        <v>3</v>
      </c>
      <c r="N448" s="36"/>
      <c r="O448" s="36"/>
    </row>
    <row r="449" spans="1:22" x14ac:dyDescent="0.25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x14ac:dyDescent="0.25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4"/>
    </row>
    <row r="451" spans="1:22" x14ac:dyDescent="0.25">
      <c r="A451" s="15"/>
      <c r="B451" s="61" t="s">
        <v>9</v>
      </c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55"/>
      <c r="V451" s="16"/>
    </row>
    <row r="452" spans="1:22" ht="15.75" thickBot="1" x14ac:dyDescent="0.3">
      <c r="A452" s="17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16"/>
    </row>
    <row r="453" spans="1:22" x14ac:dyDescent="0.25">
      <c r="A453" s="17"/>
      <c r="B453" s="52">
        <v>0</v>
      </c>
      <c r="C453" s="53"/>
      <c r="D453" s="53">
        <v>1</v>
      </c>
      <c r="E453" s="53">
        <v>1</v>
      </c>
      <c r="F453" s="53">
        <v>2</v>
      </c>
      <c r="G453" s="53">
        <v>2</v>
      </c>
      <c r="H453" s="53">
        <v>3</v>
      </c>
      <c r="I453" s="54">
        <v>3</v>
      </c>
      <c r="J453" s="52">
        <v>4</v>
      </c>
      <c r="K453" s="53">
        <v>4</v>
      </c>
      <c r="L453" s="53">
        <v>5</v>
      </c>
      <c r="M453" s="53"/>
      <c r="N453" s="53">
        <v>6</v>
      </c>
      <c r="O453" s="53">
        <v>1</v>
      </c>
      <c r="P453" s="53">
        <v>7</v>
      </c>
      <c r="Q453" s="54">
        <v>2</v>
      </c>
      <c r="R453" s="55">
        <v>8</v>
      </c>
      <c r="S453" s="56">
        <v>3</v>
      </c>
      <c r="T453" s="56">
        <v>9</v>
      </c>
      <c r="U453" s="56">
        <v>4</v>
      </c>
      <c r="V453" s="18"/>
    </row>
    <row r="454" spans="1:22" ht="15.75" thickBot="1" x14ac:dyDescent="0.3">
      <c r="A454" s="17"/>
      <c r="B454" s="19"/>
      <c r="C454" s="20"/>
      <c r="D454" s="20"/>
      <c r="E454" s="20"/>
      <c r="F454" s="20"/>
      <c r="G454" s="20"/>
      <c r="H454" s="20"/>
      <c r="I454" s="21"/>
      <c r="J454" s="19"/>
      <c r="K454" s="20"/>
      <c r="L454" s="20"/>
      <c r="M454" s="20"/>
      <c r="N454" s="20"/>
      <c r="O454" s="20"/>
      <c r="P454" s="20"/>
      <c r="Q454" s="21"/>
      <c r="R454" s="22"/>
      <c r="S454" s="13"/>
      <c r="T454" s="13"/>
      <c r="U454" s="13"/>
      <c r="V454" s="18"/>
    </row>
    <row r="455" spans="1:22" ht="15.75" thickBot="1" x14ac:dyDescent="0.3">
      <c r="A455" s="23"/>
      <c r="B455" s="24"/>
      <c r="C455" s="24"/>
      <c r="D455" s="24"/>
      <c r="E455" s="24"/>
      <c r="F455" s="25"/>
      <c r="G455" s="24"/>
      <c r="H455" s="24"/>
      <c r="I455" s="24"/>
      <c r="J455" s="24"/>
      <c r="K455" s="25"/>
      <c r="L455" s="24"/>
      <c r="M455" s="25"/>
      <c r="N455" s="24"/>
      <c r="O455" s="25"/>
      <c r="P455" s="24"/>
      <c r="Q455" s="25"/>
      <c r="R455" s="26"/>
      <c r="S455" s="26"/>
      <c r="T455" s="26"/>
      <c r="U455" s="26"/>
      <c r="V455" s="27"/>
    </row>
    <row r="456" spans="1:22" ht="15.75" thickBot="1" x14ac:dyDescent="0.3">
      <c r="A456" s="28"/>
      <c r="B456" s="28"/>
      <c r="C456" s="28"/>
      <c r="D456" s="28"/>
      <c r="E456" s="28"/>
      <c r="F456" s="29"/>
      <c r="G456" s="28"/>
      <c r="H456" s="28"/>
      <c r="I456" s="28"/>
      <c r="J456" s="28"/>
      <c r="K456" s="29"/>
      <c r="L456" s="28"/>
      <c r="M456" s="29"/>
      <c r="N456" s="28"/>
      <c r="O456" s="29"/>
      <c r="P456" s="28"/>
      <c r="Q456" s="29"/>
      <c r="R456" s="28"/>
      <c r="S456" s="28"/>
      <c r="T456" s="28"/>
      <c r="U456" s="28"/>
      <c r="V456" s="30"/>
    </row>
    <row r="457" spans="1:22" ht="69.95" customHeight="1" thickBot="1" x14ac:dyDescent="0.3">
      <c r="A457" s="28"/>
      <c r="B457" s="39" t="str">
        <f>IF(Q457&gt;1,"Считыватель вх",IF(F457&lt;1,"","Считыватель вх"))</f>
        <v>Считыватель вх</v>
      </c>
      <c r="C457" s="40"/>
      <c r="D457" s="41"/>
      <c r="E457" s="41"/>
      <c r="F457" s="42">
        <v>1</v>
      </c>
      <c r="G457" s="42"/>
      <c r="H457" s="43"/>
      <c r="I457" s="44"/>
      <c r="J457" s="31"/>
      <c r="K457" s="32"/>
      <c r="L457" s="33"/>
      <c r="M457" s="33"/>
      <c r="N457" s="34"/>
      <c r="O457" s="32"/>
      <c r="P457" s="34"/>
      <c r="Q457" s="35"/>
      <c r="R457" s="45" t="s">
        <v>10</v>
      </c>
      <c r="S457" s="46"/>
      <c r="T457" s="46"/>
      <c r="U457" s="46"/>
      <c r="V457" s="46"/>
    </row>
    <row r="458" spans="1:22" x14ac:dyDescent="0.25">
      <c r="A458" s="28"/>
      <c r="B458" s="49"/>
      <c r="C458" s="57"/>
      <c r="D458" s="57"/>
      <c r="E458" s="57"/>
      <c r="F458" s="57"/>
      <c r="G458" s="57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50" t="s">
        <v>11</v>
      </c>
      <c r="S458" s="50"/>
      <c r="T458" s="50"/>
      <c r="U458" s="50"/>
      <c r="V458" s="50"/>
    </row>
    <row r="459" spans="1:22" s="68" customFormat="1" x14ac:dyDescent="0.25"/>
    <row r="460" spans="1:22" ht="18.75" x14ac:dyDescent="0.3">
      <c r="E460" s="1" t="s">
        <v>0</v>
      </c>
      <c r="G460" s="2"/>
      <c r="H460" s="2"/>
      <c r="I460" s="2"/>
      <c r="J460" s="2"/>
      <c r="K460" s="2"/>
      <c r="L460" s="2"/>
      <c r="M460" s="37" t="s">
        <v>1</v>
      </c>
      <c r="N460" s="3"/>
    </row>
    <row r="461" spans="1:22" ht="18.75" x14ac:dyDescent="0.3">
      <c r="E461" s="1" t="s">
        <v>2</v>
      </c>
      <c r="J461" s="4"/>
      <c r="K461" s="4"/>
      <c r="L461" s="4"/>
      <c r="M461" s="37" t="s">
        <v>3</v>
      </c>
      <c r="N461" s="5"/>
    </row>
    <row r="462" spans="1:22" ht="18.75" x14ac:dyDescent="0.3">
      <c r="E462" t="s">
        <v>4</v>
      </c>
      <c r="H462" s="2"/>
      <c r="I462" s="2"/>
      <c r="J462" s="2"/>
      <c r="K462" s="2"/>
      <c r="L462" s="2"/>
      <c r="M462" s="38" t="s">
        <v>3</v>
      </c>
      <c r="N462" s="6"/>
    </row>
    <row r="463" spans="1:22" ht="18.75" x14ac:dyDescent="0.3">
      <c r="E463" t="s">
        <v>5</v>
      </c>
      <c r="L463" s="4"/>
      <c r="M463" s="38" t="s">
        <v>6</v>
      </c>
      <c r="N463" s="58"/>
      <c r="O463" s="58"/>
    </row>
    <row r="464" spans="1:22" ht="18.75" x14ac:dyDescent="0.3">
      <c r="E464" s="7" t="s">
        <v>7</v>
      </c>
      <c r="I464" s="2"/>
      <c r="J464" s="2"/>
      <c r="K464" s="2"/>
      <c r="L464" s="2"/>
      <c r="M464" s="38" t="s">
        <v>3</v>
      </c>
      <c r="N464" s="6"/>
    </row>
    <row r="465" spans="1:22" ht="15.75" thickBot="1" x14ac:dyDescent="0.3">
      <c r="E465" s="59" t="s">
        <v>8</v>
      </c>
      <c r="F465" s="59"/>
      <c r="G465" s="59"/>
      <c r="H465" s="59"/>
      <c r="I465" s="8"/>
      <c r="J465" s="8"/>
      <c r="K465" s="8"/>
      <c r="L465" s="8"/>
      <c r="M465" s="28" t="s">
        <v>3</v>
      </c>
      <c r="N465" s="60"/>
      <c r="O465" s="60"/>
    </row>
    <row r="466" spans="1:22" x14ac:dyDescent="0.25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x14ac:dyDescent="0.25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4"/>
    </row>
    <row r="468" spans="1:22" x14ac:dyDescent="0.25">
      <c r="A468" s="15"/>
      <c r="B468" s="61" t="s">
        <v>12</v>
      </c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55"/>
      <c r="V468" s="16"/>
    </row>
    <row r="469" spans="1:22" ht="15.75" thickBot="1" x14ac:dyDescent="0.3">
      <c r="A469" s="17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16"/>
    </row>
    <row r="470" spans="1:22" x14ac:dyDescent="0.25">
      <c r="A470" s="17"/>
      <c r="B470" s="52">
        <v>0</v>
      </c>
      <c r="C470" s="53"/>
      <c r="D470" s="53">
        <v>1</v>
      </c>
      <c r="E470" s="53">
        <v>1</v>
      </c>
      <c r="F470" s="53">
        <v>2</v>
      </c>
      <c r="G470" s="53">
        <v>2</v>
      </c>
      <c r="H470" s="53">
        <v>3</v>
      </c>
      <c r="I470" s="54">
        <v>3</v>
      </c>
      <c r="J470" s="52">
        <v>4</v>
      </c>
      <c r="K470" s="53">
        <v>4</v>
      </c>
      <c r="L470" s="53">
        <v>5</v>
      </c>
      <c r="M470" s="53"/>
      <c r="N470" s="53">
        <v>6</v>
      </c>
      <c r="O470" s="53">
        <v>1</v>
      </c>
      <c r="P470" s="53">
        <v>7</v>
      </c>
      <c r="Q470" s="54">
        <v>2</v>
      </c>
      <c r="R470" s="55">
        <v>8</v>
      </c>
      <c r="S470" s="56">
        <v>3</v>
      </c>
      <c r="T470" s="56">
        <v>9</v>
      </c>
      <c r="U470" s="56">
        <v>4</v>
      </c>
      <c r="V470" s="18"/>
    </row>
    <row r="471" spans="1:22" ht="15.75" thickBot="1" x14ac:dyDescent="0.3">
      <c r="A471" s="17"/>
      <c r="B471" s="19"/>
      <c r="C471" s="20"/>
      <c r="D471" s="20"/>
      <c r="E471" s="20"/>
      <c r="F471" s="20"/>
      <c r="G471" s="20"/>
      <c r="H471" s="20"/>
      <c r="I471" s="21"/>
      <c r="J471" s="19"/>
      <c r="K471" s="20"/>
      <c r="L471" s="20"/>
      <c r="M471" s="20"/>
      <c r="N471" s="20"/>
      <c r="O471" s="20"/>
      <c r="P471" s="20"/>
      <c r="Q471" s="21"/>
      <c r="R471" s="22"/>
      <c r="S471" s="13"/>
      <c r="T471" s="13"/>
      <c r="U471" s="13"/>
      <c r="V471" s="18"/>
    </row>
    <row r="472" spans="1:22" ht="15.75" thickBot="1" x14ac:dyDescent="0.3">
      <c r="A472" s="23"/>
      <c r="B472" s="24"/>
      <c r="C472" s="24"/>
      <c r="D472" s="24"/>
      <c r="E472" s="24"/>
      <c r="F472" s="25"/>
      <c r="G472" s="24"/>
      <c r="H472" s="24"/>
      <c r="I472" s="24"/>
      <c r="J472" s="24"/>
      <c r="K472" s="25"/>
      <c r="L472" s="24"/>
      <c r="M472" s="25"/>
      <c r="N472" s="24"/>
      <c r="O472" s="25"/>
      <c r="P472" s="24"/>
      <c r="Q472" s="25"/>
      <c r="R472" s="26"/>
      <c r="S472" s="26"/>
      <c r="T472" s="26"/>
      <c r="U472" s="26"/>
      <c r="V472" s="27"/>
    </row>
    <row r="473" spans="1:22" ht="15.75" thickBot="1" x14ac:dyDescent="0.3">
      <c r="A473" s="28"/>
      <c r="B473" s="28"/>
      <c r="C473" s="28"/>
      <c r="D473" s="28"/>
      <c r="E473" s="28"/>
      <c r="F473" s="29"/>
      <c r="G473" s="28"/>
      <c r="H473" s="28"/>
      <c r="I473" s="28"/>
      <c r="J473" s="28"/>
      <c r="K473" s="29"/>
      <c r="L473" s="28"/>
      <c r="M473" s="29"/>
      <c r="N473" s="28"/>
      <c r="O473" s="29"/>
      <c r="P473" s="28"/>
      <c r="Q473" s="29"/>
      <c r="R473" s="28"/>
      <c r="S473" s="28"/>
      <c r="T473" s="28"/>
      <c r="U473" s="28"/>
      <c r="V473" s="30"/>
    </row>
    <row r="474" spans="1:22" ht="69.95" customHeight="1" thickBot="1" x14ac:dyDescent="0.3">
      <c r="A474" s="28"/>
      <c r="B474" s="39" t="str">
        <f>IF(Q474&gt;1,"Считыватель вх",IF(F474&lt;1,"","Считыватель вых"))</f>
        <v>Считыватель вых</v>
      </c>
      <c r="C474" s="40"/>
      <c r="D474" s="41"/>
      <c r="E474" s="41"/>
      <c r="F474" s="42">
        <v>4</v>
      </c>
      <c r="G474" s="42"/>
      <c r="H474" s="43"/>
      <c r="I474" s="44"/>
      <c r="J474" s="31"/>
      <c r="K474" s="32"/>
      <c r="L474" s="33"/>
      <c r="M474" s="33"/>
      <c r="N474" s="34"/>
      <c r="O474" s="32"/>
      <c r="P474" s="34"/>
      <c r="Q474" s="35"/>
      <c r="R474" s="45" t="s">
        <v>10</v>
      </c>
      <c r="S474" s="46"/>
      <c r="T474" s="46"/>
      <c r="U474" s="46"/>
      <c r="V474" s="46"/>
    </row>
    <row r="475" spans="1:22" x14ac:dyDescent="0.25">
      <c r="A475" s="28"/>
      <c r="B475" s="47">
        <f>IF(B474="Считыватель вых",B458,IF(B474="Считыватель вх",J475,""))</f>
        <v>0</v>
      </c>
      <c r="C475" s="48"/>
      <c r="D475" s="48"/>
      <c r="E475" s="48"/>
      <c r="F475" s="48"/>
      <c r="G475" s="48"/>
      <c r="H475" s="48"/>
      <c r="I475" s="48"/>
      <c r="J475" s="49" t="s">
        <v>13</v>
      </c>
      <c r="K475" s="48"/>
      <c r="L475" s="48"/>
      <c r="M475" s="48"/>
      <c r="N475" s="48"/>
      <c r="O475" s="48"/>
      <c r="P475" s="48"/>
      <c r="Q475" s="48"/>
      <c r="R475" s="50" t="s">
        <v>11</v>
      </c>
      <c r="S475" s="50"/>
      <c r="T475" s="50"/>
      <c r="U475" s="50"/>
      <c r="V475" s="50"/>
    </row>
    <row r="476" spans="1:22" s="68" customFormat="1" x14ac:dyDescent="0.25"/>
    <row r="477" spans="1:22" ht="18.75" x14ac:dyDescent="0.3">
      <c r="E477" s="1" t="s">
        <v>0</v>
      </c>
      <c r="G477" s="2"/>
      <c r="H477" s="2"/>
      <c r="I477" s="2"/>
      <c r="J477" s="2"/>
      <c r="K477" s="2"/>
      <c r="L477" s="2"/>
      <c r="M477" s="37" t="s">
        <v>1</v>
      </c>
      <c r="N477" s="3"/>
    </row>
    <row r="478" spans="1:22" ht="18.75" x14ac:dyDescent="0.3">
      <c r="E478" s="1" t="s">
        <v>2</v>
      </c>
      <c r="J478" s="4"/>
      <c r="K478" s="4"/>
      <c r="L478" s="4"/>
      <c r="M478" s="37" t="s">
        <v>3</v>
      </c>
      <c r="N478" s="5"/>
    </row>
    <row r="479" spans="1:22" ht="18.75" x14ac:dyDescent="0.3">
      <c r="E479" t="s">
        <v>4</v>
      </c>
      <c r="H479" s="2"/>
      <c r="I479" s="2"/>
      <c r="J479" s="2"/>
      <c r="K479" s="2"/>
      <c r="L479" s="2"/>
      <c r="M479" s="38" t="s">
        <v>3</v>
      </c>
      <c r="N479" s="6"/>
    </row>
    <row r="480" spans="1:22" ht="18.75" x14ac:dyDescent="0.3">
      <c r="E480" t="s">
        <v>5</v>
      </c>
      <c r="L480" s="4"/>
      <c r="M480" s="38" t="s">
        <v>6</v>
      </c>
      <c r="N480" s="6"/>
      <c r="O480" s="6"/>
    </row>
    <row r="481" spans="1:22" ht="18.75" x14ac:dyDescent="0.3">
      <c r="E481" s="7" t="s">
        <v>7</v>
      </c>
      <c r="I481" s="2"/>
      <c r="J481" s="2"/>
      <c r="K481" s="2"/>
      <c r="L481" s="2"/>
      <c r="M481" s="38" t="s">
        <v>3</v>
      </c>
      <c r="N481" s="6"/>
    </row>
    <row r="482" spans="1:22" ht="15.75" thickBot="1" x14ac:dyDescent="0.3">
      <c r="E482" s="59" t="s">
        <v>8</v>
      </c>
      <c r="F482" s="59"/>
      <c r="G482" s="59"/>
      <c r="H482" s="59"/>
      <c r="I482" s="8"/>
      <c r="J482" s="8"/>
      <c r="K482" s="8"/>
      <c r="L482" s="8"/>
      <c r="M482" s="28" t="s">
        <v>3</v>
      </c>
      <c r="N482" s="36"/>
      <c r="O482" s="36"/>
    </row>
    <row r="483" spans="1:22" x14ac:dyDescent="0.25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x14ac:dyDescent="0.25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4"/>
    </row>
    <row r="485" spans="1:22" x14ac:dyDescent="0.25">
      <c r="A485" s="15"/>
      <c r="B485" s="61" t="s">
        <v>9</v>
      </c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55"/>
      <c r="V485" s="16"/>
    </row>
    <row r="486" spans="1:22" ht="15.75" thickBot="1" x14ac:dyDescent="0.3">
      <c r="A486" s="17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16"/>
    </row>
    <row r="487" spans="1:22" x14ac:dyDescent="0.25">
      <c r="A487" s="17"/>
      <c r="B487" s="52">
        <v>0</v>
      </c>
      <c r="C487" s="53"/>
      <c r="D487" s="53">
        <v>1</v>
      </c>
      <c r="E487" s="53">
        <v>1</v>
      </c>
      <c r="F487" s="53">
        <v>2</v>
      </c>
      <c r="G487" s="53">
        <v>2</v>
      </c>
      <c r="H487" s="53">
        <v>3</v>
      </c>
      <c r="I487" s="54">
        <v>3</v>
      </c>
      <c r="J487" s="52">
        <v>4</v>
      </c>
      <c r="K487" s="53">
        <v>4</v>
      </c>
      <c r="L487" s="53">
        <v>5</v>
      </c>
      <c r="M487" s="53"/>
      <c r="N487" s="53">
        <v>6</v>
      </c>
      <c r="O487" s="53">
        <v>1</v>
      </c>
      <c r="P487" s="53">
        <v>7</v>
      </c>
      <c r="Q487" s="54">
        <v>2</v>
      </c>
      <c r="R487" s="55">
        <v>8</v>
      </c>
      <c r="S487" s="56">
        <v>3</v>
      </c>
      <c r="T487" s="56">
        <v>9</v>
      </c>
      <c r="U487" s="56">
        <v>4</v>
      </c>
      <c r="V487" s="18"/>
    </row>
    <row r="488" spans="1:22" ht="15.75" thickBot="1" x14ac:dyDescent="0.3">
      <c r="A488" s="17"/>
      <c r="B488" s="19"/>
      <c r="C488" s="20"/>
      <c r="D488" s="20"/>
      <c r="E488" s="20"/>
      <c r="F488" s="20"/>
      <c r="G488" s="20"/>
      <c r="H488" s="20"/>
      <c r="I488" s="21"/>
      <c r="J488" s="19"/>
      <c r="K488" s="20"/>
      <c r="L488" s="20"/>
      <c r="M488" s="20"/>
      <c r="N488" s="20"/>
      <c r="O488" s="20"/>
      <c r="P488" s="20"/>
      <c r="Q488" s="21"/>
      <c r="R488" s="22"/>
      <c r="S488" s="13"/>
      <c r="T488" s="13"/>
      <c r="U488" s="13"/>
      <c r="V488" s="18"/>
    </row>
    <row r="489" spans="1:22" ht="15.75" thickBot="1" x14ac:dyDescent="0.3">
      <c r="A489" s="23"/>
      <c r="B489" s="24"/>
      <c r="C489" s="24"/>
      <c r="D489" s="24"/>
      <c r="E489" s="24"/>
      <c r="F489" s="25"/>
      <c r="G489" s="24"/>
      <c r="H489" s="24"/>
      <c r="I489" s="24"/>
      <c r="J489" s="24"/>
      <c r="K489" s="25"/>
      <c r="L489" s="24"/>
      <c r="M489" s="25"/>
      <c r="N489" s="24"/>
      <c r="O489" s="25"/>
      <c r="P489" s="24"/>
      <c r="Q489" s="25"/>
      <c r="R489" s="26"/>
      <c r="S489" s="26"/>
      <c r="T489" s="26"/>
      <c r="U489" s="26"/>
      <c r="V489" s="27"/>
    </row>
    <row r="490" spans="1:22" ht="15.75" thickBot="1" x14ac:dyDescent="0.3">
      <c r="A490" s="28"/>
      <c r="B490" s="28"/>
      <c r="C490" s="28"/>
      <c r="D490" s="28"/>
      <c r="E490" s="28"/>
      <c r="F490" s="29"/>
      <c r="G490" s="28"/>
      <c r="H490" s="28"/>
      <c r="I490" s="28"/>
      <c r="J490" s="28"/>
      <c r="K490" s="29"/>
      <c r="L490" s="28"/>
      <c r="M490" s="29"/>
      <c r="N490" s="28"/>
      <c r="O490" s="29"/>
      <c r="P490" s="28"/>
      <c r="Q490" s="29"/>
      <c r="R490" s="28"/>
      <c r="S490" s="28"/>
      <c r="T490" s="28"/>
      <c r="U490" s="28"/>
      <c r="V490" s="30"/>
    </row>
    <row r="491" spans="1:22" ht="69.95" customHeight="1" thickBot="1" x14ac:dyDescent="0.3">
      <c r="A491" s="28"/>
      <c r="B491" s="39" t="str">
        <f>IF(Q491&gt;1,"Считыватель вх",IF(F491&lt;1,"","Считыватель вх"))</f>
        <v>Считыватель вх</v>
      </c>
      <c r="C491" s="40"/>
      <c r="D491" s="41"/>
      <c r="E491" s="41"/>
      <c r="F491" s="42">
        <v>1</v>
      </c>
      <c r="G491" s="42"/>
      <c r="H491" s="43"/>
      <c r="I491" s="44"/>
      <c r="J491" s="31"/>
      <c r="K491" s="32"/>
      <c r="L491" s="33"/>
      <c r="M491" s="33"/>
      <c r="N491" s="34"/>
      <c r="O491" s="32"/>
      <c r="P491" s="34"/>
      <c r="Q491" s="35"/>
      <c r="R491" s="45" t="s">
        <v>10</v>
      </c>
      <c r="S491" s="46"/>
      <c r="T491" s="46"/>
      <c r="U491" s="46"/>
      <c r="V491" s="46"/>
    </row>
    <row r="492" spans="1:22" x14ac:dyDescent="0.25">
      <c r="A492" s="28"/>
      <c r="B492" s="49"/>
      <c r="C492" s="57"/>
      <c r="D492" s="57"/>
      <c r="E492" s="57"/>
      <c r="F492" s="57"/>
      <c r="G492" s="57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50" t="s">
        <v>11</v>
      </c>
      <c r="S492" s="50"/>
      <c r="T492" s="50"/>
      <c r="U492" s="50"/>
      <c r="V492" s="50"/>
    </row>
    <row r="493" spans="1:22" s="68" customFormat="1" x14ac:dyDescent="0.25"/>
    <row r="494" spans="1:22" s="68" customFormat="1" x14ac:dyDescent="0.25"/>
    <row r="495" spans="1:22" ht="18.75" x14ac:dyDescent="0.3">
      <c r="E495" s="1" t="s">
        <v>0</v>
      </c>
      <c r="G495" s="2"/>
      <c r="H495" s="2"/>
      <c r="I495" s="2"/>
      <c r="J495" s="2"/>
      <c r="K495" s="2"/>
      <c r="L495" s="2"/>
      <c r="M495" s="37" t="s">
        <v>1</v>
      </c>
      <c r="N495" s="3"/>
    </row>
    <row r="496" spans="1:22" ht="18.75" x14ac:dyDescent="0.3">
      <c r="E496" s="1" t="s">
        <v>2</v>
      </c>
      <c r="J496" s="4"/>
      <c r="K496" s="4"/>
      <c r="L496" s="4"/>
      <c r="M496" s="37" t="s">
        <v>3</v>
      </c>
      <c r="N496" s="5"/>
    </row>
    <row r="497" spans="1:22" ht="18.75" x14ac:dyDescent="0.3">
      <c r="E497" t="s">
        <v>4</v>
      </c>
      <c r="H497" s="2"/>
      <c r="I497" s="2"/>
      <c r="J497" s="2"/>
      <c r="K497" s="2"/>
      <c r="L497" s="2"/>
      <c r="M497" s="38" t="s">
        <v>3</v>
      </c>
      <c r="N497" s="6"/>
    </row>
    <row r="498" spans="1:22" ht="18.75" x14ac:dyDescent="0.3">
      <c r="E498" t="s">
        <v>5</v>
      </c>
      <c r="L498" s="4"/>
      <c r="M498" s="38" t="s">
        <v>6</v>
      </c>
      <c r="N498" s="58"/>
      <c r="O498" s="58"/>
    </row>
    <row r="499" spans="1:22" ht="18.75" x14ac:dyDescent="0.3">
      <c r="E499" s="7" t="s">
        <v>7</v>
      </c>
      <c r="I499" s="2"/>
      <c r="J499" s="2"/>
      <c r="K499" s="2"/>
      <c r="L499" s="2"/>
      <c r="M499" s="38" t="s">
        <v>3</v>
      </c>
      <c r="N499" s="6"/>
    </row>
    <row r="500" spans="1:22" ht="15.75" thickBot="1" x14ac:dyDescent="0.3">
      <c r="E500" s="59" t="s">
        <v>8</v>
      </c>
      <c r="F500" s="59"/>
      <c r="G500" s="59"/>
      <c r="H500" s="59"/>
      <c r="I500" s="8"/>
      <c r="J500" s="8"/>
      <c r="K500" s="8"/>
      <c r="L500" s="8"/>
      <c r="M500" s="28" t="s">
        <v>3</v>
      </c>
      <c r="N500" s="60"/>
      <c r="O500" s="60"/>
    </row>
    <row r="501" spans="1:22" x14ac:dyDescent="0.25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x14ac:dyDescent="0.25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4"/>
    </row>
    <row r="503" spans="1:22" x14ac:dyDescent="0.25">
      <c r="A503" s="15"/>
      <c r="B503" s="61" t="s">
        <v>12</v>
      </c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55"/>
      <c r="V503" s="16"/>
    </row>
    <row r="504" spans="1:22" ht="15.75" thickBot="1" x14ac:dyDescent="0.3">
      <c r="A504" s="17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16"/>
    </row>
    <row r="505" spans="1:22" x14ac:dyDescent="0.25">
      <c r="A505" s="17"/>
      <c r="B505" s="52">
        <v>0</v>
      </c>
      <c r="C505" s="53"/>
      <c r="D505" s="53">
        <v>1</v>
      </c>
      <c r="E505" s="53">
        <v>1</v>
      </c>
      <c r="F505" s="53">
        <v>2</v>
      </c>
      <c r="G505" s="53">
        <v>2</v>
      </c>
      <c r="H505" s="53">
        <v>3</v>
      </c>
      <c r="I505" s="54">
        <v>3</v>
      </c>
      <c r="J505" s="52">
        <v>4</v>
      </c>
      <c r="K505" s="53">
        <v>4</v>
      </c>
      <c r="L505" s="53">
        <v>5</v>
      </c>
      <c r="M505" s="53"/>
      <c r="N505" s="53">
        <v>6</v>
      </c>
      <c r="O505" s="53">
        <v>1</v>
      </c>
      <c r="P505" s="53">
        <v>7</v>
      </c>
      <c r="Q505" s="54">
        <v>2</v>
      </c>
      <c r="R505" s="55">
        <v>8</v>
      </c>
      <c r="S505" s="56">
        <v>3</v>
      </c>
      <c r="T505" s="56">
        <v>9</v>
      </c>
      <c r="U505" s="56">
        <v>4</v>
      </c>
      <c r="V505" s="18"/>
    </row>
    <row r="506" spans="1:22" ht="15.75" thickBot="1" x14ac:dyDescent="0.3">
      <c r="A506" s="17"/>
      <c r="B506" s="19"/>
      <c r="C506" s="20"/>
      <c r="D506" s="20"/>
      <c r="E506" s="20"/>
      <c r="F506" s="20"/>
      <c r="G506" s="20"/>
      <c r="H506" s="20"/>
      <c r="I506" s="21"/>
      <c r="J506" s="19"/>
      <c r="K506" s="20"/>
      <c r="L506" s="20"/>
      <c r="M506" s="20"/>
      <c r="N506" s="20"/>
      <c r="O506" s="20"/>
      <c r="P506" s="20"/>
      <c r="Q506" s="21"/>
      <c r="R506" s="22"/>
      <c r="S506" s="13"/>
      <c r="T506" s="13"/>
      <c r="U506" s="13"/>
      <c r="V506" s="18"/>
    </row>
    <row r="507" spans="1:22" ht="15.75" thickBot="1" x14ac:dyDescent="0.3">
      <c r="A507" s="23"/>
      <c r="B507" s="24"/>
      <c r="C507" s="24"/>
      <c r="D507" s="24"/>
      <c r="E507" s="24"/>
      <c r="F507" s="25"/>
      <c r="G507" s="24"/>
      <c r="H507" s="24"/>
      <c r="I507" s="24"/>
      <c r="J507" s="24"/>
      <c r="K507" s="25"/>
      <c r="L507" s="24"/>
      <c r="M507" s="25"/>
      <c r="N507" s="24"/>
      <c r="O507" s="25"/>
      <c r="P507" s="24"/>
      <c r="Q507" s="25"/>
      <c r="R507" s="26"/>
      <c r="S507" s="26"/>
      <c r="T507" s="26"/>
      <c r="U507" s="26"/>
      <c r="V507" s="27"/>
    </row>
    <row r="508" spans="1:22" ht="15.75" thickBot="1" x14ac:dyDescent="0.3">
      <c r="A508" s="28"/>
      <c r="B508" s="28"/>
      <c r="C508" s="28"/>
      <c r="D508" s="28"/>
      <c r="E508" s="28"/>
      <c r="F508" s="29"/>
      <c r="G508" s="28"/>
      <c r="H508" s="28"/>
      <c r="I508" s="28"/>
      <c r="J508" s="28"/>
      <c r="K508" s="29"/>
      <c r="L508" s="28"/>
      <c r="M508" s="29"/>
      <c r="N508" s="28"/>
      <c r="O508" s="29"/>
      <c r="P508" s="28"/>
      <c r="Q508" s="29"/>
      <c r="R508" s="28"/>
      <c r="S508" s="28"/>
      <c r="T508" s="28"/>
      <c r="U508" s="28"/>
      <c r="V508" s="30"/>
    </row>
    <row r="509" spans="1:22" ht="15.75" thickBot="1" x14ac:dyDescent="0.3">
      <c r="A509" s="28"/>
      <c r="B509" s="39" t="str">
        <f>IF(Q509&gt;1,"Считыватель вх",IF(F509&lt;1,"","Считыватель вых"))</f>
        <v>Считыватель вых</v>
      </c>
      <c r="C509" s="40"/>
      <c r="D509" s="41"/>
      <c r="E509" s="41"/>
      <c r="F509" s="42">
        <v>4</v>
      </c>
      <c r="G509" s="42"/>
      <c r="H509" s="43"/>
      <c r="I509" s="44"/>
      <c r="J509" s="31"/>
      <c r="K509" s="32"/>
      <c r="L509" s="33"/>
      <c r="M509" s="33"/>
      <c r="N509" s="34"/>
      <c r="O509" s="32"/>
      <c r="P509" s="34"/>
      <c r="Q509" s="35"/>
      <c r="R509" s="45" t="s">
        <v>10</v>
      </c>
      <c r="S509" s="46"/>
      <c r="T509" s="46"/>
      <c r="U509" s="46"/>
      <c r="V509" s="46"/>
    </row>
    <row r="510" spans="1:22" x14ac:dyDescent="0.25">
      <c r="A510" s="28"/>
      <c r="B510" s="47">
        <f>IF(B509="Считыватель вых",B493,IF(B509="Считыватель вх",J510,""))</f>
        <v>0</v>
      </c>
      <c r="C510" s="48"/>
      <c r="D510" s="48"/>
      <c r="E510" s="48"/>
      <c r="F510" s="48"/>
      <c r="G510" s="48"/>
      <c r="H510" s="48"/>
      <c r="I510" s="48"/>
      <c r="J510" s="49" t="s">
        <v>13</v>
      </c>
      <c r="K510" s="48"/>
      <c r="L510" s="48"/>
      <c r="M510" s="48"/>
      <c r="N510" s="48"/>
      <c r="O510" s="48"/>
      <c r="P510" s="48"/>
      <c r="Q510" s="48"/>
      <c r="R510" s="50" t="s">
        <v>11</v>
      </c>
      <c r="S510" s="50"/>
      <c r="T510" s="50"/>
      <c r="U510" s="50"/>
      <c r="V510" s="50"/>
    </row>
    <row r="511" spans="1:22" s="67" customForma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</row>
    <row r="512" spans="1:22" ht="18.75" x14ac:dyDescent="0.3">
      <c r="E512" s="1" t="s">
        <v>0</v>
      </c>
      <c r="G512" s="2"/>
      <c r="H512" s="2"/>
      <c r="I512" s="2"/>
      <c r="J512" s="2"/>
      <c r="K512" s="2"/>
      <c r="L512" s="2"/>
      <c r="M512" s="37" t="s">
        <v>1</v>
      </c>
      <c r="N512" s="3"/>
    </row>
    <row r="513" spans="1:22" ht="18.75" x14ac:dyDescent="0.3">
      <c r="E513" s="1" t="s">
        <v>2</v>
      </c>
      <c r="J513" s="4"/>
      <c r="K513" s="4"/>
      <c r="L513" s="4"/>
      <c r="M513" s="37" t="s">
        <v>3</v>
      </c>
      <c r="N513" s="5"/>
    </row>
    <row r="514" spans="1:22" ht="18.75" x14ac:dyDescent="0.3">
      <c r="E514" t="s">
        <v>4</v>
      </c>
      <c r="H514" s="2"/>
      <c r="I514" s="2"/>
      <c r="J514" s="2"/>
      <c r="K514" s="2"/>
      <c r="L514" s="2"/>
      <c r="M514" s="38" t="s">
        <v>3</v>
      </c>
      <c r="N514" s="6"/>
    </row>
    <row r="515" spans="1:22" ht="18.75" x14ac:dyDescent="0.3">
      <c r="E515" t="s">
        <v>5</v>
      </c>
      <c r="L515" s="4"/>
      <c r="M515" s="38" t="s">
        <v>6</v>
      </c>
      <c r="N515" s="6"/>
      <c r="O515" s="6"/>
    </row>
    <row r="516" spans="1:22" ht="18.75" x14ac:dyDescent="0.3">
      <c r="E516" s="7" t="s">
        <v>7</v>
      </c>
      <c r="I516" s="2"/>
      <c r="J516" s="2"/>
      <c r="K516" s="2"/>
      <c r="L516" s="2"/>
      <c r="M516" s="38" t="s">
        <v>3</v>
      </c>
      <c r="N516" s="6"/>
    </row>
    <row r="517" spans="1:22" ht="15.75" thickBot="1" x14ac:dyDescent="0.3">
      <c r="E517" s="59" t="s">
        <v>8</v>
      </c>
      <c r="F517" s="59"/>
      <c r="G517" s="59"/>
      <c r="H517" s="59"/>
      <c r="I517" s="8"/>
      <c r="J517" s="8"/>
      <c r="K517" s="8"/>
      <c r="L517" s="8"/>
      <c r="M517" s="28" t="s">
        <v>3</v>
      </c>
      <c r="N517" s="36"/>
      <c r="O517" s="36"/>
    </row>
    <row r="518" spans="1:22" x14ac:dyDescent="0.25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x14ac:dyDescent="0.25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4"/>
    </row>
    <row r="520" spans="1:22" x14ac:dyDescent="0.25">
      <c r="A520" s="15"/>
      <c r="B520" s="61" t="s">
        <v>9</v>
      </c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55"/>
      <c r="V520" s="16"/>
    </row>
    <row r="521" spans="1:22" ht="15.75" thickBot="1" x14ac:dyDescent="0.3">
      <c r="A521" s="17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16"/>
    </row>
    <row r="522" spans="1:22" x14ac:dyDescent="0.25">
      <c r="A522" s="17"/>
      <c r="B522" s="52">
        <v>0</v>
      </c>
      <c r="C522" s="53"/>
      <c r="D522" s="53">
        <v>1</v>
      </c>
      <c r="E522" s="53">
        <v>1</v>
      </c>
      <c r="F522" s="53">
        <v>2</v>
      </c>
      <c r="G522" s="53">
        <v>2</v>
      </c>
      <c r="H522" s="53">
        <v>3</v>
      </c>
      <c r="I522" s="54">
        <v>3</v>
      </c>
      <c r="J522" s="52">
        <v>4</v>
      </c>
      <c r="K522" s="53">
        <v>4</v>
      </c>
      <c r="L522" s="53">
        <v>5</v>
      </c>
      <c r="M522" s="53"/>
      <c r="N522" s="53">
        <v>6</v>
      </c>
      <c r="O522" s="53">
        <v>1</v>
      </c>
      <c r="P522" s="53">
        <v>7</v>
      </c>
      <c r="Q522" s="54">
        <v>2</v>
      </c>
      <c r="R522" s="55">
        <v>8</v>
      </c>
      <c r="S522" s="56">
        <v>3</v>
      </c>
      <c r="T522" s="56">
        <v>9</v>
      </c>
      <c r="U522" s="56">
        <v>4</v>
      </c>
      <c r="V522" s="18"/>
    </row>
    <row r="523" spans="1:22" ht="15.75" thickBot="1" x14ac:dyDescent="0.3">
      <c r="A523" s="17"/>
      <c r="B523" s="19"/>
      <c r="C523" s="20"/>
      <c r="D523" s="20"/>
      <c r="E523" s="20"/>
      <c r="F523" s="20"/>
      <c r="G523" s="20"/>
      <c r="H523" s="20"/>
      <c r="I523" s="21"/>
      <c r="J523" s="19"/>
      <c r="K523" s="20"/>
      <c r="L523" s="20"/>
      <c r="M523" s="20"/>
      <c r="N523" s="20"/>
      <c r="O523" s="20"/>
      <c r="P523" s="20"/>
      <c r="Q523" s="21"/>
      <c r="R523" s="22"/>
      <c r="S523" s="13"/>
      <c r="T523" s="13"/>
      <c r="U523" s="13"/>
      <c r="V523" s="18"/>
    </row>
    <row r="524" spans="1:22" ht="15.75" thickBot="1" x14ac:dyDescent="0.3">
      <c r="A524" s="23"/>
      <c r="B524" s="24"/>
      <c r="C524" s="24"/>
      <c r="D524" s="24"/>
      <c r="E524" s="24"/>
      <c r="F524" s="25"/>
      <c r="G524" s="24"/>
      <c r="H524" s="24"/>
      <c r="I524" s="24"/>
      <c r="J524" s="24"/>
      <c r="K524" s="25"/>
      <c r="L524" s="24"/>
      <c r="M524" s="25"/>
      <c r="N524" s="24"/>
      <c r="O524" s="25"/>
      <c r="P524" s="24"/>
      <c r="Q524" s="25"/>
      <c r="R524" s="26"/>
      <c r="S524" s="26"/>
      <c r="T524" s="26"/>
      <c r="U524" s="26"/>
      <c r="V524" s="27"/>
    </row>
    <row r="525" spans="1:22" ht="15.75" thickBot="1" x14ac:dyDescent="0.3">
      <c r="A525" s="28"/>
      <c r="B525" s="28"/>
      <c r="C525" s="28"/>
      <c r="D525" s="28"/>
      <c r="E525" s="28"/>
      <c r="F525" s="29"/>
      <c r="G525" s="28"/>
      <c r="H525" s="28"/>
      <c r="I525" s="28"/>
      <c r="J525" s="28"/>
      <c r="K525" s="29"/>
      <c r="L525" s="28"/>
      <c r="M525" s="29"/>
      <c r="N525" s="28"/>
      <c r="O525" s="29"/>
      <c r="P525" s="28"/>
      <c r="Q525" s="29"/>
      <c r="R525" s="28"/>
      <c r="S525" s="28"/>
      <c r="T525" s="28"/>
      <c r="U525" s="28"/>
      <c r="V525" s="30"/>
    </row>
    <row r="526" spans="1:22" ht="69.95" customHeight="1" thickBot="1" x14ac:dyDescent="0.3">
      <c r="A526" s="28"/>
      <c r="B526" s="39" t="str">
        <f>IF(Q526&gt;1,"Считыватель вх",IF(F526&lt;1,"","Считыватель вх"))</f>
        <v>Считыватель вх</v>
      </c>
      <c r="C526" s="40"/>
      <c r="D526" s="41"/>
      <c r="E526" s="41"/>
      <c r="F526" s="42">
        <v>1</v>
      </c>
      <c r="G526" s="42"/>
      <c r="H526" s="43"/>
      <c r="I526" s="44"/>
      <c r="J526" s="31"/>
      <c r="K526" s="32"/>
      <c r="L526" s="33"/>
      <c r="M526" s="33"/>
      <c r="N526" s="34"/>
      <c r="O526" s="32"/>
      <c r="P526" s="34"/>
      <c r="Q526" s="35"/>
      <c r="R526" s="45" t="s">
        <v>10</v>
      </c>
      <c r="S526" s="46"/>
      <c r="T526" s="46"/>
      <c r="U526" s="46"/>
      <c r="V526" s="46"/>
    </row>
    <row r="527" spans="1:22" x14ac:dyDescent="0.25">
      <c r="A527" s="28"/>
      <c r="B527" s="49"/>
      <c r="C527" s="57"/>
      <c r="D527" s="57"/>
      <c r="E527" s="57"/>
      <c r="F527" s="57"/>
      <c r="G527" s="57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50" t="s">
        <v>11</v>
      </c>
      <c r="S527" s="50"/>
      <c r="T527" s="50"/>
      <c r="U527" s="50"/>
      <c r="V527" s="50"/>
    </row>
    <row r="528" spans="1:22" s="68" customFormat="1" x14ac:dyDescent="0.25"/>
    <row r="529" spans="1:22" s="68" customFormat="1" x14ac:dyDescent="0.25"/>
    <row r="530" spans="1:22" ht="18.75" x14ac:dyDescent="0.3">
      <c r="E530" s="1" t="s">
        <v>0</v>
      </c>
      <c r="G530" s="2"/>
      <c r="H530" s="2"/>
      <c r="I530" s="2"/>
      <c r="J530" s="2"/>
      <c r="K530" s="2"/>
      <c r="L530" s="2"/>
      <c r="M530" s="37" t="s">
        <v>1</v>
      </c>
      <c r="N530" s="3"/>
    </row>
    <row r="531" spans="1:22" ht="18.75" x14ac:dyDescent="0.3">
      <c r="E531" s="1" t="s">
        <v>2</v>
      </c>
      <c r="J531" s="4"/>
      <c r="K531" s="4"/>
      <c r="L531" s="4"/>
      <c r="M531" s="37" t="s">
        <v>3</v>
      </c>
      <c r="N531" s="5"/>
    </row>
    <row r="532" spans="1:22" ht="18.75" x14ac:dyDescent="0.3">
      <c r="E532" t="s">
        <v>4</v>
      </c>
      <c r="H532" s="2"/>
      <c r="I532" s="2"/>
      <c r="J532" s="2"/>
      <c r="K532" s="2"/>
      <c r="L532" s="2"/>
      <c r="M532" s="38" t="s">
        <v>3</v>
      </c>
      <c r="N532" s="6"/>
    </row>
    <row r="533" spans="1:22" ht="18.75" x14ac:dyDescent="0.3">
      <c r="E533" t="s">
        <v>5</v>
      </c>
      <c r="L533" s="4"/>
      <c r="M533" s="38" t="s">
        <v>6</v>
      </c>
      <c r="N533" s="58"/>
      <c r="O533" s="58"/>
    </row>
    <row r="534" spans="1:22" ht="18.75" x14ac:dyDescent="0.3">
      <c r="E534" s="7" t="s">
        <v>7</v>
      </c>
      <c r="I534" s="2"/>
      <c r="J534" s="2"/>
      <c r="K534" s="2"/>
      <c r="L534" s="2"/>
      <c r="M534" s="38" t="s">
        <v>3</v>
      </c>
      <c r="N534" s="6"/>
    </row>
    <row r="535" spans="1:22" ht="15.75" thickBot="1" x14ac:dyDescent="0.3">
      <c r="E535" s="59" t="s">
        <v>8</v>
      </c>
      <c r="F535" s="59"/>
      <c r="G535" s="59"/>
      <c r="H535" s="59"/>
      <c r="I535" s="8"/>
      <c r="J535" s="8"/>
      <c r="K535" s="8"/>
      <c r="L535" s="8"/>
      <c r="M535" s="28" t="s">
        <v>3</v>
      </c>
      <c r="N535" s="60"/>
      <c r="O535" s="60"/>
    </row>
    <row r="536" spans="1:22" x14ac:dyDescent="0.25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x14ac:dyDescent="0.25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4"/>
    </row>
    <row r="538" spans="1:22" x14ac:dyDescent="0.25">
      <c r="A538" s="15"/>
      <c r="B538" s="61" t="s">
        <v>12</v>
      </c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55"/>
      <c r="V538" s="16"/>
    </row>
    <row r="539" spans="1:22" ht="15.75" thickBot="1" x14ac:dyDescent="0.3">
      <c r="A539" s="17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16"/>
    </row>
    <row r="540" spans="1:22" x14ac:dyDescent="0.25">
      <c r="A540" s="17"/>
      <c r="B540" s="52">
        <v>0</v>
      </c>
      <c r="C540" s="53"/>
      <c r="D540" s="53">
        <v>1</v>
      </c>
      <c r="E540" s="53">
        <v>1</v>
      </c>
      <c r="F540" s="53">
        <v>2</v>
      </c>
      <c r="G540" s="53">
        <v>2</v>
      </c>
      <c r="H540" s="53">
        <v>3</v>
      </c>
      <c r="I540" s="54">
        <v>3</v>
      </c>
      <c r="J540" s="52">
        <v>4</v>
      </c>
      <c r="K540" s="53">
        <v>4</v>
      </c>
      <c r="L540" s="53">
        <v>5</v>
      </c>
      <c r="M540" s="53"/>
      <c r="N540" s="53">
        <v>6</v>
      </c>
      <c r="O540" s="53">
        <v>1</v>
      </c>
      <c r="P540" s="53">
        <v>7</v>
      </c>
      <c r="Q540" s="54">
        <v>2</v>
      </c>
      <c r="R540" s="55">
        <v>8</v>
      </c>
      <c r="S540" s="56">
        <v>3</v>
      </c>
      <c r="T540" s="56">
        <v>9</v>
      </c>
      <c r="U540" s="56">
        <v>4</v>
      </c>
      <c r="V540" s="18"/>
    </row>
    <row r="541" spans="1:22" ht="15.75" thickBot="1" x14ac:dyDescent="0.3">
      <c r="A541" s="17"/>
      <c r="B541" s="19"/>
      <c r="C541" s="20"/>
      <c r="D541" s="20"/>
      <c r="E541" s="20"/>
      <c r="F541" s="20"/>
      <c r="G541" s="20"/>
      <c r="H541" s="20"/>
      <c r="I541" s="21"/>
      <c r="J541" s="19"/>
      <c r="K541" s="20"/>
      <c r="L541" s="20"/>
      <c r="M541" s="20"/>
      <c r="N541" s="20"/>
      <c r="O541" s="20"/>
      <c r="P541" s="20"/>
      <c r="Q541" s="21"/>
      <c r="R541" s="22"/>
      <c r="S541" s="13"/>
      <c r="T541" s="13"/>
      <c r="U541" s="13"/>
      <c r="V541" s="18"/>
    </row>
    <row r="542" spans="1:22" ht="15.75" thickBot="1" x14ac:dyDescent="0.3">
      <c r="A542" s="23"/>
      <c r="B542" s="24"/>
      <c r="C542" s="24"/>
      <c r="D542" s="24"/>
      <c r="E542" s="24"/>
      <c r="F542" s="25"/>
      <c r="G542" s="24"/>
      <c r="H542" s="24"/>
      <c r="I542" s="24"/>
      <c r="J542" s="24"/>
      <c r="K542" s="25"/>
      <c r="L542" s="24"/>
      <c r="M542" s="25"/>
      <c r="N542" s="24"/>
      <c r="O542" s="25"/>
      <c r="P542" s="24"/>
      <c r="Q542" s="25"/>
      <c r="R542" s="26"/>
      <c r="S542" s="26"/>
      <c r="T542" s="26"/>
      <c r="U542" s="26"/>
      <c r="V542" s="27"/>
    </row>
    <row r="543" spans="1:22" ht="15.75" thickBot="1" x14ac:dyDescent="0.3">
      <c r="A543" s="28"/>
      <c r="B543" s="28"/>
      <c r="C543" s="28"/>
      <c r="D543" s="28"/>
      <c r="E543" s="28"/>
      <c r="F543" s="29"/>
      <c r="G543" s="28"/>
      <c r="H543" s="28"/>
      <c r="I543" s="28"/>
      <c r="J543" s="28"/>
      <c r="K543" s="29"/>
      <c r="L543" s="28"/>
      <c r="M543" s="29"/>
      <c r="N543" s="28"/>
      <c r="O543" s="29"/>
      <c r="P543" s="28"/>
      <c r="Q543" s="29"/>
      <c r="R543" s="28"/>
      <c r="S543" s="28"/>
      <c r="T543" s="28"/>
      <c r="U543" s="28"/>
      <c r="V543" s="30"/>
    </row>
    <row r="544" spans="1:22" ht="15.75" thickBot="1" x14ac:dyDescent="0.3">
      <c r="A544" s="28"/>
      <c r="B544" s="39" t="str">
        <f>IF(Q544&gt;1,"Считыватель вх",IF(F544&lt;1,"","Считыватель вых"))</f>
        <v>Считыватель вых</v>
      </c>
      <c r="C544" s="40"/>
      <c r="D544" s="41"/>
      <c r="E544" s="41"/>
      <c r="F544" s="42">
        <v>4</v>
      </c>
      <c r="G544" s="42"/>
      <c r="H544" s="43"/>
      <c r="I544" s="44"/>
      <c r="J544" s="31"/>
      <c r="K544" s="32"/>
      <c r="L544" s="33"/>
      <c r="M544" s="33"/>
      <c r="N544" s="34"/>
      <c r="O544" s="32"/>
      <c r="P544" s="34"/>
      <c r="Q544" s="35"/>
      <c r="R544" s="45" t="s">
        <v>10</v>
      </c>
      <c r="S544" s="46"/>
      <c r="T544" s="46"/>
      <c r="U544" s="46"/>
      <c r="V544" s="46"/>
    </row>
    <row r="545" spans="1:22" x14ac:dyDescent="0.25">
      <c r="A545" s="28"/>
      <c r="B545" s="47">
        <f>IF(B544="Считыватель вых",B528,IF(B544="Считыватель вх",J545,""))</f>
        <v>0</v>
      </c>
      <c r="C545" s="48"/>
      <c r="D545" s="48"/>
      <c r="E545" s="48"/>
      <c r="F545" s="48"/>
      <c r="G545" s="48"/>
      <c r="H545" s="48"/>
      <c r="I545" s="48"/>
      <c r="J545" s="49" t="s">
        <v>13</v>
      </c>
      <c r="K545" s="48"/>
      <c r="L545" s="48"/>
      <c r="M545" s="48"/>
      <c r="N545" s="48"/>
      <c r="O545" s="48"/>
      <c r="P545" s="48"/>
      <c r="Q545" s="48"/>
      <c r="R545" s="50" t="s">
        <v>11</v>
      </c>
      <c r="S545" s="50"/>
      <c r="T545" s="50"/>
      <c r="U545" s="50"/>
      <c r="V545" s="50"/>
    </row>
  </sheetData>
  <mergeCells count="912">
    <mergeCell ref="T540:U540"/>
    <mergeCell ref="B544:E544"/>
    <mergeCell ref="F544:I544"/>
    <mergeCell ref="R544:V544"/>
    <mergeCell ref="B545:I545"/>
    <mergeCell ref="J545:Q545"/>
    <mergeCell ref="R545:V545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R540:S540"/>
    <mergeCell ref="N533:O533"/>
    <mergeCell ref="E535:H535"/>
    <mergeCell ref="N535:O535"/>
    <mergeCell ref="B538:U538"/>
    <mergeCell ref="B539:C539"/>
    <mergeCell ref="D539:E539"/>
    <mergeCell ref="F539:G539"/>
    <mergeCell ref="H539:I539"/>
    <mergeCell ref="J539:K539"/>
    <mergeCell ref="L539:M539"/>
    <mergeCell ref="N539:O539"/>
    <mergeCell ref="P539:Q539"/>
    <mergeCell ref="R539:S539"/>
    <mergeCell ref="T539:U539"/>
    <mergeCell ref="T522:U522"/>
    <mergeCell ref="B526:E526"/>
    <mergeCell ref="F526:I526"/>
    <mergeCell ref="R526:V526"/>
    <mergeCell ref="B527:Q527"/>
    <mergeCell ref="R527:V527"/>
    <mergeCell ref="E517:H517"/>
    <mergeCell ref="B520:U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R521:S521"/>
    <mergeCell ref="T521:U521"/>
    <mergeCell ref="B522:C522"/>
    <mergeCell ref="D522:E522"/>
    <mergeCell ref="F522:G522"/>
    <mergeCell ref="H522:I522"/>
    <mergeCell ref="J522:K522"/>
    <mergeCell ref="L522:M522"/>
    <mergeCell ref="N522:O522"/>
    <mergeCell ref="P522:Q522"/>
    <mergeCell ref="R522:S522"/>
    <mergeCell ref="T505:U505"/>
    <mergeCell ref="B509:E509"/>
    <mergeCell ref="F509:I509"/>
    <mergeCell ref="B510:I510"/>
    <mergeCell ref="J510:Q510"/>
    <mergeCell ref="R510:V510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E176:H176"/>
    <mergeCell ref="N27:O27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L27:M27"/>
    <mergeCell ref="B33:I33"/>
    <mergeCell ref="J33:Q33"/>
    <mergeCell ref="R33:V33"/>
    <mergeCell ref="N28:O28"/>
    <mergeCell ref="P28:Q28"/>
    <mergeCell ref="R28:S28"/>
    <mergeCell ref="T28:U28"/>
    <mergeCell ref="B164:C164"/>
    <mergeCell ref="D164:E164"/>
    <mergeCell ref="F164:G164"/>
    <mergeCell ref="H164:I164"/>
    <mergeCell ref="J164:K164"/>
    <mergeCell ref="L164:M164"/>
    <mergeCell ref="R169:V169"/>
    <mergeCell ref="N21:O21"/>
    <mergeCell ref="E23:H23"/>
    <mergeCell ref="N23:O23"/>
    <mergeCell ref="B26:U26"/>
    <mergeCell ref="N164:O164"/>
    <mergeCell ref="P164:Q164"/>
    <mergeCell ref="R164:S164"/>
    <mergeCell ref="T164:U164"/>
    <mergeCell ref="B168:E168"/>
    <mergeCell ref="F168:I168"/>
    <mergeCell ref="R168:V168"/>
    <mergeCell ref="B169:I169"/>
    <mergeCell ref="J169:Q169"/>
    <mergeCell ref="B32:E32"/>
    <mergeCell ref="F32:I32"/>
    <mergeCell ref="R32:V32"/>
    <mergeCell ref="N55:O55"/>
    <mergeCell ref="B152:Q152"/>
    <mergeCell ref="R152:V152"/>
    <mergeCell ref="E159:H159"/>
    <mergeCell ref="B162:U162"/>
    <mergeCell ref="B163:C163"/>
    <mergeCell ref="D163:E163"/>
    <mergeCell ref="F163:G163"/>
    <mergeCell ref="H163:I163"/>
    <mergeCell ref="J163:K163"/>
    <mergeCell ref="L163:M163"/>
    <mergeCell ref="N157:O157"/>
    <mergeCell ref="N159:O159"/>
    <mergeCell ref="N163:O163"/>
    <mergeCell ref="P163:Q163"/>
    <mergeCell ref="R163:S163"/>
    <mergeCell ref="T163:U163"/>
    <mergeCell ref="N147:O147"/>
    <mergeCell ref="P147:Q147"/>
    <mergeCell ref="R147:S147"/>
    <mergeCell ref="T147:U147"/>
    <mergeCell ref="B151:E151"/>
    <mergeCell ref="F151:I151"/>
    <mergeCell ref="R151:V151"/>
    <mergeCell ref="N146:O146"/>
    <mergeCell ref="P146:Q146"/>
    <mergeCell ref="R146:S146"/>
    <mergeCell ref="T146:U146"/>
    <mergeCell ref="B147:C147"/>
    <mergeCell ref="D147:E147"/>
    <mergeCell ref="F147:G147"/>
    <mergeCell ref="H147:I147"/>
    <mergeCell ref="J147:K147"/>
    <mergeCell ref="L147:M147"/>
    <mergeCell ref="R135:V135"/>
    <mergeCell ref="E142:H142"/>
    <mergeCell ref="B145:U145"/>
    <mergeCell ref="B146:C146"/>
    <mergeCell ref="D146:E146"/>
    <mergeCell ref="F146:G146"/>
    <mergeCell ref="H146:I146"/>
    <mergeCell ref="J146:K146"/>
    <mergeCell ref="L146:M146"/>
    <mergeCell ref="B135:I135"/>
    <mergeCell ref="J135:Q135"/>
    <mergeCell ref="N130:O130"/>
    <mergeCell ref="P130:Q130"/>
    <mergeCell ref="R130:S130"/>
    <mergeCell ref="T130:U130"/>
    <mergeCell ref="B134:E134"/>
    <mergeCell ref="F134:I134"/>
    <mergeCell ref="R134:V134"/>
    <mergeCell ref="N129:O129"/>
    <mergeCell ref="P129:Q129"/>
    <mergeCell ref="R129:S129"/>
    <mergeCell ref="T129:U129"/>
    <mergeCell ref="B130:C130"/>
    <mergeCell ref="D130:E130"/>
    <mergeCell ref="F130:G130"/>
    <mergeCell ref="H130:I130"/>
    <mergeCell ref="J130:K130"/>
    <mergeCell ref="L130:M130"/>
    <mergeCell ref="B118:Q118"/>
    <mergeCell ref="R118:V118"/>
    <mergeCell ref="E125:H125"/>
    <mergeCell ref="B128:U128"/>
    <mergeCell ref="B129:C129"/>
    <mergeCell ref="D129:E129"/>
    <mergeCell ref="F129:G129"/>
    <mergeCell ref="H129:I129"/>
    <mergeCell ref="J129:K129"/>
    <mergeCell ref="L129:M129"/>
    <mergeCell ref="N125:O125"/>
    <mergeCell ref="N123:O123"/>
    <mergeCell ref="N113:O113"/>
    <mergeCell ref="P113:Q113"/>
    <mergeCell ref="R113:S113"/>
    <mergeCell ref="T113:U113"/>
    <mergeCell ref="B117:E117"/>
    <mergeCell ref="F117:I117"/>
    <mergeCell ref="R117:V117"/>
    <mergeCell ref="N112:O112"/>
    <mergeCell ref="P112:Q112"/>
    <mergeCell ref="R112:S112"/>
    <mergeCell ref="T112:U112"/>
    <mergeCell ref="B113:C113"/>
    <mergeCell ref="D113:E113"/>
    <mergeCell ref="F113:G113"/>
    <mergeCell ref="H113:I113"/>
    <mergeCell ref="J113:K113"/>
    <mergeCell ref="L113:M113"/>
    <mergeCell ref="R101:V101"/>
    <mergeCell ref="E108:H108"/>
    <mergeCell ref="B111:U111"/>
    <mergeCell ref="B112:C112"/>
    <mergeCell ref="D112:E112"/>
    <mergeCell ref="F112:G112"/>
    <mergeCell ref="H112:I112"/>
    <mergeCell ref="J112:K112"/>
    <mergeCell ref="L112:M112"/>
    <mergeCell ref="B101:I101"/>
    <mergeCell ref="J101:Q101"/>
    <mergeCell ref="N96:O96"/>
    <mergeCell ref="P96:Q96"/>
    <mergeCell ref="R96:S96"/>
    <mergeCell ref="T96:U96"/>
    <mergeCell ref="B100:E100"/>
    <mergeCell ref="F100:I100"/>
    <mergeCell ref="R100:V100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B84:Q84"/>
    <mergeCell ref="R84:V84"/>
    <mergeCell ref="E91:H91"/>
    <mergeCell ref="B94:U94"/>
    <mergeCell ref="B95:C95"/>
    <mergeCell ref="D95:E95"/>
    <mergeCell ref="F95:G95"/>
    <mergeCell ref="H95:I95"/>
    <mergeCell ref="J95:K95"/>
    <mergeCell ref="L95:M95"/>
    <mergeCell ref="N89:O89"/>
    <mergeCell ref="N91:O91"/>
    <mergeCell ref="N79:O79"/>
    <mergeCell ref="P79:Q79"/>
    <mergeCell ref="R79:S79"/>
    <mergeCell ref="T79:U79"/>
    <mergeCell ref="B83:E83"/>
    <mergeCell ref="F83:I83"/>
    <mergeCell ref="R83:V83"/>
    <mergeCell ref="N78:O78"/>
    <mergeCell ref="P78:Q78"/>
    <mergeCell ref="R78:S78"/>
    <mergeCell ref="T78:U78"/>
    <mergeCell ref="B79:C79"/>
    <mergeCell ref="D79:E79"/>
    <mergeCell ref="F79:G79"/>
    <mergeCell ref="H79:I79"/>
    <mergeCell ref="J79:K79"/>
    <mergeCell ref="L79:M79"/>
    <mergeCell ref="R67:V67"/>
    <mergeCell ref="E74:H74"/>
    <mergeCell ref="B77:U77"/>
    <mergeCell ref="B78:C78"/>
    <mergeCell ref="D78:E78"/>
    <mergeCell ref="F78:G78"/>
    <mergeCell ref="H78:I78"/>
    <mergeCell ref="J78:K78"/>
    <mergeCell ref="L78:M78"/>
    <mergeCell ref="B67:I67"/>
    <mergeCell ref="J67:Q67"/>
    <mergeCell ref="N62:O62"/>
    <mergeCell ref="P62:Q62"/>
    <mergeCell ref="R62:S62"/>
    <mergeCell ref="T62:U62"/>
    <mergeCell ref="B66:E66"/>
    <mergeCell ref="F66:I66"/>
    <mergeCell ref="R66:V66"/>
    <mergeCell ref="N61:O61"/>
    <mergeCell ref="P61:Q61"/>
    <mergeCell ref="R61:S61"/>
    <mergeCell ref="T61:U61"/>
    <mergeCell ref="B62:C62"/>
    <mergeCell ref="D62:E62"/>
    <mergeCell ref="F62:G62"/>
    <mergeCell ref="H62:I62"/>
    <mergeCell ref="J62:K62"/>
    <mergeCell ref="L62:M62"/>
    <mergeCell ref="B50:Q50"/>
    <mergeCell ref="R50:V50"/>
    <mergeCell ref="E57:H57"/>
    <mergeCell ref="B60:U60"/>
    <mergeCell ref="B61:C61"/>
    <mergeCell ref="D61:E61"/>
    <mergeCell ref="F61:G61"/>
    <mergeCell ref="H61:I61"/>
    <mergeCell ref="J61:K61"/>
    <mergeCell ref="L61:M61"/>
    <mergeCell ref="N45:O45"/>
    <mergeCell ref="P45:Q45"/>
    <mergeCell ref="R45:S45"/>
    <mergeCell ref="T45:U45"/>
    <mergeCell ref="B49:E49"/>
    <mergeCell ref="F49:I49"/>
    <mergeCell ref="R49:V49"/>
    <mergeCell ref="N44:O44"/>
    <mergeCell ref="P44:Q44"/>
    <mergeCell ref="R44:S44"/>
    <mergeCell ref="T44:U44"/>
    <mergeCell ref="B45:C45"/>
    <mergeCell ref="D45:E45"/>
    <mergeCell ref="F45:G45"/>
    <mergeCell ref="H45:I45"/>
    <mergeCell ref="J45:K45"/>
    <mergeCell ref="L45:M45"/>
    <mergeCell ref="J11:K11"/>
    <mergeCell ref="L11:M11"/>
    <mergeCell ref="B16:Q16"/>
    <mergeCell ref="R16:V16"/>
    <mergeCell ref="E40:H40"/>
    <mergeCell ref="B43:U43"/>
    <mergeCell ref="B44:C44"/>
    <mergeCell ref="D44:E44"/>
    <mergeCell ref="F44:G44"/>
    <mergeCell ref="H44:I44"/>
    <mergeCell ref="J44:K44"/>
    <mergeCell ref="L44:M44"/>
    <mergeCell ref="E6:H6"/>
    <mergeCell ref="B9:U9"/>
    <mergeCell ref="B10:C10"/>
    <mergeCell ref="D10:E10"/>
    <mergeCell ref="F10:G10"/>
    <mergeCell ref="H10:I10"/>
    <mergeCell ref="J10:K10"/>
    <mergeCell ref="L10:M10"/>
    <mergeCell ref="N57:O57"/>
    <mergeCell ref="N11:O11"/>
    <mergeCell ref="P11:Q11"/>
    <mergeCell ref="R11:S11"/>
    <mergeCell ref="T11:U11"/>
    <mergeCell ref="B15:E15"/>
    <mergeCell ref="F15:I15"/>
    <mergeCell ref="R15:V15"/>
    <mergeCell ref="N10:O10"/>
    <mergeCell ref="P10:Q10"/>
    <mergeCell ref="R10:S10"/>
    <mergeCell ref="T10:U10"/>
    <mergeCell ref="B11:C11"/>
    <mergeCell ref="D11:E11"/>
    <mergeCell ref="F11:G11"/>
    <mergeCell ref="H11:I11"/>
    <mergeCell ref="B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T181:U181"/>
    <mergeCell ref="B185:E185"/>
    <mergeCell ref="F185:I185"/>
    <mergeCell ref="R185:V185"/>
    <mergeCell ref="B186:Q186"/>
    <mergeCell ref="R186:V186"/>
    <mergeCell ref="N191:O191"/>
    <mergeCell ref="E193:H193"/>
    <mergeCell ref="N193:O193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B196:U196"/>
    <mergeCell ref="B197:C197"/>
    <mergeCell ref="D197:E197"/>
    <mergeCell ref="F197:G197"/>
    <mergeCell ref="H197:I197"/>
    <mergeCell ref="J197:K197"/>
    <mergeCell ref="L197:M197"/>
    <mergeCell ref="N197:O197"/>
    <mergeCell ref="P197:Q197"/>
    <mergeCell ref="R197:S197"/>
    <mergeCell ref="T197:U197"/>
    <mergeCell ref="T198:U198"/>
    <mergeCell ref="B202:E202"/>
    <mergeCell ref="F202:I202"/>
    <mergeCell ref="R202:V202"/>
    <mergeCell ref="B203:I203"/>
    <mergeCell ref="J203:Q203"/>
    <mergeCell ref="R203:V203"/>
    <mergeCell ref="E210:H210"/>
    <mergeCell ref="B213:U213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214:U214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R214:S214"/>
    <mergeCell ref="B219:E219"/>
    <mergeCell ref="F219:I219"/>
    <mergeCell ref="R219:V219"/>
    <mergeCell ref="B220:Q220"/>
    <mergeCell ref="R220:V220"/>
    <mergeCell ref="N225:O225"/>
    <mergeCell ref="E227:H227"/>
    <mergeCell ref="N227:O227"/>
    <mergeCell ref="B230:U230"/>
    <mergeCell ref="T231:U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B236:E236"/>
    <mergeCell ref="F236:I236"/>
    <mergeCell ref="R236:V236"/>
    <mergeCell ref="B237:I237"/>
    <mergeCell ref="J237:Q237"/>
    <mergeCell ref="R237:V237"/>
    <mergeCell ref="E244:H244"/>
    <mergeCell ref="B247:U247"/>
    <mergeCell ref="B248:C248"/>
    <mergeCell ref="D248:E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T249:U249"/>
    <mergeCell ref="B253:E253"/>
    <mergeCell ref="F253:I253"/>
    <mergeCell ref="R253:V253"/>
    <mergeCell ref="B254:Q254"/>
    <mergeCell ref="R254:V254"/>
    <mergeCell ref="N259:O259"/>
    <mergeCell ref="E261:H261"/>
    <mergeCell ref="N261:O261"/>
    <mergeCell ref="B249:C249"/>
    <mergeCell ref="D249:E249"/>
    <mergeCell ref="F249:G249"/>
    <mergeCell ref="H249:I249"/>
    <mergeCell ref="J249:K249"/>
    <mergeCell ref="L249:M249"/>
    <mergeCell ref="N249:O249"/>
    <mergeCell ref="P249:Q249"/>
    <mergeCell ref="R249:S249"/>
    <mergeCell ref="B264:U264"/>
    <mergeCell ref="B265:C265"/>
    <mergeCell ref="D265:E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T266:U266"/>
    <mergeCell ref="B270:E270"/>
    <mergeCell ref="F270:I270"/>
    <mergeCell ref="R270:V270"/>
    <mergeCell ref="B271:I271"/>
    <mergeCell ref="J271:Q271"/>
    <mergeCell ref="R271:V271"/>
    <mergeCell ref="E278:H278"/>
    <mergeCell ref="B281:U281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B287:E287"/>
    <mergeCell ref="F287:I287"/>
    <mergeCell ref="R287:V287"/>
    <mergeCell ref="B288:Q288"/>
    <mergeCell ref="R288:V288"/>
    <mergeCell ref="N293:O293"/>
    <mergeCell ref="E295:H295"/>
    <mergeCell ref="N295:O295"/>
    <mergeCell ref="B298:U298"/>
    <mergeCell ref="T299:U299"/>
    <mergeCell ref="B300:C300"/>
    <mergeCell ref="D300:E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B299:C299"/>
    <mergeCell ref="D299:E299"/>
    <mergeCell ref="F299:G299"/>
    <mergeCell ref="H299:I299"/>
    <mergeCell ref="J299:K299"/>
    <mergeCell ref="L299:M299"/>
    <mergeCell ref="N299:O299"/>
    <mergeCell ref="P299:Q299"/>
    <mergeCell ref="R299:S299"/>
    <mergeCell ref="B304:E304"/>
    <mergeCell ref="F304:I304"/>
    <mergeCell ref="R304:V304"/>
    <mergeCell ref="B305:I305"/>
    <mergeCell ref="J305:Q305"/>
    <mergeCell ref="R305:V305"/>
    <mergeCell ref="E312:H312"/>
    <mergeCell ref="B315:U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T317:U317"/>
    <mergeCell ref="B321:E321"/>
    <mergeCell ref="F321:I321"/>
    <mergeCell ref="R321:V321"/>
    <mergeCell ref="B322:Q322"/>
    <mergeCell ref="R322:V322"/>
    <mergeCell ref="N327:O327"/>
    <mergeCell ref="E329:H329"/>
    <mergeCell ref="N329:O329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R317:S317"/>
    <mergeCell ref="B332:U332"/>
    <mergeCell ref="B333:C333"/>
    <mergeCell ref="D333:E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T334:U334"/>
    <mergeCell ref="B338:E338"/>
    <mergeCell ref="F338:I338"/>
    <mergeCell ref="R338:V338"/>
    <mergeCell ref="B339:I339"/>
    <mergeCell ref="J339:Q339"/>
    <mergeCell ref="R339:V339"/>
    <mergeCell ref="E346:H346"/>
    <mergeCell ref="B349:U349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50:U350"/>
    <mergeCell ref="B351:C351"/>
    <mergeCell ref="D351:E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B350:C350"/>
    <mergeCell ref="D350:E350"/>
    <mergeCell ref="F350:G350"/>
    <mergeCell ref="H350:I350"/>
    <mergeCell ref="J350:K350"/>
    <mergeCell ref="L350:M350"/>
    <mergeCell ref="N350:O350"/>
    <mergeCell ref="P350:Q350"/>
    <mergeCell ref="R350:S350"/>
    <mergeCell ref="B355:E355"/>
    <mergeCell ref="F355:I355"/>
    <mergeCell ref="R355:V355"/>
    <mergeCell ref="B356:Q356"/>
    <mergeCell ref="R356:V356"/>
    <mergeCell ref="N361:O361"/>
    <mergeCell ref="E363:H363"/>
    <mergeCell ref="N363:O363"/>
    <mergeCell ref="B366:U366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B372:E372"/>
    <mergeCell ref="F372:I372"/>
    <mergeCell ref="R372:V372"/>
    <mergeCell ref="B373:I373"/>
    <mergeCell ref="J373:Q373"/>
    <mergeCell ref="R373:V373"/>
    <mergeCell ref="E380:H380"/>
    <mergeCell ref="B383:U383"/>
    <mergeCell ref="B384:C384"/>
    <mergeCell ref="D384:E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T385:U385"/>
    <mergeCell ref="B389:E389"/>
    <mergeCell ref="F389:I389"/>
    <mergeCell ref="R389:V389"/>
    <mergeCell ref="B390:Q390"/>
    <mergeCell ref="R390:V390"/>
    <mergeCell ref="N395:O395"/>
    <mergeCell ref="E397:H397"/>
    <mergeCell ref="N397:O397"/>
    <mergeCell ref="B385:C385"/>
    <mergeCell ref="D385:E385"/>
    <mergeCell ref="F385:G385"/>
    <mergeCell ref="H385:I385"/>
    <mergeCell ref="J385:K385"/>
    <mergeCell ref="L385:M385"/>
    <mergeCell ref="N385:O385"/>
    <mergeCell ref="P385:Q385"/>
    <mergeCell ref="R385:S385"/>
    <mergeCell ref="B400:U400"/>
    <mergeCell ref="B401:C401"/>
    <mergeCell ref="D401:E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T402:U402"/>
    <mergeCell ref="B406:E406"/>
    <mergeCell ref="F406:I406"/>
    <mergeCell ref="R406:V406"/>
    <mergeCell ref="B407:I407"/>
    <mergeCell ref="J407:Q407"/>
    <mergeCell ref="R407:V407"/>
    <mergeCell ref="E414:H414"/>
    <mergeCell ref="B417:U417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18:U418"/>
    <mergeCell ref="B419:C419"/>
    <mergeCell ref="D419:E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B423:E423"/>
    <mergeCell ref="F423:I423"/>
    <mergeCell ref="R423:V423"/>
    <mergeCell ref="B424:Q424"/>
    <mergeCell ref="R424:V424"/>
    <mergeCell ref="N429:O429"/>
    <mergeCell ref="E431:H431"/>
    <mergeCell ref="N431:O431"/>
    <mergeCell ref="B434:U434"/>
    <mergeCell ref="T435:U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B435:C435"/>
    <mergeCell ref="D435:E435"/>
    <mergeCell ref="F435:G435"/>
    <mergeCell ref="H435:I435"/>
    <mergeCell ref="J435:K435"/>
    <mergeCell ref="L435:M435"/>
    <mergeCell ref="N435:O435"/>
    <mergeCell ref="P435:Q435"/>
    <mergeCell ref="R435:S435"/>
    <mergeCell ref="B440:E440"/>
    <mergeCell ref="F440:I440"/>
    <mergeCell ref="R440:V440"/>
    <mergeCell ref="B441:I441"/>
    <mergeCell ref="J441:Q441"/>
    <mergeCell ref="R441:V441"/>
    <mergeCell ref="E448:H448"/>
    <mergeCell ref="B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T453:U453"/>
    <mergeCell ref="B457:E457"/>
    <mergeCell ref="F457:I457"/>
    <mergeCell ref="R457:V457"/>
    <mergeCell ref="B458:Q458"/>
    <mergeCell ref="R458:V458"/>
    <mergeCell ref="N463:O463"/>
    <mergeCell ref="E465:H465"/>
    <mergeCell ref="N465:O465"/>
    <mergeCell ref="B453:C453"/>
    <mergeCell ref="D453:E453"/>
    <mergeCell ref="F453:G453"/>
    <mergeCell ref="H453:I453"/>
    <mergeCell ref="J453:K453"/>
    <mergeCell ref="L453:M453"/>
    <mergeCell ref="N453:O453"/>
    <mergeCell ref="P453:Q453"/>
    <mergeCell ref="R453:S453"/>
    <mergeCell ref="B468:U468"/>
    <mergeCell ref="B469:C469"/>
    <mergeCell ref="D469:E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T470:U470"/>
    <mergeCell ref="B474:E474"/>
    <mergeCell ref="F474:I474"/>
    <mergeCell ref="R474:V474"/>
    <mergeCell ref="B475:I475"/>
    <mergeCell ref="J475:Q475"/>
    <mergeCell ref="R475:V475"/>
    <mergeCell ref="E482:H482"/>
    <mergeCell ref="B485:U485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R470:S470"/>
    <mergeCell ref="T486:U486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R486:S486"/>
    <mergeCell ref="B491:E491"/>
    <mergeCell ref="F491:I491"/>
    <mergeCell ref="R491:V491"/>
    <mergeCell ref="B492:Q492"/>
    <mergeCell ref="R492:V492"/>
    <mergeCell ref="N498:O498"/>
    <mergeCell ref="E500:H500"/>
    <mergeCell ref="N500:O500"/>
    <mergeCell ref="B503:U503"/>
    <mergeCell ref="R509:V509"/>
    <mergeCell ref="B504:C504"/>
    <mergeCell ref="D504:E504"/>
    <mergeCell ref="F504:G504"/>
    <mergeCell ref="H504:I504"/>
    <mergeCell ref="J504:K504"/>
    <mergeCell ref="L504:M504"/>
    <mergeCell ref="N504:O504"/>
    <mergeCell ref="P504:Q504"/>
    <mergeCell ref="R504:S504"/>
    <mergeCell ref="T504:U50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2026-06-24T06:47:30Z</dcterms:modified>
</cp:coreProperties>
</file>