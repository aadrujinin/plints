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2\Desktop\Расшивки\"/>
    </mc:Choice>
  </mc:AlternateContent>
  <xr:revisionPtr revIDLastSave="0" documentId="13_ncr:1_{A495026A-1127-421E-8603-FA2301A98A4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V777 - ХК3.1 (SV005)" sheetId="1" r:id="rId1"/>
    <sheet name="шпоргалка" sheetId="4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4" l="1"/>
  <c r="F27" i="4"/>
  <c r="G32" i="4"/>
  <c r="E32" i="4"/>
  <c r="D32" i="4"/>
  <c r="G31" i="4"/>
  <c r="G29" i="4"/>
  <c r="E27" i="4"/>
  <c r="D27" i="4"/>
  <c r="G27" i="4" s="1"/>
  <c r="G24" i="4"/>
  <c r="D4" i="4"/>
  <c r="E4" i="4"/>
  <c r="F4" i="4"/>
  <c r="G4" i="4"/>
  <c r="D5" i="4"/>
  <c r="E5" i="4"/>
  <c r="F5" i="4"/>
  <c r="D6" i="4"/>
  <c r="G6" i="4" s="1"/>
  <c r="E6" i="4"/>
  <c r="F6" i="4"/>
  <c r="D7" i="4"/>
  <c r="E7" i="4"/>
  <c r="G7" i="4"/>
  <c r="B9" i="4"/>
  <c r="D9" i="4"/>
  <c r="E9" i="4"/>
  <c r="F9" i="4"/>
  <c r="G9" i="4"/>
  <c r="D10" i="4"/>
  <c r="E10" i="4"/>
  <c r="F10" i="4"/>
  <c r="D11" i="4"/>
  <c r="G11" i="4" s="1"/>
  <c r="E11" i="4"/>
  <c r="F11" i="4"/>
  <c r="D12" i="4"/>
  <c r="E12" i="4"/>
  <c r="G12" i="4"/>
  <c r="B14" i="4"/>
  <c r="B19" i="4" s="1"/>
  <c r="D14" i="4"/>
  <c r="E14" i="4"/>
  <c r="F14" i="4"/>
  <c r="G14" i="4"/>
  <c r="D15" i="4"/>
  <c r="E15" i="4"/>
  <c r="F15" i="4"/>
  <c r="D16" i="4"/>
  <c r="G16" i="4" s="1"/>
  <c r="E16" i="4"/>
  <c r="F16" i="4"/>
  <c r="D17" i="4"/>
  <c r="E17" i="4"/>
  <c r="G17" i="4"/>
  <c r="D19" i="4"/>
  <c r="E19" i="4"/>
  <c r="F19" i="4"/>
  <c r="G19" i="4"/>
  <c r="D20" i="4"/>
  <c r="E20" i="4"/>
  <c r="F20" i="4"/>
  <c r="D21" i="4"/>
  <c r="G21" i="4" s="1"/>
  <c r="E21" i="4"/>
  <c r="F21" i="4"/>
  <c r="D22" i="4"/>
  <c r="E22" i="4"/>
  <c r="G22" i="4"/>
  <c r="G26" i="4" l="1"/>
  <c r="F22" i="4"/>
  <c r="F17" i="4"/>
  <c r="F12" i="4"/>
  <c r="F7" i="4"/>
  <c r="J275" i="1" l="1"/>
  <c r="B275" i="1"/>
  <c r="B276" i="1" s="1"/>
  <c r="J256" i="1"/>
  <c r="B256" i="1"/>
  <c r="N246" i="1"/>
  <c r="N265" i="1" s="1"/>
  <c r="N244" i="1"/>
  <c r="N263" i="1" s="1"/>
  <c r="J235" i="1"/>
  <c r="B235" i="1"/>
  <c r="B236" i="1" s="1"/>
  <c r="N223" i="1"/>
  <c r="J216" i="1"/>
  <c r="B216" i="1"/>
  <c r="N206" i="1"/>
  <c r="N225" i="1" s="1"/>
  <c r="N204" i="1"/>
  <c r="J195" i="1"/>
  <c r="B195" i="1"/>
  <c r="B196" i="1" s="1"/>
  <c r="J176" i="1"/>
  <c r="B176" i="1"/>
  <c r="J75" i="1" l="1"/>
  <c r="N5" i="1" l="1"/>
  <c r="J96" i="1" l="1"/>
  <c r="J56" i="1"/>
  <c r="J16" i="1"/>
  <c r="J136" i="1"/>
  <c r="J155" i="1" l="1"/>
  <c r="B155" i="1"/>
  <c r="B156" i="1" s="1"/>
  <c r="B136" i="1"/>
  <c r="J115" i="1"/>
  <c r="B115" i="1"/>
  <c r="B116" i="1" s="1"/>
  <c r="B96" i="1"/>
  <c r="B75" i="1"/>
  <c r="B76" i="1" s="1"/>
  <c r="B56" i="1"/>
  <c r="B16" i="1" l="1"/>
  <c r="B35" i="1"/>
  <c r="B36" i="1" s="1"/>
  <c r="J35" i="1" l="1"/>
  <c r="N25" i="1"/>
  <c r="N46" i="1" s="1"/>
  <c r="N65" i="1" s="1"/>
  <c r="N86" i="1" s="1"/>
  <c r="N105" i="1" s="1"/>
  <c r="N126" i="1" s="1"/>
  <c r="N145" i="1" s="1"/>
  <c r="N166" i="1" s="1"/>
  <c r="N185" i="1" s="1"/>
  <c r="N23" i="1"/>
  <c r="N44" i="1" s="1"/>
  <c r="N63" i="1" s="1"/>
  <c r="N84" i="1" s="1"/>
  <c r="N103" i="1" s="1"/>
  <c r="N124" i="1" s="1"/>
  <c r="N143" i="1" s="1"/>
  <c r="N164" i="1" s="1"/>
  <c r="N183" i="1" s="1"/>
  <c r="N22" i="1"/>
  <c r="N21" i="1"/>
  <c r="N42" i="1" s="1"/>
  <c r="N24" i="1"/>
  <c r="N3" i="1"/>
  <c r="N45" i="1" l="1"/>
  <c r="N64" i="1" s="1"/>
  <c r="N61" i="1"/>
  <c r="N82" i="1" s="1"/>
  <c r="N43" i="1"/>
  <c r="N62" i="1"/>
  <c r="N85" i="1" l="1"/>
  <c r="N104" i="1" s="1"/>
  <c r="N102" i="1"/>
  <c r="N83" i="1"/>
  <c r="N101" i="1"/>
  <c r="N122" i="1" s="1"/>
  <c r="N125" i="1" l="1"/>
  <c r="N144" i="1" s="1"/>
  <c r="N123" i="1"/>
  <c r="N142" i="1"/>
  <c r="N141" i="1"/>
  <c r="N162" i="1" s="1"/>
  <c r="N165" i="1" l="1"/>
  <c r="N184" i="1" s="1"/>
  <c r="N181" i="1"/>
  <c r="N202" i="1" s="1"/>
  <c r="N182" i="1"/>
  <c r="N163" i="1"/>
  <c r="N205" i="1" l="1"/>
  <c r="N224" i="1" s="1"/>
  <c r="N222" i="1"/>
  <c r="N221" i="1"/>
  <c r="N242" i="1" s="1"/>
  <c r="N203" i="1"/>
  <c r="N243" i="1" l="1"/>
  <c r="N261" i="1"/>
  <c r="N245" i="1"/>
  <c r="N264" i="1" s="1"/>
  <c r="N262" i="1"/>
</calcChain>
</file>

<file path=xl/sharedStrings.xml><?xml version="1.0" encoding="utf-8"?>
<sst xmlns="http://schemas.openxmlformats.org/spreadsheetml/2006/main" count="337" uniqueCount="68">
  <si>
    <t>Стойка</t>
  </si>
  <si>
    <t>XK</t>
  </si>
  <si>
    <t>№</t>
  </si>
  <si>
    <t>Наименование плинтодержателя</t>
  </si>
  <si>
    <t>ХВ1</t>
  </si>
  <si>
    <t>Номер плинта</t>
  </si>
  <si>
    <t>сирена</t>
  </si>
  <si>
    <t>к ХВ20</t>
  </si>
  <si>
    <t>геркон</t>
  </si>
  <si>
    <t>кн. Вых</t>
  </si>
  <si>
    <t>оборудование\                                  кабель</t>
  </si>
  <si>
    <t>*(помещение№)</t>
  </si>
  <si>
    <t>R1</t>
  </si>
  <si>
    <t>D1</t>
  </si>
  <si>
    <t>R2</t>
  </si>
  <si>
    <t>D2</t>
  </si>
  <si>
    <t>R3</t>
  </si>
  <si>
    <t>D3</t>
  </si>
  <si>
    <t>R4</t>
  </si>
  <si>
    <t>D4</t>
  </si>
  <si>
    <t>R5</t>
  </si>
  <si>
    <t>D5</t>
  </si>
  <si>
    <t>R6</t>
  </si>
  <si>
    <t>D6</t>
  </si>
  <si>
    <t>R7</t>
  </si>
  <si>
    <t>D7</t>
  </si>
  <si>
    <t>R8</t>
  </si>
  <si>
    <t>D8</t>
  </si>
  <si>
    <t>СКУД</t>
  </si>
  <si>
    <t>Контроллер SV 777</t>
  </si>
  <si>
    <t>Плата SV 005</t>
  </si>
  <si>
    <t>к SV 005 разъемы R1 и D1</t>
  </si>
  <si>
    <t>к SV 005 разъемы R2 и D2</t>
  </si>
  <si>
    <t>SV 777 - ХК3.1</t>
  </si>
  <si>
    <t>3.1</t>
  </si>
  <si>
    <t>пом. 305</t>
  </si>
  <si>
    <t>Резерв</t>
  </si>
  <si>
    <t>3.2</t>
  </si>
  <si>
    <t>пом. 368</t>
  </si>
  <si>
    <t>3.3</t>
  </si>
  <si>
    <t>пом. 350</t>
  </si>
  <si>
    <t>3.4</t>
  </si>
  <si>
    <t>пом. 314</t>
  </si>
  <si>
    <t>3.5</t>
  </si>
  <si>
    <t>пом. 367</t>
  </si>
  <si>
    <t>3.6</t>
  </si>
  <si>
    <t>пом. 353</t>
  </si>
  <si>
    <t>пом.</t>
  </si>
  <si>
    <t>R9</t>
  </si>
  <si>
    <t>D9</t>
  </si>
  <si>
    <t>R10</t>
  </si>
  <si>
    <t>D10</t>
  </si>
  <si>
    <t>R11</t>
  </si>
  <si>
    <t>D12</t>
  </si>
  <si>
    <t>R12</t>
  </si>
  <si>
    <t>D11</t>
  </si>
  <si>
    <t>Ситывытель вх</t>
  </si>
  <si>
    <t>замок</t>
  </si>
  <si>
    <t>Ситывытель вых</t>
  </si>
  <si>
    <t>Считывытель вх</t>
  </si>
  <si>
    <t>ШЛ. 73</t>
  </si>
  <si>
    <t>СКД. 3.2</t>
  </si>
  <si>
    <t>Замок</t>
  </si>
  <si>
    <t>ШЛ. 76</t>
  </si>
  <si>
    <t>кн. Выхода</t>
  </si>
  <si>
    <t>СКД. 3.6</t>
  </si>
  <si>
    <t>ШЛ.157</t>
  </si>
  <si>
    <t>ШЛ.160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</si>
</sst>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7" xfId="0" applyBorder="1"/>
    <xf numFmtId="0" fontId="0" fillId="0" borderId="9" xfId="0" applyBorder="1"/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28" xfId="0" applyFill="1" applyBorder="1" applyAlignment="1">
      <alignment horizontal="right" vertical="center"/>
    </xf>
    <xf numFmtId="0" fontId="0" fillId="3" borderId="2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2" fillId="0" borderId="0" xfId="0" applyFont="1" applyAlignment="1">
      <alignment horizontal="righ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2" borderId="0" xfId="0" applyFill="1"/>
    <xf numFmtId="0" fontId="0" fillId="0" borderId="27" xfId="0" applyBorder="1" applyAlignment="1">
      <alignment horizontal="right" vertical="center" textRotation="90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49" fontId="2" fillId="0" borderId="0" xfId="0" applyNumberFormat="1" applyFont="1" applyAlignment="1">
      <alignment horizontal="left"/>
    </xf>
    <xf numFmtId="16" fontId="0" fillId="0" borderId="0" xfId="0" applyNumberFormat="1"/>
    <xf numFmtId="0" fontId="0" fillId="4" borderId="0" xfId="0" applyFill="1" applyAlignment="1">
      <alignment horizontal="right" vertical="top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/>
    <xf numFmtId="0" fontId="3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left"/>
    </xf>
    <xf numFmtId="49" fontId="0" fillId="0" borderId="19" xfId="0" applyNumberForma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3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right" vertical="top"/>
    </xf>
  </cellXfs>
  <cellStyles count="1">
    <cellStyle name="Обычный" xfId="0" builtinId="0"/>
  </cellStyles>
  <dxfs count="2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0"/>
  <sheetViews>
    <sheetView tabSelected="1" showWhiteSpace="0" view="pageLayout" topLeftCell="A206" zoomScale="96" zoomScaleNormal="55" zoomScalePageLayoutView="96" workbookViewId="0">
      <selection activeCell="Y19" sqref="Y17:Y19"/>
    </sheetView>
  </sheetViews>
  <sheetFormatPr defaultColWidth="9.140625" defaultRowHeight="15" x14ac:dyDescent="0.25"/>
  <cols>
    <col min="1" max="13" width="3.85546875" customWidth="1"/>
    <col min="14" max="14" width="4.7109375" customWidth="1"/>
    <col min="15" max="22" width="3.85546875" customWidth="1"/>
  </cols>
  <sheetData>
    <row r="1" spans="1:22" x14ac:dyDescent="0.25">
      <c r="A1" s="23"/>
      <c r="B1" s="23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18.75" x14ac:dyDescent="0.3">
      <c r="E2" s="25" t="s">
        <v>0</v>
      </c>
      <c r="G2" s="26"/>
      <c r="H2" s="26"/>
      <c r="I2" s="26"/>
      <c r="J2" s="26"/>
      <c r="K2" s="26"/>
      <c r="L2" s="26"/>
      <c r="M2" s="27" t="s">
        <v>1</v>
      </c>
      <c r="N2" s="36" t="s">
        <v>34</v>
      </c>
    </row>
    <row r="3" spans="1:22" ht="18.75" x14ac:dyDescent="0.3">
      <c r="E3" s="25" t="s">
        <v>29</v>
      </c>
      <c r="J3" s="28"/>
      <c r="K3" s="28"/>
      <c r="L3" s="28"/>
      <c r="M3" s="27" t="s">
        <v>2</v>
      </c>
      <c r="N3" s="29" t="str">
        <f>N2&amp;".1"</f>
        <v>3.1.1</v>
      </c>
    </row>
    <row r="4" spans="1:22" ht="18.75" x14ac:dyDescent="0.3">
      <c r="E4" t="s">
        <v>30</v>
      </c>
      <c r="H4" s="26"/>
      <c r="I4" s="26"/>
      <c r="J4" s="26"/>
      <c r="K4" s="26"/>
      <c r="L4" s="26"/>
      <c r="M4" s="30" t="s">
        <v>2</v>
      </c>
      <c r="N4" s="31">
        <v>1</v>
      </c>
    </row>
    <row r="5" spans="1:22" ht="18.75" x14ac:dyDescent="0.3">
      <c r="E5" t="s">
        <v>3</v>
      </c>
      <c r="L5" s="28"/>
      <c r="M5" s="30" t="s">
        <v>4</v>
      </c>
      <c r="N5" s="43" t="str">
        <f>"-"&amp;N2&amp;".1"</f>
        <v>-3.1.1</v>
      </c>
      <c r="O5" s="43"/>
    </row>
    <row r="6" spans="1:22" ht="18.75" x14ac:dyDescent="0.3">
      <c r="E6" s="32" t="s">
        <v>5</v>
      </c>
      <c r="I6" s="26"/>
      <c r="J6" s="26"/>
      <c r="K6" s="26"/>
      <c r="L6" s="26"/>
      <c r="M6" s="30" t="s">
        <v>2</v>
      </c>
      <c r="N6" s="31">
        <v>1</v>
      </c>
    </row>
    <row r="7" spans="1:22" ht="15.75" thickBot="1" x14ac:dyDescent="0.3">
      <c r="E7" s="48" t="s">
        <v>28</v>
      </c>
      <c r="F7" s="48"/>
      <c r="G7" s="48"/>
      <c r="H7" s="48"/>
      <c r="I7" s="39"/>
      <c r="J7" s="39"/>
      <c r="K7" s="39"/>
      <c r="L7" s="39"/>
      <c r="M7" s="39" t="s">
        <v>2</v>
      </c>
      <c r="N7" s="49" t="s">
        <v>34</v>
      </c>
      <c r="O7" s="49"/>
    </row>
    <row r="8" spans="1:22" ht="9.75" customHeight="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</row>
    <row r="9" spans="1:22" ht="9.75" customHeight="1" x14ac:dyDescent="0.25">
      <c r="A9" s="1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14"/>
    </row>
    <row r="10" spans="1:22" x14ac:dyDescent="0.25">
      <c r="A10" s="6"/>
      <c r="B10" s="44" t="s">
        <v>31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6"/>
      <c r="V10" s="7"/>
    </row>
    <row r="11" spans="1:22" ht="9" customHeight="1" thickBot="1" x14ac:dyDescent="0.3">
      <c r="A11" s="8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7"/>
    </row>
    <row r="12" spans="1:22" x14ac:dyDescent="0.25">
      <c r="A12" s="8"/>
      <c r="B12" s="63">
        <v>0</v>
      </c>
      <c r="C12" s="64"/>
      <c r="D12" s="64">
        <v>1</v>
      </c>
      <c r="E12" s="64">
        <v>1</v>
      </c>
      <c r="F12" s="64">
        <v>2</v>
      </c>
      <c r="G12" s="64">
        <v>2</v>
      </c>
      <c r="H12" s="64">
        <v>3</v>
      </c>
      <c r="I12" s="65">
        <v>3</v>
      </c>
      <c r="J12" s="63">
        <v>4</v>
      </c>
      <c r="K12" s="64">
        <v>4</v>
      </c>
      <c r="L12" s="64">
        <v>5</v>
      </c>
      <c r="M12" s="64"/>
      <c r="N12" s="64">
        <v>6</v>
      </c>
      <c r="O12" s="64">
        <v>1</v>
      </c>
      <c r="P12" s="64">
        <v>7</v>
      </c>
      <c r="Q12" s="65">
        <v>2</v>
      </c>
      <c r="R12" s="46">
        <v>8</v>
      </c>
      <c r="S12" s="50">
        <v>3</v>
      </c>
      <c r="T12" s="50">
        <v>9</v>
      </c>
      <c r="U12" s="50">
        <v>4</v>
      </c>
      <c r="V12" s="9"/>
    </row>
    <row r="13" spans="1:22" ht="9.75" customHeight="1" thickBot="1" x14ac:dyDescent="0.3">
      <c r="A13" s="8"/>
      <c r="B13" s="17"/>
      <c r="C13" s="18"/>
      <c r="D13" s="18"/>
      <c r="E13" s="18"/>
      <c r="F13" s="18"/>
      <c r="G13" s="18"/>
      <c r="H13" s="18"/>
      <c r="I13" s="19"/>
      <c r="J13" s="17"/>
      <c r="K13" s="18"/>
      <c r="L13" s="18"/>
      <c r="M13" s="18"/>
      <c r="N13" s="18"/>
      <c r="O13" s="18"/>
      <c r="P13" s="18"/>
      <c r="Q13" s="19"/>
      <c r="R13" s="40"/>
      <c r="S13" s="41"/>
      <c r="T13" s="41"/>
      <c r="U13" s="41"/>
      <c r="V13" s="9"/>
    </row>
    <row r="14" spans="1:22" ht="7.5" customHeight="1" thickBot="1" x14ac:dyDescent="0.3">
      <c r="A14" s="10"/>
      <c r="B14" s="11"/>
      <c r="C14" s="11"/>
      <c r="D14" s="11"/>
      <c r="E14" s="11"/>
      <c r="F14" s="22"/>
      <c r="G14" s="11"/>
      <c r="H14" s="11"/>
      <c r="I14" s="11"/>
      <c r="J14" s="11"/>
      <c r="K14" s="22"/>
      <c r="L14" s="11"/>
      <c r="M14" s="22"/>
      <c r="N14" s="11"/>
      <c r="O14" s="22"/>
      <c r="P14" s="11"/>
      <c r="Q14" s="22"/>
      <c r="R14" s="15"/>
      <c r="S14" s="15"/>
      <c r="T14" s="15"/>
      <c r="U14" s="15"/>
      <c r="V14" s="12"/>
    </row>
    <row r="15" spans="1:22" ht="7.5" customHeight="1" thickBot="1" x14ac:dyDescent="0.3">
      <c r="A15" s="1"/>
      <c r="B15" s="1"/>
      <c r="C15" s="1"/>
      <c r="D15" s="1"/>
      <c r="E15" s="1"/>
      <c r="F15" s="16"/>
      <c r="G15" s="1"/>
      <c r="H15" s="1"/>
      <c r="I15" s="1"/>
      <c r="J15" s="1"/>
      <c r="K15" s="16"/>
      <c r="L15" s="1"/>
      <c r="M15" s="16"/>
      <c r="N15" s="1"/>
      <c r="O15" s="16"/>
      <c r="P15" s="1"/>
      <c r="Q15" s="16"/>
      <c r="R15" s="1"/>
      <c r="S15" s="1"/>
      <c r="T15" s="1"/>
      <c r="U15" s="1"/>
      <c r="V15" s="2"/>
    </row>
    <row r="16" spans="1:22" ht="71.099999999999994" customHeight="1" thickBot="1" x14ac:dyDescent="0.3">
      <c r="A16" s="1"/>
      <c r="B16" s="51" t="str">
        <f>IF(Q16&gt;1,"Считыватель вх",IF(F16&lt;1,"","Считыватель вх"))</f>
        <v>Считыватель вх</v>
      </c>
      <c r="C16" s="52"/>
      <c r="D16" s="53"/>
      <c r="E16" s="53"/>
      <c r="F16" s="54">
        <v>1</v>
      </c>
      <c r="G16" s="54"/>
      <c r="H16" s="55"/>
      <c r="I16" s="56"/>
      <c r="J16" s="33" t="str">
        <f>IF(Q16&gt;1,"замок",IF(K16&lt;1,"",IF(F16&lt;1,"замок пож.дв.","замок")))</f>
        <v>замок</v>
      </c>
      <c r="K16" s="20">
        <v>10</v>
      </c>
      <c r="L16" s="34" t="s">
        <v>6</v>
      </c>
      <c r="M16" s="34" t="s">
        <v>7</v>
      </c>
      <c r="N16" s="35" t="s">
        <v>8</v>
      </c>
      <c r="O16" s="20">
        <v>7</v>
      </c>
      <c r="P16" s="35" t="s">
        <v>9</v>
      </c>
      <c r="Q16" s="21"/>
      <c r="R16" s="57" t="s">
        <v>10</v>
      </c>
      <c r="S16" s="58"/>
      <c r="T16" s="58"/>
      <c r="U16" s="58"/>
      <c r="V16" s="58"/>
    </row>
    <row r="17" spans="1:22" ht="15" customHeight="1" x14ac:dyDescent="0.25">
      <c r="A17" s="1"/>
      <c r="B17" s="59" t="s">
        <v>35</v>
      </c>
      <c r="C17" s="60"/>
      <c r="D17" s="60"/>
      <c r="E17" s="60"/>
      <c r="F17" s="60"/>
      <c r="G17" s="60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2" t="s">
        <v>11</v>
      </c>
      <c r="S17" s="62"/>
      <c r="T17" s="62"/>
      <c r="U17" s="62"/>
      <c r="V17" s="62"/>
    </row>
    <row r="18" spans="1:22" ht="8.25" customHeight="1" x14ac:dyDescent="0.25"/>
    <row r="19" spans="1:22" ht="10.5" customHeight="1" x14ac:dyDescent="0.25">
      <c r="A19" s="23"/>
      <c r="B19" s="23"/>
      <c r="C19" s="23"/>
      <c r="D19" s="23"/>
      <c r="E19" s="24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9" customHeight="1" x14ac:dyDescent="0.25"/>
    <row r="21" spans="1:22" ht="18.75" x14ac:dyDescent="0.3">
      <c r="E21" s="25" t="s">
        <v>0</v>
      </c>
      <c r="G21" s="26"/>
      <c r="H21" s="26"/>
      <c r="I21" s="26"/>
      <c r="J21" s="26"/>
      <c r="K21" s="26"/>
      <c r="L21" s="26"/>
      <c r="M21" s="27" t="s">
        <v>1</v>
      </c>
      <c r="N21" s="36" t="str">
        <f>N2</f>
        <v>3.1</v>
      </c>
    </row>
    <row r="22" spans="1:22" ht="18.75" x14ac:dyDescent="0.3">
      <c r="E22" s="25" t="s">
        <v>29</v>
      </c>
      <c r="J22" s="28"/>
      <c r="K22" s="28"/>
      <c r="L22" s="28"/>
      <c r="M22" s="27" t="s">
        <v>2</v>
      </c>
      <c r="N22" s="29" t="str">
        <f>N2&amp;".1"</f>
        <v>3.1.1</v>
      </c>
    </row>
    <row r="23" spans="1:22" ht="18.75" x14ac:dyDescent="0.3">
      <c r="E23" t="s">
        <v>30</v>
      </c>
      <c r="H23" s="26"/>
      <c r="I23" s="26"/>
      <c r="J23" s="26"/>
      <c r="K23" s="26"/>
      <c r="L23" s="26"/>
      <c r="M23" s="30" t="s">
        <v>2</v>
      </c>
      <c r="N23" s="31">
        <f>N4</f>
        <v>1</v>
      </c>
    </row>
    <row r="24" spans="1:22" ht="18.75" x14ac:dyDescent="0.3">
      <c r="E24" t="s">
        <v>3</v>
      </c>
      <c r="L24" s="28"/>
      <c r="M24" s="30" t="s">
        <v>4</v>
      </c>
      <c r="N24" s="43" t="str">
        <f>N5</f>
        <v>-3.1.1</v>
      </c>
      <c r="O24" s="43"/>
    </row>
    <row r="25" spans="1:22" ht="18.75" x14ac:dyDescent="0.3">
      <c r="E25" s="32" t="s">
        <v>5</v>
      </c>
      <c r="I25" s="26"/>
      <c r="J25" s="26"/>
      <c r="K25" s="26"/>
      <c r="L25" s="26"/>
      <c r="M25" s="30" t="s">
        <v>2</v>
      </c>
      <c r="N25" s="31">
        <f>N6+1</f>
        <v>2</v>
      </c>
    </row>
    <row r="26" spans="1:22" ht="15.75" thickBot="1" x14ac:dyDescent="0.3">
      <c r="E26" s="48" t="s">
        <v>28</v>
      </c>
      <c r="F26" s="48"/>
      <c r="G26" s="48"/>
      <c r="H26" s="48"/>
      <c r="I26" s="39"/>
      <c r="J26" s="39"/>
      <c r="K26" s="39"/>
      <c r="L26" s="39"/>
      <c r="M26" s="39" t="s">
        <v>2</v>
      </c>
      <c r="N26" s="49" t="s">
        <v>34</v>
      </c>
      <c r="O26" s="49"/>
    </row>
    <row r="27" spans="1:22" ht="9" customHeight="1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</row>
    <row r="28" spans="1:22" ht="8.25" customHeight="1" x14ac:dyDescent="0.25">
      <c r="A28" s="13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14"/>
    </row>
    <row r="29" spans="1:22" x14ac:dyDescent="0.25">
      <c r="A29" s="6"/>
      <c r="B29" s="44" t="s">
        <v>32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6"/>
      <c r="V29" s="7"/>
    </row>
    <row r="30" spans="1:22" ht="7.5" customHeight="1" thickBot="1" x14ac:dyDescent="0.3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7"/>
    </row>
    <row r="31" spans="1:22" x14ac:dyDescent="0.25">
      <c r="A31" s="8"/>
      <c r="B31" s="63">
        <v>0</v>
      </c>
      <c r="C31" s="64"/>
      <c r="D31" s="64">
        <v>1</v>
      </c>
      <c r="E31" s="64">
        <v>1</v>
      </c>
      <c r="F31" s="64">
        <v>2</v>
      </c>
      <c r="G31" s="64">
        <v>2</v>
      </c>
      <c r="H31" s="64">
        <v>3</v>
      </c>
      <c r="I31" s="65">
        <v>3</v>
      </c>
      <c r="J31" s="63">
        <v>4</v>
      </c>
      <c r="K31" s="64">
        <v>4</v>
      </c>
      <c r="L31" s="64">
        <v>5</v>
      </c>
      <c r="M31" s="64"/>
      <c r="N31" s="64">
        <v>6</v>
      </c>
      <c r="O31" s="64">
        <v>1</v>
      </c>
      <c r="P31" s="64">
        <v>7</v>
      </c>
      <c r="Q31" s="65">
        <v>2</v>
      </c>
      <c r="R31" s="46">
        <v>8</v>
      </c>
      <c r="S31" s="50">
        <v>3</v>
      </c>
      <c r="T31" s="50">
        <v>9</v>
      </c>
      <c r="U31" s="50">
        <v>4</v>
      </c>
      <c r="V31" s="9"/>
    </row>
    <row r="32" spans="1:22" ht="7.5" customHeight="1" thickBot="1" x14ac:dyDescent="0.3">
      <c r="A32" s="8"/>
      <c r="B32" s="17"/>
      <c r="C32" s="18"/>
      <c r="D32" s="18"/>
      <c r="E32" s="18"/>
      <c r="F32" s="18"/>
      <c r="G32" s="18"/>
      <c r="H32" s="18"/>
      <c r="I32" s="19"/>
      <c r="J32" s="17"/>
      <c r="K32" s="18"/>
      <c r="L32" s="18"/>
      <c r="M32" s="18"/>
      <c r="N32" s="18"/>
      <c r="O32" s="18"/>
      <c r="P32" s="18"/>
      <c r="Q32" s="19"/>
      <c r="R32" s="40"/>
      <c r="S32" s="41"/>
      <c r="T32" s="41"/>
      <c r="U32" s="41"/>
      <c r="V32" s="9"/>
    </row>
    <row r="33" spans="1:22" ht="9.75" customHeight="1" thickBot="1" x14ac:dyDescent="0.3">
      <c r="A33" s="10"/>
      <c r="B33" s="11"/>
      <c r="C33" s="11"/>
      <c r="D33" s="11"/>
      <c r="E33" s="11"/>
      <c r="F33" s="22"/>
      <c r="G33" s="11"/>
      <c r="H33" s="11"/>
      <c r="I33" s="11"/>
      <c r="J33" s="11"/>
      <c r="K33" s="22"/>
      <c r="L33" s="11"/>
      <c r="M33" s="22"/>
      <c r="N33" s="11"/>
      <c r="O33" s="22"/>
      <c r="P33" s="11"/>
      <c r="Q33" s="22"/>
      <c r="R33" s="15"/>
      <c r="S33" s="15"/>
      <c r="T33" s="15"/>
      <c r="U33" s="15"/>
      <c r="V33" s="12"/>
    </row>
    <row r="34" spans="1:22" ht="9.75" customHeight="1" thickBot="1" x14ac:dyDescent="0.3">
      <c r="A34" s="1"/>
      <c r="B34" s="1"/>
      <c r="C34" s="1"/>
      <c r="D34" s="1"/>
      <c r="E34" s="1"/>
      <c r="F34" s="16"/>
      <c r="G34" s="1"/>
      <c r="H34" s="1"/>
      <c r="I34" s="1"/>
      <c r="J34" s="1"/>
      <c r="K34" s="16"/>
      <c r="L34" s="1"/>
      <c r="M34" s="16"/>
      <c r="N34" s="1"/>
      <c r="O34" s="16"/>
      <c r="P34" s="1"/>
      <c r="Q34" s="16"/>
      <c r="R34" s="1"/>
      <c r="S34" s="1"/>
      <c r="T34" s="1"/>
      <c r="U34" s="1"/>
      <c r="V34" s="2"/>
    </row>
    <row r="35" spans="1:22" ht="71.099999999999994" customHeight="1" thickBot="1" x14ac:dyDescent="0.3">
      <c r="A35" s="1"/>
      <c r="B35" s="51" t="str">
        <f>IF(Q35&gt;1,"Считыватель вх",IF(F35&lt;1,"","Считыватель вых"))</f>
        <v>Считыватель вых</v>
      </c>
      <c r="C35" s="52"/>
      <c r="D35" s="53"/>
      <c r="E35" s="53"/>
      <c r="F35" s="54">
        <v>4</v>
      </c>
      <c r="G35" s="54"/>
      <c r="H35" s="55"/>
      <c r="I35" s="56"/>
      <c r="J35" s="33" t="str">
        <f>IF(Q35&gt;1,"замок",IF(K35&gt;1,"замок пож.дв.","замок"))</f>
        <v>замок</v>
      </c>
      <c r="K35" s="20"/>
      <c r="L35" s="34" t="s">
        <v>6</v>
      </c>
      <c r="M35" s="34" t="s">
        <v>7</v>
      </c>
      <c r="N35" s="35" t="s">
        <v>8</v>
      </c>
      <c r="O35" s="20"/>
      <c r="P35" s="35" t="s">
        <v>9</v>
      </c>
      <c r="Q35" s="21"/>
      <c r="R35" s="57" t="s">
        <v>10</v>
      </c>
      <c r="S35" s="58"/>
      <c r="T35" s="58"/>
      <c r="U35" s="58"/>
      <c r="V35" s="58"/>
    </row>
    <row r="36" spans="1:22" ht="15" customHeight="1" x14ac:dyDescent="0.25">
      <c r="A36" s="1"/>
      <c r="B36" s="66" t="str">
        <f>IF(B35="Считыватель вых",B17,IF(B35="Считыватель вх",J36,""))</f>
        <v>пом. 305</v>
      </c>
      <c r="C36" s="61"/>
      <c r="D36" s="61"/>
      <c r="E36" s="61"/>
      <c r="F36" s="61"/>
      <c r="G36" s="61"/>
      <c r="H36" s="61"/>
      <c r="I36" s="61"/>
      <c r="J36" s="59" t="s">
        <v>36</v>
      </c>
      <c r="K36" s="61"/>
      <c r="L36" s="61"/>
      <c r="M36" s="61"/>
      <c r="N36" s="61"/>
      <c r="O36" s="61"/>
      <c r="P36" s="61"/>
      <c r="Q36" s="61"/>
      <c r="R36" s="62" t="s">
        <v>11</v>
      </c>
      <c r="S36" s="62"/>
      <c r="T36" s="62"/>
      <c r="U36" s="62"/>
      <c r="V36" s="62"/>
    </row>
    <row r="37" spans="1:22" ht="9.75" customHeight="1" x14ac:dyDescent="0.25"/>
    <row r="38" spans="1:22" ht="9.75" customHeight="1" x14ac:dyDescent="0.25"/>
    <row r="39" spans="1:22" ht="9.75" customHeight="1" x14ac:dyDescent="0.25"/>
    <row r="40" spans="1:22" x14ac:dyDescent="0.25">
      <c r="A40" s="23"/>
      <c r="B40" s="23"/>
      <c r="C40" s="23"/>
      <c r="D40" s="23"/>
      <c r="E40" s="24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 x14ac:dyDescent="0.25">
      <c r="A41" s="23"/>
      <c r="B41" s="23"/>
      <c r="C41" s="23"/>
      <c r="D41" s="23"/>
      <c r="E41" s="24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 ht="18.75" x14ac:dyDescent="0.3">
      <c r="E42" s="25" t="s">
        <v>0</v>
      </c>
      <c r="G42" s="26"/>
      <c r="H42" s="26"/>
      <c r="I42" s="26"/>
      <c r="J42" s="26"/>
      <c r="K42" s="26"/>
      <c r="L42" s="26"/>
      <c r="M42" s="27" t="s">
        <v>1</v>
      </c>
      <c r="N42" s="36" t="str">
        <f>N21</f>
        <v>3.1</v>
      </c>
    </row>
    <row r="43" spans="1:22" ht="18.75" x14ac:dyDescent="0.3">
      <c r="E43" s="25" t="s">
        <v>29</v>
      </c>
      <c r="J43" s="28"/>
      <c r="K43" s="28"/>
      <c r="L43" s="28"/>
      <c r="M43" s="27" t="s">
        <v>2</v>
      </c>
      <c r="N43" s="29" t="str">
        <f>N42&amp;".1"</f>
        <v>3.1.1</v>
      </c>
    </row>
    <row r="44" spans="1:22" ht="18.75" x14ac:dyDescent="0.3">
      <c r="E44" t="s">
        <v>30</v>
      </c>
      <c r="H44" s="26"/>
      <c r="I44" s="26"/>
      <c r="J44" s="26"/>
      <c r="K44" s="26"/>
      <c r="L44" s="26"/>
      <c r="M44" s="30" t="s">
        <v>2</v>
      </c>
      <c r="N44" s="31">
        <f>N23+1</f>
        <v>2</v>
      </c>
    </row>
    <row r="45" spans="1:22" ht="18.75" x14ac:dyDescent="0.3">
      <c r="E45" t="s">
        <v>3</v>
      </c>
      <c r="L45" s="28"/>
      <c r="M45" s="30" t="s">
        <v>4</v>
      </c>
      <c r="N45" s="43" t="str">
        <f>"-"&amp;N42&amp;".1"</f>
        <v>-3.1.1</v>
      </c>
      <c r="O45" s="43"/>
    </row>
    <row r="46" spans="1:22" ht="18.75" x14ac:dyDescent="0.3">
      <c r="E46" s="32" t="s">
        <v>5</v>
      </c>
      <c r="I46" s="26"/>
      <c r="J46" s="26"/>
      <c r="K46" s="26"/>
      <c r="L46" s="26"/>
      <c r="M46" s="30" t="s">
        <v>2</v>
      </c>
      <c r="N46" s="31">
        <f>N25+1</f>
        <v>3</v>
      </c>
    </row>
    <row r="47" spans="1:22" ht="15.75" thickBot="1" x14ac:dyDescent="0.3">
      <c r="E47" s="48" t="s">
        <v>28</v>
      </c>
      <c r="F47" s="48"/>
      <c r="G47" s="48"/>
      <c r="H47" s="48"/>
      <c r="I47" s="39"/>
      <c r="J47" s="39"/>
      <c r="K47" s="39"/>
      <c r="L47" s="39"/>
      <c r="M47" s="39" t="s">
        <v>2</v>
      </c>
      <c r="N47" s="49" t="s">
        <v>39</v>
      </c>
      <c r="O47" s="49"/>
    </row>
    <row r="48" spans="1:22" ht="9.75" customHeight="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</row>
    <row r="49" spans="1:22" ht="9.75" customHeight="1" x14ac:dyDescent="0.25">
      <c r="A49" s="13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14"/>
    </row>
    <row r="50" spans="1:22" x14ac:dyDescent="0.25">
      <c r="A50" s="6"/>
      <c r="B50" s="44" t="s">
        <v>31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6"/>
      <c r="V50" s="7"/>
    </row>
    <row r="51" spans="1:22" ht="9" customHeight="1" thickBot="1" x14ac:dyDescent="0.3">
      <c r="A51" s="8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7"/>
    </row>
    <row r="52" spans="1:22" x14ac:dyDescent="0.25">
      <c r="A52" s="8"/>
      <c r="B52" s="63">
        <v>0</v>
      </c>
      <c r="C52" s="64"/>
      <c r="D52" s="64">
        <v>1</v>
      </c>
      <c r="E52" s="64">
        <v>1</v>
      </c>
      <c r="F52" s="64">
        <v>2</v>
      </c>
      <c r="G52" s="64">
        <v>2</v>
      </c>
      <c r="H52" s="64">
        <v>3</v>
      </c>
      <c r="I52" s="65">
        <v>3</v>
      </c>
      <c r="J52" s="63">
        <v>4</v>
      </c>
      <c r="K52" s="64">
        <v>4</v>
      </c>
      <c r="L52" s="64">
        <v>5</v>
      </c>
      <c r="M52" s="64"/>
      <c r="N52" s="64">
        <v>6</v>
      </c>
      <c r="O52" s="64">
        <v>1</v>
      </c>
      <c r="P52" s="64">
        <v>7</v>
      </c>
      <c r="Q52" s="65">
        <v>2</v>
      </c>
      <c r="R52" s="46">
        <v>8</v>
      </c>
      <c r="S52" s="50">
        <v>3</v>
      </c>
      <c r="T52" s="50">
        <v>9</v>
      </c>
      <c r="U52" s="50">
        <v>4</v>
      </c>
      <c r="V52" s="9"/>
    </row>
    <row r="53" spans="1:22" ht="9.75" customHeight="1" thickBot="1" x14ac:dyDescent="0.3">
      <c r="A53" s="8"/>
      <c r="B53" s="17"/>
      <c r="C53" s="18"/>
      <c r="D53" s="18"/>
      <c r="E53" s="18"/>
      <c r="F53" s="18"/>
      <c r="G53" s="18"/>
      <c r="H53" s="18"/>
      <c r="I53" s="19"/>
      <c r="J53" s="17"/>
      <c r="K53" s="18"/>
      <c r="L53" s="18"/>
      <c r="M53" s="18"/>
      <c r="N53" s="18"/>
      <c r="O53" s="18"/>
      <c r="P53" s="18"/>
      <c r="Q53" s="19"/>
      <c r="R53" s="40"/>
      <c r="S53" s="41"/>
      <c r="T53" s="41"/>
      <c r="U53" s="41"/>
      <c r="V53" s="9"/>
    </row>
    <row r="54" spans="1:22" ht="7.5" customHeight="1" thickBot="1" x14ac:dyDescent="0.3">
      <c r="A54" s="10"/>
      <c r="B54" s="11"/>
      <c r="C54" s="11"/>
      <c r="D54" s="11"/>
      <c r="E54" s="11"/>
      <c r="F54" s="22"/>
      <c r="G54" s="11"/>
      <c r="H54" s="11"/>
      <c r="I54" s="11"/>
      <c r="J54" s="11"/>
      <c r="K54" s="22"/>
      <c r="L54" s="11"/>
      <c r="M54" s="22"/>
      <c r="N54" s="11"/>
      <c r="O54" s="22"/>
      <c r="P54" s="11"/>
      <c r="Q54" s="22"/>
      <c r="R54" s="15"/>
      <c r="S54" s="15"/>
      <c r="T54" s="15"/>
      <c r="U54" s="15"/>
      <c r="V54" s="12"/>
    </row>
    <row r="55" spans="1:22" ht="7.5" customHeight="1" thickBot="1" x14ac:dyDescent="0.3">
      <c r="A55" s="1"/>
      <c r="B55" s="1"/>
      <c r="C55" s="1"/>
      <c r="D55" s="1"/>
      <c r="E55" s="1"/>
      <c r="F55" s="16"/>
      <c r="G55" s="1"/>
      <c r="H55" s="1"/>
      <c r="I55" s="1"/>
      <c r="J55" s="1"/>
      <c r="K55" s="16"/>
      <c r="L55" s="1"/>
      <c r="M55" s="16"/>
      <c r="N55" s="1"/>
      <c r="O55" s="16"/>
      <c r="P55" s="1"/>
      <c r="Q55" s="16"/>
      <c r="R55" s="1"/>
      <c r="S55" s="1"/>
      <c r="T55" s="1"/>
      <c r="U55" s="1"/>
      <c r="V55" s="2"/>
    </row>
    <row r="56" spans="1:22" ht="71.099999999999994" customHeight="1" thickBot="1" x14ac:dyDescent="0.3">
      <c r="A56" s="1"/>
      <c r="B56" s="51" t="str">
        <f>IF(Q56&gt;1,"Считыватель вх",IF(F56&lt;1,"","Считыватель вх"))</f>
        <v>Считыватель вх</v>
      </c>
      <c r="C56" s="52"/>
      <c r="D56" s="53"/>
      <c r="E56" s="53"/>
      <c r="F56" s="54">
        <v>16</v>
      </c>
      <c r="G56" s="54"/>
      <c r="H56" s="55"/>
      <c r="I56" s="56"/>
      <c r="J56" s="33" t="str">
        <f>IF(Q56&gt;1,"замок",IF(K56&lt;1,"",IF(F56&lt;1,"замок пож.дв.","замок")))</f>
        <v>замок</v>
      </c>
      <c r="K56" s="20">
        <v>25</v>
      </c>
      <c r="L56" s="34" t="s">
        <v>6</v>
      </c>
      <c r="M56" s="34" t="s">
        <v>7</v>
      </c>
      <c r="N56" s="35" t="s">
        <v>8</v>
      </c>
      <c r="O56" s="20">
        <v>22</v>
      </c>
      <c r="P56" s="35" t="s">
        <v>9</v>
      </c>
      <c r="Q56" s="21"/>
      <c r="R56" s="57" t="s">
        <v>10</v>
      </c>
      <c r="S56" s="58"/>
      <c r="T56" s="58"/>
      <c r="U56" s="58"/>
      <c r="V56" s="58"/>
    </row>
    <row r="57" spans="1:22" ht="15" customHeight="1" x14ac:dyDescent="0.25">
      <c r="A57" s="1"/>
      <c r="B57" s="59" t="s">
        <v>40</v>
      </c>
      <c r="C57" s="60"/>
      <c r="D57" s="60"/>
      <c r="E57" s="60"/>
      <c r="F57" s="60"/>
      <c r="G57" s="60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2" t="s">
        <v>11</v>
      </c>
      <c r="S57" s="62"/>
      <c r="T57" s="62"/>
      <c r="U57" s="62"/>
      <c r="V57" s="62"/>
    </row>
    <row r="58" spans="1:22" ht="8.25" customHeight="1" x14ac:dyDescent="0.25"/>
    <row r="59" spans="1:22" ht="10.5" customHeight="1" x14ac:dyDescent="0.25">
      <c r="A59" s="23"/>
      <c r="B59" s="23"/>
      <c r="C59" s="23"/>
      <c r="D59" s="23"/>
      <c r="E59" s="2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 ht="9" customHeight="1" x14ac:dyDescent="0.25"/>
    <row r="61" spans="1:22" ht="18.75" x14ac:dyDescent="0.3">
      <c r="E61" s="25" t="s">
        <v>0</v>
      </c>
      <c r="G61" s="26"/>
      <c r="H61" s="26"/>
      <c r="I61" s="26"/>
      <c r="J61" s="26"/>
      <c r="K61" s="26"/>
      <c r="L61" s="26"/>
      <c r="M61" s="27" t="s">
        <v>1</v>
      </c>
      <c r="N61" s="36" t="str">
        <f>N42</f>
        <v>3.1</v>
      </c>
    </row>
    <row r="62" spans="1:22" ht="18.75" x14ac:dyDescent="0.3">
      <c r="E62" s="25" t="s">
        <v>29</v>
      </c>
      <c r="J62" s="28"/>
      <c r="K62" s="28"/>
      <c r="L62" s="28"/>
      <c r="M62" s="27" t="s">
        <v>2</v>
      </c>
      <c r="N62" s="29" t="str">
        <f>N42&amp;".1"</f>
        <v>3.1.1</v>
      </c>
    </row>
    <row r="63" spans="1:22" ht="18.75" x14ac:dyDescent="0.3">
      <c r="E63" t="s">
        <v>30</v>
      </c>
      <c r="H63" s="26"/>
      <c r="I63" s="26"/>
      <c r="J63" s="26"/>
      <c r="K63" s="26"/>
      <c r="L63" s="26"/>
      <c r="M63" s="30" t="s">
        <v>2</v>
      </c>
      <c r="N63" s="31">
        <f>N44</f>
        <v>2</v>
      </c>
    </row>
    <row r="64" spans="1:22" ht="18.75" x14ac:dyDescent="0.3">
      <c r="E64" t="s">
        <v>3</v>
      </c>
      <c r="L64" s="28"/>
      <c r="M64" s="30" t="s">
        <v>4</v>
      </c>
      <c r="N64" s="43" t="str">
        <f>N45</f>
        <v>-3.1.1</v>
      </c>
      <c r="O64" s="43"/>
    </row>
    <row r="65" spans="1:22" ht="18.75" x14ac:dyDescent="0.3">
      <c r="E65" s="32" t="s">
        <v>5</v>
      </c>
      <c r="I65" s="26"/>
      <c r="J65" s="26"/>
      <c r="K65" s="26"/>
      <c r="L65" s="26"/>
      <c r="M65" s="30" t="s">
        <v>2</v>
      </c>
      <c r="N65" s="31">
        <f>N46+1</f>
        <v>4</v>
      </c>
    </row>
    <row r="66" spans="1:22" ht="15.75" thickBot="1" x14ac:dyDescent="0.3">
      <c r="E66" s="48" t="s">
        <v>28</v>
      </c>
      <c r="F66" s="48"/>
      <c r="G66" s="48"/>
      <c r="H66" s="48"/>
      <c r="I66" s="39"/>
      <c r="J66" s="39"/>
      <c r="K66" s="39"/>
      <c r="L66" s="39"/>
      <c r="M66" s="39" t="s">
        <v>2</v>
      </c>
      <c r="N66" s="49" t="s">
        <v>39</v>
      </c>
      <c r="O66" s="49"/>
    </row>
    <row r="67" spans="1:22" ht="9" customHeight="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</row>
    <row r="68" spans="1:22" ht="8.25" customHeight="1" x14ac:dyDescent="0.25">
      <c r="A68" s="13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14"/>
    </row>
    <row r="69" spans="1:22" x14ac:dyDescent="0.25">
      <c r="A69" s="6"/>
      <c r="B69" s="44" t="s">
        <v>32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6"/>
      <c r="V69" s="7"/>
    </row>
    <row r="70" spans="1:22" ht="7.5" customHeight="1" thickBot="1" x14ac:dyDescent="0.3">
      <c r="A70" s="8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7"/>
    </row>
    <row r="71" spans="1:22" x14ac:dyDescent="0.25">
      <c r="A71" s="8"/>
      <c r="B71" s="63">
        <v>0</v>
      </c>
      <c r="C71" s="64"/>
      <c r="D71" s="64">
        <v>1</v>
      </c>
      <c r="E71" s="64">
        <v>1</v>
      </c>
      <c r="F71" s="64">
        <v>2</v>
      </c>
      <c r="G71" s="64">
        <v>2</v>
      </c>
      <c r="H71" s="64">
        <v>3</v>
      </c>
      <c r="I71" s="65">
        <v>3</v>
      </c>
      <c r="J71" s="63">
        <v>4</v>
      </c>
      <c r="K71" s="64">
        <v>4</v>
      </c>
      <c r="L71" s="64">
        <v>5</v>
      </c>
      <c r="M71" s="64"/>
      <c r="N71" s="64">
        <v>6</v>
      </c>
      <c r="O71" s="64">
        <v>1</v>
      </c>
      <c r="P71" s="64">
        <v>7</v>
      </c>
      <c r="Q71" s="65">
        <v>2</v>
      </c>
      <c r="R71" s="46">
        <v>8</v>
      </c>
      <c r="S71" s="50">
        <v>3</v>
      </c>
      <c r="T71" s="50">
        <v>9</v>
      </c>
      <c r="U71" s="50">
        <v>4</v>
      </c>
      <c r="V71" s="9"/>
    </row>
    <row r="72" spans="1:22" ht="7.5" customHeight="1" thickBot="1" x14ac:dyDescent="0.3">
      <c r="A72" s="8"/>
      <c r="B72" s="17"/>
      <c r="C72" s="18"/>
      <c r="D72" s="18"/>
      <c r="E72" s="18"/>
      <c r="F72" s="18"/>
      <c r="G72" s="18"/>
      <c r="H72" s="18"/>
      <c r="I72" s="19"/>
      <c r="J72" s="17"/>
      <c r="K72" s="18"/>
      <c r="L72" s="18"/>
      <c r="M72" s="18"/>
      <c r="N72" s="18"/>
      <c r="O72" s="18"/>
      <c r="P72" s="18"/>
      <c r="Q72" s="19"/>
      <c r="R72" s="40"/>
      <c r="S72" s="41"/>
      <c r="T72" s="41"/>
      <c r="U72" s="41"/>
      <c r="V72" s="9"/>
    </row>
    <row r="73" spans="1:22" ht="9.75" customHeight="1" thickBot="1" x14ac:dyDescent="0.3">
      <c r="A73" s="10"/>
      <c r="B73" s="11"/>
      <c r="C73" s="11"/>
      <c r="D73" s="11"/>
      <c r="E73" s="11"/>
      <c r="F73" s="22"/>
      <c r="G73" s="11"/>
      <c r="H73" s="11"/>
      <c r="I73" s="11"/>
      <c r="J73" s="11"/>
      <c r="K73" s="22"/>
      <c r="L73" s="11"/>
      <c r="M73" s="22"/>
      <c r="N73" s="11"/>
      <c r="O73" s="22"/>
      <c r="P73" s="11"/>
      <c r="Q73" s="22"/>
      <c r="R73" s="15"/>
      <c r="S73" s="15"/>
      <c r="T73" s="15"/>
      <c r="U73" s="15"/>
      <c r="V73" s="12"/>
    </row>
    <row r="74" spans="1:22" ht="9.75" customHeight="1" thickBot="1" x14ac:dyDescent="0.3">
      <c r="A74" s="1"/>
      <c r="B74" s="1"/>
      <c r="C74" s="1"/>
      <c r="D74" s="1"/>
      <c r="E74" s="1"/>
      <c r="F74" s="16"/>
      <c r="G74" s="1"/>
      <c r="H74" s="1"/>
      <c r="I74" s="1"/>
      <c r="J74" s="1"/>
      <c r="K74" s="16"/>
      <c r="L74" s="1"/>
      <c r="M74" s="16"/>
      <c r="N74" s="1"/>
      <c r="O74" s="16"/>
      <c r="P74" s="1"/>
      <c r="Q74" s="16"/>
      <c r="R74" s="1"/>
      <c r="S74" s="1"/>
      <c r="T74" s="1"/>
      <c r="U74" s="1"/>
      <c r="V74" s="2"/>
    </row>
    <row r="75" spans="1:22" ht="71.099999999999994" customHeight="1" thickBot="1" x14ac:dyDescent="0.3">
      <c r="A75" s="1"/>
      <c r="B75" s="51" t="str">
        <f>IF(Q75&gt;1,"Считыватель вх",IF(F75&lt;1,"","Считыватель вых"))</f>
        <v>Считыватель вых</v>
      </c>
      <c r="C75" s="52"/>
      <c r="D75" s="53"/>
      <c r="E75" s="53"/>
      <c r="F75" s="54">
        <v>19</v>
      </c>
      <c r="G75" s="54"/>
      <c r="H75" s="55"/>
      <c r="I75" s="56"/>
      <c r="J75" s="33" t="str">
        <f>IF(Q75&gt;1,"замок",IF(K75&lt;1,"",IF(F75&lt;1,"замок пож.дв.","замок")))</f>
        <v/>
      </c>
      <c r="K75" s="20"/>
      <c r="L75" s="34" t="s">
        <v>6</v>
      </c>
      <c r="M75" s="34" t="s">
        <v>7</v>
      </c>
      <c r="N75" s="35" t="s">
        <v>8</v>
      </c>
      <c r="O75" s="20"/>
      <c r="P75" s="35" t="s">
        <v>9</v>
      </c>
      <c r="Q75" s="21"/>
      <c r="R75" s="57" t="s">
        <v>10</v>
      </c>
      <c r="S75" s="58"/>
      <c r="T75" s="58"/>
      <c r="U75" s="58"/>
      <c r="V75" s="58"/>
    </row>
    <row r="76" spans="1:22" ht="15" customHeight="1" x14ac:dyDescent="0.25">
      <c r="A76" s="1"/>
      <c r="B76" s="66" t="str">
        <f>IF(B75="Считыватель вых",B57,IF(B75="Считыватель вх",J76,""))</f>
        <v>пом. 350</v>
      </c>
      <c r="C76" s="61"/>
      <c r="D76" s="61"/>
      <c r="E76" s="61"/>
      <c r="F76" s="61"/>
      <c r="G76" s="61"/>
      <c r="H76" s="61"/>
      <c r="I76" s="61"/>
      <c r="J76" s="59" t="s">
        <v>36</v>
      </c>
      <c r="K76" s="61"/>
      <c r="L76" s="61"/>
      <c r="M76" s="61"/>
      <c r="N76" s="61"/>
      <c r="O76" s="61"/>
      <c r="P76" s="61"/>
      <c r="Q76" s="61"/>
      <c r="R76" s="62" t="s">
        <v>11</v>
      </c>
      <c r="S76" s="62"/>
      <c r="T76" s="62"/>
      <c r="U76" s="62"/>
      <c r="V76" s="62"/>
    </row>
    <row r="77" spans="1:22" ht="9.75" customHeight="1" x14ac:dyDescent="0.25"/>
    <row r="78" spans="1:22" ht="9.75" customHeight="1" x14ac:dyDescent="0.25"/>
    <row r="79" spans="1:22" ht="9.75" customHeight="1" x14ac:dyDescent="0.25"/>
    <row r="80" spans="1:22" x14ac:dyDescent="0.25">
      <c r="A80" s="23"/>
      <c r="B80" s="23"/>
      <c r="C80" s="23"/>
      <c r="D80" s="23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x14ac:dyDescent="0.25">
      <c r="A81" s="23"/>
      <c r="B81" s="23"/>
      <c r="C81" s="23"/>
      <c r="D81" s="23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ht="18.75" x14ac:dyDescent="0.3">
      <c r="E82" s="25" t="s">
        <v>0</v>
      </c>
      <c r="G82" s="26"/>
      <c r="H82" s="26"/>
      <c r="I82" s="26"/>
      <c r="J82" s="26"/>
      <c r="K82" s="26"/>
      <c r="L82" s="26"/>
      <c r="M82" s="27" t="s">
        <v>1</v>
      </c>
      <c r="N82" s="36" t="str">
        <f>N61</f>
        <v>3.1</v>
      </c>
    </row>
    <row r="83" spans="1:22" ht="18.75" x14ac:dyDescent="0.3">
      <c r="E83" s="25" t="s">
        <v>29</v>
      </c>
      <c r="J83" s="28"/>
      <c r="K83" s="28"/>
      <c r="L83" s="28"/>
      <c r="M83" s="27" t="s">
        <v>2</v>
      </c>
      <c r="N83" s="29" t="str">
        <f>N82&amp;".1"</f>
        <v>3.1.1</v>
      </c>
    </row>
    <row r="84" spans="1:22" ht="18.75" x14ac:dyDescent="0.3">
      <c r="E84" t="s">
        <v>30</v>
      </c>
      <c r="H84" s="26"/>
      <c r="I84" s="26"/>
      <c r="J84" s="26"/>
      <c r="K84" s="26"/>
      <c r="L84" s="26"/>
      <c r="M84" s="30" t="s">
        <v>2</v>
      </c>
      <c r="N84" s="31">
        <f>N63+1</f>
        <v>3</v>
      </c>
    </row>
    <row r="85" spans="1:22" ht="18.75" x14ac:dyDescent="0.3">
      <c r="E85" t="s">
        <v>3</v>
      </c>
      <c r="L85" s="28"/>
      <c r="M85" s="30" t="s">
        <v>4</v>
      </c>
      <c r="N85" s="43" t="str">
        <f>"-"&amp;N82&amp;".1"</f>
        <v>-3.1.1</v>
      </c>
      <c r="O85" s="43"/>
    </row>
    <row r="86" spans="1:22" ht="18.75" x14ac:dyDescent="0.3">
      <c r="E86" s="32" t="s">
        <v>5</v>
      </c>
      <c r="I86" s="26"/>
      <c r="J86" s="26"/>
      <c r="K86" s="26"/>
      <c r="L86" s="26"/>
      <c r="M86" s="30" t="s">
        <v>2</v>
      </c>
      <c r="N86" s="31">
        <f>N65+1</f>
        <v>5</v>
      </c>
    </row>
    <row r="87" spans="1:22" ht="15.75" thickBot="1" x14ac:dyDescent="0.3">
      <c r="E87" s="48" t="s">
        <v>28</v>
      </c>
      <c r="F87" s="48"/>
      <c r="G87" s="48"/>
      <c r="H87" s="48"/>
      <c r="I87" s="39"/>
      <c r="J87" s="39"/>
      <c r="K87" s="39"/>
      <c r="L87" s="39"/>
      <c r="M87" s="39" t="s">
        <v>2</v>
      </c>
      <c r="N87" s="49" t="s">
        <v>41</v>
      </c>
      <c r="O87" s="49"/>
    </row>
    <row r="88" spans="1:22" ht="9.75" customHeight="1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</row>
    <row r="89" spans="1:22" ht="9.75" customHeight="1" x14ac:dyDescent="0.25">
      <c r="A89" s="13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14"/>
    </row>
    <row r="90" spans="1:22" x14ac:dyDescent="0.25">
      <c r="A90" s="6"/>
      <c r="B90" s="44" t="s">
        <v>31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6"/>
      <c r="V90" s="7"/>
    </row>
    <row r="91" spans="1:22" ht="9" customHeight="1" thickBot="1" x14ac:dyDescent="0.3">
      <c r="A91" s="8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7"/>
    </row>
    <row r="92" spans="1:22" x14ac:dyDescent="0.25">
      <c r="A92" s="8"/>
      <c r="B92" s="63">
        <v>0</v>
      </c>
      <c r="C92" s="64"/>
      <c r="D92" s="64">
        <v>1</v>
      </c>
      <c r="E92" s="64">
        <v>1</v>
      </c>
      <c r="F92" s="64">
        <v>2</v>
      </c>
      <c r="G92" s="64">
        <v>2</v>
      </c>
      <c r="H92" s="64">
        <v>3</v>
      </c>
      <c r="I92" s="65">
        <v>3</v>
      </c>
      <c r="J92" s="63">
        <v>4</v>
      </c>
      <c r="K92" s="64">
        <v>4</v>
      </c>
      <c r="L92" s="64">
        <v>5</v>
      </c>
      <c r="M92" s="64"/>
      <c r="N92" s="64">
        <v>6</v>
      </c>
      <c r="O92" s="64">
        <v>1</v>
      </c>
      <c r="P92" s="64">
        <v>7</v>
      </c>
      <c r="Q92" s="65">
        <v>2</v>
      </c>
      <c r="R92" s="46">
        <v>8</v>
      </c>
      <c r="S92" s="50">
        <v>3</v>
      </c>
      <c r="T92" s="50">
        <v>9</v>
      </c>
      <c r="U92" s="50">
        <v>4</v>
      </c>
      <c r="V92" s="9"/>
    </row>
    <row r="93" spans="1:22" ht="9.75" customHeight="1" thickBot="1" x14ac:dyDescent="0.3">
      <c r="A93" s="8"/>
      <c r="B93" s="17"/>
      <c r="C93" s="18"/>
      <c r="D93" s="18"/>
      <c r="E93" s="18"/>
      <c r="F93" s="18"/>
      <c r="G93" s="18"/>
      <c r="H93" s="18"/>
      <c r="I93" s="19"/>
      <c r="J93" s="17"/>
      <c r="K93" s="18"/>
      <c r="L93" s="18"/>
      <c r="M93" s="18"/>
      <c r="N93" s="18"/>
      <c r="O93" s="18"/>
      <c r="P93" s="18"/>
      <c r="Q93" s="19"/>
      <c r="R93" s="40"/>
      <c r="S93" s="41"/>
      <c r="T93" s="41"/>
      <c r="U93" s="41"/>
      <c r="V93" s="9"/>
    </row>
    <row r="94" spans="1:22" ht="7.5" customHeight="1" thickBot="1" x14ac:dyDescent="0.3">
      <c r="A94" s="10"/>
      <c r="B94" s="11"/>
      <c r="C94" s="11"/>
      <c r="D94" s="11"/>
      <c r="E94" s="11"/>
      <c r="F94" s="22"/>
      <c r="G94" s="11"/>
      <c r="H94" s="11"/>
      <c r="I94" s="11"/>
      <c r="J94" s="11"/>
      <c r="K94" s="22"/>
      <c r="L94" s="11"/>
      <c r="M94" s="22"/>
      <c r="N94" s="11"/>
      <c r="O94" s="22"/>
      <c r="P94" s="11"/>
      <c r="Q94" s="22"/>
      <c r="R94" s="15"/>
      <c r="S94" s="15"/>
      <c r="T94" s="15"/>
      <c r="U94" s="15"/>
      <c r="V94" s="12"/>
    </row>
    <row r="95" spans="1:22" ht="7.5" customHeight="1" thickBot="1" x14ac:dyDescent="0.3">
      <c r="A95" s="1"/>
      <c r="B95" s="1"/>
      <c r="C95" s="1"/>
      <c r="D95" s="1"/>
      <c r="E95" s="1"/>
      <c r="F95" s="16"/>
      <c r="G95" s="1"/>
      <c r="H95" s="1"/>
      <c r="I95" s="1"/>
      <c r="J95" s="1"/>
      <c r="K95" s="16"/>
      <c r="L95" s="1"/>
      <c r="M95" s="16"/>
      <c r="N95" s="1"/>
      <c r="O95" s="16"/>
      <c r="P95" s="1"/>
      <c r="Q95" s="16"/>
      <c r="R95" s="1"/>
      <c r="S95" s="1"/>
      <c r="T95" s="1"/>
      <c r="U95" s="1"/>
      <c r="V95" s="2"/>
    </row>
    <row r="96" spans="1:22" ht="71.099999999999994" customHeight="1" thickBot="1" x14ac:dyDescent="0.3">
      <c r="A96" s="1"/>
      <c r="B96" s="51" t="str">
        <f>IF(Q96&gt;1,"Считыватель вх",IF(F96&lt;1,"","Считыватель вх"))</f>
        <v>Считыватель вх</v>
      </c>
      <c r="C96" s="52"/>
      <c r="D96" s="53"/>
      <c r="E96" s="53"/>
      <c r="F96" s="54">
        <v>58</v>
      </c>
      <c r="G96" s="54"/>
      <c r="H96" s="55"/>
      <c r="I96" s="56"/>
      <c r="J96" s="33" t="str">
        <f>IF(Q96&gt;1,"замок",IF(K96&lt;1,"",IF(F96&lt;1,"замок пож.дв.","замок")))</f>
        <v>замок</v>
      </c>
      <c r="K96" s="20">
        <v>67</v>
      </c>
      <c r="L96" s="34" t="s">
        <v>6</v>
      </c>
      <c r="M96" s="34" t="s">
        <v>7</v>
      </c>
      <c r="N96" s="35" t="s">
        <v>8</v>
      </c>
      <c r="O96" s="20">
        <v>64</v>
      </c>
      <c r="P96" s="35" t="s">
        <v>9</v>
      </c>
      <c r="Q96" s="21"/>
      <c r="R96" s="57" t="s">
        <v>10</v>
      </c>
      <c r="S96" s="58"/>
      <c r="T96" s="58"/>
      <c r="U96" s="58"/>
      <c r="V96" s="58"/>
    </row>
    <row r="97" spans="1:22" ht="15" customHeight="1" x14ac:dyDescent="0.25">
      <c r="A97" s="1"/>
      <c r="B97" s="59" t="s">
        <v>42</v>
      </c>
      <c r="C97" s="60"/>
      <c r="D97" s="60"/>
      <c r="E97" s="60"/>
      <c r="F97" s="60"/>
      <c r="G97" s="60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2" t="s">
        <v>11</v>
      </c>
      <c r="S97" s="62"/>
      <c r="T97" s="62"/>
      <c r="U97" s="62"/>
      <c r="V97" s="62"/>
    </row>
    <row r="98" spans="1:22" ht="8.25" customHeight="1" x14ac:dyDescent="0.25"/>
    <row r="99" spans="1:22" ht="10.5" customHeight="1" x14ac:dyDescent="0.25">
      <c r="A99" s="23"/>
      <c r="B99" s="23"/>
      <c r="C99" s="23"/>
      <c r="D99" s="23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spans="1:22" ht="9" customHeight="1" x14ac:dyDescent="0.25"/>
    <row r="101" spans="1:22" ht="18.75" x14ac:dyDescent="0.3">
      <c r="E101" s="25" t="s">
        <v>0</v>
      </c>
      <c r="G101" s="26"/>
      <c r="H101" s="26"/>
      <c r="I101" s="26"/>
      <c r="J101" s="26"/>
      <c r="K101" s="26"/>
      <c r="L101" s="26"/>
      <c r="M101" s="27" t="s">
        <v>1</v>
      </c>
      <c r="N101" s="36" t="str">
        <f>N82</f>
        <v>3.1</v>
      </c>
    </row>
    <row r="102" spans="1:22" ht="18.75" x14ac:dyDescent="0.3">
      <c r="E102" s="25" t="s">
        <v>29</v>
      </c>
      <c r="J102" s="28"/>
      <c r="K102" s="28"/>
      <c r="L102" s="28"/>
      <c r="M102" s="27" t="s">
        <v>2</v>
      </c>
      <c r="N102" s="29" t="str">
        <f>N82&amp;".1"</f>
        <v>3.1.1</v>
      </c>
    </row>
    <row r="103" spans="1:22" ht="18.75" x14ac:dyDescent="0.3">
      <c r="E103" t="s">
        <v>30</v>
      </c>
      <c r="H103" s="26"/>
      <c r="I103" s="26"/>
      <c r="J103" s="26"/>
      <c r="K103" s="26"/>
      <c r="L103" s="26"/>
      <c r="M103" s="30" t="s">
        <v>2</v>
      </c>
      <c r="N103" s="31">
        <f>N84</f>
        <v>3</v>
      </c>
    </row>
    <row r="104" spans="1:22" ht="18.75" x14ac:dyDescent="0.3">
      <c r="E104" t="s">
        <v>3</v>
      </c>
      <c r="L104" s="28"/>
      <c r="M104" s="30" t="s">
        <v>4</v>
      </c>
      <c r="N104" s="43" t="str">
        <f>N85</f>
        <v>-3.1.1</v>
      </c>
      <c r="O104" s="43"/>
    </row>
    <row r="105" spans="1:22" ht="18.75" x14ac:dyDescent="0.3">
      <c r="E105" s="32" t="s">
        <v>5</v>
      </c>
      <c r="I105" s="26"/>
      <c r="J105" s="26"/>
      <c r="K105" s="26"/>
      <c r="L105" s="26"/>
      <c r="M105" s="30" t="s">
        <v>2</v>
      </c>
      <c r="N105" s="31">
        <f>N86+1</f>
        <v>6</v>
      </c>
    </row>
    <row r="106" spans="1:22" ht="15.75" thickBot="1" x14ac:dyDescent="0.3">
      <c r="E106" s="48" t="s">
        <v>28</v>
      </c>
      <c r="F106" s="48"/>
      <c r="G106" s="48"/>
      <c r="H106" s="48"/>
      <c r="I106" s="39"/>
      <c r="J106" s="39"/>
      <c r="K106" s="39"/>
      <c r="L106" s="39"/>
      <c r="M106" s="39" t="s">
        <v>2</v>
      </c>
      <c r="N106" s="49" t="s">
        <v>41</v>
      </c>
      <c r="O106" s="49"/>
    </row>
    <row r="107" spans="1:22" ht="9" customHeight="1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</row>
    <row r="108" spans="1:22" ht="8.25" customHeight="1" x14ac:dyDescent="0.25">
      <c r="A108" s="13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14"/>
    </row>
    <row r="109" spans="1:22" x14ac:dyDescent="0.25">
      <c r="A109" s="6"/>
      <c r="B109" s="44" t="s">
        <v>32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6"/>
      <c r="V109" s="7"/>
    </row>
    <row r="110" spans="1:22" ht="7.5" customHeight="1" thickBot="1" x14ac:dyDescent="0.3">
      <c r="A110" s="8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7"/>
    </row>
    <row r="111" spans="1:22" x14ac:dyDescent="0.25">
      <c r="A111" s="8"/>
      <c r="B111" s="63">
        <v>0</v>
      </c>
      <c r="C111" s="64"/>
      <c r="D111" s="64">
        <v>1</v>
      </c>
      <c r="E111" s="64">
        <v>1</v>
      </c>
      <c r="F111" s="64">
        <v>2</v>
      </c>
      <c r="G111" s="64">
        <v>2</v>
      </c>
      <c r="H111" s="64">
        <v>3</v>
      </c>
      <c r="I111" s="65">
        <v>3</v>
      </c>
      <c r="J111" s="63">
        <v>4</v>
      </c>
      <c r="K111" s="64">
        <v>4</v>
      </c>
      <c r="L111" s="64">
        <v>5</v>
      </c>
      <c r="M111" s="64"/>
      <c r="N111" s="64">
        <v>6</v>
      </c>
      <c r="O111" s="64">
        <v>1</v>
      </c>
      <c r="P111" s="64">
        <v>7</v>
      </c>
      <c r="Q111" s="65">
        <v>2</v>
      </c>
      <c r="R111" s="46">
        <v>8</v>
      </c>
      <c r="S111" s="50">
        <v>3</v>
      </c>
      <c r="T111" s="50">
        <v>9</v>
      </c>
      <c r="U111" s="50">
        <v>4</v>
      </c>
      <c r="V111" s="9"/>
    </row>
    <row r="112" spans="1:22" ht="7.5" customHeight="1" thickBot="1" x14ac:dyDescent="0.3">
      <c r="A112" s="8"/>
      <c r="B112" s="17"/>
      <c r="C112" s="18"/>
      <c r="D112" s="18"/>
      <c r="E112" s="18"/>
      <c r="F112" s="18"/>
      <c r="G112" s="18"/>
      <c r="H112" s="18"/>
      <c r="I112" s="19"/>
      <c r="J112" s="17"/>
      <c r="K112" s="18"/>
      <c r="L112" s="18"/>
      <c r="M112" s="18"/>
      <c r="N112" s="18"/>
      <c r="O112" s="18"/>
      <c r="P112" s="18"/>
      <c r="Q112" s="19"/>
      <c r="R112" s="40"/>
      <c r="S112" s="41"/>
      <c r="T112" s="41"/>
      <c r="U112" s="41"/>
      <c r="V112" s="9"/>
    </row>
    <row r="113" spans="1:22" ht="9.75" customHeight="1" thickBot="1" x14ac:dyDescent="0.3">
      <c r="A113" s="10"/>
      <c r="B113" s="11"/>
      <c r="C113" s="11"/>
      <c r="D113" s="11"/>
      <c r="E113" s="11"/>
      <c r="F113" s="22"/>
      <c r="G113" s="11"/>
      <c r="H113" s="11"/>
      <c r="I113" s="11"/>
      <c r="J113" s="11"/>
      <c r="K113" s="22"/>
      <c r="L113" s="11"/>
      <c r="M113" s="22"/>
      <c r="N113" s="11"/>
      <c r="O113" s="22"/>
      <c r="P113" s="11"/>
      <c r="Q113" s="22"/>
      <c r="R113" s="15"/>
      <c r="S113" s="15"/>
      <c r="T113" s="15"/>
      <c r="U113" s="15"/>
      <c r="V113" s="12"/>
    </row>
    <row r="114" spans="1:22" ht="9.75" customHeight="1" thickBot="1" x14ac:dyDescent="0.3">
      <c r="A114" s="1"/>
      <c r="B114" s="1"/>
      <c r="C114" s="1"/>
      <c r="D114" s="1"/>
      <c r="E114" s="1"/>
      <c r="F114" s="16"/>
      <c r="G114" s="1"/>
      <c r="H114" s="1"/>
      <c r="I114" s="1"/>
      <c r="J114" s="1"/>
      <c r="K114" s="16"/>
      <c r="L114" s="1"/>
      <c r="M114" s="16"/>
      <c r="N114" s="1"/>
      <c r="O114" s="16"/>
      <c r="P114" s="1"/>
      <c r="Q114" s="16"/>
      <c r="R114" s="1"/>
      <c r="S114" s="1"/>
      <c r="T114" s="1"/>
      <c r="U114" s="1"/>
      <c r="V114" s="2"/>
    </row>
    <row r="115" spans="1:22" ht="71.099999999999994" customHeight="1" thickBot="1" x14ac:dyDescent="0.3">
      <c r="A115" s="1"/>
      <c r="B115" s="51" t="str">
        <f>IF(Q115&gt;1,"Считыватель вх",IF(F115&lt;1,"","Считыватель вых"))</f>
        <v>Считыватель вых</v>
      </c>
      <c r="C115" s="52"/>
      <c r="D115" s="53"/>
      <c r="E115" s="53"/>
      <c r="F115" s="54">
        <v>61</v>
      </c>
      <c r="G115" s="54"/>
      <c r="H115" s="55"/>
      <c r="I115" s="56"/>
      <c r="J115" s="33" t="str">
        <f>IF(Q115&gt;1,"замок",IF(K115&gt;1,"замок пож.дв.","замок"))</f>
        <v>замок</v>
      </c>
      <c r="K115" s="20"/>
      <c r="L115" s="34" t="s">
        <v>6</v>
      </c>
      <c r="M115" s="34" t="s">
        <v>7</v>
      </c>
      <c r="N115" s="35" t="s">
        <v>8</v>
      </c>
      <c r="O115" s="20"/>
      <c r="P115" s="35" t="s">
        <v>9</v>
      </c>
      <c r="Q115" s="21"/>
      <c r="R115" s="57" t="s">
        <v>10</v>
      </c>
      <c r="S115" s="58"/>
      <c r="T115" s="58"/>
      <c r="U115" s="58"/>
      <c r="V115" s="58"/>
    </row>
    <row r="116" spans="1:22" ht="15" customHeight="1" x14ac:dyDescent="0.25">
      <c r="A116" s="1"/>
      <c r="B116" s="66" t="str">
        <f>IF(B115="Считыватель вых",B97,IF(B115="Считыватель вх",J116,""))</f>
        <v>пом. 314</v>
      </c>
      <c r="C116" s="61"/>
      <c r="D116" s="61"/>
      <c r="E116" s="61"/>
      <c r="F116" s="61"/>
      <c r="G116" s="61"/>
      <c r="H116" s="61"/>
      <c r="I116" s="61"/>
      <c r="J116" s="59" t="s">
        <v>36</v>
      </c>
      <c r="K116" s="61"/>
      <c r="L116" s="61"/>
      <c r="M116" s="61"/>
      <c r="N116" s="61"/>
      <c r="O116" s="61"/>
      <c r="P116" s="61"/>
      <c r="Q116" s="61"/>
      <c r="R116" s="62" t="s">
        <v>11</v>
      </c>
      <c r="S116" s="62"/>
      <c r="T116" s="62"/>
      <c r="U116" s="62"/>
      <c r="V116" s="62"/>
    </row>
    <row r="117" spans="1:22" ht="9.75" customHeight="1" x14ac:dyDescent="0.25"/>
    <row r="118" spans="1:22" ht="9.75" customHeight="1" x14ac:dyDescent="0.25"/>
    <row r="119" spans="1:22" ht="9.75" customHeight="1" x14ac:dyDescent="0.25"/>
    <row r="120" spans="1:22" x14ac:dyDescent="0.25">
      <c r="A120" s="23"/>
      <c r="B120" s="23"/>
      <c r="C120" s="23"/>
      <c r="D120" s="23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spans="1:22" x14ac:dyDescent="0.25">
      <c r="A121" s="23"/>
      <c r="B121" s="23"/>
      <c r="C121" s="23"/>
      <c r="D121" s="23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spans="1:22" ht="18.75" x14ac:dyDescent="0.3">
      <c r="E122" s="25" t="s">
        <v>0</v>
      </c>
      <c r="G122" s="26"/>
      <c r="H122" s="26"/>
      <c r="I122" s="26"/>
      <c r="J122" s="26"/>
      <c r="K122" s="26"/>
      <c r="L122" s="26"/>
      <c r="M122" s="27" t="s">
        <v>1</v>
      </c>
      <c r="N122" s="36" t="str">
        <f>N101</f>
        <v>3.1</v>
      </c>
    </row>
    <row r="123" spans="1:22" ht="18.75" x14ac:dyDescent="0.3">
      <c r="E123" s="25" t="s">
        <v>29</v>
      </c>
      <c r="J123" s="28"/>
      <c r="K123" s="28"/>
      <c r="L123" s="28"/>
      <c r="M123" s="27" t="s">
        <v>2</v>
      </c>
      <c r="N123" s="29" t="str">
        <f>N122&amp;".1"</f>
        <v>3.1.1</v>
      </c>
    </row>
    <row r="124" spans="1:22" ht="18.75" x14ac:dyDescent="0.3">
      <c r="E124" t="s">
        <v>30</v>
      </c>
      <c r="H124" s="26"/>
      <c r="I124" s="26"/>
      <c r="J124" s="26"/>
      <c r="K124" s="26"/>
      <c r="L124" s="26"/>
      <c r="M124" s="30" t="s">
        <v>2</v>
      </c>
      <c r="N124" s="31">
        <f>N103+1</f>
        <v>4</v>
      </c>
    </row>
    <row r="125" spans="1:22" ht="18.75" x14ac:dyDescent="0.3">
      <c r="E125" t="s">
        <v>3</v>
      </c>
      <c r="L125" s="28"/>
      <c r="M125" s="30" t="s">
        <v>4</v>
      </c>
      <c r="N125" s="43" t="str">
        <f>"-"&amp;N122&amp;".1"</f>
        <v>-3.1.1</v>
      </c>
      <c r="O125" s="43"/>
    </row>
    <row r="126" spans="1:22" ht="18.75" x14ac:dyDescent="0.3">
      <c r="E126" s="32" t="s">
        <v>5</v>
      </c>
      <c r="I126" s="26"/>
      <c r="J126" s="26"/>
      <c r="K126" s="26"/>
      <c r="L126" s="26"/>
      <c r="M126" s="30" t="s">
        <v>2</v>
      </c>
      <c r="N126" s="31">
        <f>N105+1</f>
        <v>7</v>
      </c>
    </row>
    <row r="127" spans="1:22" ht="15.75" thickBot="1" x14ac:dyDescent="0.3">
      <c r="E127" s="48" t="s">
        <v>28</v>
      </c>
      <c r="F127" s="48"/>
      <c r="G127" s="48"/>
      <c r="H127" s="48"/>
      <c r="I127" s="39"/>
      <c r="J127" s="39"/>
      <c r="K127" s="39"/>
      <c r="L127" s="39"/>
      <c r="M127" s="39" t="s">
        <v>2</v>
      </c>
      <c r="N127" s="49" t="s">
        <v>43</v>
      </c>
      <c r="O127" s="49"/>
    </row>
    <row r="128" spans="1:22" ht="9.75" customHeight="1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</row>
    <row r="129" spans="1:22" ht="9.75" customHeight="1" x14ac:dyDescent="0.25">
      <c r="A129" s="13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14"/>
    </row>
    <row r="130" spans="1:22" x14ac:dyDescent="0.25">
      <c r="A130" s="6"/>
      <c r="B130" s="44" t="s">
        <v>31</v>
      </c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6"/>
      <c r="V130" s="7"/>
    </row>
    <row r="131" spans="1:22" ht="9" customHeight="1" thickBot="1" x14ac:dyDescent="0.3">
      <c r="A131" s="8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7"/>
    </row>
    <row r="132" spans="1:22" x14ac:dyDescent="0.25">
      <c r="A132" s="8"/>
      <c r="B132" s="63">
        <v>0</v>
      </c>
      <c r="C132" s="64"/>
      <c r="D132" s="64">
        <v>1</v>
      </c>
      <c r="E132" s="64">
        <v>1</v>
      </c>
      <c r="F132" s="64">
        <v>2</v>
      </c>
      <c r="G132" s="64">
        <v>2</v>
      </c>
      <c r="H132" s="64">
        <v>3</v>
      </c>
      <c r="I132" s="65">
        <v>3</v>
      </c>
      <c r="J132" s="63">
        <v>4</v>
      </c>
      <c r="K132" s="64">
        <v>4</v>
      </c>
      <c r="L132" s="64">
        <v>5</v>
      </c>
      <c r="M132" s="64"/>
      <c r="N132" s="64">
        <v>6</v>
      </c>
      <c r="O132" s="64">
        <v>1</v>
      </c>
      <c r="P132" s="64">
        <v>7</v>
      </c>
      <c r="Q132" s="65">
        <v>2</v>
      </c>
      <c r="R132" s="46">
        <v>8</v>
      </c>
      <c r="S132" s="50">
        <v>3</v>
      </c>
      <c r="T132" s="50">
        <v>9</v>
      </c>
      <c r="U132" s="50">
        <v>4</v>
      </c>
      <c r="V132" s="9"/>
    </row>
    <row r="133" spans="1:22" ht="9.75" customHeight="1" thickBot="1" x14ac:dyDescent="0.3">
      <c r="A133" s="8"/>
      <c r="B133" s="17"/>
      <c r="C133" s="18"/>
      <c r="D133" s="18"/>
      <c r="E133" s="18"/>
      <c r="F133" s="18"/>
      <c r="G133" s="18"/>
      <c r="H133" s="18"/>
      <c r="I133" s="19"/>
      <c r="J133" s="17"/>
      <c r="K133" s="18"/>
      <c r="L133" s="18"/>
      <c r="M133" s="18"/>
      <c r="N133" s="18"/>
      <c r="O133" s="18"/>
      <c r="P133" s="18"/>
      <c r="Q133" s="19"/>
      <c r="R133" s="40"/>
      <c r="S133" s="41"/>
      <c r="T133" s="41"/>
      <c r="U133" s="41"/>
      <c r="V133" s="9"/>
    </row>
    <row r="134" spans="1:22" ht="7.5" customHeight="1" thickBot="1" x14ac:dyDescent="0.3">
      <c r="A134" s="10"/>
      <c r="B134" s="11"/>
      <c r="C134" s="11"/>
      <c r="D134" s="11"/>
      <c r="E134" s="11"/>
      <c r="F134" s="22"/>
      <c r="G134" s="11"/>
      <c r="H134" s="11"/>
      <c r="I134" s="11"/>
      <c r="J134" s="11"/>
      <c r="K134" s="22"/>
      <c r="L134" s="11"/>
      <c r="M134" s="22"/>
      <c r="N134" s="11"/>
      <c r="O134" s="22"/>
      <c r="P134" s="11"/>
      <c r="Q134" s="22"/>
      <c r="R134" s="15"/>
      <c r="S134" s="15"/>
      <c r="T134" s="15"/>
      <c r="U134" s="15"/>
      <c r="V134" s="12"/>
    </row>
    <row r="135" spans="1:22" ht="7.5" customHeight="1" thickBot="1" x14ac:dyDescent="0.3">
      <c r="A135" s="1"/>
      <c r="B135" s="1"/>
      <c r="C135" s="1"/>
      <c r="D135" s="1"/>
      <c r="E135" s="1"/>
      <c r="F135" s="16"/>
      <c r="G135" s="1"/>
      <c r="H135" s="1"/>
      <c r="I135" s="1"/>
      <c r="J135" s="1"/>
      <c r="K135" s="16"/>
      <c r="L135" s="1"/>
      <c r="M135" s="16"/>
      <c r="N135" s="1"/>
      <c r="O135" s="16"/>
      <c r="P135" s="1"/>
      <c r="Q135" s="16"/>
      <c r="R135" s="1"/>
      <c r="S135" s="1"/>
      <c r="T135" s="1"/>
      <c r="U135" s="1"/>
      <c r="V135" s="2"/>
    </row>
    <row r="136" spans="1:22" ht="71.099999999999994" customHeight="1" thickBot="1" x14ac:dyDescent="0.3">
      <c r="A136" s="1"/>
      <c r="B136" s="51" t="str">
        <f>IF(Q136&gt;1,"Считыватель вх",IF(F136&lt;1,"","Считыватель вх"))</f>
        <v>Считыватель вх</v>
      </c>
      <c r="C136" s="52"/>
      <c r="D136" s="53"/>
      <c r="E136" s="53"/>
      <c r="F136" s="54">
        <v>142</v>
      </c>
      <c r="G136" s="54"/>
      <c r="H136" s="55"/>
      <c r="I136" s="56"/>
      <c r="J136" s="33" t="str">
        <f>IF(Q136&gt;1,"замок",IF(K136&lt;1,"",IF(F136&lt;1,"замок пож.дв.","замок")))</f>
        <v>замок</v>
      </c>
      <c r="K136" s="20">
        <v>154</v>
      </c>
      <c r="L136" s="34" t="s">
        <v>6</v>
      </c>
      <c r="M136" s="34" t="s">
        <v>7</v>
      </c>
      <c r="N136" s="35" t="s">
        <v>8</v>
      </c>
      <c r="O136" s="20">
        <v>148</v>
      </c>
      <c r="P136" s="35" t="s">
        <v>9</v>
      </c>
      <c r="Q136" s="21"/>
      <c r="R136" s="57" t="s">
        <v>10</v>
      </c>
      <c r="S136" s="58"/>
      <c r="T136" s="58"/>
      <c r="U136" s="58"/>
      <c r="V136" s="58"/>
    </row>
    <row r="137" spans="1:22" ht="15" customHeight="1" x14ac:dyDescent="0.25">
      <c r="A137" s="1"/>
      <c r="B137" s="59" t="s">
        <v>44</v>
      </c>
      <c r="C137" s="60"/>
      <c r="D137" s="60"/>
      <c r="E137" s="60"/>
      <c r="F137" s="60"/>
      <c r="G137" s="60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2" t="s">
        <v>11</v>
      </c>
      <c r="S137" s="62"/>
      <c r="T137" s="62"/>
      <c r="U137" s="62"/>
      <c r="V137" s="62"/>
    </row>
    <row r="138" spans="1:22" ht="8.25" customHeight="1" x14ac:dyDescent="0.25"/>
    <row r="139" spans="1:22" ht="10.5" customHeight="1" x14ac:dyDescent="0.25">
      <c r="A139" s="23"/>
      <c r="B139" s="23"/>
      <c r="C139" s="23"/>
      <c r="D139" s="23"/>
      <c r="E139" s="24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:22" ht="9" customHeight="1" x14ac:dyDescent="0.25"/>
    <row r="141" spans="1:22" ht="18.75" x14ac:dyDescent="0.3">
      <c r="E141" s="25" t="s">
        <v>0</v>
      </c>
      <c r="G141" s="26"/>
      <c r="H141" s="26"/>
      <c r="I141" s="26"/>
      <c r="J141" s="26"/>
      <c r="K141" s="26"/>
      <c r="L141" s="26"/>
      <c r="M141" s="27" t="s">
        <v>1</v>
      </c>
      <c r="N141" s="36" t="str">
        <f>N122</f>
        <v>3.1</v>
      </c>
    </row>
    <row r="142" spans="1:22" ht="18.75" x14ac:dyDescent="0.3">
      <c r="E142" s="25" t="s">
        <v>29</v>
      </c>
      <c r="J142" s="28"/>
      <c r="K142" s="28"/>
      <c r="L142" s="28"/>
      <c r="M142" s="27" t="s">
        <v>2</v>
      </c>
      <c r="N142" s="29" t="str">
        <f>N122&amp;".1"</f>
        <v>3.1.1</v>
      </c>
    </row>
    <row r="143" spans="1:22" ht="18.75" x14ac:dyDescent="0.3">
      <c r="E143" t="s">
        <v>30</v>
      </c>
      <c r="H143" s="26"/>
      <c r="I143" s="26"/>
      <c r="J143" s="26"/>
      <c r="K143" s="26"/>
      <c r="L143" s="26"/>
      <c r="M143" s="30" t="s">
        <v>2</v>
      </c>
      <c r="N143" s="31">
        <f>N124</f>
        <v>4</v>
      </c>
    </row>
    <row r="144" spans="1:22" ht="18.75" x14ac:dyDescent="0.3">
      <c r="E144" t="s">
        <v>3</v>
      </c>
      <c r="L144" s="28"/>
      <c r="M144" s="30" t="s">
        <v>4</v>
      </c>
      <c r="N144" s="43" t="str">
        <f>N125</f>
        <v>-3.1.1</v>
      </c>
      <c r="O144" s="43"/>
    </row>
    <row r="145" spans="1:22" ht="18.75" x14ac:dyDescent="0.3">
      <c r="E145" s="32" t="s">
        <v>5</v>
      </c>
      <c r="I145" s="26"/>
      <c r="J145" s="26"/>
      <c r="K145" s="26"/>
      <c r="L145" s="26"/>
      <c r="M145" s="30" t="s">
        <v>2</v>
      </c>
      <c r="N145" s="31">
        <f>N126+1</f>
        <v>8</v>
      </c>
    </row>
    <row r="146" spans="1:22" ht="15.75" thickBot="1" x14ac:dyDescent="0.3">
      <c r="E146" s="48" t="s">
        <v>28</v>
      </c>
      <c r="F146" s="48"/>
      <c r="G146" s="48"/>
      <c r="H146" s="48"/>
      <c r="I146" s="39"/>
      <c r="J146" s="39"/>
      <c r="K146" s="39"/>
      <c r="L146" s="39"/>
      <c r="M146" s="39" t="s">
        <v>2</v>
      </c>
      <c r="N146" s="49" t="s">
        <v>43</v>
      </c>
      <c r="O146" s="49"/>
    </row>
    <row r="147" spans="1:22" ht="9" customHeight="1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</row>
    <row r="148" spans="1:22" ht="8.25" customHeight="1" x14ac:dyDescent="0.25">
      <c r="A148" s="13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14"/>
    </row>
    <row r="149" spans="1:22" x14ac:dyDescent="0.25">
      <c r="A149" s="6"/>
      <c r="B149" s="44" t="s">
        <v>32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6"/>
      <c r="V149" s="7"/>
    </row>
    <row r="150" spans="1:22" ht="7.5" customHeight="1" thickBot="1" x14ac:dyDescent="0.3">
      <c r="A150" s="8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7"/>
    </row>
    <row r="151" spans="1:22" x14ac:dyDescent="0.25">
      <c r="A151" s="8"/>
      <c r="B151" s="63">
        <v>0</v>
      </c>
      <c r="C151" s="64"/>
      <c r="D151" s="64">
        <v>1</v>
      </c>
      <c r="E151" s="64">
        <v>1</v>
      </c>
      <c r="F151" s="64">
        <v>2</v>
      </c>
      <c r="G151" s="64">
        <v>2</v>
      </c>
      <c r="H151" s="64">
        <v>3</v>
      </c>
      <c r="I151" s="65">
        <v>3</v>
      </c>
      <c r="J151" s="63">
        <v>4</v>
      </c>
      <c r="K151" s="64">
        <v>4</v>
      </c>
      <c r="L151" s="64">
        <v>5</v>
      </c>
      <c r="M151" s="64"/>
      <c r="N151" s="64">
        <v>6</v>
      </c>
      <c r="O151" s="64">
        <v>1</v>
      </c>
      <c r="P151" s="64">
        <v>7</v>
      </c>
      <c r="Q151" s="65">
        <v>2</v>
      </c>
      <c r="R151" s="46">
        <v>8</v>
      </c>
      <c r="S151" s="50">
        <v>3</v>
      </c>
      <c r="T151" s="50">
        <v>9</v>
      </c>
      <c r="U151" s="50">
        <v>4</v>
      </c>
      <c r="V151" s="9"/>
    </row>
    <row r="152" spans="1:22" ht="7.5" customHeight="1" thickBot="1" x14ac:dyDescent="0.3">
      <c r="A152" s="8"/>
      <c r="B152" s="17"/>
      <c r="C152" s="18"/>
      <c r="D152" s="18"/>
      <c r="E152" s="18"/>
      <c r="F152" s="18"/>
      <c r="G152" s="18"/>
      <c r="H152" s="18"/>
      <c r="I152" s="19"/>
      <c r="J152" s="17"/>
      <c r="K152" s="18"/>
      <c r="L152" s="18"/>
      <c r="M152" s="18"/>
      <c r="N152" s="18"/>
      <c r="O152" s="18"/>
      <c r="P152" s="18"/>
      <c r="Q152" s="19"/>
      <c r="R152" s="40"/>
      <c r="S152" s="41"/>
      <c r="T152" s="41"/>
      <c r="U152" s="41"/>
      <c r="V152" s="9"/>
    </row>
    <row r="153" spans="1:22" ht="9.75" customHeight="1" thickBot="1" x14ac:dyDescent="0.3">
      <c r="A153" s="10"/>
      <c r="B153" s="11"/>
      <c r="C153" s="11"/>
      <c r="D153" s="11"/>
      <c r="E153" s="11"/>
      <c r="F153" s="22"/>
      <c r="G153" s="11"/>
      <c r="H153" s="11"/>
      <c r="I153" s="11"/>
      <c r="J153" s="11"/>
      <c r="K153" s="22"/>
      <c r="L153" s="11"/>
      <c r="M153" s="22"/>
      <c r="N153" s="11"/>
      <c r="O153" s="22"/>
      <c r="P153" s="11"/>
      <c r="Q153" s="22"/>
      <c r="R153" s="15"/>
      <c r="S153" s="15"/>
      <c r="T153" s="15"/>
      <c r="U153" s="15"/>
      <c r="V153" s="12"/>
    </row>
    <row r="154" spans="1:22" ht="9.75" customHeight="1" thickBot="1" x14ac:dyDescent="0.3">
      <c r="A154" s="1"/>
      <c r="B154" s="1"/>
      <c r="C154" s="1"/>
      <c r="D154" s="1"/>
      <c r="E154" s="1"/>
      <c r="F154" s="16"/>
      <c r="G154" s="1"/>
      <c r="H154" s="1"/>
      <c r="I154" s="1"/>
      <c r="J154" s="1"/>
      <c r="K154" s="16"/>
      <c r="L154" s="1"/>
      <c r="M154" s="16"/>
      <c r="N154" s="1"/>
      <c r="O154" s="16"/>
      <c r="P154" s="1"/>
      <c r="Q154" s="16"/>
      <c r="R154" s="1"/>
      <c r="S154" s="1"/>
      <c r="T154" s="1"/>
      <c r="U154" s="1"/>
      <c r="V154" s="2"/>
    </row>
    <row r="155" spans="1:22" ht="71.099999999999994" customHeight="1" thickBot="1" x14ac:dyDescent="0.3">
      <c r="A155" s="1"/>
      <c r="B155" s="51" t="str">
        <f>IF(Q155&gt;1,"Считыватель вх",IF(F155&lt;1,"","Считыватель вых"))</f>
        <v>Считыватель вых</v>
      </c>
      <c r="C155" s="52"/>
      <c r="D155" s="53"/>
      <c r="E155" s="53"/>
      <c r="F155" s="54">
        <v>145</v>
      </c>
      <c r="G155" s="54"/>
      <c r="H155" s="55"/>
      <c r="I155" s="56"/>
      <c r="J155" s="33" t="str">
        <f>IF(Q155&gt;1,"замок",IF(K155&gt;1,"замок пож.дв.","замок"))</f>
        <v>замок</v>
      </c>
      <c r="K155" s="20"/>
      <c r="L155" s="34" t="s">
        <v>6</v>
      </c>
      <c r="M155" s="34" t="s">
        <v>7</v>
      </c>
      <c r="N155" s="35" t="s">
        <v>8</v>
      </c>
      <c r="O155" s="20"/>
      <c r="P155" s="35" t="s">
        <v>9</v>
      </c>
      <c r="Q155" s="21"/>
      <c r="R155" s="57" t="s">
        <v>10</v>
      </c>
      <c r="S155" s="58"/>
      <c r="T155" s="58"/>
      <c r="U155" s="58"/>
      <c r="V155" s="58"/>
    </row>
    <row r="156" spans="1:22" ht="15" customHeight="1" x14ac:dyDescent="0.25">
      <c r="A156" s="1"/>
      <c r="B156" s="66" t="str">
        <f>IF(B155="Считыватель вых",B137,IF(B155="Считыватель вх",J156,""))</f>
        <v>пом. 367</v>
      </c>
      <c r="C156" s="61"/>
      <c r="D156" s="61"/>
      <c r="E156" s="61"/>
      <c r="F156" s="61"/>
      <c r="G156" s="61"/>
      <c r="H156" s="61"/>
      <c r="I156" s="61"/>
      <c r="J156" s="59" t="s">
        <v>36</v>
      </c>
      <c r="K156" s="61"/>
      <c r="L156" s="61"/>
      <c r="M156" s="61"/>
      <c r="N156" s="61"/>
      <c r="O156" s="61"/>
      <c r="P156" s="61"/>
      <c r="Q156" s="61"/>
      <c r="R156" s="62" t="s">
        <v>11</v>
      </c>
      <c r="S156" s="62"/>
      <c r="T156" s="62"/>
      <c r="U156" s="62"/>
      <c r="V156" s="62"/>
    </row>
    <row r="157" spans="1:22" ht="9.75" customHeight="1" x14ac:dyDescent="0.25"/>
    <row r="158" spans="1:22" ht="9.75" customHeight="1" x14ac:dyDescent="0.25"/>
    <row r="159" spans="1:22" ht="9.75" customHeight="1" x14ac:dyDescent="0.25"/>
    <row r="160" spans="1:22" x14ac:dyDescent="0.25">
      <c r="A160" s="23"/>
      <c r="B160" s="23"/>
      <c r="C160" s="23"/>
      <c r="D160" s="23"/>
      <c r="E160" s="24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spans="1:22" x14ac:dyDescent="0.25">
      <c r="A161" s="23"/>
      <c r="B161" s="23"/>
      <c r="C161" s="23"/>
      <c r="D161" s="23"/>
      <c r="E161" s="24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spans="1:22" ht="18.75" x14ac:dyDescent="0.3">
      <c r="E162" s="25" t="s">
        <v>0</v>
      </c>
      <c r="G162" s="26"/>
      <c r="H162" s="26"/>
      <c r="I162" s="26"/>
      <c r="J162" s="26"/>
      <c r="K162" s="26"/>
      <c r="L162" s="26"/>
      <c r="M162" s="27" t="s">
        <v>1</v>
      </c>
      <c r="N162" s="36" t="str">
        <f>N141</f>
        <v>3.1</v>
      </c>
    </row>
    <row r="163" spans="1:22" ht="18.75" x14ac:dyDescent="0.3">
      <c r="E163" s="25" t="s">
        <v>29</v>
      </c>
      <c r="J163" s="28"/>
      <c r="K163" s="28"/>
      <c r="L163" s="28"/>
      <c r="M163" s="27" t="s">
        <v>2</v>
      </c>
      <c r="N163" s="29" t="str">
        <f>N162&amp;".1"</f>
        <v>3.1.1</v>
      </c>
    </row>
    <row r="164" spans="1:22" ht="18.75" x14ac:dyDescent="0.3">
      <c r="E164" t="s">
        <v>30</v>
      </c>
      <c r="H164" s="26"/>
      <c r="I164" s="26"/>
      <c r="J164" s="26"/>
      <c r="K164" s="26"/>
      <c r="L164" s="26"/>
      <c r="M164" s="30" t="s">
        <v>2</v>
      </c>
      <c r="N164" s="31">
        <f>N143+1</f>
        <v>5</v>
      </c>
    </row>
    <row r="165" spans="1:22" ht="18.75" x14ac:dyDescent="0.3">
      <c r="E165" t="s">
        <v>3</v>
      </c>
      <c r="L165" s="28"/>
      <c r="M165" s="30" t="s">
        <v>4</v>
      </c>
      <c r="N165" s="43" t="str">
        <f>"-"&amp;N162&amp;".1"</f>
        <v>-3.1.1</v>
      </c>
      <c r="O165" s="43"/>
    </row>
    <row r="166" spans="1:22" ht="18.75" x14ac:dyDescent="0.3">
      <c r="E166" s="32" t="s">
        <v>5</v>
      </c>
      <c r="I166" s="26"/>
      <c r="J166" s="26"/>
      <c r="K166" s="26"/>
      <c r="L166" s="26"/>
      <c r="M166" s="30" t="s">
        <v>2</v>
      </c>
      <c r="N166" s="31">
        <f>N145+1</f>
        <v>9</v>
      </c>
    </row>
    <row r="167" spans="1:22" ht="15.75" thickBot="1" x14ac:dyDescent="0.3">
      <c r="E167" s="48" t="s">
        <v>28</v>
      </c>
      <c r="F167" s="48"/>
      <c r="G167" s="48"/>
      <c r="H167" s="48"/>
      <c r="I167" s="39"/>
      <c r="J167" s="39"/>
      <c r="K167" s="39"/>
      <c r="L167" s="39"/>
      <c r="M167" s="39" t="s">
        <v>2</v>
      </c>
      <c r="N167" s="49" t="s">
        <v>45</v>
      </c>
      <c r="O167" s="49"/>
    </row>
    <row r="168" spans="1:22" ht="9.75" customHeight="1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</row>
    <row r="169" spans="1:22" ht="9.75" customHeight="1" x14ac:dyDescent="0.25">
      <c r="A169" s="13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14"/>
    </row>
    <row r="170" spans="1:22" x14ac:dyDescent="0.25">
      <c r="A170" s="6"/>
      <c r="B170" s="44" t="s">
        <v>31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6"/>
      <c r="V170" s="7"/>
    </row>
    <row r="171" spans="1:22" ht="9" customHeight="1" thickBot="1" x14ac:dyDescent="0.3">
      <c r="A171" s="8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7"/>
    </row>
    <row r="172" spans="1:22" x14ac:dyDescent="0.25">
      <c r="A172" s="8"/>
      <c r="B172" s="63">
        <v>0</v>
      </c>
      <c r="C172" s="64"/>
      <c r="D172" s="64">
        <v>1</v>
      </c>
      <c r="E172" s="64">
        <v>1</v>
      </c>
      <c r="F172" s="64">
        <v>2</v>
      </c>
      <c r="G172" s="64">
        <v>2</v>
      </c>
      <c r="H172" s="64">
        <v>3</v>
      </c>
      <c r="I172" s="65">
        <v>3</v>
      </c>
      <c r="J172" s="63">
        <v>4</v>
      </c>
      <c r="K172" s="64">
        <v>4</v>
      </c>
      <c r="L172" s="64">
        <v>5</v>
      </c>
      <c r="M172" s="64"/>
      <c r="N172" s="64">
        <v>6</v>
      </c>
      <c r="O172" s="64">
        <v>1</v>
      </c>
      <c r="P172" s="64">
        <v>7</v>
      </c>
      <c r="Q172" s="65">
        <v>2</v>
      </c>
      <c r="R172" s="46">
        <v>8</v>
      </c>
      <c r="S172" s="50">
        <v>3</v>
      </c>
      <c r="T172" s="50">
        <v>9</v>
      </c>
      <c r="U172" s="50">
        <v>4</v>
      </c>
      <c r="V172" s="9"/>
    </row>
    <row r="173" spans="1:22" ht="9.75" customHeight="1" thickBot="1" x14ac:dyDescent="0.3">
      <c r="A173" s="8"/>
      <c r="B173" s="17"/>
      <c r="C173" s="18"/>
      <c r="D173" s="18"/>
      <c r="E173" s="18"/>
      <c r="F173" s="18"/>
      <c r="G173" s="18"/>
      <c r="H173" s="18"/>
      <c r="I173" s="19"/>
      <c r="J173" s="17"/>
      <c r="K173" s="18"/>
      <c r="L173" s="18"/>
      <c r="M173" s="18"/>
      <c r="N173" s="18"/>
      <c r="O173" s="18"/>
      <c r="P173" s="18"/>
      <c r="Q173" s="19"/>
      <c r="R173" s="40"/>
      <c r="S173" s="41"/>
      <c r="T173" s="41"/>
      <c r="U173" s="41"/>
      <c r="V173" s="9"/>
    </row>
    <row r="174" spans="1:22" ht="7.5" customHeight="1" thickBot="1" x14ac:dyDescent="0.3">
      <c r="A174" s="10"/>
      <c r="B174" s="11"/>
      <c r="C174" s="11"/>
      <c r="D174" s="11"/>
      <c r="E174" s="11"/>
      <c r="F174" s="22"/>
      <c r="G174" s="11"/>
      <c r="H174" s="11"/>
      <c r="I174" s="11"/>
      <c r="J174" s="11"/>
      <c r="K174" s="22"/>
      <c r="L174" s="11"/>
      <c r="M174" s="22"/>
      <c r="N174" s="11"/>
      <c r="O174" s="22"/>
      <c r="P174" s="11"/>
      <c r="Q174" s="22"/>
      <c r="R174" s="15"/>
      <c r="S174" s="15"/>
      <c r="T174" s="15"/>
      <c r="U174" s="15"/>
      <c r="V174" s="12"/>
    </row>
    <row r="175" spans="1:22" ht="7.5" customHeight="1" thickBot="1" x14ac:dyDescent="0.3">
      <c r="A175" s="1"/>
      <c r="B175" s="1"/>
      <c r="C175" s="1"/>
      <c r="D175" s="1"/>
      <c r="E175" s="1"/>
      <c r="F175" s="16"/>
      <c r="G175" s="1"/>
      <c r="H175" s="1"/>
      <c r="I175" s="1"/>
      <c r="J175" s="1"/>
      <c r="K175" s="16"/>
      <c r="L175" s="1"/>
      <c r="M175" s="16"/>
      <c r="N175" s="1"/>
      <c r="O175" s="16"/>
      <c r="P175" s="1"/>
      <c r="Q175" s="16"/>
      <c r="R175" s="1"/>
      <c r="S175" s="1"/>
      <c r="T175" s="1"/>
      <c r="U175" s="1"/>
      <c r="V175" s="2"/>
    </row>
    <row r="176" spans="1:22" ht="71.099999999999994" customHeight="1" thickBot="1" x14ac:dyDescent="0.3">
      <c r="A176" s="1"/>
      <c r="B176" s="51" t="str">
        <f>IF(Q176&gt;1,"Считыватель вх",IF(F176&lt;1,"","Считыватель вх"))</f>
        <v>Считыватель вх</v>
      </c>
      <c r="C176" s="52"/>
      <c r="D176" s="53"/>
      <c r="E176" s="53"/>
      <c r="F176" s="54">
        <v>157</v>
      </c>
      <c r="G176" s="54"/>
      <c r="H176" s="55"/>
      <c r="I176" s="56"/>
      <c r="J176" s="33" t="str">
        <f>IF(Q176&gt;1,"замок",IF(K176&lt;1,"",IF(F176&lt;1,"замок пож.дв.","замок")))</f>
        <v>замок</v>
      </c>
      <c r="K176" s="20">
        <v>169</v>
      </c>
      <c r="L176" s="34" t="s">
        <v>6</v>
      </c>
      <c r="M176" s="34" t="s">
        <v>7</v>
      </c>
      <c r="N176" s="35" t="s">
        <v>8</v>
      </c>
      <c r="O176" s="20">
        <v>163</v>
      </c>
      <c r="P176" s="35" t="s">
        <v>9</v>
      </c>
      <c r="Q176" s="21"/>
      <c r="R176" s="57" t="s">
        <v>10</v>
      </c>
      <c r="S176" s="58"/>
      <c r="T176" s="58"/>
      <c r="U176" s="58"/>
      <c r="V176" s="58"/>
    </row>
    <row r="177" spans="1:22" ht="15" customHeight="1" x14ac:dyDescent="0.25">
      <c r="A177" s="1"/>
      <c r="B177" s="59" t="s">
        <v>46</v>
      </c>
      <c r="C177" s="60"/>
      <c r="D177" s="60"/>
      <c r="E177" s="60"/>
      <c r="F177" s="60"/>
      <c r="G177" s="60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2" t="s">
        <v>11</v>
      </c>
      <c r="S177" s="62"/>
      <c r="T177" s="62"/>
      <c r="U177" s="62"/>
      <c r="V177" s="62"/>
    </row>
    <row r="178" spans="1:22" ht="8.25" customHeight="1" x14ac:dyDescent="0.25"/>
    <row r="179" spans="1:22" ht="10.5" customHeight="1" x14ac:dyDescent="0.25">
      <c r="A179" s="23"/>
      <c r="B179" s="23"/>
      <c r="C179" s="23"/>
      <c r="D179" s="23"/>
      <c r="E179" s="24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spans="1:22" ht="9" customHeight="1" x14ac:dyDescent="0.25"/>
    <row r="181" spans="1:22" ht="18.75" x14ac:dyDescent="0.3">
      <c r="E181" s="25" t="s">
        <v>0</v>
      </c>
      <c r="G181" s="26"/>
      <c r="H181" s="26"/>
      <c r="I181" s="26"/>
      <c r="J181" s="26"/>
      <c r="K181" s="26"/>
      <c r="L181" s="26"/>
      <c r="M181" s="27" t="s">
        <v>1</v>
      </c>
      <c r="N181" s="36" t="str">
        <f>N162</f>
        <v>3.1</v>
      </c>
    </row>
    <row r="182" spans="1:22" ht="18.75" x14ac:dyDescent="0.3">
      <c r="E182" s="25" t="s">
        <v>29</v>
      </c>
      <c r="J182" s="28"/>
      <c r="K182" s="28"/>
      <c r="L182" s="28"/>
      <c r="M182" s="27" t="s">
        <v>2</v>
      </c>
      <c r="N182" s="29" t="str">
        <f>N162&amp;".1"</f>
        <v>3.1.1</v>
      </c>
    </row>
    <row r="183" spans="1:22" ht="18.75" x14ac:dyDescent="0.3">
      <c r="E183" t="s">
        <v>30</v>
      </c>
      <c r="H183" s="26"/>
      <c r="I183" s="26"/>
      <c r="J183" s="26"/>
      <c r="K183" s="26"/>
      <c r="L183" s="26"/>
      <c r="M183" s="30" t="s">
        <v>2</v>
      </c>
      <c r="N183" s="31">
        <f>N164</f>
        <v>5</v>
      </c>
    </row>
    <row r="184" spans="1:22" ht="18.75" x14ac:dyDescent="0.3">
      <c r="E184" t="s">
        <v>3</v>
      </c>
      <c r="L184" s="28"/>
      <c r="M184" s="30" t="s">
        <v>4</v>
      </c>
      <c r="N184" s="43" t="str">
        <f>N165</f>
        <v>-3.1.1</v>
      </c>
      <c r="O184" s="43"/>
    </row>
    <row r="185" spans="1:22" ht="18.75" x14ac:dyDescent="0.3">
      <c r="E185" s="32" t="s">
        <v>5</v>
      </c>
      <c r="I185" s="26"/>
      <c r="J185" s="26"/>
      <c r="K185" s="26"/>
      <c r="L185" s="26"/>
      <c r="M185" s="30" t="s">
        <v>2</v>
      </c>
      <c r="N185" s="31">
        <f>N166+1</f>
        <v>10</v>
      </c>
    </row>
    <row r="186" spans="1:22" ht="15.75" thickBot="1" x14ac:dyDescent="0.3">
      <c r="E186" s="48" t="s">
        <v>28</v>
      </c>
      <c r="F186" s="48"/>
      <c r="G186" s="48"/>
      <c r="H186" s="48"/>
      <c r="I186" s="39"/>
      <c r="J186" s="39"/>
      <c r="K186" s="39"/>
      <c r="L186" s="39"/>
      <c r="M186" s="39" t="s">
        <v>2</v>
      </c>
      <c r="N186" s="49" t="s">
        <v>45</v>
      </c>
      <c r="O186" s="49"/>
    </row>
    <row r="187" spans="1:22" ht="9" customHeight="1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</row>
    <row r="188" spans="1:22" ht="8.25" customHeight="1" x14ac:dyDescent="0.25">
      <c r="A188" s="13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14"/>
    </row>
    <row r="189" spans="1:22" x14ac:dyDescent="0.25">
      <c r="A189" s="6"/>
      <c r="B189" s="44" t="s">
        <v>32</v>
      </c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6"/>
      <c r="V189" s="7"/>
    </row>
    <row r="190" spans="1:22" ht="7.5" customHeight="1" thickBot="1" x14ac:dyDescent="0.3">
      <c r="A190" s="8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7"/>
    </row>
    <row r="191" spans="1:22" x14ac:dyDescent="0.25">
      <c r="A191" s="8"/>
      <c r="B191" s="63">
        <v>0</v>
      </c>
      <c r="C191" s="64"/>
      <c r="D191" s="64">
        <v>1</v>
      </c>
      <c r="E191" s="64">
        <v>1</v>
      </c>
      <c r="F191" s="64">
        <v>2</v>
      </c>
      <c r="G191" s="64">
        <v>2</v>
      </c>
      <c r="H191" s="64">
        <v>3</v>
      </c>
      <c r="I191" s="65">
        <v>3</v>
      </c>
      <c r="J191" s="63">
        <v>4</v>
      </c>
      <c r="K191" s="64">
        <v>4</v>
      </c>
      <c r="L191" s="64">
        <v>5</v>
      </c>
      <c r="M191" s="64"/>
      <c r="N191" s="64">
        <v>6</v>
      </c>
      <c r="O191" s="64">
        <v>1</v>
      </c>
      <c r="P191" s="64">
        <v>7</v>
      </c>
      <c r="Q191" s="65">
        <v>2</v>
      </c>
      <c r="R191" s="46">
        <v>8</v>
      </c>
      <c r="S191" s="50">
        <v>3</v>
      </c>
      <c r="T191" s="50">
        <v>9</v>
      </c>
      <c r="U191" s="50">
        <v>4</v>
      </c>
      <c r="V191" s="9"/>
    </row>
    <row r="192" spans="1:22" ht="7.5" customHeight="1" thickBot="1" x14ac:dyDescent="0.3">
      <c r="A192" s="8"/>
      <c r="B192" s="17"/>
      <c r="C192" s="18"/>
      <c r="D192" s="18"/>
      <c r="E192" s="18"/>
      <c r="F192" s="18"/>
      <c r="G192" s="18"/>
      <c r="H192" s="18"/>
      <c r="I192" s="19"/>
      <c r="J192" s="17"/>
      <c r="K192" s="18"/>
      <c r="L192" s="18"/>
      <c r="M192" s="18"/>
      <c r="N192" s="18"/>
      <c r="O192" s="18"/>
      <c r="P192" s="18"/>
      <c r="Q192" s="19"/>
      <c r="R192" s="40"/>
      <c r="S192" s="41"/>
      <c r="T192" s="41"/>
      <c r="U192" s="41"/>
      <c r="V192" s="9"/>
    </row>
    <row r="193" spans="1:22" ht="9.75" customHeight="1" thickBot="1" x14ac:dyDescent="0.3">
      <c r="A193" s="10"/>
      <c r="B193" s="11"/>
      <c r="C193" s="11"/>
      <c r="D193" s="11"/>
      <c r="E193" s="11"/>
      <c r="F193" s="22"/>
      <c r="G193" s="11"/>
      <c r="H193" s="11"/>
      <c r="I193" s="11"/>
      <c r="J193" s="11"/>
      <c r="K193" s="22"/>
      <c r="L193" s="11"/>
      <c r="M193" s="22"/>
      <c r="N193" s="11"/>
      <c r="O193" s="22"/>
      <c r="P193" s="11"/>
      <c r="Q193" s="22"/>
      <c r="R193" s="15"/>
      <c r="S193" s="15"/>
      <c r="T193" s="15"/>
      <c r="U193" s="15"/>
      <c r="V193" s="12"/>
    </row>
    <row r="194" spans="1:22" ht="9.75" customHeight="1" thickBot="1" x14ac:dyDescent="0.3">
      <c r="A194" s="1"/>
      <c r="B194" s="1"/>
      <c r="C194" s="1"/>
      <c r="D194" s="1"/>
      <c r="E194" s="1"/>
      <c r="F194" s="16"/>
      <c r="G194" s="1"/>
      <c r="H194" s="1"/>
      <c r="I194" s="1"/>
      <c r="J194" s="1"/>
      <c r="K194" s="16"/>
      <c r="L194" s="1"/>
      <c r="M194" s="16"/>
      <c r="N194" s="1"/>
      <c r="O194" s="16"/>
      <c r="P194" s="1"/>
      <c r="Q194" s="16"/>
      <c r="R194" s="1"/>
      <c r="S194" s="1"/>
      <c r="T194" s="1"/>
      <c r="U194" s="1"/>
      <c r="V194" s="2"/>
    </row>
    <row r="195" spans="1:22" ht="71.099999999999994" customHeight="1" thickBot="1" x14ac:dyDescent="0.3">
      <c r="A195" s="1"/>
      <c r="B195" s="51" t="str">
        <f>IF(Q195&gt;1,"Считыватель вх",IF(F195&lt;1,"","Считыватель вых"))</f>
        <v>Считыватель вых</v>
      </c>
      <c r="C195" s="52"/>
      <c r="D195" s="53"/>
      <c r="E195" s="53"/>
      <c r="F195" s="54">
        <v>160</v>
      </c>
      <c r="G195" s="54"/>
      <c r="H195" s="55"/>
      <c r="I195" s="56"/>
      <c r="J195" s="33" t="str">
        <f>IF(Q195&gt;1,"замок",IF(K195&gt;1,"замок пож.дв.","замок"))</f>
        <v>замок</v>
      </c>
      <c r="K195" s="20"/>
      <c r="L195" s="34" t="s">
        <v>6</v>
      </c>
      <c r="M195" s="34" t="s">
        <v>7</v>
      </c>
      <c r="N195" s="35" t="s">
        <v>8</v>
      </c>
      <c r="O195" s="20"/>
      <c r="P195" s="35" t="s">
        <v>9</v>
      </c>
      <c r="Q195" s="21"/>
      <c r="R195" s="57" t="s">
        <v>10</v>
      </c>
      <c r="S195" s="58"/>
      <c r="T195" s="58"/>
      <c r="U195" s="58"/>
      <c r="V195" s="58"/>
    </row>
    <row r="196" spans="1:22" ht="15" customHeight="1" x14ac:dyDescent="0.25">
      <c r="A196" s="1"/>
      <c r="B196" s="66" t="str">
        <f>IF(B195="Считыватель вых",B177,IF(B195="Считыватель вх",J196,""))</f>
        <v>пом. 353</v>
      </c>
      <c r="C196" s="61"/>
      <c r="D196" s="61"/>
      <c r="E196" s="61"/>
      <c r="F196" s="61"/>
      <c r="G196" s="61"/>
      <c r="H196" s="61"/>
      <c r="I196" s="61"/>
      <c r="J196" s="59" t="s">
        <v>36</v>
      </c>
      <c r="K196" s="61"/>
      <c r="L196" s="61"/>
      <c r="M196" s="61"/>
      <c r="N196" s="61"/>
      <c r="O196" s="61"/>
      <c r="P196" s="61"/>
      <c r="Q196" s="61"/>
      <c r="R196" s="62" t="s">
        <v>11</v>
      </c>
      <c r="S196" s="62"/>
      <c r="T196" s="62"/>
      <c r="U196" s="62"/>
      <c r="V196" s="62"/>
    </row>
    <row r="197" spans="1:22" ht="9.75" customHeight="1" x14ac:dyDescent="0.25"/>
    <row r="198" spans="1:22" ht="9.75" customHeight="1" x14ac:dyDescent="0.25"/>
    <row r="199" spans="1:22" ht="9.75" customHeight="1" x14ac:dyDescent="0.25"/>
    <row r="200" spans="1:22" x14ac:dyDescent="0.25">
      <c r="A200" s="23"/>
      <c r="B200" s="23"/>
      <c r="C200" s="23"/>
      <c r="D200" s="23"/>
      <c r="E200" s="24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spans="1:22" x14ac:dyDescent="0.25">
      <c r="A201" s="23"/>
      <c r="B201" s="23"/>
      <c r="C201" s="23"/>
      <c r="D201" s="23"/>
      <c r="E201" s="24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spans="1:22" ht="18.75" x14ac:dyDescent="0.3">
      <c r="E202" s="25" t="s">
        <v>0</v>
      </c>
      <c r="G202" s="26"/>
      <c r="H202" s="26"/>
      <c r="I202" s="26"/>
      <c r="J202" s="26"/>
      <c r="K202" s="26"/>
      <c r="L202" s="26"/>
      <c r="M202" s="27" t="s">
        <v>1</v>
      </c>
      <c r="N202" s="36" t="str">
        <f>N181</f>
        <v>3.1</v>
      </c>
    </row>
    <row r="203" spans="1:22" ht="18.75" x14ac:dyDescent="0.3">
      <c r="E203" s="25" t="s">
        <v>29</v>
      </c>
      <c r="J203" s="28"/>
      <c r="K203" s="28"/>
      <c r="L203" s="28"/>
      <c r="M203" s="27" t="s">
        <v>2</v>
      </c>
      <c r="N203" s="29" t="str">
        <f>N202&amp;".1"</f>
        <v>3.1.1</v>
      </c>
    </row>
    <row r="204" spans="1:22" ht="18.75" x14ac:dyDescent="0.3">
      <c r="E204" t="s">
        <v>30</v>
      </c>
      <c r="H204" s="26"/>
      <c r="I204" s="26"/>
      <c r="J204" s="26"/>
      <c r="K204" s="26"/>
      <c r="L204" s="26"/>
      <c r="M204" s="30" t="s">
        <v>2</v>
      </c>
      <c r="N204" s="31">
        <f>N183+1</f>
        <v>6</v>
      </c>
    </row>
    <row r="205" spans="1:22" ht="18.75" x14ac:dyDescent="0.3">
      <c r="E205" t="s">
        <v>3</v>
      </c>
      <c r="L205" s="28"/>
      <c r="M205" s="30" t="s">
        <v>4</v>
      </c>
      <c r="N205" s="43" t="str">
        <f>"-"&amp;N202&amp;".1"</f>
        <v>-3.1.1</v>
      </c>
      <c r="O205" s="43"/>
    </row>
    <row r="206" spans="1:22" ht="18.75" x14ac:dyDescent="0.3">
      <c r="E206" s="32" t="s">
        <v>5</v>
      </c>
      <c r="I206" s="26"/>
      <c r="J206" s="26"/>
      <c r="K206" s="26"/>
      <c r="L206" s="26"/>
      <c r="M206" s="30" t="s">
        <v>2</v>
      </c>
      <c r="N206" s="31">
        <f>N185+1</f>
        <v>11</v>
      </c>
    </row>
    <row r="207" spans="1:22" ht="15.75" thickBot="1" x14ac:dyDescent="0.3">
      <c r="E207" s="48" t="s">
        <v>28</v>
      </c>
      <c r="F207" s="48"/>
      <c r="G207" s="48"/>
      <c r="H207" s="48"/>
      <c r="I207" s="39"/>
      <c r="J207" s="39"/>
      <c r="K207" s="39"/>
      <c r="L207" s="39"/>
      <c r="M207" s="39" t="s">
        <v>2</v>
      </c>
      <c r="N207" s="49" t="s">
        <v>37</v>
      </c>
      <c r="O207" s="49"/>
    </row>
    <row r="208" spans="1:22" ht="9.75" customHeight="1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</row>
    <row r="209" spans="1:22" ht="9.75" customHeight="1" x14ac:dyDescent="0.25">
      <c r="A209" s="13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14"/>
    </row>
    <row r="210" spans="1:22" x14ac:dyDescent="0.25">
      <c r="A210" s="6"/>
      <c r="B210" s="44" t="s">
        <v>31</v>
      </c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6"/>
      <c r="V210" s="7"/>
    </row>
    <row r="211" spans="1:22" ht="9" customHeight="1" thickBot="1" x14ac:dyDescent="0.3">
      <c r="A211" s="8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7"/>
    </row>
    <row r="212" spans="1:22" x14ac:dyDescent="0.25">
      <c r="A212" s="8"/>
      <c r="B212" s="63">
        <v>0</v>
      </c>
      <c r="C212" s="64"/>
      <c r="D212" s="64">
        <v>1</v>
      </c>
      <c r="E212" s="64">
        <v>1</v>
      </c>
      <c r="F212" s="64">
        <v>2</v>
      </c>
      <c r="G212" s="64">
        <v>2</v>
      </c>
      <c r="H212" s="64">
        <v>3</v>
      </c>
      <c r="I212" s="65">
        <v>3</v>
      </c>
      <c r="J212" s="63">
        <v>4</v>
      </c>
      <c r="K212" s="64">
        <v>4</v>
      </c>
      <c r="L212" s="64">
        <v>5</v>
      </c>
      <c r="M212" s="64"/>
      <c r="N212" s="64">
        <v>6</v>
      </c>
      <c r="O212" s="64">
        <v>1</v>
      </c>
      <c r="P212" s="64">
        <v>7</v>
      </c>
      <c r="Q212" s="65">
        <v>2</v>
      </c>
      <c r="R212" s="46">
        <v>8</v>
      </c>
      <c r="S212" s="50">
        <v>3</v>
      </c>
      <c r="T212" s="50">
        <v>9</v>
      </c>
      <c r="U212" s="50">
        <v>4</v>
      </c>
      <c r="V212" s="9"/>
    </row>
    <row r="213" spans="1:22" ht="9.75" customHeight="1" thickBot="1" x14ac:dyDescent="0.3">
      <c r="A213" s="8"/>
      <c r="B213" s="17"/>
      <c r="C213" s="18"/>
      <c r="D213" s="18"/>
      <c r="E213" s="18"/>
      <c r="F213" s="18"/>
      <c r="G213" s="18"/>
      <c r="H213" s="18"/>
      <c r="I213" s="19"/>
      <c r="J213" s="17"/>
      <c r="K213" s="18"/>
      <c r="L213" s="18"/>
      <c r="M213" s="18"/>
      <c r="N213" s="18"/>
      <c r="O213" s="18"/>
      <c r="P213" s="18"/>
      <c r="Q213" s="19"/>
      <c r="R213" s="40"/>
      <c r="S213" s="41"/>
      <c r="T213" s="41"/>
      <c r="U213" s="41"/>
      <c r="V213" s="9"/>
    </row>
    <row r="214" spans="1:22" ht="7.5" customHeight="1" thickBot="1" x14ac:dyDescent="0.3">
      <c r="A214" s="10"/>
      <c r="B214" s="11"/>
      <c r="C214" s="11"/>
      <c r="D214" s="11"/>
      <c r="E214" s="11"/>
      <c r="F214" s="22"/>
      <c r="G214" s="11"/>
      <c r="H214" s="11"/>
      <c r="I214" s="11"/>
      <c r="J214" s="11"/>
      <c r="K214" s="22"/>
      <c r="L214" s="11"/>
      <c r="M214" s="22"/>
      <c r="N214" s="11"/>
      <c r="O214" s="22"/>
      <c r="P214" s="11"/>
      <c r="Q214" s="22"/>
      <c r="R214" s="15"/>
      <c r="S214" s="15"/>
      <c r="T214" s="15"/>
      <c r="U214" s="15"/>
      <c r="V214" s="12"/>
    </row>
    <row r="215" spans="1:22" ht="7.5" customHeight="1" thickBot="1" x14ac:dyDescent="0.3">
      <c r="A215" s="1"/>
      <c r="B215" s="1"/>
      <c r="C215" s="1"/>
      <c r="D215" s="1"/>
      <c r="E215" s="1"/>
      <c r="F215" s="16"/>
      <c r="G215" s="1"/>
      <c r="H215" s="1"/>
      <c r="I215" s="1"/>
      <c r="J215" s="1"/>
      <c r="K215" s="16"/>
      <c r="L215" s="1"/>
      <c r="M215" s="16"/>
      <c r="N215" s="1"/>
      <c r="O215" s="16"/>
      <c r="P215" s="1"/>
      <c r="Q215" s="16"/>
      <c r="R215" s="1"/>
      <c r="S215" s="1"/>
      <c r="T215" s="1"/>
      <c r="U215" s="1"/>
      <c r="V215" s="2"/>
    </row>
    <row r="216" spans="1:22" ht="71.099999999999994" customHeight="1" thickBot="1" x14ac:dyDescent="0.3">
      <c r="A216" s="1"/>
      <c r="B216" s="51" t="str">
        <f>IF(Q216&gt;1,"Считыватель вх",IF(F216&lt;1,"","Считыватель вх"))</f>
        <v>Считыватель вх</v>
      </c>
      <c r="C216" s="52"/>
      <c r="D216" s="53"/>
      <c r="E216" s="53"/>
      <c r="F216" s="54">
        <v>73</v>
      </c>
      <c r="G216" s="54"/>
      <c r="H216" s="55"/>
      <c r="I216" s="56"/>
      <c r="J216" s="33" t="str">
        <f>IF(Q216&gt;1,"замок",IF(K216&lt;1,"",IF(F216&lt;1,"замок пож.дв.","замок")))</f>
        <v>замок</v>
      </c>
      <c r="K216" s="20">
        <v>82</v>
      </c>
      <c r="L216" s="34" t="s">
        <v>6</v>
      </c>
      <c r="M216" s="34" t="s">
        <v>7</v>
      </c>
      <c r="N216" s="35" t="s">
        <v>8</v>
      </c>
      <c r="O216" s="20">
        <v>79</v>
      </c>
      <c r="P216" s="35" t="s">
        <v>9</v>
      </c>
      <c r="Q216" s="21">
        <v>76</v>
      </c>
      <c r="R216" s="57" t="s">
        <v>10</v>
      </c>
      <c r="S216" s="58"/>
      <c r="T216" s="58"/>
      <c r="U216" s="58"/>
      <c r="V216" s="58"/>
    </row>
    <row r="217" spans="1:22" ht="15" customHeight="1" x14ac:dyDescent="0.25">
      <c r="A217" s="1"/>
      <c r="B217" s="59" t="s">
        <v>38</v>
      </c>
      <c r="C217" s="60"/>
      <c r="D217" s="60"/>
      <c r="E217" s="60"/>
      <c r="F217" s="60"/>
      <c r="G217" s="60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2" t="s">
        <v>11</v>
      </c>
      <c r="S217" s="62"/>
      <c r="T217" s="62"/>
      <c r="U217" s="62"/>
      <c r="V217" s="62"/>
    </row>
    <row r="218" spans="1:22" ht="8.25" customHeight="1" x14ac:dyDescent="0.25"/>
    <row r="219" spans="1:22" ht="10.5" customHeight="1" x14ac:dyDescent="0.25">
      <c r="A219" s="23"/>
      <c r="B219" s="23"/>
      <c r="C219" s="23"/>
      <c r="D219" s="23"/>
      <c r="E219" s="24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spans="1:22" ht="9" customHeight="1" x14ac:dyDescent="0.25"/>
    <row r="221" spans="1:22" ht="18.75" x14ac:dyDescent="0.3">
      <c r="E221" s="25" t="s">
        <v>0</v>
      </c>
      <c r="G221" s="26"/>
      <c r="H221" s="26"/>
      <c r="I221" s="26"/>
      <c r="J221" s="26"/>
      <c r="K221" s="26"/>
      <c r="L221" s="26"/>
      <c r="M221" s="27" t="s">
        <v>1</v>
      </c>
      <c r="N221" s="36" t="str">
        <f>N202</f>
        <v>3.1</v>
      </c>
    </row>
    <row r="222" spans="1:22" ht="18.75" x14ac:dyDescent="0.3">
      <c r="E222" s="25" t="s">
        <v>29</v>
      </c>
      <c r="J222" s="28"/>
      <c r="K222" s="28"/>
      <c r="L222" s="28"/>
      <c r="M222" s="27" t="s">
        <v>2</v>
      </c>
      <c r="N222" s="29" t="str">
        <f>N202&amp;".1"</f>
        <v>3.1.1</v>
      </c>
    </row>
    <row r="223" spans="1:22" ht="18.75" x14ac:dyDescent="0.3">
      <c r="E223" t="s">
        <v>30</v>
      </c>
      <c r="H223" s="26"/>
      <c r="I223" s="26"/>
      <c r="J223" s="26"/>
      <c r="K223" s="26"/>
      <c r="L223" s="26"/>
      <c r="M223" s="30" t="s">
        <v>2</v>
      </c>
      <c r="N223" s="31">
        <f>N204</f>
        <v>6</v>
      </c>
    </row>
    <row r="224" spans="1:22" ht="18.75" x14ac:dyDescent="0.3">
      <c r="E224" t="s">
        <v>3</v>
      </c>
      <c r="L224" s="28"/>
      <c r="M224" s="30" t="s">
        <v>4</v>
      </c>
      <c r="N224" s="43" t="str">
        <f>N205</f>
        <v>-3.1.1</v>
      </c>
      <c r="O224" s="43"/>
    </row>
    <row r="225" spans="1:22" ht="18.75" x14ac:dyDescent="0.3">
      <c r="E225" s="32" t="s">
        <v>5</v>
      </c>
      <c r="I225" s="26"/>
      <c r="J225" s="26"/>
      <c r="K225" s="26"/>
      <c r="L225" s="26"/>
      <c r="M225" s="30" t="s">
        <v>2</v>
      </c>
      <c r="N225" s="31">
        <f>N206+1</f>
        <v>12</v>
      </c>
    </row>
    <row r="226" spans="1:22" ht="15.75" thickBot="1" x14ac:dyDescent="0.3">
      <c r="E226" s="48" t="s">
        <v>28</v>
      </c>
      <c r="F226" s="48"/>
      <c r="G226" s="48"/>
      <c r="H226" s="48"/>
      <c r="I226" s="39"/>
      <c r="J226" s="39"/>
      <c r="K226" s="39"/>
      <c r="L226" s="39"/>
      <c r="M226" s="39" t="s">
        <v>2</v>
      </c>
      <c r="N226" s="49" t="s">
        <v>37</v>
      </c>
      <c r="O226" s="49"/>
    </row>
    <row r="227" spans="1:22" ht="9" customHeight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</row>
    <row r="228" spans="1:22" ht="8.25" customHeight="1" x14ac:dyDescent="0.25">
      <c r="A228" s="13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14"/>
    </row>
    <row r="229" spans="1:22" x14ac:dyDescent="0.25">
      <c r="A229" s="6"/>
      <c r="B229" s="44" t="s">
        <v>32</v>
      </c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6"/>
      <c r="V229" s="7"/>
    </row>
    <row r="230" spans="1:22" ht="7.5" customHeight="1" thickBot="1" x14ac:dyDescent="0.3">
      <c r="A230" s="8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7"/>
    </row>
    <row r="231" spans="1:22" x14ac:dyDescent="0.25">
      <c r="A231" s="8"/>
      <c r="B231" s="63">
        <v>0</v>
      </c>
      <c r="C231" s="64"/>
      <c r="D231" s="64">
        <v>1</v>
      </c>
      <c r="E231" s="64">
        <v>1</v>
      </c>
      <c r="F231" s="64">
        <v>2</v>
      </c>
      <c r="G231" s="64">
        <v>2</v>
      </c>
      <c r="H231" s="64">
        <v>3</v>
      </c>
      <c r="I231" s="65">
        <v>3</v>
      </c>
      <c r="J231" s="63">
        <v>4</v>
      </c>
      <c r="K231" s="64">
        <v>4</v>
      </c>
      <c r="L231" s="64">
        <v>5</v>
      </c>
      <c r="M231" s="64"/>
      <c r="N231" s="64">
        <v>6</v>
      </c>
      <c r="O231" s="64">
        <v>1</v>
      </c>
      <c r="P231" s="64">
        <v>7</v>
      </c>
      <c r="Q231" s="65">
        <v>2</v>
      </c>
      <c r="R231" s="46">
        <v>8</v>
      </c>
      <c r="S231" s="50">
        <v>3</v>
      </c>
      <c r="T231" s="50">
        <v>9</v>
      </c>
      <c r="U231" s="50">
        <v>4</v>
      </c>
      <c r="V231" s="9"/>
    </row>
    <row r="232" spans="1:22" ht="7.5" customHeight="1" thickBot="1" x14ac:dyDescent="0.3">
      <c r="A232" s="8"/>
      <c r="B232" s="17"/>
      <c r="C232" s="18"/>
      <c r="D232" s="18"/>
      <c r="E232" s="18"/>
      <c r="F232" s="18"/>
      <c r="G232" s="18"/>
      <c r="H232" s="18"/>
      <c r="I232" s="19"/>
      <c r="J232" s="17"/>
      <c r="K232" s="18"/>
      <c r="L232" s="18"/>
      <c r="M232" s="18"/>
      <c r="N232" s="18"/>
      <c r="O232" s="18"/>
      <c r="P232" s="18"/>
      <c r="Q232" s="19"/>
      <c r="R232" s="40"/>
      <c r="S232" s="41"/>
      <c r="T232" s="41"/>
      <c r="U232" s="41"/>
      <c r="V232" s="9"/>
    </row>
    <row r="233" spans="1:22" ht="9.75" customHeight="1" thickBot="1" x14ac:dyDescent="0.3">
      <c r="A233" s="10"/>
      <c r="B233" s="11"/>
      <c r="C233" s="11"/>
      <c r="D233" s="11"/>
      <c r="E233" s="11"/>
      <c r="F233" s="22"/>
      <c r="G233" s="11"/>
      <c r="H233" s="11"/>
      <c r="I233" s="11"/>
      <c r="J233" s="11"/>
      <c r="K233" s="22"/>
      <c r="L233" s="11"/>
      <c r="M233" s="22"/>
      <c r="N233" s="11"/>
      <c r="O233" s="22"/>
      <c r="P233" s="11"/>
      <c r="Q233" s="22"/>
      <c r="R233" s="15"/>
      <c r="S233" s="15"/>
      <c r="T233" s="15"/>
      <c r="U233" s="15"/>
      <c r="V233" s="12"/>
    </row>
    <row r="234" spans="1:22" ht="9.75" customHeight="1" thickBot="1" x14ac:dyDescent="0.3">
      <c r="A234" s="1"/>
      <c r="B234" s="1"/>
      <c r="C234" s="1"/>
      <c r="D234" s="1"/>
      <c r="E234" s="1"/>
      <c r="F234" s="16"/>
      <c r="G234" s="1"/>
      <c r="H234" s="1"/>
      <c r="I234" s="1"/>
      <c r="J234" s="1"/>
      <c r="K234" s="16"/>
      <c r="L234" s="1"/>
      <c r="M234" s="16"/>
      <c r="N234" s="1"/>
      <c r="O234" s="16"/>
      <c r="P234" s="1"/>
      <c r="Q234" s="16"/>
      <c r="R234" s="1"/>
      <c r="S234" s="1"/>
      <c r="T234" s="1"/>
      <c r="U234" s="1"/>
      <c r="V234" s="2"/>
    </row>
    <row r="235" spans="1:22" ht="71.099999999999994" customHeight="1" thickBot="1" x14ac:dyDescent="0.3">
      <c r="A235" s="1"/>
      <c r="B235" s="51" t="str">
        <f>IF(Q235&gt;1,"Считыватель вх",IF(F235&lt;1,"","Считыватель вых"))</f>
        <v/>
      </c>
      <c r="C235" s="52"/>
      <c r="D235" s="53"/>
      <c r="E235" s="53"/>
      <c r="F235" s="54"/>
      <c r="G235" s="54"/>
      <c r="H235" s="55"/>
      <c r="I235" s="56"/>
      <c r="J235" s="33" t="str">
        <f>IF(Q235&gt;1,"замок",IF(K235&gt;1,"замок пож.дв.","замок"))</f>
        <v>замок</v>
      </c>
      <c r="K235" s="20"/>
      <c r="L235" s="34" t="s">
        <v>6</v>
      </c>
      <c r="M235" s="34" t="s">
        <v>7</v>
      </c>
      <c r="N235" s="35" t="s">
        <v>8</v>
      </c>
      <c r="O235" s="20"/>
      <c r="P235" s="35" t="s">
        <v>9</v>
      </c>
      <c r="Q235" s="21"/>
      <c r="R235" s="57" t="s">
        <v>10</v>
      </c>
      <c r="S235" s="58"/>
      <c r="T235" s="58"/>
      <c r="U235" s="58"/>
      <c r="V235" s="58"/>
    </row>
    <row r="236" spans="1:22" ht="15" customHeight="1" x14ac:dyDescent="0.25">
      <c r="A236" s="1"/>
      <c r="B236" s="66" t="str">
        <f>IF(B235="Считыватель вых",B217,IF(B235="Считыватель вх",J236,""))</f>
        <v/>
      </c>
      <c r="C236" s="61"/>
      <c r="D236" s="61"/>
      <c r="E236" s="61"/>
      <c r="F236" s="61"/>
      <c r="G236" s="61"/>
      <c r="H236" s="61"/>
      <c r="I236" s="61"/>
      <c r="J236" s="59" t="s">
        <v>36</v>
      </c>
      <c r="K236" s="61"/>
      <c r="L236" s="61"/>
      <c r="M236" s="61"/>
      <c r="N236" s="61"/>
      <c r="O236" s="61"/>
      <c r="P236" s="61"/>
      <c r="Q236" s="61"/>
      <c r="R236" s="62" t="s">
        <v>11</v>
      </c>
      <c r="S236" s="62"/>
      <c r="T236" s="62"/>
      <c r="U236" s="62"/>
      <c r="V236" s="62"/>
    </row>
    <row r="237" spans="1:22" ht="9.75" customHeight="1" x14ac:dyDescent="0.25"/>
    <row r="238" spans="1:22" ht="9.75" customHeight="1" x14ac:dyDescent="0.25"/>
    <row r="239" spans="1:22" ht="9.75" customHeight="1" x14ac:dyDescent="0.25"/>
    <row r="240" spans="1:22" x14ac:dyDescent="0.25">
      <c r="A240" s="23"/>
      <c r="B240" s="23"/>
      <c r="C240" s="23"/>
      <c r="D240" s="23"/>
      <c r="E240" s="24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 spans="1:22" hidden="1" x14ac:dyDescent="0.25">
      <c r="A241" s="23"/>
      <c r="B241" s="23"/>
      <c r="C241" s="23"/>
      <c r="D241" s="23"/>
      <c r="E241" s="24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 spans="1:22" ht="18.75" hidden="1" x14ac:dyDescent="0.3">
      <c r="E242" s="25" t="s">
        <v>0</v>
      </c>
      <c r="G242" s="26"/>
      <c r="H242" s="26"/>
      <c r="I242" s="26"/>
      <c r="J242" s="26"/>
      <c r="K242" s="26"/>
      <c r="L242" s="26"/>
      <c r="M242" s="27" t="s">
        <v>1</v>
      </c>
      <c r="N242" s="36" t="str">
        <f>N221</f>
        <v>3.1</v>
      </c>
    </row>
    <row r="243" spans="1:22" ht="18.75" hidden="1" x14ac:dyDescent="0.3">
      <c r="E243" s="25" t="s">
        <v>29</v>
      </c>
      <c r="J243" s="28"/>
      <c r="K243" s="28"/>
      <c r="L243" s="28"/>
      <c r="M243" s="27" t="s">
        <v>2</v>
      </c>
      <c r="N243" s="29" t="str">
        <f>N242&amp;".1"</f>
        <v>3.1.1</v>
      </c>
    </row>
    <row r="244" spans="1:22" ht="18.75" hidden="1" x14ac:dyDescent="0.3">
      <c r="E244" t="s">
        <v>30</v>
      </c>
      <c r="H244" s="26"/>
      <c r="I244" s="26"/>
      <c r="J244" s="26"/>
      <c r="K244" s="26"/>
      <c r="L244" s="26"/>
      <c r="M244" s="30" t="s">
        <v>2</v>
      </c>
      <c r="N244" s="31">
        <f>N223+1</f>
        <v>7</v>
      </c>
    </row>
    <row r="245" spans="1:22" ht="18.75" hidden="1" x14ac:dyDescent="0.3">
      <c r="E245" t="s">
        <v>3</v>
      </c>
      <c r="L245" s="28"/>
      <c r="M245" s="30" t="s">
        <v>4</v>
      </c>
      <c r="N245" s="43" t="str">
        <f>"-"&amp;N242&amp;".1"</f>
        <v>-3.1.1</v>
      </c>
      <c r="O245" s="43"/>
    </row>
    <row r="246" spans="1:22" ht="18.75" hidden="1" x14ac:dyDescent="0.3">
      <c r="E246" s="32" t="s">
        <v>5</v>
      </c>
      <c r="I246" s="26"/>
      <c r="J246" s="26"/>
      <c r="K246" s="26"/>
      <c r="L246" s="26"/>
      <c r="M246" s="30" t="s">
        <v>2</v>
      </c>
      <c r="N246" s="31">
        <f>N225+1</f>
        <v>13</v>
      </c>
    </row>
    <row r="247" spans="1:22" ht="15.75" hidden="1" thickBot="1" x14ac:dyDescent="0.3">
      <c r="E247" s="48" t="s">
        <v>28</v>
      </c>
      <c r="F247" s="48"/>
      <c r="G247" s="48"/>
      <c r="H247" s="48"/>
      <c r="I247" s="39"/>
      <c r="J247" s="39"/>
      <c r="K247" s="39"/>
      <c r="L247" s="39"/>
      <c r="M247" s="39" t="s">
        <v>2</v>
      </c>
      <c r="N247" s="49"/>
      <c r="O247" s="49"/>
    </row>
    <row r="248" spans="1:22" ht="9.75" hidden="1" customHeight="1" x14ac:dyDescent="0.25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</row>
    <row r="249" spans="1:22" ht="9.75" hidden="1" customHeight="1" x14ac:dyDescent="0.25">
      <c r="A249" s="13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14"/>
    </row>
    <row r="250" spans="1:22" hidden="1" x14ac:dyDescent="0.25">
      <c r="A250" s="6"/>
      <c r="B250" s="44" t="s">
        <v>31</v>
      </c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7"/>
    </row>
    <row r="251" spans="1:22" ht="9" hidden="1" customHeight="1" thickBot="1" x14ac:dyDescent="0.3">
      <c r="A251" s="8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7"/>
    </row>
    <row r="252" spans="1:22" hidden="1" x14ac:dyDescent="0.25">
      <c r="A252" s="8"/>
      <c r="B252" s="63">
        <v>0</v>
      </c>
      <c r="C252" s="64"/>
      <c r="D252" s="64">
        <v>1</v>
      </c>
      <c r="E252" s="64">
        <v>1</v>
      </c>
      <c r="F252" s="64">
        <v>2</v>
      </c>
      <c r="G252" s="64">
        <v>2</v>
      </c>
      <c r="H252" s="64">
        <v>3</v>
      </c>
      <c r="I252" s="65">
        <v>3</v>
      </c>
      <c r="J252" s="63">
        <v>4</v>
      </c>
      <c r="K252" s="64">
        <v>4</v>
      </c>
      <c r="L252" s="64">
        <v>5</v>
      </c>
      <c r="M252" s="64"/>
      <c r="N252" s="64">
        <v>6</v>
      </c>
      <c r="O252" s="64">
        <v>1</v>
      </c>
      <c r="P252" s="64">
        <v>7</v>
      </c>
      <c r="Q252" s="65">
        <v>2</v>
      </c>
      <c r="R252" s="46">
        <v>8</v>
      </c>
      <c r="S252" s="50">
        <v>3</v>
      </c>
      <c r="T252" s="50">
        <v>9</v>
      </c>
      <c r="U252" s="50">
        <v>4</v>
      </c>
      <c r="V252" s="9"/>
    </row>
    <row r="253" spans="1:22" ht="9.75" hidden="1" customHeight="1" thickBot="1" x14ac:dyDescent="0.3">
      <c r="A253" s="8"/>
      <c r="B253" s="17"/>
      <c r="C253" s="18"/>
      <c r="D253" s="18"/>
      <c r="E253" s="18"/>
      <c r="F253" s="18"/>
      <c r="G253" s="18"/>
      <c r="H253" s="18"/>
      <c r="I253" s="19"/>
      <c r="J253" s="17"/>
      <c r="K253" s="18"/>
      <c r="L253" s="18"/>
      <c r="M253" s="18"/>
      <c r="N253" s="18"/>
      <c r="O253" s="18"/>
      <c r="P253" s="18"/>
      <c r="Q253" s="19"/>
      <c r="R253" s="40"/>
      <c r="S253" s="41"/>
      <c r="T253" s="41"/>
      <c r="U253" s="41"/>
      <c r="V253" s="9"/>
    </row>
    <row r="254" spans="1:22" ht="7.5" hidden="1" customHeight="1" thickBot="1" x14ac:dyDescent="0.3">
      <c r="A254" s="10"/>
      <c r="B254" s="11"/>
      <c r="C254" s="11"/>
      <c r="D254" s="11"/>
      <c r="E254" s="11"/>
      <c r="F254" s="22"/>
      <c r="G254" s="11"/>
      <c r="H254" s="11"/>
      <c r="I254" s="11"/>
      <c r="J254" s="11"/>
      <c r="K254" s="22"/>
      <c r="L254" s="11"/>
      <c r="M254" s="22"/>
      <c r="N254" s="11"/>
      <c r="O254" s="22"/>
      <c r="P254" s="11"/>
      <c r="Q254" s="22"/>
      <c r="R254" s="15"/>
      <c r="S254" s="15"/>
      <c r="T254" s="15"/>
      <c r="U254" s="15"/>
      <c r="V254" s="12"/>
    </row>
    <row r="255" spans="1:22" ht="7.5" hidden="1" customHeight="1" thickBot="1" x14ac:dyDescent="0.3">
      <c r="A255" s="1"/>
      <c r="B255" s="1"/>
      <c r="C255" s="1"/>
      <c r="D255" s="1"/>
      <c r="E255" s="1"/>
      <c r="F255" s="16"/>
      <c r="G255" s="1"/>
      <c r="H255" s="1"/>
      <c r="I255" s="1"/>
      <c r="J255" s="1"/>
      <c r="K255" s="16"/>
      <c r="L255" s="1"/>
      <c r="M255" s="16"/>
      <c r="N255" s="1"/>
      <c r="O255" s="16"/>
      <c r="P255" s="1"/>
      <c r="Q255" s="16"/>
      <c r="R255" s="1"/>
      <c r="S255" s="1"/>
      <c r="T255" s="1"/>
      <c r="U255" s="1"/>
      <c r="V255" s="2"/>
    </row>
    <row r="256" spans="1:22" ht="71.099999999999994" hidden="1" customHeight="1" thickBot="1" x14ac:dyDescent="0.3">
      <c r="A256" s="1"/>
      <c r="B256" s="51" t="str">
        <f>IF(Q256&gt;1,"Считыватель вх",IF(F256&lt;1,"","Считыватель вх"))</f>
        <v/>
      </c>
      <c r="C256" s="52"/>
      <c r="D256" s="53"/>
      <c r="E256" s="53"/>
      <c r="F256" s="54"/>
      <c r="G256" s="54"/>
      <c r="H256" s="55"/>
      <c r="I256" s="56"/>
      <c r="J256" s="33" t="str">
        <f>IF(Q256&gt;1,"замок",IF(K256&lt;1,"",IF(F256&lt;1,"замок пож.дв.","замок")))</f>
        <v/>
      </c>
      <c r="K256" s="20"/>
      <c r="L256" s="34" t="s">
        <v>6</v>
      </c>
      <c r="M256" s="34" t="s">
        <v>7</v>
      </c>
      <c r="N256" s="35" t="s">
        <v>8</v>
      </c>
      <c r="O256" s="20"/>
      <c r="P256" s="35" t="s">
        <v>9</v>
      </c>
      <c r="Q256" s="21"/>
      <c r="R256" s="57" t="s">
        <v>10</v>
      </c>
      <c r="S256" s="58"/>
      <c r="T256" s="58"/>
      <c r="U256" s="58"/>
      <c r="V256" s="58"/>
    </row>
    <row r="257" spans="1:22" ht="15" hidden="1" customHeight="1" x14ac:dyDescent="0.25">
      <c r="A257" s="1"/>
      <c r="B257" s="59" t="s">
        <v>47</v>
      </c>
      <c r="C257" s="60"/>
      <c r="D257" s="60"/>
      <c r="E257" s="60"/>
      <c r="F257" s="60"/>
      <c r="G257" s="60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2" t="s">
        <v>11</v>
      </c>
      <c r="S257" s="62"/>
      <c r="T257" s="62"/>
      <c r="U257" s="62"/>
      <c r="V257" s="62"/>
    </row>
    <row r="258" spans="1:22" ht="8.25" hidden="1" customHeight="1" x14ac:dyDescent="0.25"/>
    <row r="259" spans="1:22" ht="10.5" hidden="1" customHeight="1" x14ac:dyDescent="0.25">
      <c r="A259" s="23"/>
      <c r="B259" s="23"/>
      <c r="C259" s="23"/>
      <c r="D259" s="23"/>
      <c r="E259" s="24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 spans="1:22" ht="9" hidden="1" customHeight="1" x14ac:dyDescent="0.25"/>
    <row r="261" spans="1:22" ht="18.75" hidden="1" x14ac:dyDescent="0.3">
      <c r="E261" s="25" t="s">
        <v>0</v>
      </c>
      <c r="G261" s="26"/>
      <c r="H261" s="26"/>
      <c r="I261" s="26"/>
      <c r="J261" s="26"/>
      <c r="K261" s="26"/>
      <c r="L261" s="26"/>
      <c r="M261" s="27" t="s">
        <v>1</v>
      </c>
      <c r="N261" s="36" t="str">
        <f>N242</f>
        <v>3.1</v>
      </c>
    </row>
    <row r="262" spans="1:22" ht="18.75" hidden="1" x14ac:dyDescent="0.3">
      <c r="E262" s="25" t="s">
        <v>29</v>
      </c>
      <c r="J262" s="28"/>
      <c r="K262" s="28"/>
      <c r="L262" s="28"/>
      <c r="M262" s="27" t="s">
        <v>2</v>
      </c>
      <c r="N262" s="29" t="str">
        <f>N242&amp;".1"</f>
        <v>3.1.1</v>
      </c>
    </row>
    <row r="263" spans="1:22" ht="18.75" hidden="1" x14ac:dyDescent="0.3">
      <c r="E263" t="s">
        <v>30</v>
      </c>
      <c r="H263" s="26"/>
      <c r="I263" s="26"/>
      <c r="J263" s="26"/>
      <c r="K263" s="26"/>
      <c r="L263" s="26"/>
      <c r="M263" s="30" t="s">
        <v>2</v>
      </c>
      <c r="N263" s="31">
        <f>N244</f>
        <v>7</v>
      </c>
    </row>
    <row r="264" spans="1:22" ht="18.75" hidden="1" x14ac:dyDescent="0.3">
      <c r="E264" t="s">
        <v>3</v>
      </c>
      <c r="L264" s="28"/>
      <c r="M264" s="30" t="s">
        <v>4</v>
      </c>
      <c r="N264" s="43" t="str">
        <f>N245</f>
        <v>-3.1.1</v>
      </c>
      <c r="O264" s="43"/>
    </row>
    <row r="265" spans="1:22" ht="18.75" hidden="1" x14ac:dyDescent="0.3">
      <c r="E265" s="32" t="s">
        <v>5</v>
      </c>
      <c r="I265" s="26"/>
      <c r="J265" s="26"/>
      <c r="K265" s="26"/>
      <c r="L265" s="26"/>
      <c r="M265" s="30" t="s">
        <v>2</v>
      </c>
      <c r="N265" s="31">
        <f>N246+1</f>
        <v>14</v>
      </c>
    </row>
    <row r="266" spans="1:22" ht="15.75" hidden="1" thickBot="1" x14ac:dyDescent="0.3">
      <c r="E266" s="48" t="s">
        <v>28</v>
      </c>
      <c r="F266" s="48"/>
      <c r="G266" s="48"/>
      <c r="H266" s="48"/>
      <c r="I266" s="39"/>
      <c r="J266" s="39"/>
      <c r="K266" s="39"/>
      <c r="L266" s="39"/>
      <c r="M266" s="39" t="s">
        <v>2</v>
      </c>
      <c r="N266" s="49" t="s">
        <v>37</v>
      </c>
      <c r="O266" s="49"/>
    </row>
    <row r="267" spans="1:22" ht="9" hidden="1" customHeight="1" x14ac:dyDescent="0.25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</row>
    <row r="268" spans="1:22" ht="8.25" hidden="1" customHeight="1" x14ac:dyDescent="0.25">
      <c r="A268" s="13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14"/>
    </row>
    <row r="269" spans="1:22" hidden="1" x14ac:dyDescent="0.25">
      <c r="A269" s="6"/>
      <c r="B269" s="44" t="s">
        <v>32</v>
      </c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7"/>
    </row>
    <row r="270" spans="1:22" ht="7.5" hidden="1" customHeight="1" thickBot="1" x14ac:dyDescent="0.3">
      <c r="A270" s="8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7"/>
    </row>
    <row r="271" spans="1:22" hidden="1" x14ac:dyDescent="0.25">
      <c r="A271" s="8"/>
      <c r="B271" s="63">
        <v>0</v>
      </c>
      <c r="C271" s="64"/>
      <c r="D271" s="64">
        <v>1</v>
      </c>
      <c r="E271" s="64">
        <v>1</v>
      </c>
      <c r="F271" s="64">
        <v>2</v>
      </c>
      <c r="G271" s="64">
        <v>2</v>
      </c>
      <c r="H271" s="64">
        <v>3</v>
      </c>
      <c r="I271" s="65">
        <v>3</v>
      </c>
      <c r="J271" s="63">
        <v>4</v>
      </c>
      <c r="K271" s="64">
        <v>4</v>
      </c>
      <c r="L271" s="64">
        <v>5</v>
      </c>
      <c r="M271" s="64"/>
      <c r="N271" s="64">
        <v>6</v>
      </c>
      <c r="O271" s="64">
        <v>1</v>
      </c>
      <c r="P271" s="64">
        <v>7</v>
      </c>
      <c r="Q271" s="65">
        <v>2</v>
      </c>
      <c r="R271" s="46">
        <v>8</v>
      </c>
      <c r="S271" s="50">
        <v>3</v>
      </c>
      <c r="T271" s="50">
        <v>9</v>
      </c>
      <c r="U271" s="50">
        <v>4</v>
      </c>
      <c r="V271" s="9"/>
    </row>
    <row r="272" spans="1:22" ht="7.5" hidden="1" customHeight="1" thickBot="1" x14ac:dyDescent="0.3">
      <c r="A272" s="8"/>
      <c r="B272" s="17"/>
      <c r="C272" s="18"/>
      <c r="D272" s="18"/>
      <c r="E272" s="18"/>
      <c r="F272" s="18"/>
      <c r="G272" s="18"/>
      <c r="H272" s="18"/>
      <c r="I272" s="19"/>
      <c r="J272" s="17"/>
      <c r="K272" s="18"/>
      <c r="L272" s="18"/>
      <c r="M272" s="18"/>
      <c r="N272" s="18"/>
      <c r="O272" s="18"/>
      <c r="P272" s="18"/>
      <c r="Q272" s="19"/>
      <c r="R272" s="40"/>
      <c r="S272" s="41"/>
      <c r="T272" s="41"/>
      <c r="U272" s="41"/>
      <c r="V272" s="9"/>
    </row>
    <row r="273" spans="1:22" ht="9.75" hidden="1" customHeight="1" thickBot="1" x14ac:dyDescent="0.3">
      <c r="A273" s="10"/>
      <c r="B273" s="11"/>
      <c r="C273" s="11"/>
      <c r="D273" s="11"/>
      <c r="E273" s="11"/>
      <c r="F273" s="22"/>
      <c r="G273" s="11"/>
      <c r="H273" s="11"/>
      <c r="I273" s="11"/>
      <c r="J273" s="11"/>
      <c r="K273" s="22"/>
      <c r="L273" s="11"/>
      <c r="M273" s="22"/>
      <c r="N273" s="11"/>
      <c r="O273" s="22"/>
      <c r="P273" s="11"/>
      <c r="Q273" s="22"/>
      <c r="R273" s="15"/>
      <c r="S273" s="15"/>
      <c r="T273" s="15"/>
      <c r="U273" s="15"/>
      <c r="V273" s="12"/>
    </row>
    <row r="274" spans="1:22" ht="9.75" hidden="1" customHeight="1" thickBot="1" x14ac:dyDescent="0.3">
      <c r="A274" s="1"/>
      <c r="B274" s="1"/>
      <c r="C274" s="1"/>
      <c r="D274" s="1"/>
      <c r="E274" s="1"/>
      <c r="F274" s="16"/>
      <c r="G274" s="1"/>
      <c r="H274" s="1"/>
      <c r="I274" s="1"/>
      <c r="J274" s="1"/>
      <c r="K274" s="16"/>
      <c r="L274" s="1"/>
      <c r="M274" s="16"/>
      <c r="N274" s="1"/>
      <c r="O274" s="16"/>
      <c r="P274" s="1"/>
      <c r="Q274" s="16"/>
      <c r="R274" s="1"/>
      <c r="S274" s="1"/>
      <c r="T274" s="1"/>
      <c r="U274" s="1"/>
      <c r="V274" s="2"/>
    </row>
    <row r="275" spans="1:22" ht="71.099999999999994" hidden="1" customHeight="1" thickBot="1" x14ac:dyDescent="0.3">
      <c r="A275" s="1"/>
      <c r="B275" s="51" t="str">
        <f>IF(Q275&gt;1,"Считыватель вх",IF(F275&lt;1,"","Считыватель вых"))</f>
        <v/>
      </c>
      <c r="C275" s="52"/>
      <c r="D275" s="53"/>
      <c r="E275" s="53"/>
      <c r="F275" s="54"/>
      <c r="G275" s="54"/>
      <c r="H275" s="55"/>
      <c r="I275" s="56"/>
      <c r="J275" s="33" t="str">
        <f>IF(Q275&gt;1,"замок",IF(K275&gt;1,"замок пож.дв.","замок"))</f>
        <v>замок</v>
      </c>
      <c r="K275" s="20"/>
      <c r="L275" s="34" t="s">
        <v>6</v>
      </c>
      <c r="M275" s="34" t="s">
        <v>7</v>
      </c>
      <c r="N275" s="35" t="s">
        <v>8</v>
      </c>
      <c r="O275" s="20"/>
      <c r="P275" s="35" t="s">
        <v>9</v>
      </c>
      <c r="Q275" s="21"/>
      <c r="R275" s="57" t="s">
        <v>10</v>
      </c>
      <c r="S275" s="58"/>
      <c r="T275" s="58"/>
      <c r="U275" s="58"/>
      <c r="V275" s="58"/>
    </row>
    <row r="276" spans="1:22" ht="15" hidden="1" customHeight="1" x14ac:dyDescent="0.25">
      <c r="A276" s="1"/>
      <c r="B276" s="66" t="str">
        <f>IF(B275="Считыватель вых",B257,IF(B275="Считыватель вх",J276,""))</f>
        <v/>
      </c>
      <c r="C276" s="61"/>
      <c r="D276" s="61"/>
      <c r="E276" s="61"/>
      <c r="F276" s="61"/>
      <c r="G276" s="61"/>
      <c r="H276" s="61"/>
      <c r="I276" s="61"/>
      <c r="J276" s="59" t="s">
        <v>36</v>
      </c>
      <c r="K276" s="61"/>
      <c r="L276" s="61"/>
      <c r="M276" s="61"/>
      <c r="N276" s="61"/>
      <c r="O276" s="61"/>
      <c r="P276" s="61"/>
      <c r="Q276" s="61"/>
      <c r="R276" s="62" t="s">
        <v>11</v>
      </c>
      <c r="S276" s="62"/>
      <c r="T276" s="62"/>
      <c r="U276" s="62"/>
      <c r="V276" s="62"/>
    </row>
    <row r="277" spans="1:22" ht="9.75" hidden="1" customHeight="1" x14ac:dyDescent="0.25"/>
    <row r="278" spans="1:22" ht="9.75" hidden="1" customHeight="1" x14ac:dyDescent="0.25"/>
    <row r="279" spans="1:22" ht="9.75" hidden="1" customHeight="1" x14ac:dyDescent="0.25"/>
    <row r="280" spans="1:22" hidden="1" x14ac:dyDescent="0.25">
      <c r="A280" s="23"/>
      <c r="B280" s="23"/>
      <c r="C280" s="23"/>
      <c r="D280" s="23"/>
      <c r="E280" s="24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</sheetData>
  <mergeCells count="413">
    <mergeCell ref="T271:U271"/>
    <mergeCell ref="B275:E275"/>
    <mergeCell ref="F275:I275"/>
    <mergeCell ref="R275:V275"/>
    <mergeCell ref="B276:I276"/>
    <mergeCell ref="J276:Q276"/>
    <mergeCell ref="R276:V276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B269:U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T252:U252"/>
    <mergeCell ref="B256:E256"/>
    <mergeCell ref="F256:I256"/>
    <mergeCell ref="R256:V256"/>
    <mergeCell ref="B257:Q257"/>
    <mergeCell ref="R257:V257"/>
    <mergeCell ref="N264:O264"/>
    <mergeCell ref="E266:H266"/>
    <mergeCell ref="N266:O266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N245:O245"/>
    <mergeCell ref="E247:H247"/>
    <mergeCell ref="N247:O247"/>
    <mergeCell ref="B250:U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N205:O205"/>
    <mergeCell ref="T231:U231"/>
    <mergeCell ref="B235:E235"/>
    <mergeCell ref="F235:I235"/>
    <mergeCell ref="R235:V235"/>
    <mergeCell ref="B236:I236"/>
    <mergeCell ref="J236:Q236"/>
    <mergeCell ref="R236:V236"/>
    <mergeCell ref="E207:H207"/>
    <mergeCell ref="N207:O207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B229:U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T212:U212"/>
    <mergeCell ref="B216:E216"/>
    <mergeCell ref="F216:I216"/>
    <mergeCell ref="R216:V216"/>
    <mergeCell ref="B217:Q217"/>
    <mergeCell ref="R217:V217"/>
    <mergeCell ref="N224:O224"/>
    <mergeCell ref="E226:H226"/>
    <mergeCell ref="N226:O226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B210:U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T191:U191"/>
    <mergeCell ref="B195:E195"/>
    <mergeCell ref="F195:I195"/>
    <mergeCell ref="R195:V195"/>
    <mergeCell ref="B196:I196"/>
    <mergeCell ref="J196:Q196"/>
    <mergeCell ref="R196:V196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B189:U189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T172:U172"/>
    <mergeCell ref="B176:E176"/>
    <mergeCell ref="F176:I176"/>
    <mergeCell ref="R176:V176"/>
    <mergeCell ref="B177:Q177"/>
    <mergeCell ref="R177:V177"/>
    <mergeCell ref="N184:O184"/>
    <mergeCell ref="E186:H186"/>
    <mergeCell ref="N186:O186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N165:O165"/>
    <mergeCell ref="E167:H167"/>
    <mergeCell ref="N167:O167"/>
    <mergeCell ref="B170:U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R151:S151"/>
    <mergeCell ref="T151:U151"/>
    <mergeCell ref="B155:E155"/>
    <mergeCell ref="F155:I155"/>
    <mergeCell ref="R155:V155"/>
    <mergeCell ref="B156:I156"/>
    <mergeCell ref="J156:Q156"/>
    <mergeCell ref="R156:V156"/>
    <mergeCell ref="R150:S150"/>
    <mergeCell ref="T150:U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N144:O144"/>
    <mergeCell ref="B149:U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E146:H146"/>
    <mergeCell ref="N146:O146"/>
    <mergeCell ref="R132:S132"/>
    <mergeCell ref="T132:U132"/>
    <mergeCell ref="B136:E136"/>
    <mergeCell ref="F136:I136"/>
    <mergeCell ref="R136:V136"/>
    <mergeCell ref="B137:Q137"/>
    <mergeCell ref="R137:V137"/>
    <mergeCell ref="R131:S131"/>
    <mergeCell ref="T131:U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N125:O125"/>
    <mergeCell ref="B130:U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E127:H127"/>
    <mergeCell ref="N127:O127"/>
    <mergeCell ref="R111:S111"/>
    <mergeCell ref="T111:U111"/>
    <mergeCell ref="B115:E115"/>
    <mergeCell ref="F115:I115"/>
    <mergeCell ref="R115:V115"/>
    <mergeCell ref="B116:I116"/>
    <mergeCell ref="J116:Q116"/>
    <mergeCell ref="R116:V116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N104:O104"/>
    <mergeCell ref="B109:U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E106:H106"/>
    <mergeCell ref="N106:O106"/>
    <mergeCell ref="R92:S92"/>
    <mergeCell ref="T92:U92"/>
    <mergeCell ref="B96:E96"/>
    <mergeCell ref="F96:I96"/>
    <mergeCell ref="R96:V96"/>
    <mergeCell ref="B97:Q97"/>
    <mergeCell ref="R97:V97"/>
    <mergeCell ref="R91:S91"/>
    <mergeCell ref="T91:U91"/>
    <mergeCell ref="B92:C92"/>
    <mergeCell ref="D92:E92"/>
    <mergeCell ref="F92:G92"/>
    <mergeCell ref="H92:I92"/>
    <mergeCell ref="J92:K92"/>
    <mergeCell ref="L92:M92"/>
    <mergeCell ref="N92:O92"/>
    <mergeCell ref="P92:Q92"/>
    <mergeCell ref="N85:O85"/>
    <mergeCell ref="B90:U90"/>
    <mergeCell ref="B91:C91"/>
    <mergeCell ref="D91:E91"/>
    <mergeCell ref="F91:G91"/>
    <mergeCell ref="H91:I91"/>
    <mergeCell ref="J91:K91"/>
    <mergeCell ref="L91:M91"/>
    <mergeCell ref="N91:O91"/>
    <mergeCell ref="P91:Q91"/>
    <mergeCell ref="E87:H87"/>
    <mergeCell ref="N87:O87"/>
    <mergeCell ref="R71:S71"/>
    <mergeCell ref="T71:U71"/>
    <mergeCell ref="B75:E75"/>
    <mergeCell ref="F75:I75"/>
    <mergeCell ref="R75:V75"/>
    <mergeCell ref="B76:I76"/>
    <mergeCell ref="J76:Q76"/>
    <mergeCell ref="R76:V76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N64:O64"/>
    <mergeCell ref="B69:U69"/>
    <mergeCell ref="B70:C70"/>
    <mergeCell ref="D70:E70"/>
    <mergeCell ref="F70:G70"/>
    <mergeCell ref="H70:I70"/>
    <mergeCell ref="J70:K70"/>
    <mergeCell ref="L70:M70"/>
    <mergeCell ref="N70:O70"/>
    <mergeCell ref="P70:Q70"/>
    <mergeCell ref="E66:H66"/>
    <mergeCell ref="N66:O66"/>
    <mergeCell ref="R52:S52"/>
    <mergeCell ref="T52:U52"/>
    <mergeCell ref="B56:E56"/>
    <mergeCell ref="F56:I56"/>
    <mergeCell ref="R56:V56"/>
    <mergeCell ref="B57:Q57"/>
    <mergeCell ref="R57:V57"/>
    <mergeCell ref="R51:S51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N45:O45"/>
    <mergeCell ref="B50:U50"/>
    <mergeCell ref="B51:C51"/>
    <mergeCell ref="D51:E51"/>
    <mergeCell ref="F51:G51"/>
    <mergeCell ref="H51:I51"/>
    <mergeCell ref="J51:K51"/>
    <mergeCell ref="L51:M51"/>
    <mergeCell ref="N51:O51"/>
    <mergeCell ref="P51:Q51"/>
    <mergeCell ref="E47:H47"/>
    <mergeCell ref="N47:O47"/>
    <mergeCell ref="R31:S31"/>
    <mergeCell ref="T31:U31"/>
    <mergeCell ref="B35:E35"/>
    <mergeCell ref="F35:I35"/>
    <mergeCell ref="R35:V35"/>
    <mergeCell ref="B36:I36"/>
    <mergeCell ref="J36:Q36"/>
    <mergeCell ref="R36:V36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N24:O24"/>
    <mergeCell ref="B29:U29"/>
    <mergeCell ref="B30:C30"/>
    <mergeCell ref="D30:E30"/>
    <mergeCell ref="F30:G30"/>
    <mergeCell ref="H30:I30"/>
    <mergeCell ref="J30:K30"/>
    <mergeCell ref="L30:M30"/>
    <mergeCell ref="N30:O30"/>
    <mergeCell ref="P30:Q30"/>
    <mergeCell ref="E26:H26"/>
    <mergeCell ref="N26:O26"/>
    <mergeCell ref="R12:S12"/>
    <mergeCell ref="T12:U12"/>
    <mergeCell ref="B16:E16"/>
    <mergeCell ref="F16:I16"/>
    <mergeCell ref="R16:V16"/>
    <mergeCell ref="B17:Q17"/>
    <mergeCell ref="R17:V17"/>
    <mergeCell ref="R11:S11"/>
    <mergeCell ref="T11:U11"/>
    <mergeCell ref="B12:C12"/>
    <mergeCell ref="D12:E12"/>
    <mergeCell ref="F12:G12"/>
    <mergeCell ref="H12:I12"/>
    <mergeCell ref="J12:K12"/>
    <mergeCell ref="L12:M12"/>
    <mergeCell ref="N12:O12"/>
    <mergeCell ref="P12:Q12"/>
    <mergeCell ref="N5:O5"/>
    <mergeCell ref="B10:U10"/>
    <mergeCell ref="B11:C11"/>
    <mergeCell ref="D11:E11"/>
    <mergeCell ref="F11:G11"/>
    <mergeCell ref="H11:I11"/>
    <mergeCell ref="J11:K11"/>
    <mergeCell ref="L11:M11"/>
    <mergeCell ref="N11:O11"/>
    <mergeCell ref="P11:Q11"/>
    <mergeCell ref="E7:H7"/>
    <mergeCell ref="N7:O7"/>
  </mergeCells>
  <pageMargins left="0.98425196850393704" right="0.39370078740157483" top="0.39370078740157483" bottom="2.559055118110236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2"/>
  <sheetViews>
    <sheetView topLeftCell="A10" zoomScale="85" zoomScaleNormal="85" workbookViewId="0">
      <selection activeCell="J44" sqref="J44"/>
    </sheetView>
  </sheetViews>
  <sheetFormatPr defaultRowHeight="15" x14ac:dyDescent="0.25"/>
  <cols>
    <col min="1" max="1" width="9.140625" customWidth="1"/>
    <col min="2" max="2" width="3.85546875" customWidth="1"/>
    <col min="3" max="3" width="4.5703125" customWidth="1"/>
    <col min="4" max="4" width="18.140625" customWidth="1"/>
    <col min="5" max="6" width="10.7109375" customWidth="1"/>
    <col min="7" max="7" width="6.5703125" customWidth="1"/>
    <col min="12" max="12" width="15.7109375" customWidth="1"/>
  </cols>
  <sheetData>
    <row r="2" spans="2:7" x14ac:dyDescent="0.25">
      <c r="D2" s="1" t="s">
        <v>33</v>
      </c>
    </row>
    <row r="4" spans="2:7" x14ac:dyDescent="0.25">
      <c r="B4">
        <v>1</v>
      </c>
      <c r="C4" t="s">
        <v>12</v>
      </c>
      <c r="D4" t="str">
        <f>'SV777 - ХК3.1 (SV005)'!B16</f>
        <v>Считыватель вх</v>
      </c>
      <c r="E4" s="37" t="str">
        <f>'SV777 - ХК3.1 (SV005)'!B17</f>
        <v>пом. 305</v>
      </c>
      <c r="F4" s="37" t="str">
        <f>"ШЛ."&amp;'SV777 - ХК3.1 (SV005)'!F16</f>
        <v>ШЛ.1</v>
      </c>
      <c r="G4" s="67" t="str">
        <f>IF('SV777 - ХК3.1 (SV005)'!K35&lt;1,"1","1")</f>
        <v>1</v>
      </c>
    </row>
    <row r="5" spans="2:7" x14ac:dyDescent="0.25">
      <c r="C5" t="s">
        <v>13</v>
      </c>
      <c r="D5" t="str">
        <f>'SV777 - ХК3.1 (SV005)'!J16</f>
        <v>замок</v>
      </c>
      <c r="E5" s="37" t="str">
        <f>'SV777 - ХК3.1 (SV005)'!B17</f>
        <v>пом. 305</v>
      </c>
      <c r="F5" s="37" t="str">
        <f>"СКД."&amp;'SV777 - ХК3.1 (SV005)'!N7</f>
        <v>СКД.3.1</v>
      </c>
      <c r="G5" s="67"/>
    </row>
    <row r="6" spans="2:7" x14ac:dyDescent="0.25">
      <c r="C6" t="s">
        <v>14</v>
      </c>
      <c r="D6" t="str">
        <f>'SV777 - ХК3.1 (SV005)'!B35</f>
        <v>Считыватель вых</v>
      </c>
      <c r="E6" s="37" t="str">
        <f>'SV777 - ХК3.1 (SV005)'!B36</f>
        <v>пом. 305</v>
      </c>
      <c r="F6" s="37" t="str">
        <f>"ШЛ."&amp;'SV777 - ХК3.1 (SV005)'!F35</f>
        <v>ШЛ.4</v>
      </c>
      <c r="G6" s="38" t="str">
        <f>IF(D6="Считыватель вых","",IF(D6="Считыватель вх",G4+1,""))</f>
        <v/>
      </c>
    </row>
    <row r="7" spans="2:7" x14ac:dyDescent="0.25">
      <c r="C7" t="s">
        <v>15</v>
      </c>
      <c r="D7" t="str">
        <f>IF('SV777 - ХК3.1 (SV005)'!K35&lt;1,"………………………….",'SV777 - ХК3.1 (SV005)'!J35)</f>
        <v>………………………….</v>
      </c>
      <c r="E7" t="str">
        <f>IF('SV777 - ХК3.1 (SV005)'!K35&lt;1,"…………….",IF('SV777 - ХК3.1 (SV005)'!Q35&gt;1,'SV777 - ХК3.1 (SV005)'!B36,'SV777 - ХК3.1 (SV005)'!J36))</f>
        <v>…………….</v>
      </c>
      <c r="F7" t="str">
        <f>IF(D6="Считыватель вых","",IF(D7="замок пож.дв.","СКД."&amp;'SV777 - ХК3.1 (SV005)'!N26,"СКД."&amp;'SV777 - ХК3.1 (SV005)'!N26))</f>
        <v/>
      </c>
      <c r="G7" s="38" t="str">
        <f>IF(D7="замок пож.дв.",G4+1,"")</f>
        <v/>
      </c>
    </row>
    <row r="9" spans="2:7" x14ac:dyDescent="0.25">
      <c r="B9">
        <f>B4+1</f>
        <v>2</v>
      </c>
      <c r="C9" t="s">
        <v>16</v>
      </c>
      <c r="D9" t="str">
        <f>'SV777 - ХК3.1 (SV005)'!B56</f>
        <v>Считыватель вх</v>
      </c>
      <c r="E9" s="37" t="str">
        <f>'SV777 - ХК3.1 (SV005)'!B57</f>
        <v>пом. 350</v>
      </c>
      <c r="F9" s="37" t="str">
        <f>"ШЛ."&amp;'SV777 - ХК3.1 (SV005)'!F56</f>
        <v>ШЛ.16</v>
      </c>
      <c r="G9" s="67">
        <f>IF('SV777 - ХК3.1 (SV005)'!K35&lt;1,G4+1,G4+2)</f>
        <v>2</v>
      </c>
    </row>
    <row r="10" spans="2:7" x14ac:dyDescent="0.25">
      <c r="C10" t="s">
        <v>17</v>
      </c>
      <c r="D10" t="str">
        <f>'SV777 - ХК3.1 (SV005)'!J56</f>
        <v>замок</v>
      </c>
      <c r="E10" s="37" t="str">
        <f>'SV777 - ХК3.1 (SV005)'!B57</f>
        <v>пом. 350</v>
      </c>
      <c r="F10" s="37" t="str">
        <f>"СКД."&amp;'SV777 - ХК3.1 (SV005)'!N47</f>
        <v>СКД.3.3</v>
      </c>
      <c r="G10" s="67"/>
    </row>
    <row r="11" spans="2:7" x14ac:dyDescent="0.25">
      <c r="C11" t="s">
        <v>18</v>
      </c>
      <c r="D11" t="str">
        <f>'SV777 - ХК3.1 (SV005)'!B75</f>
        <v>Считыватель вых</v>
      </c>
      <c r="E11" s="37" t="str">
        <f>'SV777 - ХК3.1 (SV005)'!B76</f>
        <v>пом. 350</v>
      </c>
      <c r="F11" s="37" t="str">
        <f>"ШЛ."&amp;'SV777 - ХК3.1 (SV005)'!F75</f>
        <v>ШЛ.19</v>
      </c>
      <c r="G11" s="38" t="str">
        <f>IF(D11="Считыватель вых","",IF(D11="Считыватель вх",G9+1,""))</f>
        <v/>
      </c>
    </row>
    <row r="12" spans="2:7" x14ac:dyDescent="0.25">
      <c r="C12" t="s">
        <v>19</v>
      </c>
      <c r="D12" t="str">
        <f>IF('SV777 - ХК3.1 (SV005)'!K75&lt;1,"………………………….",'SV777 - ХК3.1 (SV005)'!J75)</f>
        <v>………………………….</v>
      </c>
      <c r="E12" t="str">
        <f>IF('SV777 - ХК3.1 (SV005)'!K75&lt;1,"…………….",IF('SV777 - ХК3.1 (SV005)'!Q75&gt;1,'SV777 - ХК3.1 (SV005)'!B76,'SV777 - ХК3.1 (SV005)'!J76))</f>
        <v>…………….</v>
      </c>
      <c r="F12" t="str">
        <f>IF(D11="Считыватель вых","",IF(D12="замок пож.дв.","СКД."&amp;'SV777 - ХК3.1 (SV005)'!N66,"СКД."&amp;'SV777 - ХК3.1 (SV005)'!N66))</f>
        <v/>
      </c>
      <c r="G12" s="38" t="str">
        <f>IF(D12="замок пож.дв.",G9+1,"")</f>
        <v/>
      </c>
    </row>
    <row r="14" spans="2:7" x14ac:dyDescent="0.25">
      <c r="B14">
        <f>B9+1</f>
        <v>3</v>
      </c>
      <c r="C14" t="s">
        <v>20</v>
      </c>
      <c r="D14" t="str">
        <f>'SV777 - ХК3.1 (SV005)'!B96</f>
        <v>Считыватель вх</v>
      </c>
      <c r="E14" s="37" t="str">
        <f>'SV777 - ХК3.1 (SV005)'!B97</f>
        <v>пом. 314</v>
      </c>
      <c r="F14" s="37" t="str">
        <f>"ШЛ."&amp;'SV777 - ХК3.1 (SV005)'!F96</f>
        <v>ШЛ.58</v>
      </c>
      <c r="G14" s="67">
        <f>IF('SV777 - ХК3.1 (SV005)'!K75&lt;1,G9+1,G9+2)</f>
        <v>3</v>
      </c>
    </row>
    <row r="15" spans="2:7" x14ac:dyDescent="0.25">
      <c r="C15" t="s">
        <v>21</v>
      </c>
      <c r="D15" t="str">
        <f>'SV777 - ХК3.1 (SV005)'!J96</f>
        <v>замок</v>
      </c>
      <c r="E15" s="37" t="str">
        <f>'SV777 - ХК3.1 (SV005)'!B97</f>
        <v>пом. 314</v>
      </c>
      <c r="F15" s="37" t="str">
        <f>"СКД."&amp;'SV777 - ХК3.1 (SV005)'!N87</f>
        <v>СКД.3.4</v>
      </c>
      <c r="G15" s="67"/>
    </row>
    <row r="16" spans="2:7" x14ac:dyDescent="0.25">
      <c r="C16" t="s">
        <v>22</v>
      </c>
      <c r="D16" t="str">
        <f>'SV777 - ХК3.1 (SV005)'!B115</f>
        <v>Считыватель вых</v>
      </c>
      <c r="E16" s="37" t="str">
        <f>'SV777 - ХК3.1 (SV005)'!B116</f>
        <v>пом. 314</v>
      </c>
      <c r="F16" s="37" t="str">
        <f>"ШЛ."&amp;'SV777 - ХК3.1 (SV005)'!F115</f>
        <v>ШЛ.61</v>
      </c>
      <c r="G16" s="38" t="str">
        <f>IF(D16="Считыватель вых","",IF(D16="Считыватель вх",G14+1,""))</f>
        <v/>
      </c>
    </row>
    <row r="17" spans="2:7" x14ac:dyDescent="0.25">
      <c r="C17" t="s">
        <v>23</v>
      </c>
      <c r="D17" t="str">
        <f>IF('SV777 - ХК3.1 (SV005)'!K115&lt;1,"………………………….",'SV777 - ХК3.1 (SV005)'!J115)</f>
        <v>………………………….</v>
      </c>
      <c r="E17" t="str">
        <f>IF('SV777 - ХК3.1 (SV005)'!K115&lt;1,"…………….",IF('SV777 - ХК3.1 (SV005)'!Q115&gt;1,'SV777 - ХК3.1 (SV005)'!B116,'SV777 - ХК3.1 (SV005)'!J116))</f>
        <v>…………….</v>
      </c>
      <c r="F17" t="str">
        <f>IF(D16="Считыватель вых","",IF(D17="замок пож.дв.","СКД."&amp;'SV777 - ХК3.1 (SV005)'!N106,"СКД."&amp;'SV777 - ХК3.1 (SV005)'!N106))</f>
        <v/>
      </c>
      <c r="G17" s="38" t="str">
        <f>IF(D17="замок пож.дв.",G14+1,"")</f>
        <v/>
      </c>
    </row>
    <row r="19" spans="2:7" x14ac:dyDescent="0.25">
      <c r="B19">
        <f>B14+1</f>
        <v>4</v>
      </c>
      <c r="C19" t="s">
        <v>24</v>
      </c>
      <c r="D19" t="str">
        <f>'SV777 - ХК3.1 (SV005)'!B136</f>
        <v>Считыватель вх</v>
      </c>
      <c r="E19" s="37" t="str">
        <f>'SV777 - ХК3.1 (SV005)'!B137</f>
        <v>пом. 367</v>
      </c>
      <c r="F19" s="37" t="str">
        <f>"ШЛ."&amp;'SV777 - ХК3.1 (SV005)'!F136</f>
        <v>ШЛ.142</v>
      </c>
      <c r="G19" s="67">
        <f>IF('SV777 - ХК3.1 (SV005)'!K115&lt;1,G14+1,G14+2)</f>
        <v>4</v>
      </c>
    </row>
    <row r="20" spans="2:7" x14ac:dyDescent="0.25">
      <c r="C20" t="s">
        <v>25</v>
      </c>
      <c r="D20" t="str">
        <f>'SV777 - ХК3.1 (SV005)'!J136</f>
        <v>замок</v>
      </c>
      <c r="E20" s="37" t="str">
        <f>'SV777 - ХК3.1 (SV005)'!B137</f>
        <v>пом. 367</v>
      </c>
      <c r="F20" s="37" t="str">
        <f>"СКД."&amp;'SV777 - ХК3.1 (SV005)'!N127</f>
        <v>СКД.3.5</v>
      </c>
      <c r="G20" s="67"/>
    </row>
    <row r="21" spans="2:7" x14ac:dyDescent="0.25">
      <c r="C21" t="s">
        <v>26</v>
      </c>
      <c r="D21" t="str">
        <f>'SV777 - ХК3.1 (SV005)'!B155</f>
        <v>Считыватель вых</v>
      </c>
      <c r="E21" s="37" t="str">
        <f>'SV777 - ХК3.1 (SV005)'!B156</f>
        <v>пом. 367</v>
      </c>
      <c r="F21" s="37" t="str">
        <f>"ШЛ."&amp;'SV777 - ХК3.1 (SV005)'!F155</f>
        <v>ШЛ.145</v>
      </c>
      <c r="G21" s="38" t="str">
        <f>IF(D21="Считыватель вых","",IF(D21="Считыватель вх",G19+1,""))</f>
        <v/>
      </c>
    </row>
    <row r="22" spans="2:7" x14ac:dyDescent="0.25">
      <c r="C22" t="s">
        <v>27</v>
      </c>
      <c r="D22" t="str">
        <f>IF('SV777 - ХК3.1 (SV005)'!K155&lt;1,"………………………….",'SV777 - ХК3.1 (SV005)'!J155)</f>
        <v>………………………….</v>
      </c>
      <c r="E22" t="str">
        <f>IF('SV777 - ХК3.1 (SV005)'!K155&lt;1,"…………….",IF('SV777 - ХК3.1 (SV005)'!Q155&gt;1,'SV777 - ХК3.1 (SV005)'!B156,'SV777 - ХК3.1 (SV005)'!J156))</f>
        <v>…………….</v>
      </c>
      <c r="F22" t="str">
        <f>IF(D21="Считыватель вых","",IF(D22="замок пож.дв.","СКД."&amp;'SV777 - ХК3.1 (SV005)'!N146,"СКД."&amp;'SV777 - ХК3.1 (SV005)'!N146))</f>
        <v/>
      </c>
      <c r="G22" s="38" t="str">
        <f>IF(D22="замок пож.дв.",G19+1,"")</f>
        <v/>
      </c>
    </row>
    <row r="24" spans="2:7" x14ac:dyDescent="0.25">
      <c r="B24">
        <v>5</v>
      </c>
      <c r="C24" t="s">
        <v>48</v>
      </c>
      <c r="D24" t="s">
        <v>56</v>
      </c>
      <c r="E24" s="37" t="s">
        <v>46</v>
      </c>
      <c r="F24" s="37" t="s">
        <v>66</v>
      </c>
      <c r="G24" s="67">
        <f>IF('SV777 - ХК3.1 (SV005)'!K120&lt;1,G19+1,G19+2)</f>
        <v>5</v>
      </c>
    </row>
    <row r="25" spans="2:7" x14ac:dyDescent="0.25">
      <c r="C25" t="s">
        <v>49</v>
      </c>
      <c r="D25" t="s">
        <v>57</v>
      </c>
      <c r="E25" s="37" t="s">
        <v>46</v>
      </c>
      <c r="F25" s="37" t="s">
        <v>65</v>
      </c>
      <c r="G25" s="67"/>
    </row>
    <row r="26" spans="2:7" x14ac:dyDescent="0.25">
      <c r="C26" t="s">
        <v>50</v>
      </c>
      <c r="D26" t="s">
        <v>58</v>
      </c>
      <c r="E26" s="37" t="s">
        <v>46</v>
      </c>
      <c r="F26" s="37" t="s">
        <v>67</v>
      </c>
      <c r="G26" s="38" t="str">
        <f>IF(D26="Считыватель вых","",IF(D26="Считыватель вх",G24+1,""))</f>
        <v/>
      </c>
    </row>
    <row r="27" spans="2:7" x14ac:dyDescent="0.25">
      <c r="C27" t="s">
        <v>51</v>
      </c>
      <c r="D27" t="str">
        <f>IF('SV777 - ХК3.1 (SV005)'!K160&lt;1,"………………………….",'SV777 - ХК3.1 (SV005)'!J160)</f>
        <v>………………………….</v>
      </c>
      <c r="E27" t="str">
        <f>IF('SV777 - ХК3.1 (SV005)'!K160&lt;1,"…………….",IF('SV777 - ХК3.1 (SV005)'!Q160&gt;1,'SV777 - ХК3.1 (SV005)'!B161,'SV777 - ХК3.1 (SV005)'!J161))</f>
        <v>…………….</v>
      </c>
      <c r="F27" t="str">
        <f>IF('SV777 - ХК3.1 (SV005)'!L160&lt;1,"…………….",IF('SV777 - ХК3.1 (SV005)'!R160&gt;1,'SV777 - ХК3.1 (SV005)'!C161,'SV777 - ХК3.1 (SV005)'!K161))</f>
        <v>…………….</v>
      </c>
      <c r="G27" s="38" t="str">
        <f>IF(D27="замок пож.дв.",G24+1,"")</f>
        <v/>
      </c>
    </row>
    <row r="28" spans="2:7" x14ac:dyDescent="0.25">
      <c r="D28" s="42"/>
      <c r="E28" s="42"/>
      <c r="F28" s="42"/>
    </row>
    <row r="29" spans="2:7" x14ac:dyDescent="0.25">
      <c r="B29">
        <v>6</v>
      </c>
      <c r="C29" t="s">
        <v>52</v>
      </c>
      <c r="D29" t="s">
        <v>59</v>
      </c>
      <c r="E29" s="37" t="s">
        <v>38</v>
      </c>
      <c r="F29" s="37" t="s">
        <v>60</v>
      </c>
      <c r="G29" s="67">
        <f>IF('SV777 - ХК3.1 (SV005)'!K125&lt;1,G24+1,G24+2)</f>
        <v>6</v>
      </c>
    </row>
    <row r="30" spans="2:7" x14ac:dyDescent="0.25">
      <c r="C30" t="s">
        <v>55</v>
      </c>
      <c r="D30" t="s">
        <v>62</v>
      </c>
      <c r="E30" s="37" t="s">
        <v>38</v>
      </c>
      <c r="F30" s="37" t="s">
        <v>61</v>
      </c>
      <c r="G30" s="67"/>
    </row>
    <row r="31" spans="2:7" x14ac:dyDescent="0.25">
      <c r="C31" t="s">
        <v>54</v>
      </c>
      <c r="D31" t="s">
        <v>64</v>
      </c>
      <c r="E31" s="37" t="s">
        <v>38</v>
      </c>
      <c r="F31" s="37" t="s">
        <v>63</v>
      </c>
      <c r="G31" s="38" t="str">
        <f>IF(D31="Считыватель вых","",IF(D31="Считыватель вх",G29+1,""))</f>
        <v/>
      </c>
    </row>
    <row r="32" spans="2:7" x14ac:dyDescent="0.25">
      <c r="C32" t="s">
        <v>53</v>
      </c>
      <c r="D32" t="str">
        <f>IF('SV777 - ХК3.1 (SV005)'!K165&lt;1,"………………………….",'SV777 - ХК3.1 (SV005)'!J165)</f>
        <v>………………………….</v>
      </c>
      <c r="E32" t="str">
        <f>IF('SV777 - ХК3.1 (SV005)'!K165&lt;1,"…………….",IF('SV777 - ХК3.1 (SV005)'!Q165&gt;1,'SV777 - ХК3.1 (SV005)'!B166,'SV777 - ХК3.1 (SV005)'!J166))</f>
        <v>…………….</v>
      </c>
      <c r="F32" t="str">
        <f>IF('SV777 - ХК3.1 (SV005)'!L165&lt;1,"…………….",IF('SV777 - ХК3.1 (SV005)'!R165&gt;1,'SV777 - ХК3.1 (SV005)'!C166,'SV777 - ХК3.1 (SV005)'!K166))</f>
        <v>…………….</v>
      </c>
      <c r="G32" s="38" t="str">
        <f>IF(D32="замок пож.дв.",G29+1,"")</f>
        <v/>
      </c>
    </row>
  </sheetData>
  <mergeCells count="6">
    <mergeCell ref="G24:G25"/>
    <mergeCell ref="G29:G30"/>
    <mergeCell ref="G4:G5"/>
    <mergeCell ref="G9:G10"/>
    <mergeCell ref="G14:G15"/>
    <mergeCell ref="G19:G20"/>
  </mergeCells>
  <phoneticPr fontId="5" type="noConversion"/>
  <conditionalFormatting sqref="G4:G5">
    <cfRule type="notContainsBlanks" dxfId="23" priority="136">
      <formula>LEN(TRIM(G4))&gt;0</formula>
    </cfRule>
  </conditionalFormatting>
  <conditionalFormatting sqref="G6">
    <cfRule type="notContainsBlanks" dxfId="22" priority="135">
      <formula>LEN(TRIM(G6))&gt;0</formula>
    </cfRule>
  </conditionalFormatting>
  <conditionalFormatting sqref="G7">
    <cfRule type="notContainsBlanks" dxfId="21" priority="133">
      <formula>LEN(TRIM(G7))&gt;0</formula>
    </cfRule>
    <cfRule type="expression" dxfId="20" priority="134">
      <formula>IF(D6="Считыватель вых","",IF(D6="Считыватель вх",G4+1,""))</formula>
    </cfRule>
  </conditionalFormatting>
  <conditionalFormatting sqref="G9:G10">
    <cfRule type="notContainsBlanks" dxfId="19" priority="132">
      <formula>LEN(TRIM(G9))&gt;0</formula>
    </cfRule>
  </conditionalFormatting>
  <conditionalFormatting sqref="G14:G15">
    <cfRule type="notContainsBlanks" dxfId="18" priority="131">
      <formula>LEN(TRIM(G14))&gt;0</formula>
    </cfRule>
  </conditionalFormatting>
  <conditionalFormatting sqref="G19:G20">
    <cfRule type="notContainsBlanks" dxfId="17" priority="130">
      <formula>LEN(TRIM(G19))&gt;0</formula>
    </cfRule>
  </conditionalFormatting>
  <conditionalFormatting sqref="G11">
    <cfRule type="notContainsBlanks" dxfId="16" priority="117">
      <formula>LEN(TRIM(G11))&gt;0</formula>
    </cfRule>
  </conditionalFormatting>
  <conditionalFormatting sqref="G16">
    <cfRule type="notContainsBlanks" dxfId="15" priority="116">
      <formula>LEN(TRIM(G16))&gt;0</formula>
    </cfRule>
  </conditionalFormatting>
  <conditionalFormatting sqref="G21">
    <cfRule type="notContainsBlanks" dxfId="14" priority="115">
      <formula>LEN(TRIM(G21))&gt;0</formula>
    </cfRule>
  </conditionalFormatting>
  <conditionalFormatting sqref="G12">
    <cfRule type="notContainsBlanks" dxfId="13" priority="101">
      <formula>LEN(TRIM(G12))&gt;0</formula>
    </cfRule>
    <cfRule type="expression" dxfId="12" priority="102">
      <formula>IF(D11="Считыватель вых","",IF(D11="Считыватель вх",G9+1,""))</formula>
    </cfRule>
  </conditionalFormatting>
  <conditionalFormatting sqref="G17">
    <cfRule type="notContainsBlanks" dxfId="11" priority="99">
      <formula>LEN(TRIM(G17))&gt;0</formula>
    </cfRule>
    <cfRule type="expression" dxfId="10" priority="100">
      <formula>IF(D16="Считыватель вых","",IF(D16="Считыватель вх",G14+1,""))</formula>
    </cfRule>
  </conditionalFormatting>
  <conditionalFormatting sqref="G22">
    <cfRule type="notContainsBlanks" dxfId="9" priority="97">
      <formula>LEN(TRIM(G22))&gt;0</formula>
    </cfRule>
    <cfRule type="expression" dxfId="8" priority="98">
      <formula>IF(D21="Считыватель вых","",IF(D21="Считыватель вх",G19+1,""))</formula>
    </cfRule>
  </conditionalFormatting>
  <conditionalFormatting sqref="G24:G25">
    <cfRule type="notContainsBlanks" dxfId="7" priority="8">
      <formula>LEN(TRIM(G24))&gt;0</formula>
    </cfRule>
  </conditionalFormatting>
  <conditionalFormatting sqref="G26">
    <cfRule type="notContainsBlanks" dxfId="6" priority="7">
      <formula>LEN(TRIM(G26))&gt;0</formula>
    </cfRule>
  </conditionalFormatting>
  <conditionalFormatting sqref="G27">
    <cfRule type="notContainsBlanks" dxfId="5" priority="5">
      <formula>LEN(TRIM(G27))&gt;0</formula>
    </cfRule>
    <cfRule type="expression" dxfId="4" priority="6">
      <formula>IF(D26="Считыватель вых","",IF(D26="Считыватель вх",G24+1,""))</formula>
    </cfRule>
  </conditionalFormatting>
  <conditionalFormatting sqref="G29:G30">
    <cfRule type="notContainsBlanks" dxfId="3" priority="4">
      <formula>LEN(TRIM(G29))&gt;0</formula>
    </cfRule>
  </conditionalFormatting>
  <conditionalFormatting sqref="G31">
    <cfRule type="notContainsBlanks" dxfId="2" priority="3">
      <formula>LEN(TRIM(G31))&gt;0</formula>
    </cfRule>
  </conditionalFormatting>
  <conditionalFormatting sqref="G32">
    <cfRule type="notContainsBlanks" dxfId="1" priority="1">
      <formula>LEN(TRIM(G32))&gt;0</formula>
    </cfRule>
    <cfRule type="expression" dxfId="0" priority="2">
      <formula>IF(D31="Считыватель вых","",IF(D31="Считыватель вх",G29+1,""))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SV777 - ХК3.1 (SV005)</vt:lpstr>
      <vt:lpstr>шпоргалка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Primion</dc:creator>
  <cp:lastModifiedBy>Tech2</cp:lastModifiedBy>
  <cp:lastPrinted>2015-05-22T11:45:41Z</cp:lastPrinted>
  <dcterms:created xsi:type="dcterms:W3CDTF">2014-05-12T05:07:28Z</dcterms:created>
  <dcterms:modified xsi:type="dcterms:W3CDTF">2025-08-25T06:29:04Z</dcterms:modified>
</cp:coreProperties>
</file>