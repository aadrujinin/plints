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6\Documents\adruzhinin_soft\расшивки\access-control-service\"/>
    </mc:Choice>
  </mc:AlternateContent>
  <xr:revisionPtr revIDLastSave="0" documentId="13_ncr:1_{64CC00B9-C8A7-4CEC-9043-A1311DABCA6A}" xr6:coauthVersionLast="47" xr6:coauthVersionMax="47" xr10:uidLastSave="{00000000-0000-0000-0000-000000000000}"/>
  <bookViews>
    <workbookView xWindow="-28920" yWindow="-120" windowWidth="29040" windowHeight="15840" xr2:uid="{131016A3-BE01-46DB-A7BF-AF91E09CC6B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85" i="1" l="1"/>
  <c r="B385" i="1"/>
  <c r="B386" i="1" s="1"/>
  <c r="N375" i="1"/>
  <c r="N374" i="1"/>
  <c r="N373" i="1"/>
  <c r="N372" i="1"/>
  <c r="N371" i="1"/>
  <c r="J367" i="1"/>
  <c r="B367" i="1"/>
  <c r="B368" i="1" s="1"/>
  <c r="N357" i="1"/>
  <c r="N356" i="1"/>
  <c r="N355" i="1"/>
  <c r="N354" i="1"/>
  <c r="N353" i="1"/>
  <c r="B350" i="1"/>
  <c r="J349" i="1"/>
  <c r="B349" i="1"/>
  <c r="N339" i="1"/>
  <c r="N338" i="1"/>
  <c r="N337" i="1"/>
  <c r="N336" i="1"/>
  <c r="N335" i="1"/>
  <c r="J331" i="1"/>
  <c r="B331" i="1"/>
  <c r="B332" i="1" s="1"/>
  <c r="N321" i="1"/>
  <c r="N320" i="1"/>
  <c r="N319" i="1"/>
  <c r="N318" i="1"/>
  <c r="N317" i="1"/>
  <c r="J313" i="1"/>
  <c r="B313" i="1"/>
  <c r="B314" i="1" s="1"/>
  <c r="N303" i="1"/>
  <c r="N302" i="1"/>
  <c r="N301" i="1"/>
  <c r="N300" i="1"/>
  <c r="N299" i="1"/>
  <c r="J295" i="1"/>
  <c r="B295" i="1"/>
  <c r="B296" i="1" s="1"/>
  <c r="N285" i="1"/>
  <c r="N284" i="1"/>
  <c r="N283" i="1"/>
  <c r="N282" i="1"/>
  <c r="N281" i="1"/>
  <c r="J277" i="1"/>
  <c r="B277" i="1"/>
  <c r="B278" i="1" s="1"/>
  <c r="N267" i="1"/>
  <c r="N266" i="1"/>
  <c r="N265" i="1"/>
  <c r="N264" i="1"/>
  <c r="N263" i="1"/>
  <c r="J259" i="1"/>
  <c r="B259" i="1"/>
  <c r="B260" i="1" s="1"/>
  <c r="N249" i="1"/>
  <c r="N248" i="1"/>
  <c r="N247" i="1"/>
  <c r="N246" i="1"/>
  <c r="N245" i="1"/>
  <c r="J241" i="1"/>
  <c r="B241" i="1"/>
  <c r="B242" i="1" s="1"/>
  <c r="N231" i="1"/>
  <c r="N230" i="1"/>
  <c r="N229" i="1"/>
  <c r="N228" i="1"/>
  <c r="N227" i="1"/>
  <c r="J223" i="1"/>
  <c r="B223" i="1"/>
  <c r="B224" i="1" s="1"/>
  <c r="N213" i="1"/>
  <c r="N212" i="1"/>
  <c r="N211" i="1"/>
  <c r="N210" i="1"/>
  <c r="N209" i="1"/>
  <c r="J205" i="1"/>
  <c r="B205" i="1"/>
  <c r="B206" i="1" s="1"/>
  <c r="N195" i="1"/>
  <c r="N193" i="1"/>
  <c r="N192" i="1"/>
  <c r="N191" i="1"/>
  <c r="J187" i="1"/>
  <c r="B187" i="1"/>
  <c r="N176" i="1"/>
  <c r="N194" i="1" s="1"/>
  <c r="N174" i="1"/>
  <c r="J168" i="1"/>
  <c r="B168" i="1"/>
  <c r="N157" i="1"/>
  <c r="N155" i="1"/>
  <c r="J149" i="1"/>
  <c r="B149" i="1"/>
  <c r="N138" i="1"/>
  <c r="N136" i="1"/>
  <c r="J130" i="1"/>
  <c r="B130" i="1"/>
  <c r="N119" i="1"/>
  <c r="N117" i="1"/>
  <c r="J111" i="1"/>
  <c r="B111" i="1"/>
  <c r="N100" i="1"/>
  <c r="N98" i="1"/>
  <c r="J92" i="1"/>
  <c r="B92" i="1"/>
  <c r="N81" i="1"/>
  <c r="N79" i="1"/>
  <c r="J73" i="1"/>
  <c r="B73" i="1"/>
  <c r="N62" i="1"/>
  <c r="N60" i="1"/>
  <c r="J54" i="1"/>
  <c r="B54" i="1"/>
  <c r="N43" i="1"/>
  <c r="N41" i="1"/>
  <c r="J35" i="1"/>
  <c r="B35" i="1"/>
  <c r="N24" i="1"/>
  <c r="N22" i="1"/>
  <c r="J16" i="1"/>
  <c r="B16" i="1"/>
  <c r="N5" i="1"/>
  <c r="N3" i="1"/>
</calcChain>
</file>

<file path=xl/sharedStrings.xml><?xml version="1.0" encoding="utf-8"?>
<sst xmlns="http://schemas.openxmlformats.org/spreadsheetml/2006/main" count="421" uniqueCount="19">
  <si>
    <t>Стойка</t>
  </si>
  <si>
    <t>XK</t>
  </si>
  <si>
    <t>Контроллер SV 777</t>
  </si>
  <si>
    <t>№</t>
  </si>
  <si>
    <t>Плата SV 005</t>
  </si>
  <si>
    <t>Наименование плинтодержателя</t>
  </si>
  <si>
    <t>ХВ1</t>
  </si>
  <si>
    <t>Номер плинта</t>
  </si>
  <si>
    <t>СКУД</t>
  </si>
  <si>
    <t>к SV 005 разъемы R1 и D1</t>
  </si>
  <si>
    <t>сирена</t>
  </si>
  <si>
    <t>к ХВ20</t>
  </si>
  <si>
    <t>геркон</t>
  </si>
  <si>
    <t>кн. Вых</t>
  </si>
  <si>
    <t>оборудование\                                  кабель</t>
  </si>
  <si>
    <t>*(помещение№)</t>
  </si>
  <si>
    <t>3.1</t>
  </si>
  <si>
    <t>к SV 005 разъемы R2 и D2</t>
  </si>
  <si>
    <t>Резерв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</si>
</sst>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2" xfId="0" applyBorder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0" fontId="0" fillId="0" borderId="3" xfId="0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3" borderId="0" xfId="0" applyFill="1"/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49" fontId="0" fillId="0" borderId="4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textRotation="90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4" fillId="0" borderId="24" xfId="0" applyFont="1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25" xfId="0" applyBorder="1" applyAlignment="1">
      <alignment vertical="center"/>
    </xf>
    <xf numFmtId="0" fontId="0" fillId="2" borderId="2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right" vertical="center" textRotation="90"/>
    </xf>
    <xf numFmtId="0" fontId="0" fillId="2" borderId="28" xfId="0" applyFill="1" applyBorder="1" applyAlignment="1">
      <alignment horizontal="right" vertical="center"/>
    </xf>
    <xf numFmtId="0" fontId="0" fillId="0" borderId="28" xfId="0" applyBorder="1" applyAlignment="1">
      <alignment horizontal="left" vertical="center" textRotation="90"/>
    </xf>
    <xf numFmtId="0" fontId="0" fillId="0" borderId="28" xfId="0" applyBorder="1" applyAlignment="1">
      <alignment horizontal="right" vertical="center" textRotation="90"/>
    </xf>
    <xf numFmtId="0" fontId="0" fillId="2" borderId="29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" fontId="0" fillId="2" borderId="6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49" fontId="0" fillId="0" borderId="4" xfId="0" applyNumberFormat="1" applyBorder="1" applyAlignment="1">
      <alignment horizontal="left"/>
    </xf>
    <xf numFmtId="16" fontId="0" fillId="0" borderId="6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2D0E-E580-43F6-AAB6-F4C902C7C126}">
  <dimension ref="A1:V388"/>
  <sheetViews>
    <sheetView tabSelected="1" topLeftCell="A178" workbookViewId="0">
      <selection activeCell="Z204" sqref="Z204"/>
    </sheetView>
  </sheetViews>
  <sheetFormatPr defaultRowHeight="15" x14ac:dyDescent="0.25"/>
  <cols>
    <col min="1" max="11" width="3.85546875" customWidth="1"/>
    <col min="12" max="12" width="6.5703125" customWidth="1"/>
    <col min="13" max="13" width="7" customWidth="1"/>
    <col min="14" max="14" width="4.7109375" customWidth="1"/>
    <col min="15" max="22" width="3.85546875" customWidth="1"/>
  </cols>
  <sheetData>
    <row r="1" spans="1:22" x14ac:dyDescent="0.25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.75" x14ac:dyDescent="0.3">
      <c r="E2" s="3" t="s">
        <v>0</v>
      </c>
      <c r="G2" s="4"/>
      <c r="H2" s="4"/>
      <c r="I2" s="4"/>
      <c r="J2" s="4"/>
      <c r="K2" s="4"/>
      <c r="L2" s="4"/>
      <c r="M2" s="5" t="s">
        <v>1</v>
      </c>
      <c r="N2" s="6"/>
    </row>
    <row r="3" spans="1:22" ht="18.75" x14ac:dyDescent="0.3">
      <c r="E3" s="3" t="s">
        <v>2</v>
      </c>
      <c r="J3" s="7"/>
      <c r="K3" s="7"/>
      <c r="L3" s="7"/>
      <c r="M3" s="5" t="s">
        <v>3</v>
      </c>
      <c r="N3" s="8" t="str">
        <f>N2&amp;".1"</f>
        <v>.1</v>
      </c>
    </row>
    <row r="4" spans="1:22" ht="18.75" x14ac:dyDescent="0.3">
      <c r="E4" t="s">
        <v>4</v>
      </c>
      <c r="H4" s="4"/>
      <c r="I4" s="4"/>
      <c r="J4" s="4"/>
      <c r="K4" s="4"/>
      <c r="L4" s="4"/>
      <c r="M4" s="9" t="s">
        <v>3</v>
      </c>
      <c r="N4" s="10"/>
    </row>
    <row r="5" spans="1:22" ht="18.75" x14ac:dyDescent="0.3">
      <c r="E5" t="s">
        <v>5</v>
      </c>
      <c r="L5" s="7"/>
      <c r="M5" s="9" t="s">
        <v>6</v>
      </c>
      <c r="N5" s="10" t="str">
        <f>"-"&amp;N2&amp;".1"</f>
        <v>-.1</v>
      </c>
      <c r="O5" s="10"/>
    </row>
    <row r="6" spans="1:22" ht="18.75" x14ac:dyDescent="0.3">
      <c r="E6" s="12" t="s">
        <v>7</v>
      </c>
      <c r="I6" s="4"/>
      <c r="J6" s="4"/>
      <c r="K6" s="4"/>
      <c r="L6" s="4"/>
      <c r="M6" s="9" t="s">
        <v>3</v>
      </c>
      <c r="N6" s="10"/>
    </row>
    <row r="7" spans="1:22" ht="15.75" thickBot="1" x14ac:dyDescent="0.3">
      <c r="E7" s="13" t="s">
        <v>8</v>
      </c>
      <c r="F7" s="13"/>
      <c r="G7" s="13"/>
      <c r="H7" s="13"/>
      <c r="I7" s="14"/>
      <c r="J7" s="14"/>
      <c r="K7" s="14"/>
      <c r="L7" s="14"/>
      <c r="M7" s="14" t="s">
        <v>3</v>
      </c>
      <c r="N7" s="63"/>
      <c r="O7" s="63"/>
    </row>
    <row r="8" spans="1:22" x14ac:dyDescent="0.25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8"/>
    </row>
    <row r="9" spans="1:22" x14ac:dyDescent="0.25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1"/>
    </row>
    <row r="10" spans="1:22" x14ac:dyDescent="0.25">
      <c r="A10" s="22"/>
      <c r="B10" s="23" t="s">
        <v>9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5"/>
      <c r="V10" s="26"/>
    </row>
    <row r="11" spans="1:22" ht="15.75" thickBot="1" x14ac:dyDescent="0.3">
      <c r="A11" s="2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6"/>
    </row>
    <row r="12" spans="1:22" x14ac:dyDescent="0.25">
      <c r="A12" s="27"/>
      <c r="B12" s="29">
        <v>0</v>
      </c>
      <c r="C12" s="30"/>
      <c r="D12" s="30">
        <v>1</v>
      </c>
      <c r="E12" s="30">
        <v>1</v>
      </c>
      <c r="F12" s="30">
        <v>2</v>
      </c>
      <c r="G12" s="30">
        <v>2</v>
      </c>
      <c r="H12" s="30">
        <v>3</v>
      </c>
      <c r="I12" s="31">
        <v>3</v>
      </c>
      <c r="J12" s="29">
        <v>4</v>
      </c>
      <c r="K12" s="30">
        <v>4</v>
      </c>
      <c r="L12" s="30">
        <v>5</v>
      </c>
      <c r="M12" s="30"/>
      <c r="N12" s="30">
        <v>6</v>
      </c>
      <c r="O12" s="30">
        <v>1</v>
      </c>
      <c r="P12" s="30">
        <v>7</v>
      </c>
      <c r="Q12" s="31">
        <v>2</v>
      </c>
      <c r="R12" s="25">
        <v>8</v>
      </c>
      <c r="S12" s="32">
        <v>3</v>
      </c>
      <c r="T12" s="32">
        <v>9</v>
      </c>
      <c r="U12" s="32">
        <v>4</v>
      </c>
      <c r="V12" s="33"/>
    </row>
    <row r="13" spans="1:22" ht="15.75" thickBot="1" x14ac:dyDescent="0.3">
      <c r="A13" s="27"/>
      <c r="B13" s="34"/>
      <c r="C13" s="35"/>
      <c r="D13" s="35"/>
      <c r="E13" s="35"/>
      <c r="F13" s="35"/>
      <c r="G13" s="35"/>
      <c r="H13" s="35"/>
      <c r="I13" s="36"/>
      <c r="J13" s="34"/>
      <c r="K13" s="35"/>
      <c r="L13" s="35"/>
      <c r="M13" s="35"/>
      <c r="N13" s="35"/>
      <c r="O13" s="35"/>
      <c r="P13" s="35"/>
      <c r="Q13" s="36"/>
      <c r="R13" s="37"/>
      <c r="S13" s="20"/>
      <c r="T13" s="20"/>
      <c r="U13" s="20"/>
      <c r="V13" s="33"/>
    </row>
    <row r="14" spans="1:22" ht="15.75" thickBot="1" x14ac:dyDescent="0.3">
      <c r="A14" s="38"/>
      <c r="B14" s="39"/>
      <c r="C14" s="39"/>
      <c r="D14" s="39"/>
      <c r="E14" s="39"/>
      <c r="F14" s="40"/>
      <c r="G14" s="39"/>
      <c r="H14" s="39"/>
      <c r="I14" s="39"/>
      <c r="J14" s="39"/>
      <c r="K14" s="40"/>
      <c r="L14" s="39"/>
      <c r="M14" s="40"/>
      <c r="N14" s="39"/>
      <c r="O14" s="40"/>
      <c r="P14" s="39"/>
      <c r="Q14" s="40"/>
      <c r="R14" s="41"/>
      <c r="S14" s="41"/>
      <c r="T14" s="41"/>
      <c r="U14" s="41"/>
      <c r="V14" s="42"/>
    </row>
    <row r="15" spans="1:22" ht="15.75" thickBot="1" x14ac:dyDescent="0.3">
      <c r="A15" s="43"/>
      <c r="B15" s="43"/>
      <c r="C15" s="43"/>
      <c r="D15" s="43"/>
      <c r="E15" s="43"/>
      <c r="F15" s="44"/>
      <c r="G15" s="43"/>
      <c r="H15" s="43"/>
      <c r="I15" s="43"/>
      <c r="J15" s="43"/>
      <c r="K15" s="44"/>
      <c r="L15" s="43"/>
      <c r="M15" s="44"/>
      <c r="N15" s="43"/>
      <c r="O15" s="44"/>
      <c r="P15" s="43"/>
      <c r="Q15" s="44"/>
      <c r="R15" s="43"/>
      <c r="S15" s="43"/>
      <c r="T15" s="43"/>
      <c r="U15" s="43"/>
      <c r="V15" s="45"/>
    </row>
    <row r="16" spans="1:22" ht="41.25" thickBot="1" x14ac:dyDescent="0.3">
      <c r="A16" s="43"/>
      <c r="B16" s="46" t="str">
        <f>IF(Q16&gt;1,"Считыватель вх",IF(F16&lt;1,"","Считыватель вх"))</f>
        <v>Считыватель вх</v>
      </c>
      <c r="C16" s="47"/>
      <c r="D16" s="48"/>
      <c r="E16" s="48"/>
      <c r="F16" s="49">
        <v>1</v>
      </c>
      <c r="G16" s="49"/>
      <c r="H16" s="50"/>
      <c r="I16" s="51"/>
      <c r="J16" s="52" t="str">
        <f>IF(Q16&gt;1,"замок",IF(K16&lt;1,"",IF(F16&lt;1,"замок пож.дв.","замок")))</f>
        <v>замок</v>
      </c>
      <c r="K16" s="53">
        <v>10</v>
      </c>
      <c r="L16" s="54" t="s">
        <v>10</v>
      </c>
      <c r="M16" s="54" t="s">
        <v>11</v>
      </c>
      <c r="N16" s="55" t="s">
        <v>12</v>
      </c>
      <c r="O16" s="53">
        <v>7</v>
      </c>
      <c r="P16" s="55" t="s">
        <v>13</v>
      </c>
      <c r="Q16" s="56"/>
      <c r="R16" s="57" t="s">
        <v>14</v>
      </c>
      <c r="S16" s="58"/>
      <c r="T16" s="58"/>
      <c r="U16" s="58"/>
      <c r="V16" s="58"/>
    </row>
    <row r="17" spans="1:22" x14ac:dyDescent="0.25">
      <c r="A17" s="43"/>
      <c r="B17" s="59"/>
      <c r="C17" s="60"/>
      <c r="D17" s="60"/>
      <c r="E17" s="60"/>
      <c r="F17" s="60"/>
      <c r="G17" s="60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2" t="s">
        <v>15</v>
      </c>
      <c r="S17" s="62"/>
      <c r="T17" s="62"/>
      <c r="U17" s="62"/>
      <c r="V17" s="62"/>
    </row>
    <row r="19" spans="1:22" x14ac:dyDescent="0.25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8.75" x14ac:dyDescent="0.3">
      <c r="E21" s="3" t="s">
        <v>0</v>
      </c>
      <c r="G21" s="4"/>
      <c r="H21" s="4"/>
      <c r="I21" s="4"/>
      <c r="J21" s="4"/>
      <c r="K21" s="4"/>
      <c r="L21" s="4"/>
      <c r="M21" s="5" t="s">
        <v>1</v>
      </c>
      <c r="N21" s="6"/>
    </row>
    <row r="22" spans="1:22" ht="18.75" x14ac:dyDescent="0.3">
      <c r="E22" s="3" t="s">
        <v>2</v>
      </c>
      <c r="J22" s="7"/>
      <c r="K22" s="7"/>
      <c r="L22" s="7"/>
      <c r="M22" s="5" t="s">
        <v>3</v>
      </c>
      <c r="N22" s="8" t="str">
        <f>N21&amp;".1"</f>
        <v>.1</v>
      </c>
    </row>
    <row r="23" spans="1:22" ht="18.75" x14ac:dyDescent="0.3">
      <c r="E23" t="s">
        <v>4</v>
      </c>
      <c r="H23" s="4"/>
      <c r="I23" s="4"/>
      <c r="J23" s="4"/>
      <c r="K23" s="4"/>
      <c r="L23" s="4"/>
      <c r="M23" s="9" t="s">
        <v>3</v>
      </c>
      <c r="N23" s="10"/>
    </row>
    <row r="24" spans="1:22" ht="18.75" x14ac:dyDescent="0.3">
      <c r="E24" t="s">
        <v>5</v>
      </c>
      <c r="L24" s="7"/>
      <c r="M24" s="9" t="s">
        <v>6</v>
      </c>
      <c r="N24" s="10" t="str">
        <f>"-"&amp;N21&amp;".1"</f>
        <v>-.1</v>
      </c>
      <c r="O24" s="10"/>
    </row>
    <row r="25" spans="1:22" ht="18.75" x14ac:dyDescent="0.3">
      <c r="E25" s="12" t="s">
        <v>7</v>
      </c>
      <c r="I25" s="4"/>
      <c r="J25" s="4"/>
      <c r="K25" s="4"/>
      <c r="L25" s="4"/>
      <c r="M25" s="9" t="s">
        <v>3</v>
      </c>
      <c r="N25" s="10"/>
    </row>
    <row r="26" spans="1:22" ht="15.75" thickBot="1" x14ac:dyDescent="0.3">
      <c r="E26" s="13" t="s">
        <v>8</v>
      </c>
      <c r="F26" s="13"/>
      <c r="G26" s="13"/>
      <c r="H26" s="13"/>
      <c r="I26" s="14"/>
      <c r="J26" s="14"/>
      <c r="K26" s="14"/>
      <c r="L26" s="14"/>
      <c r="M26" s="14" t="s">
        <v>3</v>
      </c>
      <c r="N26" s="63"/>
      <c r="O26" s="63"/>
    </row>
    <row r="27" spans="1:22" x14ac:dyDescent="0.2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8"/>
    </row>
    <row r="28" spans="1:22" x14ac:dyDescent="0.25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1"/>
    </row>
    <row r="29" spans="1:22" x14ac:dyDescent="0.25">
      <c r="A29" s="22"/>
      <c r="B29" s="23" t="s">
        <v>9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5"/>
      <c r="V29" s="26"/>
    </row>
    <row r="30" spans="1:22" ht="15.75" thickBot="1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6"/>
    </row>
    <row r="31" spans="1:22" x14ac:dyDescent="0.25">
      <c r="A31" s="27"/>
      <c r="B31" s="29">
        <v>0</v>
      </c>
      <c r="C31" s="30"/>
      <c r="D31" s="30">
        <v>1</v>
      </c>
      <c r="E31" s="30">
        <v>1</v>
      </c>
      <c r="F31" s="30">
        <v>2</v>
      </c>
      <c r="G31" s="30">
        <v>2</v>
      </c>
      <c r="H31" s="30">
        <v>3</v>
      </c>
      <c r="I31" s="31">
        <v>3</v>
      </c>
      <c r="J31" s="29">
        <v>4</v>
      </c>
      <c r="K31" s="30">
        <v>4</v>
      </c>
      <c r="L31" s="30">
        <v>5</v>
      </c>
      <c r="M31" s="30"/>
      <c r="N31" s="30">
        <v>6</v>
      </c>
      <c r="O31" s="30">
        <v>1</v>
      </c>
      <c r="P31" s="30">
        <v>7</v>
      </c>
      <c r="Q31" s="31">
        <v>2</v>
      </c>
      <c r="R31" s="25">
        <v>8</v>
      </c>
      <c r="S31" s="32">
        <v>3</v>
      </c>
      <c r="T31" s="32">
        <v>9</v>
      </c>
      <c r="U31" s="32">
        <v>4</v>
      </c>
      <c r="V31" s="33"/>
    </row>
    <row r="32" spans="1:22" ht="15.75" thickBot="1" x14ac:dyDescent="0.3">
      <c r="A32" s="27"/>
      <c r="B32" s="34"/>
      <c r="C32" s="35"/>
      <c r="D32" s="35"/>
      <c r="E32" s="35"/>
      <c r="F32" s="35"/>
      <c r="G32" s="35"/>
      <c r="H32" s="35"/>
      <c r="I32" s="36"/>
      <c r="J32" s="34"/>
      <c r="K32" s="35"/>
      <c r="L32" s="35"/>
      <c r="M32" s="35"/>
      <c r="N32" s="35"/>
      <c r="O32" s="35"/>
      <c r="P32" s="35"/>
      <c r="Q32" s="36"/>
      <c r="R32" s="37"/>
      <c r="S32" s="20"/>
      <c r="T32" s="20"/>
      <c r="U32" s="20"/>
      <c r="V32" s="33"/>
    </row>
    <row r="33" spans="1:22" ht="15.75" thickBot="1" x14ac:dyDescent="0.3">
      <c r="A33" s="38"/>
      <c r="B33" s="39"/>
      <c r="C33" s="39"/>
      <c r="D33" s="39"/>
      <c r="E33" s="39"/>
      <c r="F33" s="40"/>
      <c r="G33" s="39"/>
      <c r="H33" s="39"/>
      <c r="I33" s="39"/>
      <c r="J33" s="39"/>
      <c r="K33" s="40"/>
      <c r="L33" s="39"/>
      <c r="M33" s="40"/>
      <c r="N33" s="39"/>
      <c r="O33" s="40"/>
      <c r="P33" s="39"/>
      <c r="Q33" s="40"/>
      <c r="R33" s="41"/>
      <c r="S33" s="41"/>
      <c r="T33" s="41"/>
      <c r="U33" s="41"/>
      <c r="V33" s="42"/>
    </row>
    <row r="34" spans="1:22" ht="15.75" thickBot="1" x14ac:dyDescent="0.3">
      <c r="A34" s="43"/>
      <c r="B34" s="43"/>
      <c r="C34" s="43"/>
      <c r="D34" s="43"/>
      <c r="E34" s="43"/>
      <c r="F34" s="44"/>
      <c r="G34" s="43"/>
      <c r="H34" s="43"/>
      <c r="I34" s="43"/>
      <c r="J34" s="43"/>
      <c r="K34" s="44"/>
      <c r="L34" s="43"/>
      <c r="M34" s="44"/>
      <c r="N34" s="43"/>
      <c r="O34" s="44"/>
      <c r="P34" s="43"/>
      <c r="Q34" s="44"/>
      <c r="R34" s="43"/>
      <c r="S34" s="43"/>
      <c r="T34" s="43"/>
      <c r="U34" s="43"/>
      <c r="V34" s="45"/>
    </row>
    <row r="35" spans="1:22" ht="41.25" thickBot="1" x14ac:dyDescent="0.3">
      <c r="A35" s="43"/>
      <c r="B35" s="46" t="str">
        <f>IF(Q35&gt;1,"Считыватель вх",IF(F35&lt;1,"","Считыватель вх"))</f>
        <v>Считыватель вх</v>
      </c>
      <c r="C35" s="47"/>
      <c r="D35" s="48"/>
      <c r="E35" s="48"/>
      <c r="F35" s="49">
        <v>1</v>
      </c>
      <c r="G35" s="49"/>
      <c r="H35" s="50"/>
      <c r="I35" s="51"/>
      <c r="J35" s="52" t="str">
        <f>IF(Q35&gt;1,"замок",IF(K35&lt;1,"",IF(F35&lt;1,"замок пож.дв.","замок")))</f>
        <v>замок</v>
      </c>
      <c r="K35" s="53">
        <v>10</v>
      </c>
      <c r="L35" s="54" t="s">
        <v>10</v>
      </c>
      <c r="M35" s="54" t="s">
        <v>11</v>
      </c>
      <c r="N35" s="55" t="s">
        <v>12</v>
      </c>
      <c r="O35" s="53">
        <v>7</v>
      </c>
      <c r="P35" s="55" t="s">
        <v>13</v>
      </c>
      <c r="Q35" s="56"/>
      <c r="R35" s="57" t="s">
        <v>14</v>
      </c>
      <c r="S35" s="58"/>
      <c r="T35" s="58"/>
      <c r="U35" s="58"/>
      <c r="V35" s="58"/>
    </row>
    <row r="36" spans="1:22" x14ac:dyDescent="0.25">
      <c r="A36" s="43"/>
      <c r="B36" s="59"/>
      <c r="C36" s="60"/>
      <c r="D36" s="60"/>
      <c r="E36" s="60"/>
      <c r="F36" s="60"/>
      <c r="G36" s="60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2" t="s">
        <v>15</v>
      </c>
      <c r="S36" s="62"/>
      <c r="T36" s="62"/>
      <c r="U36" s="62"/>
      <c r="V36" s="62"/>
    </row>
    <row r="38" spans="1:22" x14ac:dyDescent="0.25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8.75" x14ac:dyDescent="0.3">
      <c r="E40" s="3" t="s">
        <v>0</v>
      </c>
      <c r="G40" s="4"/>
      <c r="H40" s="4"/>
      <c r="I40" s="4"/>
      <c r="J40" s="4"/>
      <c r="K40" s="4"/>
      <c r="L40" s="4"/>
      <c r="M40" s="5" t="s">
        <v>1</v>
      </c>
      <c r="N40" s="6"/>
    </row>
    <row r="41" spans="1:22" ht="18.75" x14ac:dyDescent="0.3">
      <c r="E41" s="3" t="s">
        <v>2</v>
      </c>
      <c r="J41" s="7"/>
      <c r="K41" s="7"/>
      <c r="L41" s="7"/>
      <c r="M41" s="5" t="s">
        <v>3</v>
      </c>
      <c r="N41" s="8" t="str">
        <f>N40&amp;".1"</f>
        <v>.1</v>
      </c>
    </row>
    <row r="42" spans="1:22" ht="18.75" x14ac:dyDescent="0.3">
      <c r="E42" t="s">
        <v>4</v>
      </c>
      <c r="H42" s="4"/>
      <c r="I42" s="4"/>
      <c r="J42" s="4"/>
      <c r="K42" s="4"/>
      <c r="L42" s="4"/>
      <c r="M42" s="9" t="s">
        <v>3</v>
      </c>
      <c r="N42" s="10"/>
    </row>
    <row r="43" spans="1:22" ht="18.75" x14ac:dyDescent="0.3">
      <c r="E43" t="s">
        <v>5</v>
      </c>
      <c r="L43" s="7"/>
      <c r="M43" s="9" t="s">
        <v>6</v>
      </c>
      <c r="N43" s="10" t="str">
        <f>"-"&amp;N40&amp;".1"</f>
        <v>-.1</v>
      </c>
      <c r="O43" s="10"/>
    </row>
    <row r="44" spans="1:22" ht="18.75" x14ac:dyDescent="0.3">
      <c r="E44" s="12" t="s">
        <v>7</v>
      </c>
      <c r="I44" s="4"/>
      <c r="J44" s="4"/>
      <c r="K44" s="4"/>
      <c r="L44" s="4"/>
      <c r="M44" s="9" t="s">
        <v>3</v>
      </c>
      <c r="N44" s="10"/>
    </row>
    <row r="45" spans="1:22" ht="15.75" thickBot="1" x14ac:dyDescent="0.3">
      <c r="E45" s="13" t="s">
        <v>8</v>
      </c>
      <c r="F45" s="13"/>
      <c r="G45" s="13"/>
      <c r="H45" s="13"/>
      <c r="I45" s="14"/>
      <c r="J45" s="14"/>
      <c r="K45" s="14"/>
      <c r="L45" s="14"/>
      <c r="M45" s="14" t="s">
        <v>3</v>
      </c>
      <c r="N45" s="63"/>
      <c r="O45" s="63"/>
    </row>
    <row r="46" spans="1:22" x14ac:dyDescent="0.25">
      <c r="A46" s="16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8"/>
    </row>
    <row r="47" spans="1:22" x14ac:dyDescent="0.25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1"/>
    </row>
    <row r="48" spans="1:22" x14ac:dyDescent="0.25">
      <c r="A48" s="22"/>
      <c r="B48" s="23" t="s">
        <v>9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5"/>
      <c r="V48" s="26"/>
    </row>
    <row r="49" spans="1:22" ht="15.75" thickBot="1" x14ac:dyDescent="0.3">
      <c r="A49" s="27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6"/>
    </row>
    <row r="50" spans="1:22" x14ac:dyDescent="0.25">
      <c r="A50" s="27"/>
      <c r="B50" s="29">
        <v>0</v>
      </c>
      <c r="C50" s="30"/>
      <c r="D50" s="30">
        <v>1</v>
      </c>
      <c r="E50" s="30">
        <v>1</v>
      </c>
      <c r="F50" s="30">
        <v>2</v>
      </c>
      <c r="G50" s="30">
        <v>2</v>
      </c>
      <c r="H50" s="30">
        <v>3</v>
      </c>
      <c r="I50" s="31">
        <v>3</v>
      </c>
      <c r="J50" s="29">
        <v>4</v>
      </c>
      <c r="K50" s="30">
        <v>4</v>
      </c>
      <c r="L50" s="30">
        <v>5</v>
      </c>
      <c r="M50" s="30"/>
      <c r="N50" s="30">
        <v>6</v>
      </c>
      <c r="O50" s="30">
        <v>1</v>
      </c>
      <c r="P50" s="30">
        <v>7</v>
      </c>
      <c r="Q50" s="31">
        <v>2</v>
      </c>
      <c r="R50" s="25">
        <v>8</v>
      </c>
      <c r="S50" s="32">
        <v>3</v>
      </c>
      <c r="T50" s="32">
        <v>9</v>
      </c>
      <c r="U50" s="32">
        <v>4</v>
      </c>
      <c r="V50" s="33"/>
    </row>
    <row r="51" spans="1:22" ht="15.75" thickBot="1" x14ac:dyDescent="0.3">
      <c r="A51" s="27"/>
      <c r="B51" s="34"/>
      <c r="C51" s="35"/>
      <c r="D51" s="35"/>
      <c r="E51" s="35"/>
      <c r="F51" s="35"/>
      <c r="G51" s="35"/>
      <c r="H51" s="35"/>
      <c r="I51" s="36"/>
      <c r="J51" s="34"/>
      <c r="K51" s="35"/>
      <c r="L51" s="35"/>
      <c r="M51" s="35"/>
      <c r="N51" s="35"/>
      <c r="O51" s="35"/>
      <c r="P51" s="35"/>
      <c r="Q51" s="36"/>
      <c r="R51" s="37"/>
      <c r="S51" s="20"/>
      <c r="T51" s="20"/>
      <c r="U51" s="20"/>
      <c r="V51" s="33"/>
    </row>
    <row r="52" spans="1:22" ht="15.75" thickBot="1" x14ac:dyDescent="0.3">
      <c r="A52" s="38"/>
      <c r="B52" s="39"/>
      <c r="C52" s="39"/>
      <c r="D52" s="39"/>
      <c r="E52" s="39"/>
      <c r="F52" s="40"/>
      <c r="G52" s="39"/>
      <c r="H52" s="39"/>
      <c r="I52" s="39"/>
      <c r="J52" s="39"/>
      <c r="K52" s="40"/>
      <c r="L52" s="39"/>
      <c r="M52" s="40"/>
      <c r="N52" s="39"/>
      <c r="O52" s="40"/>
      <c r="P52" s="39"/>
      <c r="Q52" s="40"/>
      <c r="R52" s="41"/>
      <c r="S52" s="41"/>
      <c r="T52" s="41"/>
      <c r="U52" s="41"/>
      <c r="V52" s="42"/>
    </row>
    <row r="53" spans="1:22" ht="15.75" thickBot="1" x14ac:dyDescent="0.3">
      <c r="A53" s="43"/>
      <c r="B53" s="43"/>
      <c r="C53" s="43"/>
      <c r="D53" s="43"/>
      <c r="E53" s="43"/>
      <c r="F53" s="44"/>
      <c r="G53" s="43"/>
      <c r="H53" s="43"/>
      <c r="I53" s="43"/>
      <c r="J53" s="43"/>
      <c r="K53" s="44"/>
      <c r="L53" s="43"/>
      <c r="M53" s="44"/>
      <c r="N53" s="43"/>
      <c r="O53" s="44"/>
      <c r="P53" s="43"/>
      <c r="Q53" s="44"/>
      <c r="R53" s="43"/>
      <c r="S53" s="43"/>
      <c r="T53" s="43"/>
      <c r="U53" s="43"/>
      <c r="V53" s="45"/>
    </row>
    <row r="54" spans="1:22" ht="41.25" thickBot="1" x14ac:dyDescent="0.3">
      <c r="A54" s="43"/>
      <c r="B54" s="46" t="str">
        <f>IF(Q54&gt;1,"Считыватель вх",IF(F54&lt;1,"","Считыватель вх"))</f>
        <v>Считыватель вх</v>
      </c>
      <c r="C54" s="47"/>
      <c r="D54" s="48"/>
      <c r="E54" s="48"/>
      <c r="F54" s="49">
        <v>1</v>
      </c>
      <c r="G54" s="49"/>
      <c r="H54" s="50"/>
      <c r="I54" s="51"/>
      <c r="J54" s="52" t="str">
        <f>IF(Q54&gt;1,"замок",IF(K54&lt;1,"",IF(F54&lt;1,"замок пож.дв.","замок")))</f>
        <v>замок</v>
      </c>
      <c r="K54" s="53">
        <v>10</v>
      </c>
      <c r="L54" s="54" t="s">
        <v>10</v>
      </c>
      <c r="M54" s="54" t="s">
        <v>11</v>
      </c>
      <c r="N54" s="55" t="s">
        <v>12</v>
      </c>
      <c r="O54" s="53">
        <v>7</v>
      </c>
      <c r="P54" s="55" t="s">
        <v>13</v>
      </c>
      <c r="Q54" s="56"/>
      <c r="R54" s="57" t="s">
        <v>14</v>
      </c>
      <c r="S54" s="58"/>
      <c r="T54" s="58"/>
      <c r="U54" s="58"/>
      <c r="V54" s="58"/>
    </row>
    <row r="55" spans="1:22" x14ac:dyDescent="0.25">
      <c r="A55" s="43"/>
      <c r="B55" s="59"/>
      <c r="C55" s="60"/>
      <c r="D55" s="60"/>
      <c r="E55" s="60"/>
      <c r="F55" s="60"/>
      <c r="G55" s="60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2" t="s">
        <v>15</v>
      </c>
      <c r="S55" s="62"/>
      <c r="T55" s="62"/>
      <c r="U55" s="62"/>
      <c r="V55" s="62"/>
    </row>
    <row r="57" spans="1:22" x14ac:dyDescent="0.25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8.75" x14ac:dyDescent="0.3">
      <c r="E59" s="3" t="s">
        <v>0</v>
      </c>
      <c r="G59" s="4"/>
      <c r="H59" s="4"/>
      <c r="I59" s="4"/>
      <c r="J59" s="4"/>
      <c r="K59" s="4"/>
      <c r="L59" s="4"/>
      <c r="M59" s="5" t="s">
        <v>1</v>
      </c>
      <c r="N59" s="6"/>
    </row>
    <row r="60" spans="1:22" ht="18.75" x14ac:dyDescent="0.3">
      <c r="E60" s="3" t="s">
        <v>2</v>
      </c>
      <c r="J60" s="7"/>
      <c r="K60" s="7"/>
      <c r="L60" s="7"/>
      <c r="M60" s="5" t="s">
        <v>3</v>
      </c>
      <c r="N60" s="8" t="str">
        <f>N59&amp;".1"</f>
        <v>.1</v>
      </c>
    </row>
    <row r="61" spans="1:22" ht="18.75" x14ac:dyDescent="0.3">
      <c r="E61" t="s">
        <v>4</v>
      </c>
      <c r="H61" s="4"/>
      <c r="I61" s="4"/>
      <c r="J61" s="4"/>
      <c r="K61" s="4"/>
      <c r="L61" s="4"/>
      <c r="M61" s="9" t="s">
        <v>3</v>
      </c>
      <c r="N61" s="10"/>
    </row>
    <row r="62" spans="1:22" ht="18.75" x14ac:dyDescent="0.3">
      <c r="E62" t="s">
        <v>5</v>
      </c>
      <c r="L62" s="7"/>
      <c r="M62" s="9" t="s">
        <v>6</v>
      </c>
      <c r="N62" s="10" t="str">
        <f>"-"&amp;N59&amp;".1"</f>
        <v>-.1</v>
      </c>
      <c r="O62" s="10"/>
    </row>
    <row r="63" spans="1:22" ht="18.75" x14ac:dyDescent="0.3">
      <c r="E63" s="12" t="s">
        <v>7</v>
      </c>
      <c r="I63" s="4"/>
      <c r="J63" s="4"/>
      <c r="K63" s="4"/>
      <c r="L63" s="4"/>
      <c r="M63" s="9" t="s">
        <v>3</v>
      </c>
      <c r="N63" s="10"/>
    </row>
    <row r="64" spans="1:22" ht="15.75" thickBot="1" x14ac:dyDescent="0.3">
      <c r="E64" s="13" t="s">
        <v>8</v>
      </c>
      <c r="F64" s="13"/>
      <c r="G64" s="13"/>
      <c r="H64" s="13"/>
      <c r="I64" s="14"/>
      <c r="J64" s="14"/>
      <c r="K64" s="14"/>
      <c r="L64" s="14"/>
      <c r="M64" s="14" t="s">
        <v>3</v>
      </c>
      <c r="N64" s="63"/>
      <c r="O64" s="63"/>
    </row>
    <row r="65" spans="1:22" x14ac:dyDescent="0.25">
      <c r="A65" s="16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8"/>
    </row>
    <row r="66" spans="1:22" x14ac:dyDescent="0.25">
      <c r="A66" s="19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1"/>
    </row>
    <row r="67" spans="1:22" x14ac:dyDescent="0.25">
      <c r="A67" s="22"/>
      <c r="B67" s="23" t="s">
        <v>9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5"/>
      <c r="V67" s="26"/>
    </row>
    <row r="68" spans="1:22" ht="15.75" thickBot="1" x14ac:dyDescent="0.3">
      <c r="A68" s="27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6"/>
    </row>
    <row r="69" spans="1:22" x14ac:dyDescent="0.25">
      <c r="A69" s="27"/>
      <c r="B69" s="29">
        <v>0</v>
      </c>
      <c r="C69" s="30"/>
      <c r="D69" s="30">
        <v>1</v>
      </c>
      <c r="E69" s="30">
        <v>1</v>
      </c>
      <c r="F69" s="30">
        <v>2</v>
      </c>
      <c r="G69" s="30">
        <v>2</v>
      </c>
      <c r="H69" s="30">
        <v>3</v>
      </c>
      <c r="I69" s="31">
        <v>3</v>
      </c>
      <c r="J69" s="29">
        <v>4</v>
      </c>
      <c r="K69" s="30">
        <v>4</v>
      </c>
      <c r="L69" s="30">
        <v>5</v>
      </c>
      <c r="M69" s="30"/>
      <c r="N69" s="30">
        <v>6</v>
      </c>
      <c r="O69" s="30">
        <v>1</v>
      </c>
      <c r="P69" s="30">
        <v>7</v>
      </c>
      <c r="Q69" s="31">
        <v>2</v>
      </c>
      <c r="R69" s="25">
        <v>8</v>
      </c>
      <c r="S69" s="32">
        <v>3</v>
      </c>
      <c r="T69" s="32">
        <v>9</v>
      </c>
      <c r="U69" s="32">
        <v>4</v>
      </c>
      <c r="V69" s="33"/>
    </row>
    <row r="70" spans="1:22" ht="15.75" thickBot="1" x14ac:dyDescent="0.3">
      <c r="A70" s="27"/>
      <c r="B70" s="34"/>
      <c r="C70" s="35"/>
      <c r="D70" s="35"/>
      <c r="E70" s="35"/>
      <c r="F70" s="35"/>
      <c r="G70" s="35"/>
      <c r="H70" s="35"/>
      <c r="I70" s="36"/>
      <c r="J70" s="34"/>
      <c r="K70" s="35"/>
      <c r="L70" s="35"/>
      <c r="M70" s="35"/>
      <c r="N70" s="35"/>
      <c r="O70" s="35"/>
      <c r="P70" s="35"/>
      <c r="Q70" s="36"/>
      <c r="R70" s="37"/>
      <c r="S70" s="20"/>
      <c r="T70" s="20"/>
      <c r="U70" s="20"/>
      <c r="V70" s="33"/>
    </row>
    <row r="71" spans="1:22" ht="15.75" thickBot="1" x14ac:dyDescent="0.3">
      <c r="A71" s="38"/>
      <c r="B71" s="39"/>
      <c r="C71" s="39"/>
      <c r="D71" s="39"/>
      <c r="E71" s="39"/>
      <c r="F71" s="40"/>
      <c r="G71" s="39"/>
      <c r="H71" s="39"/>
      <c r="I71" s="39"/>
      <c r="J71" s="39"/>
      <c r="K71" s="40"/>
      <c r="L71" s="39"/>
      <c r="M71" s="40"/>
      <c r="N71" s="39"/>
      <c r="O71" s="40"/>
      <c r="P71" s="39"/>
      <c r="Q71" s="40"/>
      <c r="R71" s="41"/>
      <c r="S71" s="41"/>
      <c r="T71" s="41"/>
      <c r="U71" s="41"/>
      <c r="V71" s="42"/>
    </row>
    <row r="72" spans="1:22" ht="15.75" thickBot="1" x14ac:dyDescent="0.3">
      <c r="A72" s="43"/>
      <c r="B72" s="43"/>
      <c r="C72" s="43"/>
      <c r="D72" s="43"/>
      <c r="E72" s="43"/>
      <c r="F72" s="44"/>
      <c r="G72" s="43"/>
      <c r="H72" s="43"/>
      <c r="I72" s="43"/>
      <c r="J72" s="43"/>
      <c r="K72" s="44"/>
      <c r="L72" s="43"/>
      <c r="M72" s="44"/>
      <c r="N72" s="43"/>
      <c r="O72" s="44"/>
      <c r="P72" s="43"/>
      <c r="Q72" s="44"/>
      <c r="R72" s="43"/>
      <c r="S72" s="43"/>
      <c r="T72" s="43"/>
      <c r="U72" s="43"/>
      <c r="V72" s="45"/>
    </row>
    <row r="73" spans="1:22" ht="41.25" thickBot="1" x14ac:dyDescent="0.3">
      <c r="A73" s="43"/>
      <c r="B73" s="46" t="str">
        <f>IF(Q73&gt;1,"Считыватель вх",IF(F73&lt;1,"","Считыватель вх"))</f>
        <v>Считыватель вх</v>
      </c>
      <c r="C73" s="47"/>
      <c r="D73" s="48"/>
      <c r="E73" s="48"/>
      <c r="F73" s="49">
        <v>1</v>
      </c>
      <c r="G73" s="49"/>
      <c r="H73" s="50"/>
      <c r="I73" s="51"/>
      <c r="J73" s="52" t="str">
        <f>IF(Q73&gt;1,"замок",IF(K73&lt;1,"",IF(F73&lt;1,"замок пож.дв.","замок")))</f>
        <v>замок</v>
      </c>
      <c r="K73" s="53">
        <v>10</v>
      </c>
      <c r="L73" s="54" t="s">
        <v>10</v>
      </c>
      <c r="M73" s="54" t="s">
        <v>11</v>
      </c>
      <c r="N73" s="55" t="s">
        <v>12</v>
      </c>
      <c r="O73" s="53">
        <v>7</v>
      </c>
      <c r="P73" s="55" t="s">
        <v>13</v>
      </c>
      <c r="Q73" s="56"/>
      <c r="R73" s="57" t="s">
        <v>14</v>
      </c>
      <c r="S73" s="58"/>
      <c r="T73" s="58"/>
      <c r="U73" s="58"/>
      <c r="V73" s="58"/>
    </row>
    <row r="74" spans="1:22" x14ac:dyDescent="0.25">
      <c r="A74" s="43"/>
      <c r="B74" s="59"/>
      <c r="C74" s="60"/>
      <c r="D74" s="60"/>
      <c r="E74" s="60"/>
      <c r="F74" s="60"/>
      <c r="G74" s="60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2" t="s">
        <v>15</v>
      </c>
      <c r="S74" s="62"/>
      <c r="T74" s="62"/>
      <c r="U74" s="62"/>
      <c r="V74" s="62"/>
    </row>
    <row r="76" spans="1:22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8.75" x14ac:dyDescent="0.3">
      <c r="E78" s="3" t="s">
        <v>0</v>
      </c>
      <c r="G78" s="4"/>
      <c r="H78" s="4"/>
      <c r="I78" s="4"/>
      <c r="J78" s="4"/>
      <c r="K78" s="4"/>
      <c r="L78" s="4"/>
      <c r="M78" s="5" t="s">
        <v>1</v>
      </c>
      <c r="N78" s="6"/>
    </row>
    <row r="79" spans="1:22" ht="18.75" x14ac:dyDescent="0.3">
      <c r="E79" s="3" t="s">
        <v>2</v>
      </c>
      <c r="J79" s="7"/>
      <c r="K79" s="7"/>
      <c r="L79" s="7"/>
      <c r="M79" s="5" t="s">
        <v>3</v>
      </c>
      <c r="N79" s="8" t="str">
        <f>N78&amp;".1"</f>
        <v>.1</v>
      </c>
    </row>
    <row r="80" spans="1:22" ht="18.75" x14ac:dyDescent="0.3">
      <c r="E80" t="s">
        <v>4</v>
      </c>
      <c r="H80" s="4"/>
      <c r="I80" s="4"/>
      <c r="J80" s="4"/>
      <c r="K80" s="4"/>
      <c r="L80" s="4"/>
      <c r="M80" s="9" t="s">
        <v>3</v>
      </c>
      <c r="N80" s="10"/>
    </row>
    <row r="81" spans="1:22" ht="18.75" x14ac:dyDescent="0.3">
      <c r="E81" t="s">
        <v>5</v>
      </c>
      <c r="L81" s="7"/>
      <c r="M81" s="9" t="s">
        <v>6</v>
      </c>
      <c r="N81" s="10" t="str">
        <f>"-"&amp;N78&amp;".1"</f>
        <v>-.1</v>
      </c>
      <c r="O81" s="10"/>
    </row>
    <row r="82" spans="1:22" ht="18.75" x14ac:dyDescent="0.3">
      <c r="E82" s="12" t="s">
        <v>7</v>
      </c>
      <c r="I82" s="4"/>
      <c r="J82" s="4"/>
      <c r="K82" s="4"/>
      <c r="L82" s="4"/>
      <c r="M82" s="9" t="s">
        <v>3</v>
      </c>
      <c r="N82" s="10"/>
    </row>
    <row r="83" spans="1:22" ht="15.75" thickBot="1" x14ac:dyDescent="0.3">
      <c r="E83" s="13" t="s">
        <v>8</v>
      </c>
      <c r="F83" s="13"/>
      <c r="G83" s="13"/>
      <c r="H83" s="13"/>
      <c r="I83" s="14"/>
      <c r="J83" s="14"/>
      <c r="K83" s="14"/>
      <c r="L83" s="14"/>
      <c r="M83" s="14" t="s">
        <v>3</v>
      </c>
      <c r="N83" s="63"/>
      <c r="O83" s="63"/>
    </row>
    <row r="84" spans="1:22" x14ac:dyDescent="0.25">
      <c r="A84" s="16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8"/>
    </row>
    <row r="85" spans="1:22" x14ac:dyDescent="0.25">
      <c r="A85" s="19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1"/>
    </row>
    <row r="86" spans="1:22" x14ac:dyDescent="0.25">
      <c r="A86" s="22"/>
      <c r="B86" s="23" t="s">
        <v>9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5"/>
      <c r="V86" s="26"/>
    </row>
    <row r="87" spans="1:22" ht="15.75" thickBot="1" x14ac:dyDescent="0.3">
      <c r="A87" s="27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6"/>
    </row>
    <row r="88" spans="1:22" x14ac:dyDescent="0.25">
      <c r="A88" s="27"/>
      <c r="B88" s="29">
        <v>0</v>
      </c>
      <c r="C88" s="30"/>
      <c r="D88" s="30">
        <v>1</v>
      </c>
      <c r="E88" s="30">
        <v>1</v>
      </c>
      <c r="F88" s="30">
        <v>2</v>
      </c>
      <c r="G88" s="30">
        <v>2</v>
      </c>
      <c r="H88" s="30">
        <v>3</v>
      </c>
      <c r="I88" s="31">
        <v>3</v>
      </c>
      <c r="J88" s="29">
        <v>4</v>
      </c>
      <c r="K88" s="30">
        <v>4</v>
      </c>
      <c r="L88" s="30">
        <v>5</v>
      </c>
      <c r="M88" s="30"/>
      <c r="N88" s="30">
        <v>6</v>
      </c>
      <c r="O88" s="30">
        <v>1</v>
      </c>
      <c r="P88" s="30">
        <v>7</v>
      </c>
      <c r="Q88" s="31">
        <v>2</v>
      </c>
      <c r="R88" s="25">
        <v>8</v>
      </c>
      <c r="S88" s="32">
        <v>3</v>
      </c>
      <c r="T88" s="32">
        <v>9</v>
      </c>
      <c r="U88" s="32">
        <v>4</v>
      </c>
      <c r="V88" s="33"/>
    </row>
    <row r="89" spans="1:22" ht="15.75" thickBot="1" x14ac:dyDescent="0.3">
      <c r="A89" s="27"/>
      <c r="B89" s="34"/>
      <c r="C89" s="35"/>
      <c r="D89" s="35"/>
      <c r="E89" s="35"/>
      <c r="F89" s="35"/>
      <c r="G89" s="35"/>
      <c r="H89" s="35"/>
      <c r="I89" s="36"/>
      <c r="J89" s="34"/>
      <c r="K89" s="35"/>
      <c r="L89" s="35"/>
      <c r="M89" s="35"/>
      <c r="N89" s="35"/>
      <c r="O89" s="35"/>
      <c r="P89" s="35"/>
      <c r="Q89" s="36"/>
      <c r="R89" s="37"/>
      <c r="S89" s="20"/>
      <c r="T89" s="20"/>
      <c r="U89" s="20"/>
      <c r="V89" s="33"/>
    </row>
    <row r="90" spans="1:22" ht="15.75" thickBot="1" x14ac:dyDescent="0.3">
      <c r="A90" s="38"/>
      <c r="B90" s="39"/>
      <c r="C90" s="39"/>
      <c r="D90" s="39"/>
      <c r="E90" s="39"/>
      <c r="F90" s="40"/>
      <c r="G90" s="39"/>
      <c r="H90" s="39"/>
      <c r="I90" s="39"/>
      <c r="J90" s="39"/>
      <c r="K90" s="40"/>
      <c r="L90" s="39"/>
      <c r="M90" s="40"/>
      <c r="N90" s="39"/>
      <c r="O90" s="40"/>
      <c r="P90" s="39"/>
      <c r="Q90" s="40"/>
      <c r="R90" s="41"/>
      <c r="S90" s="41"/>
      <c r="T90" s="41"/>
      <c r="U90" s="41"/>
      <c r="V90" s="42"/>
    </row>
    <row r="91" spans="1:22" ht="15.75" thickBot="1" x14ac:dyDescent="0.3">
      <c r="A91" s="43"/>
      <c r="B91" s="43"/>
      <c r="C91" s="43"/>
      <c r="D91" s="43"/>
      <c r="E91" s="43"/>
      <c r="F91" s="44"/>
      <c r="G91" s="43"/>
      <c r="H91" s="43"/>
      <c r="I91" s="43"/>
      <c r="J91" s="43"/>
      <c r="K91" s="44"/>
      <c r="L91" s="43"/>
      <c r="M91" s="44"/>
      <c r="N91" s="43"/>
      <c r="O91" s="44"/>
      <c r="P91" s="43"/>
      <c r="Q91" s="44"/>
      <c r="R91" s="43"/>
      <c r="S91" s="43"/>
      <c r="T91" s="43"/>
      <c r="U91" s="43"/>
      <c r="V91" s="45"/>
    </row>
    <row r="92" spans="1:22" ht="41.25" thickBot="1" x14ac:dyDescent="0.3">
      <c r="A92" s="43"/>
      <c r="B92" s="46" t="str">
        <f>IF(Q92&gt;1,"Считыватель вх",IF(F92&lt;1,"","Считыватель вх"))</f>
        <v>Считыватель вх</v>
      </c>
      <c r="C92" s="47"/>
      <c r="D92" s="48"/>
      <c r="E92" s="48"/>
      <c r="F92" s="49">
        <v>1</v>
      </c>
      <c r="G92" s="49"/>
      <c r="H92" s="50"/>
      <c r="I92" s="51"/>
      <c r="J92" s="52" t="str">
        <f>IF(Q92&gt;1,"замок",IF(K92&lt;1,"",IF(F92&lt;1,"замок пож.дв.","замок")))</f>
        <v>замок</v>
      </c>
      <c r="K92" s="53">
        <v>10</v>
      </c>
      <c r="L92" s="54" t="s">
        <v>10</v>
      </c>
      <c r="M92" s="54" t="s">
        <v>11</v>
      </c>
      <c r="N92" s="55" t="s">
        <v>12</v>
      </c>
      <c r="O92" s="53">
        <v>7</v>
      </c>
      <c r="P92" s="55" t="s">
        <v>13</v>
      </c>
      <c r="Q92" s="56"/>
      <c r="R92" s="57" t="s">
        <v>14</v>
      </c>
      <c r="S92" s="58"/>
      <c r="T92" s="58"/>
      <c r="U92" s="58"/>
      <c r="V92" s="58"/>
    </row>
    <row r="93" spans="1:22" x14ac:dyDescent="0.25">
      <c r="A93" s="43"/>
      <c r="B93" s="59"/>
      <c r="C93" s="60"/>
      <c r="D93" s="60"/>
      <c r="E93" s="60"/>
      <c r="F93" s="60"/>
      <c r="G93" s="60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2" t="s">
        <v>15</v>
      </c>
      <c r="S93" s="62"/>
      <c r="T93" s="62"/>
      <c r="U93" s="62"/>
      <c r="V93" s="62"/>
    </row>
    <row r="95" spans="1:22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8.75" x14ac:dyDescent="0.3">
      <c r="E97" s="3" t="s">
        <v>0</v>
      </c>
      <c r="G97" s="4"/>
      <c r="H97" s="4"/>
      <c r="I97" s="4"/>
      <c r="J97" s="4"/>
      <c r="K97" s="4"/>
      <c r="L97" s="4"/>
      <c r="M97" s="5" t="s">
        <v>1</v>
      </c>
      <c r="N97" s="6"/>
    </row>
    <row r="98" spans="1:22" ht="18.75" x14ac:dyDescent="0.3">
      <c r="E98" s="3" t="s">
        <v>2</v>
      </c>
      <c r="J98" s="7"/>
      <c r="K98" s="7"/>
      <c r="L98" s="7"/>
      <c r="M98" s="5" t="s">
        <v>3</v>
      </c>
      <c r="N98" s="8" t="str">
        <f>N97&amp;".1"</f>
        <v>.1</v>
      </c>
    </row>
    <row r="99" spans="1:22" ht="18.75" x14ac:dyDescent="0.3">
      <c r="E99" t="s">
        <v>4</v>
      </c>
      <c r="H99" s="4"/>
      <c r="I99" s="4"/>
      <c r="J99" s="4"/>
      <c r="K99" s="4"/>
      <c r="L99" s="4"/>
      <c r="M99" s="9" t="s">
        <v>3</v>
      </c>
      <c r="N99" s="10"/>
    </row>
    <row r="100" spans="1:22" ht="18.75" x14ac:dyDescent="0.3">
      <c r="E100" t="s">
        <v>5</v>
      </c>
      <c r="L100" s="7"/>
      <c r="M100" s="9" t="s">
        <v>6</v>
      </c>
      <c r="N100" s="10" t="str">
        <f>"-"&amp;N97&amp;".1"</f>
        <v>-.1</v>
      </c>
      <c r="O100" s="10"/>
    </row>
    <row r="101" spans="1:22" ht="18.75" x14ac:dyDescent="0.3">
      <c r="E101" s="12" t="s">
        <v>7</v>
      </c>
      <c r="I101" s="4"/>
      <c r="J101" s="4"/>
      <c r="K101" s="4"/>
      <c r="L101" s="4"/>
      <c r="M101" s="9" t="s">
        <v>3</v>
      </c>
      <c r="N101" s="10"/>
    </row>
    <row r="102" spans="1:22" ht="15.75" thickBot="1" x14ac:dyDescent="0.3">
      <c r="E102" s="13" t="s">
        <v>8</v>
      </c>
      <c r="F102" s="13"/>
      <c r="G102" s="13"/>
      <c r="H102" s="13"/>
      <c r="I102" s="14"/>
      <c r="J102" s="14"/>
      <c r="K102" s="14"/>
      <c r="L102" s="14"/>
      <c r="M102" s="14" t="s">
        <v>3</v>
      </c>
      <c r="N102" s="63"/>
      <c r="O102" s="63"/>
    </row>
    <row r="103" spans="1:22" x14ac:dyDescent="0.25">
      <c r="A103" s="16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8"/>
    </row>
    <row r="104" spans="1:22" x14ac:dyDescent="0.25">
      <c r="A104" s="19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1"/>
    </row>
    <row r="105" spans="1:22" x14ac:dyDescent="0.25">
      <c r="A105" s="22"/>
      <c r="B105" s="23" t="s">
        <v>9</v>
      </c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5"/>
      <c r="V105" s="26"/>
    </row>
    <row r="106" spans="1:22" ht="15.75" thickBot="1" x14ac:dyDescent="0.3">
      <c r="A106" s="27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6"/>
    </row>
    <row r="107" spans="1:22" x14ac:dyDescent="0.25">
      <c r="A107" s="27"/>
      <c r="B107" s="29">
        <v>0</v>
      </c>
      <c r="C107" s="30"/>
      <c r="D107" s="30">
        <v>1</v>
      </c>
      <c r="E107" s="30">
        <v>1</v>
      </c>
      <c r="F107" s="30">
        <v>2</v>
      </c>
      <c r="G107" s="30">
        <v>2</v>
      </c>
      <c r="H107" s="30">
        <v>3</v>
      </c>
      <c r="I107" s="31">
        <v>3</v>
      </c>
      <c r="J107" s="29">
        <v>4</v>
      </c>
      <c r="K107" s="30">
        <v>4</v>
      </c>
      <c r="L107" s="30">
        <v>5</v>
      </c>
      <c r="M107" s="30"/>
      <c r="N107" s="30">
        <v>6</v>
      </c>
      <c r="O107" s="30">
        <v>1</v>
      </c>
      <c r="P107" s="30">
        <v>7</v>
      </c>
      <c r="Q107" s="31">
        <v>2</v>
      </c>
      <c r="R107" s="25">
        <v>8</v>
      </c>
      <c r="S107" s="32">
        <v>3</v>
      </c>
      <c r="T107" s="32">
        <v>9</v>
      </c>
      <c r="U107" s="32">
        <v>4</v>
      </c>
      <c r="V107" s="33"/>
    </row>
    <row r="108" spans="1:22" ht="15.75" thickBot="1" x14ac:dyDescent="0.3">
      <c r="A108" s="27"/>
      <c r="B108" s="34"/>
      <c r="C108" s="35"/>
      <c r="D108" s="35"/>
      <c r="E108" s="35"/>
      <c r="F108" s="35"/>
      <c r="G108" s="35"/>
      <c r="H108" s="35"/>
      <c r="I108" s="36"/>
      <c r="J108" s="34"/>
      <c r="K108" s="35"/>
      <c r="L108" s="35"/>
      <c r="M108" s="35"/>
      <c r="N108" s="35"/>
      <c r="O108" s="35"/>
      <c r="P108" s="35"/>
      <c r="Q108" s="36"/>
      <c r="R108" s="37"/>
      <c r="S108" s="20"/>
      <c r="T108" s="20"/>
      <c r="U108" s="20"/>
      <c r="V108" s="33"/>
    </row>
    <row r="109" spans="1:22" ht="15.75" thickBot="1" x14ac:dyDescent="0.3">
      <c r="A109" s="38"/>
      <c r="B109" s="39"/>
      <c r="C109" s="39"/>
      <c r="D109" s="39"/>
      <c r="E109" s="39"/>
      <c r="F109" s="40"/>
      <c r="G109" s="39"/>
      <c r="H109" s="39"/>
      <c r="I109" s="39"/>
      <c r="J109" s="39"/>
      <c r="K109" s="40"/>
      <c r="L109" s="39"/>
      <c r="M109" s="40"/>
      <c r="N109" s="39"/>
      <c r="O109" s="40"/>
      <c r="P109" s="39"/>
      <c r="Q109" s="40"/>
      <c r="R109" s="41"/>
      <c r="S109" s="41"/>
      <c r="T109" s="41"/>
      <c r="U109" s="41"/>
      <c r="V109" s="42"/>
    </row>
    <row r="110" spans="1:22" ht="15.75" thickBot="1" x14ac:dyDescent="0.3">
      <c r="A110" s="43"/>
      <c r="B110" s="43"/>
      <c r="C110" s="43"/>
      <c r="D110" s="43"/>
      <c r="E110" s="43"/>
      <c r="F110" s="44"/>
      <c r="G110" s="43"/>
      <c r="H110" s="43"/>
      <c r="I110" s="43"/>
      <c r="J110" s="43"/>
      <c r="K110" s="44"/>
      <c r="L110" s="43"/>
      <c r="M110" s="44"/>
      <c r="N110" s="43"/>
      <c r="O110" s="44"/>
      <c r="P110" s="43"/>
      <c r="Q110" s="44"/>
      <c r="R110" s="43"/>
      <c r="S110" s="43"/>
      <c r="T110" s="43"/>
      <c r="U110" s="43"/>
      <c r="V110" s="45"/>
    </row>
    <row r="111" spans="1:22" ht="41.25" thickBot="1" x14ac:dyDescent="0.3">
      <c r="A111" s="43"/>
      <c r="B111" s="46" t="str">
        <f>IF(Q111&gt;1,"Считыватель вх",IF(F111&lt;1,"","Считыватель вх"))</f>
        <v>Считыватель вх</v>
      </c>
      <c r="C111" s="47"/>
      <c r="D111" s="48"/>
      <c r="E111" s="48"/>
      <c r="F111" s="49">
        <v>1</v>
      </c>
      <c r="G111" s="49"/>
      <c r="H111" s="50"/>
      <c r="I111" s="51"/>
      <c r="J111" s="52" t="str">
        <f>IF(Q111&gt;1,"замок",IF(K111&lt;1,"",IF(F111&lt;1,"замок пож.дв.","замок")))</f>
        <v>замок</v>
      </c>
      <c r="K111" s="53">
        <v>10</v>
      </c>
      <c r="L111" s="54" t="s">
        <v>10</v>
      </c>
      <c r="M111" s="54" t="s">
        <v>11</v>
      </c>
      <c r="N111" s="55" t="s">
        <v>12</v>
      </c>
      <c r="O111" s="53">
        <v>7</v>
      </c>
      <c r="P111" s="55" t="s">
        <v>13</v>
      </c>
      <c r="Q111" s="56"/>
      <c r="R111" s="57" t="s">
        <v>14</v>
      </c>
      <c r="S111" s="58"/>
      <c r="T111" s="58"/>
      <c r="U111" s="58"/>
      <c r="V111" s="58"/>
    </row>
    <row r="112" spans="1:22" x14ac:dyDescent="0.25">
      <c r="A112" s="43"/>
      <c r="B112" s="59"/>
      <c r="C112" s="60"/>
      <c r="D112" s="60"/>
      <c r="E112" s="60"/>
      <c r="F112" s="60"/>
      <c r="G112" s="60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2" t="s">
        <v>15</v>
      </c>
      <c r="S112" s="62"/>
      <c r="T112" s="62"/>
      <c r="U112" s="62"/>
      <c r="V112" s="62"/>
    </row>
    <row r="114" spans="1:22" x14ac:dyDescent="0.25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8.75" x14ac:dyDescent="0.3">
      <c r="E116" s="3" t="s">
        <v>0</v>
      </c>
      <c r="G116" s="4"/>
      <c r="H116" s="4"/>
      <c r="I116" s="4"/>
      <c r="J116" s="4"/>
      <c r="K116" s="4"/>
      <c r="L116" s="4"/>
      <c r="M116" s="5" t="s">
        <v>1</v>
      </c>
      <c r="N116" s="6"/>
    </row>
    <row r="117" spans="1:22" ht="18.75" x14ac:dyDescent="0.3">
      <c r="E117" s="3" t="s">
        <v>2</v>
      </c>
      <c r="J117" s="7"/>
      <c r="K117" s="7"/>
      <c r="L117" s="7"/>
      <c r="M117" s="5" t="s">
        <v>3</v>
      </c>
      <c r="N117" s="8" t="str">
        <f>N116&amp;".1"</f>
        <v>.1</v>
      </c>
    </row>
    <row r="118" spans="1:22" ht="18.75" x14ac:dyDescent="0.3">
      <c r="E118" t="s">
        <v>4</v>
      </c>
      <c r="H118" s="4"/>
      <c r="I118" s="4"/>
      <c r="J118" s="4"/>
      <c r="K118" s="4"/>
      <c r="L118" s="4"/>
      <c r="M118" s="9" t="s">
        <v>3</v>
      </c>
      <c r="N118" s="10"/>
    </row>
    <row r="119" spans="1:22" ht="18.75" x14ac:dyDescent="0.3">
      <c r="E119" t="s">
        <v>5</v>
      </c>
      <c r="L119" s="7"/>
      <c r="M119" s="9" t="s">
        <v>6</v>
      </c>
      <c r="N119" s="10" t="str">
        <f>"-"&amp;N116&amp;".1"</f>
        <v>-.1</v>
      </c>
      <c r="O119" s="10"/>
    </row>
    <row r="120" spans="1:22" ht="18.75" x14ac:dyDescent="0.3">
      <c r="E120" s="12" t="s">
        <v>7</v>
      </c>
      <c r="I120" s="4"/>
      <c r="J120" s="4"/>
      <c r="K120" s="4"/>
      <c r="L120" s="4"/>
      <c r="M120" s="9" t="s">
        <v>3</v>
      </c>
      <c r="N120" s="10"/>
    </row>
    <row r="121" spans="1:22" ht="15.75" thickBot="1" x14ac:dyDescent="0.3">
      <c r="E121" s="13" t="s">
        <v>8</v>
      </c>
      <c r="F121" s="13"/>
      <c r="G121" s="13"/>
      <c r="H121" s="13"/>
      <c r="I121" s="14"/>
      <c r="J121" s="14"/>
      <c r="K121" s="14"/>
      <c r="L121" s="14"/>
      <c r="M121" s="14" t="s">
        <v>3</v>
      </c>
      <c r="N121" s="63"/>
      <c r="O121" s="63"/>
    </row>
    <row r="122" spans="1:22" x14ac:dyDescent="0.25">
      <c r="A122" s="16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8"/>
    </row>
    <row r="123" spans="1:22" x14ac:dyDescent="0.25">
      <c r="A123" s="19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1"/>
    </row>
    <row r="124" spans="1:22" x14ac:dyDescent="0.25">
      <c r="A124" s="22"/>
      <c r="B124" s="23" t="s">
        <v>9</v>
      </c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5"/>
      <c r="V124" s="26"/>
    </row>
    <row r="125" spans="1:22" ht="15.75" thickBot="1" x14ac:dyDescent="0.3">
      <c r="A125" s="27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6"/>
    </row>
    <row r="126" spans="1:22" x14ac:dyDescent="0.25">
      <c r="A126" s="27"/>
      <c r="B126" s="29">
        <v>0</v>
      </c>
      <c r="C126" s="30"/>
      <c r="D126" s="30">
        <v>1</v>
      </c>
      <c r="E126" s="30">
        <v>1</v>
      </c>
      <c r="F126" s="30">
        <v>2</v>
      </c>
      <c r="G126" s="30">
        <v>2</v>
      </c>
      <c r="H126" s="30">
        <v>3</v>
      </c>
      <c r="I126" s="31">
        <v>3</v>
      </c>
      <c r="J126" s="29">
        <v>4</v>
      </c>
      <c r="K126" s="30">
        <v>4</v>
      </c>
      <c r="L126" s="30">
        <v>5</v>
      </c>
      <c r="M126" s="30"/>
      <c r="N126" s="30">
        <v>6</v>
      </c>
      <c r="O126" s="30">
        <v>1</v>
      </c>
      <c r="P126" s="30">
        <v>7</v>
      </c>
      <c r="Q126" s="31">
        <v>2</v>
      </c>
      <c r="R126" s="25">
        <v>8</v>
      </c>
      <c r="S126" s="32">
        <v>3</v>
      </c>
      <c r="T126" s="32">
        <v>9</v>
      </c>
      <c r="U126" s="32">
        <v>4</v>
      </c>
      <c r="V126" s="33"/>
    </row>
    <row r="127" spans="1:22" ht="15.75" thickBot="1" x14ac:dyDescent="0.3">
      <c r="A127" s="27"/>
      <c r="B127" s="34"/>
      <c r="C127" s="35"/>
      <c r="D127" s="35"/>
      <c r="E127" s="35"/>
      <c r="F127" s="35"/>
      <c r="G127" s="35"/>
      <c r="H127" s="35"/>
      <c r="I127" s="36"/>
      <c r="J127" s="34"/>
      <c r="K127" s="35"/>
      <c r="L127" s="35"/>
      <c r="M127" s="35"/>
      <c r="N127" s="35"/>
      <c r="O127" s="35"/>
      <c r="P127" s="35"/>
      <c r="Q127" s="36"/>
      <c r="R127" s="37"/>
      <c r="S127" s="20"/>
      <c r="T127" s="20"/>
      <c r="U127" s="20"/>
      <c r="V127" s="33"/>
    </row>
    <row r="128" spans="1:22" ht="15.75" thickBot="1" x14ac:dyDescent="0.3">
      <c r="A128" s="38"/>
      <c r="B128" s="39"/>
      <c r="C128" s="39"/>
      <c r="D128" s="39"/>
      <c r="E128" s="39"/>
      <c r="F128" s="40"/>
      <c r="G128" s="39"/>
      <c r="H128" s="39"/>
      <c r="I128" s="39"/>
      <c r="J128" s="39"/>
      <c r="K128" s="40"/>
      <c r="L128" s="39"/>
      <c r="M128" s="40"/>
      <c r="N128" s="39"/>
      <c r="O128" s="40"/>
      <c r="P128" s="39"/>
      <c r="Q128" s="40"/>
      <c r="R128" s="41"/>
      <c r="S128" s="41"/>
      <c r="T128" s="41"/>
      <c r="U128" s="41"/>
      <c r="V128" s="42"/>
    </row>
    <row r="129" spans="1:22" ht="15.75" thickBot="1" x14ac:dyDescent="0.3">
      <c r="A129" s="43"/>
      <c r="B129" s="43"/>
      <c r="C129" s="43"/>
      <c r="D129" s="43"/>
      <c r="E129" s="43"/>
      <c r="F129" s="44"/>
      <c r="G129" s="43"/>
      <c r="H129" s="43"/>
      <c r="I129" s="43"/>
      <c r="J129" s="43"/>
      <c r="K129" s="44"/>
      <c r="L129" s="43"/>
      <c r="M129" s="44"/>
      <c r="N129" s="43"/>
      <c r="O129" s="44"/>
      <c r="P129" s="43"/>
      <c r="Q129" s="44"/>
      <c r="R129" s="43"/>
      <c r="S129" s="43"/>
      <c r="T129" s="43"/>
      <c r="U129" s="43"/>
      <c r="V129" s="45"/>
    </row>
    <row r="130" spans="1:22" ht="41.25" thickBot="1" x14ac:dyDescent="0.3">
      <c r="A130" s="43"/>
      <c r="B130" s="46" t="str">
        <f>IF(Q130&gt;1,"Считыватель вх",IF(F130&lt;1,"","Считыватель вх"))</f>
        <v>Считыватель вх</v>
      </c>
      <c r="C130" s="47"/>
      <c r="D130" s="48"/>
      <c r="E130" s="48"/>
      <c r="F130" s="49">
        <v>1</v>
      </c>
      <c r="G130" s="49"/>
      <c r="H130" s="50"/>
      <c r="I130" s="51"/>
      <c r="J130" s="52" t="str">
        <f>IF(Q130&gt;1,"замок",IF(K130&lt;1,"",IF(F130&lt;1,"замок пож.дв.","замок")))</f>
        <v>замок</v>
      </c>
      <c r="K130" s="53">
        <v>10</v>
      </c>
      <c r="L130" s="54" t="s">
        <v>10</v>
      </c>
      <c r="M130" s="54" t="s">
        <v>11</v>
      </c>
      <c r="N130" s="55" t="s">
        <v>12</v>
      </c>
      <c r="O130" s="53">
        <v>7</v>
      </c>
      <c r="P130" s="55" t="s">
        <v>13</v>
      </c>
      <c r="Q130" s="56"/>
      <c r="R130" s="57" t="s">
        <v>14</v>
      </c>
      <c r="S130" s="58"/>
      <c r="T130" s="58"/>
      <c r="U130" s="58"/>
      <c r="V130" s="58"/>
    </row>
    <row r="131" spans="1:22" x14ac:dyDescent="0.25">
      <c r="A131" s="43"/>
      <c r="B131" s="59"/>
      <c r="C131" s="60"/>
      <c r="D131" s="60"/>
      <c r="E131" s="60"/>
      <c r="F131" s="60"/>
      <c r="G131" s="60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2" t="s">
        <v>15</v>
      </c>
      <c r="S131" s="62"/>
      <c r="T131" s="62"/>
      <c r="U131" s="62"/>
      <c r="V131" s="62"/>
    </row>
    <row r="133" spans="1:22" x14ac:dyDescent="0.25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25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8.75" x14ac:dyDescent="0.3">
      <c r="E135" s="3" t="s">
        <v>0</v>
      </c>
      <c r="G135" s="4"/>
      <c r="H135" s="4"/>
      <c r="I135" s="4"/>
      <c r="J135" s="4"/>
      <c r="K135" s="4"/>
      <c r="L135" s="4"/>
      <c r="M135" s="5" t="s">
        <v>1</v>
      </c>
      <c r="N135" s="6"/>
    </row>
    <row r="136" spans="1:22" ht="18.75" x14ac:dyDescent="0.3">
      <c r="E136" s="3" t="s">
        <v>2</v>
      </c>
      <c r="J136" s="7"/>
      <c r="K136" s="7"/>
      <c r="L136" s="7"/>
      <c r="M136" s="5" t="s">
        <v>3</v>
      </c>
      <c r="N136" s="8" t="str">
        <f>N135&amp;".1"</f>
        <v>.1</v>
      </c>
    </row>
    <row r="137" spans="1:22" ht="18.75" x14ac:dyDescent="0.3">
      <c r="E137" t="s">
        <v>4</v>
      </c>
      <c r="H137" s="4"/>
      <c r="I137" s="4"/>
      <c r="J137" s="4"/>
      <c r="K137" s="4"/>
      <c r="L137" s="4"/>
      <c r="M137" s="9" t="s">
        <v>3</v>
      </c>
      <c r="N137" s="10"/>
    </row>
    <row r="138" spans="1:22" ht="18.75" x14ac:dyDescent="0.3">
      <c r="E138" t="s">
        <v>5</v>
      </c>
      <c r="L138" s="7"/>
      <c r="M138" s="9" t="s">
        <v>6</v>
      </c>
      <c r="N138" s="10" t="str">
        <f>"-"&amp;N135&amp;".1"</f>
        <v>-.1</v>
      </c>
      <c r="O138" s="10"/>
    </row>
    <row r="139" spans="1:22" ht="18.75" x14ac:dyDescent="0.3">
      <c r="E139" s="12" t="s">
        <v>7</v>
      </c>
      <c r="I139" s="4"/>
      <c r="J139" s="4"/>
      <c r="K139" s="4"/>
      <c r="L139" s="4"/>
      <c r="M139" s="9" t="s">
        <v>3</v>
      </c>
      <c r="N139" s="10"/>
    </row>
    <row r="140" spans="1:22" ht="15.75" thickBot="1" x14ac:dyDescent="0.3">
      <c r="E140" s="13" t="s">
        <v>8</v>
      </c>
      <c r="F140" s="13"/>
      <c r="G140" s="13"/>
      <c r="H140" s="13"/>
      <c r="I140" s="14"/>
      <c r="J140" s="14"/>
      <c r="K140" s="14"/>
      <c r="L140" s="14"/>
      <c r="M140" s="14" t="s">
        <v>3</v>
      </c>
      <c r="N140" s="63"/>
      <c r="O140" s="63"/>
    </row>
    <row r="141" spans="1:22" x14ac:dyDescent="0.25">
      <c r="A141" s="16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8"/>
    </row>
    <row r="142" spans="1:22" x14ac:dyDescent="0.25">
      <c r="A142" s="19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1"/>
    </row>
    <row r="143" spans="1:22" x14ac:dyDescent="0.25">
      <c r="A143" s="22"/>
      <c r="B143" s="23" t="s">
        <v>9</v>
      </c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5"/>
      <c r="V143" s="26"/>
    </row>
    <row r="144" spans="1:22" ht="15.75" thickBot="1" x14ac:dyDescent="0.3">
      <c r="A144" s="27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6"/>
    </row>
    <row r="145" spans="1:22" x14ac:dyDescent="0.25">
      <c r="A145" s="27"/>
      <c r="B145" s="29">
        <v>0</v>
      </c>
      <c r="C145" s="30"/>
      <c r="D145" s="30">
        <v>1</v>
      </c>
      <c r="E145" s="30">
        <v>1</v>
      </c>
      <c r="F145" s="30">
        <v>2</v>
      </c>
      <c r="G145" s="30">
        <v>2</v>
      </c>
      <c r="H145" s="30">
        <v>3</v>
      </c>
      <c r="I145" s="31">
        <v>3</v>
      </c>
      <c r="J145" s="29">
        <v>4</v>
      </c>
      <c r="K145" s="30">
        <v>4</v>
      </c>
      <c r="L145" s="30">
        <v>5</v>
      </c>
      <c r="M145" s="30"/>
      <c r="N145" s="30">
        <v>6</v>
      </c>
      <c r="O145" s="30">
        <v>1</v>
      </c>
      <c r="P145" s="30">
        <v>7</v>
      </c>
      <c r="Q145" s="31">
        <v>2</v>
      </c>
      <c r="R145" s="25">
        <v>8</v>
      </c>
      <c r="S145" s="32">
        <v>3</v>
      </c>
      <c r="T145" s="32">
        <v>9</v>
      </c>
      <c r="U145" s="32">
        <v>4</v>
      </c>
      <c r="V145" s="33"/>
    </row>
    <row r="146" spans="1:22" ht="15.75" thickBot="1" x14ac:dyDescent="0.3">
      <c r="A146" s="27"/>
      <c r="B146" s="34"/>
      <c r="C146" s="35"/>
      <c r="D146" s="35"/>
      <c r="E146" s="35"/>
      <c r="F146" s="35"/>
      <c r="G146" s="35"/>
      <c r="H146" s="35"/>
      <c r="I146" s="36"/>
      <c r="J146" s="34"/>
      <c r="K146" s="35"/>
      <c r="L146" s="35"/>
      <c r="M146" s="35"/>
      <c r="N146" s="35"/>
      <c r="O146" s="35"/>
      <c r="P146" s="35"/>
      <c r="Q146" s="36"/>
      <c r="R146" s="37"/>
      <c r="S146" s="20"/>
      <c r="T146" s="20"/>
      <c r="U146" s="20"/>
      <c r="V146" s="33"/>
    </row>
    <row r="147" spans="1:22" ht="15.75" thickBot="1" x14ac:dyDescent="0.3">
      <c r="A147" s="38"/>
      <c r="B147" s="39"/>
      <c r="C147" s="39"/>
      <c r="D147" s="39"/>
      <c r="E147" s="39"/>
      <c r="F147" s="40"/>
      <c r="G147" s="39"/>
      <c r="H147" s="39"/>
      <c r="I147" s="39"/>
      <c r="J147" s="39"/>
      <c r="K147" s="40"/>
      <c r="L147" s="39"/>
      <c r="M147" s="40"/>
      <c r="N147" s="39"/>
      <c r="O147" s="40"/>
      <c r="P147" s="39"/>
      <c r="Q147" s="40"/>
      <c r="R147" s="41"/>
      <c r="S147" s="41"/>
      <c r="T147" s="41"/>
      <c r="U147" s="41"/>
      <c r="V147" s="42"/>
    </row>
    <row r="148" spans="1:22" ht="15.75" thickBot="1" x14ac:dyDescent="0.3">
      <c r="A148" s="43"/>
      <c r="B148" s="43"/>
      <c r="C148" s="43"/>
      <c r="D148" s="43"/>
      <c r="E148" s="43"/>
      <c r="F148" s="44"/>
      <c r="G148" s="43"/>
      <c r="H148" s="43"/>
      <c r="I148" s="43"/>
      <c r="J148" s="43"/>
      <c r="K148" s="44"/>
      <c r="L148" s="43"/>
      <c r="M148" s="44"/>
      <c r="N148" s="43"/>
      <c r="O148" s="44"/>
      <c r="P148" s="43"/>
      <c r="Q148" s="44"/>
      <c r="R148" s="43"/>
      <c r="S148" s="43"/>
      <c r="T148" s="43"/>
      <c r="U148" s="43"/>
      <c r="V148" s="45"/>
    </row>
    <row r="149" spans="1:22" ht="41.25" thickBot="1" x14ac:dyDescent="0.3">
      <c r="A149" s="43"/>
      <c r="B149" s="46" t="str">
        <f>IF(Q149&gt;1,"Считыватель вх",IF(F149&lt;1,"","Считыватель вх"))</f>
        <v>Считыватель вх</v>
      </c>
      <c r="C149" s="47"/>
      <c r="D149" s="48"/>
      <c r="E149" s="48"/>
      <c r="F149" s="49">
        <v>1</v>
      </c>
      <c r="G149" s="49"/>
      <c r="H149" s="50"/>
      <c r="I149" s="51"/>
      <c r="J149" s="52" t="str">
        <f>IF(Q149&gt;1,"замок",IF(K149&lt;1,"",IF(F149&lt;1,"замок пож.дв.","замок")))</f>
        <v>замок</v>
      </c>
      <c r="K149" s="53">
        <v>10</v>
      </c>
      <c r="L149" s="54" t="s">
        <v>10</v>
      </c>
      <c r="M149" s="54" t="s">
        <v>11</v>
      </c>
      <c r="N149" s="55" t="s">
        <v>12</v>
      </c>
      <c r="O149" s="53">
        <v>7</v>
      </c>
      <c r="P149" s="55" t="s">
        <v>13</v>
      </c>
      <c r="Q149" s="56"/>
      <c r="R149" s="57" t="s">
        <v>14</v>
      </c>
      <c r="S149" s="58"/>
      <c r="T149" s="58"/>
      <c r="U149" s="58"/>
      <c r="V149" s="58"/>
    </row>
    <row r="150" spans="1:22" x14ac:dyDescent="0.25">
      <c r="A150" s="43"/>
      <c r="B150" s="59"/>
      <c r="C150" s="60"/>
      <c r="D150" s="60"/>
      <c r="E150" s="60"/>
      <c r="F150" s="60"/>
      <c r="G150" s="60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2" t="s">
        <v>15</v>
      </c>
      <c r="S150" s="62"/>
      <c r="T150" s="62"/>
      <c r="U150" s="62"/>
      <c r="V150" s="62"/>
    </row>
    <row r="152" spans="1:22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8.75" x14ac:dyDescent="0.3">
      <c r="E154" s="3" t="s">
        <v>0</v>
      </c>
      <c r="G154" s="4"/>
      <c r="H154" s="4"/>
      <c r="I154" s="4"/>
      <c r="J154" s="4"/>
      <c r="K154" s="4"/>
      <c r="L154" s="4"/>
      <c r="M154" s="5" t="s">
        <v>1</v>
      </c>
      <c r="N154" s="6"/>
    </row>
    <row r="155" spans="1:22" ht="18.75" x14ac:dyDescent="0.3">
      <c r="E155" s="3" t="s">
        <v>2</v>
      </c>
      <c r="J155" s="7"/>
      <c r="K155" s="7"/>
      <c r="L155" s="7"/>
      <c r="M155" s="5" t="s">
        <v>3</v>
      </c>
      <c r="N155" s="8" t="str">
        <f>N154&amp;".1"</f>
        <v>.1</v>
      </c>
    </row>
    <row r="156" spans="1:22" ht="18.75" x14ac:dyDescent="0.3">
      <c r="E156" t="s">
        <v>4</v>
      </c>
      <c r="H156" s="4"/>
      <c r="I156" s="4"/>
      <c r="J156" s="4"/>
      <c r="K156" s="4"/>
      <c r="L156" s="4"/>
      <c r="M156" s="9" t="s">
        <v>3</v>
      </c>
      <c r="N156" s="10"/>
    </row>
    <row r="157" spans="1:22" ht="18.75" x14ac:dyDescent="0.3">
      <c r="E157" t="s">
        <v>5</v>
      </c>
      <c r="L157" s="7"/>
      <c r="M157" s="9" t="s">
        <v>6</v>
      </c>
      <c r="N157" s="10" t="str">
        <f>"-"&amp;N154&amp;".1"</f>
        <v>-.1</v>
      </c>
      <c r="O157" s="10"/>
    </row>
    <row r="158" spans="1:22" ht="18.75" x14ac:dyDescent="0.3">
      <c r="E158" s="12" t="s">
        <v>7</v>
      </c>
      <c r="I158" s="4"/>
      <c r="J158" s="4"/>
      <c r="K158" s="4"/>
      <c r="L158" s="4"/>
      <c r="M158" s="9" t="s">
        <v>3</v>
      </c>
      <c r="N158" s="10"/>
    </row>
    <row r="159" spans="1:22" ht="15.75" thickBot="1" x14ac:dyDescent="0.3">
      <c r="E159" s="13" t="s">
        <v>8</v>
      </c>
      <c r="F159" s="13"/>
      <c r="G159" s="13"/>
      <c r="H159" s="13"/>
      <c r="I159" s="14"/>
      <c r="J159" s="14"/>
      <c r="K159" s="14"/>
      <c r="L159" s="14"/>
      <c r="M159" s="14" t="s">
        <v>3</v>
      </c>
      <c r="N159" s="63"/>
      <c r="O159" s="63"/>
    </row>
    <row r="160" spans="1:22" x14ac:dyDescent="0.25">
      <c r="A160" s="16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8"/>
    </row>
    <row r="161" spans="1:22" x14ac:dyDescent="0.25">
      <c r="A161" s="19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1"/>
    </row>
    <row r="162" spans="1:22" x14ac:dyDescent="0.25">
      <c r="A162" s="22"/>
      <c r="B162" s="23" t="s">
        <v>9</v>
      </c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5"/>
      <c r="V162" s="26"/>
    </row>
    <row r="163" spans="1:22" ht="15.75" thickBot="1" x14ac:dyDescent="0.3">
      <c r="A163" s="27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6"/>
    </row>
    <row r="164" spans="1:22" x14ac:dyDescent="0.25">
      <c r="A164" s="27"/>
      <c r="B164" s="29">
        <v>0</v>
      </c>
      <c r="C164" s="30"/>
      <c r="D164" s="30">
        <v>1</v>
      </c>
      <c r="E164" s="30">
        <v>1</v>
      </c>
      <c r="F164" s="30">
        <v>2</v>
      </c>
      <c r="G164" s="30">
        <v>2</v>
      </c>
      <c r="H164" s="30">
        <v>3</v>
      </c>
      <c r="I164" s="31">
        <v>3</v>
      </c>
      <c r="J164" s="29">
        <v>4</v>
      </c>
      <c r="K164" s="30">
        <v>4</v>
      </c>
      <c r="L164" s="30">
        <v>5</v>
      </c>
      <c r="M164" s="30"/>
      <c r="N164" s="30">
        <v>6</v>
      </c>
      <c r="O164" s="30">
        <v>1</v>
      </c>
      <c r="P164" s="30">
        <v>7</v>
      </c>
      <c r="Q164" s="31">
        <v>2</v>
      </c>
      <c r="R164" s="25">
        <v>8</v>
      </c>
      <c r="S164" s="32">
        <v>3</v>
      </c>
      <c r="T164" s="32">
        <v>9</v>
      </c>
      <c r="U164" s="32">
        <v>4</v>
      </c>
      <c r="V164" s="33"/>
    </row>
    <row r="165" spans="1:22" ht="15.75" thickBot="1" x14ac:dyDescent="0.3">
      <c r="A165" s="27"/>
      <c r="B165" s="34"/>
      <c r="C165" s="35"/>
      <c r="D165" s="35"/>
      <c r="E165" s="35"/>
      <c r="F165" s="35"/>
      <c r="G165" s="35"/>
      <c r="H165" s="35"/>
      <c r="I165" s="36"/>
      <c r="J165" s="34"/>
      <c r="K165" s="35"/>
      <c r="L165" s="35"/>
      <c r="M165" s="35"/>
      <c r="N165" s="35"/>
      <c r="O165" s="35"/>
      <c r="P165" s="35"/>
      <c r="Q165" s="36"/>
      <c r="R165" s="37"/>
      <c r="S165" s="20"/>
      <c r="T165" s="20"/>
      <c r="U165" s="20"/>
      <c r="V165" s="33"/>
    </row>
    <row r="166" spans="1:22" ht="15.75" thickBot="1" x14ac:dyDescent="0.3">
      <c r="A166" s="38"/>
      <c r="B166" s="39"/>
      <c r="C166" s="39"/>
      <c r="D166" s="39"/>
      <c r="E166" s="39"/>
      <c r="F166" s="40"/>
      <c r="G166" s="39"/>
      <c r="H166" s="39"/>
      <c r="I166" s="39"/>
      <c r="J166" s="39"/>
      <c r="K166" s="40"/>
      <c r="L166" s="39"/>
      <c r="M166" s="40"/>
      <c r="N166" s="39"/>
      <c r="O166" s="40"/>
      <c r="P166" s="39"/>
      <c r="Q166" s="40"/>
      <c r="R166" s="41"/>
      <c r="S166" s="41"/>
      <c r="T166" s="41"/>
      <c r="U166" s="41"/>
      <c r="V166" s="42"/>
    </row>
    <row r="167" spans="1:22" ht="15.75" thickBot="1" x14ac:dyDescent="0.3">
      <c r="A167" s="43"/>
      <c r="B167" s="43"/>
      <c r="C167" s="43"/>
      <c r="D167" s="43"/>
      <c r="E167" s="43"/>
      <c r="F167" s="44"/>
      <c r="G167" s="43"/>
      <c r="H167" s="43"/>
      <c r="I167" s="43"/>
      <c r="J167" s="43"/>
      <c r="K167" s="44"/>
      <c r="L167" s="43"/>
      <c r="M167" s="44"/>
      <c r="N167" s="43"/>
      <c r="O167" s="44"/>
      <c r="P167" s="43"/>
      <c r="Q167" s="44"/>
      <c r="R167" s="43"/>
      <c r="S167" s="43"/>
      <c r="T167" s="43"/>
      <c r="U167" s="43"/>
      <c r="V167" s="45"/>
    </row>
    <row r="168" spans="1:22" ht="41.25" thickBot="1" x14ac:dyDescent="0.3">
      <c r="A168" s="43"/>
      <c r="B168" s="46" t="str">
        <f>IF(Q168&gt;1,"Считыватель вх",IF(F168&lt;1,"","Считыватель вх"))</f>
        <v>Считыватель вх</v>
      </c>
      <c r="C168" s="47"/>
      <c r="D168" s="48"/>
      <c r="E168" s="48"/>
      <c r="F168" s="49">
        <v>1</v>
      </c>
      <c r="G168" s="49"/>
      <c r="H168" s="50"/>
      <c r="I168" s="51"/>
      <c r="J168" s="52" t="str">
        <f>IF(Q168&gt;1,"замок",IF(K168&lt;1,"",IF(F168&lt;1,"замок пож.дв.","замок")))</f>
        <v>замок</v>
      </c>
      <c r="K168" s="53">
        <v>10</v>
      </c>
      <c r="L168" s="54" t="s">
        <v>10</v>
      </c>
      <c r="M168" s="54" t="s">
        <v>11</v>
      </c>
      <c r="N168" s="55" t="s">
        <v>12</v>
      </c>
      <c r="O168" s="53">
        <v>7</v>
      </c>
      <c r="P168" s="55" t="s">
        <v>13</v>
      </c>
      <c r="Q168" s="56"/>
      <c r="R168" s="57" t="s">
        <v>14</v>
      </c>
      <c r="S168" s="58"/>
      <c r="T168" s="58"/>
      <c r="U168" s="58"/>
      <c r="V168" s="58"/>
    </row>
    <row r="169" spans="1:22" x14ac:dyDescent="0.25">
      <c r="A169" s="43"/>
      <c r="B169" s="59"/>
      <c r="C169" s="60"/>
      <c r="D169" s="60"/>
      <c r="E169" s="60"/>
      <c r="F169" s="60"/>
      <c r="G169" s="60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2" t="s">
        <v>15</v>
      </c>
      <c r="S169" s="62"/>
      <c r="T169" s="62"/>
      <c r="U169" s="62"/>
      <c r="V169" s="62"/>
    </row>
    <row r="171" spans="1:22" x14ac:dyDescent="0.25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x14ac:dyDescent="0.25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8.75" x14ac:dyDescent="0.3">
      <c r="E173" s="3" t="s">
        <v>0</v>
      </c>
      <c r="G173" s="4"/>
      <c r="H173" s="4"/>
      <c r="I173" s="4"/>
      <c r="J173" s="4"/>
      <c r="K173" s="4"/>
      <c r="L173" s="4"/>
      <c r="M173" s="5" t="s">
        <v>1</v>
      </c>
      <c r="N173" s="6"/>
    </row>
    <row r="174" spans="1:22" ht="18.75" x14ac:dyDescent="0.3">
      <c r="E174" s="3" t="s">
        <v>2</v>
      </c>
      <c r="J174" s="7"/>
      <c r="K174" s="7"/>
      <c r="L174" s="7"/>
      <c r="M174" s="5" t="s">
        <v>3</v>
      </c>
      <c r="N174" s="8" t="str">
        <f>N173&amp;".1"</f>
        <v>.1</v>
      </c>
    </row>
    <row r="175" spans="1:22" ht="18.75" x14ac:dyDescent="0.3">
      <c r="E175" t="s">
        <v>4</v>
      </c>
      <c r="H175" s="4"/>
      <c r="I175" s="4"/>
      <c r="J175" s="4"/>
      <c r="K175" s="4"/>
      <c r="L175" s="4"/>
      <c r="M175" s="9" t="s">
        <v>3</v>
      </c>
      <c r="N175" s="10"/>
    </row>
    <row r="176" spans="1:22" ht="18.75" x14ac:dyDescent="0.3">
      <c r="E176" t="s">
        <v>5</v>
      </c>
      <c r="L176" s="7"/>
      <c r="M176" s="9" t="s">
        <v>6</v>
      </c>
      <c r="N176" s="10" t="str">
        <f>"-"&amp;N173&amp;".1"</f>
        <v>-.1</v>
      </c>
      <c r="O176" s="10"/>
    </row>
    <row r="177" spans="1:22" ht="18.75" x14ac:dyDescent="0.3">
      <c r="E177" s="12" t="s">
        <v>7</v>
      </c>
      <c r="I177" s="4"/>
      <c r="J177" s="4"/>
      <c r="K177" s="4"/>
      <c r="L177" s="4"/>
      <c r="M177" s="9" t="s">
        <v>3</v>
      </c>
      <c r="N177" s="10"/>
    </row>
    <row r="178" spans="1:22" ht="15.75" thickBot="1" x14ac:dyDescent="0.3">
      <c r="E178" s="13" t="s">
        <v>8</v>
      </c>
      <c r="F178" s="13"/>
      <c r="G178" s="13"/>
      <c r="H178" s="13"/>
      <c r="I178" s="14"/>
      <c r="J178" s="14"/>
      <c r="K178" s="14"/>
      <c r="L178" s="14"/>
      <c r="M178" s="14" t="s">
        <v>3</v>
      </c>
      <c r="N178" s="63"/>
      <c r="O178" s="63"/>
    </row>
    <row r="179" spans="1:22" x14ac:dyDescent="0.25">
      <c r="A179" s="16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8"/>
    </row>
    <row r="180" spans="1:22" x14ac:dyDescent="0.25">
      <c r="A180" s="19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1"/>
    </row>
    <row r="181" spans="1:22" x14ac:dyDescent="0.25">
      <c r="A181" s="22"/>
      <c r="B181" s="23" t="s">
        <v>9</v>
      </c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5"/>
      <c r="V181" s="26"/>
    </row>
    <row r="182" spans="1:22" ht="15.75" thickBot="1" x14ac:dyDescent="0.3">
      <c r="A182" s="27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6"/>
    </row>
    <row r="183" spans="1:22" x14ac:dyDescent="0.25">
      <c r="A183" s="27"/>
      <c r="B183" s="29">
        <v>0</v>
      </c>
      <c r="C183" s="30"/>
      <c r="D183" s="30">
        <v>1</v>
      </c>
      <c r="E183" s="30">
        <v>1</v>
      </c>
      <c r="F183" s="30">
        <v>2</v>
      </c>
      <c r="G183" s="30">
        <v>2</v>
      </c>
      <c r="H183" s="30">
        <v>3</v>
      </c>
      <c r="I183" s="31">
        <v>3</v>
      </c>
      <c r="J183" s="29">
        <v>4</v>
      </c>
      <c r="K183" s="30">
        <v>4</v>
      </c>
      <c r="L183" s="30">
        <v>5</v>
      </c>
      <c r="M183" s="30"/>
      <c r="N183" s="30">
        <v>6</v>
      </c>
      <c r="O183" s="30">
        <v>1</v>
      </c>
      <c r="P183" s="30">
        <v>7</v>
      </c>
      <c r="Q183" s="31">
        <v>2</v>
      </c>
      <c r="R183" s="25">
        <v>8</v>
      </c>
      <c r="S183" s="32">
        <v>3</v>
      </c>
      <c r="T183" s="32">
        <v>9</v>
      </c>
      <c r="U183" s="32">
        <v>4</v>
      </c>
      <c r="V183" s="33"/>
    </row>
    <row r="184" spans="1:22" ht="15.75" thickBot="1" x14ac:dyDescent="0.3">
      <c r="A184" s="27"/>
      <c r="B184" s="34"/>
      <c r="C184" s="35"/>
      <c r="D184" s="35"/>
      <c r="E184" s="35"/>
      <c r="F184" s="35"/>
      <c r="G184" s="35"/>
      <c r="H184" s="35"/>
      <c r="I184" s="36"/>
      <c r="J184" s="34"/>
      <c r="K184" s="35"/>
      <c r="L184" s="35"/>
      <c r="M184" s="35"/>
      <c r="N184" s="35"/>
      <c r="O184" s="35"/>
      <c r="P184" s="35"/>
      <c r="Q184" s="36"/>
      <c r="R184" s="37"/>
      <c r="S184" s="20"/>
      <c r="T184" s="20"/>
      <c r="U184" s="20"/>
      <c r="V184" s="33"/>
    </row>
    <row r="185" spans="1:22" ht="15.75" thickBot="1" x14ac:dyDescent="0.3">
      <c r="A185" s="38"/>
      <c r="B185" s="39"/>
      <c r="C185" s="39"/>
      <c r="D185" s="39"/>
      <c r="E185" s="39"/>
      <c r="F185" s="40"/>
      <c r="G185" s="39"/>
      <c r="H185" s="39"/>
      <c r="I185" s="39"/>
      <c r="J185" s="39"/>
      <c r="K185" s="40"/>
      <c r="L185" s="39"/>
      <c r="M185" s="40"/>
      <c r="N185" s="39"/>
      <c r="O185" s="40"/>
      <c r="P185" s="39"/>
      <c r="Q185" s="40"/>
      <c r="R185" s="41"/>
      <c r="S185" s="41"/>
      <c r="T185" s="41"/>
      <c r="U185" s="41"/>
      <c r="V185" s="42"/>
    </row>
    <row r="186" spans="1:22" ht="15.75" thickBot="1" x14ac:dyDescent="0.3">
      <c r="A186" s="43"/>
      <c r="B186" s="43"/>
      <c r="C186" s="43"/>
      <c r="D186" s="43"/>
      <c r="E186" s="43"/>
      <c r="F186" s="44"/>
      <c r="G186" s="43"/>
      <c r="H186" s="43"/>
      <c r="I186" s="43"/>
      <c r="J186" s="43"/>
      <c r="K186" s="44"/>
      <c r="L186" s="43"/>
      <c r="M186" s="44"/>
      <c r="N186" s="43"/>
      <c r="O186" s="44"/>
      <c r="P186" s="43"/>
      <c r="Q186" s="44"/>
      <c r="R186" s="43"/>
      <c r="S186" s="43"/>
      <c r="T186" s="43"/>
      <c r="U186" s="43"/>
      <c r="V186" s="45"/>
    </row>
    <row r="187" spans="1:22" ht="41.25" thickBot="1" x14ac:dyDescent="0.3">
      <c r="A187" s="43"/>
      <c r="B187" s="46" t="str">
        <f>IF(Q187&gt;1,"Считыватель вх",IF(F187&lt;1,"","Считыватель вх"))</f>
        <v>Считыватель вх</v>
      </c>
      <c r="C187" s="47"/>
      <c r="D187" s="48"/>
      <c r="E187" s="48"/>
      <c r="F187" s="49">
        <v>1</v>
      </c>
      <c r="G187" s="49"/>
      <c r="H187" s="50"/>
      <c r="I187" s="51"/>
      <c r="J187" s="52" t="str">
        <f>IF(Q187&gt;1,"замок",IF(K187&lt;1,"",IF(F187&lt;1,"замок пож.дв.","замок")))</f>
        <v>замок</v>
      </c>
      <c r="K187" s="53">
        <v>10</v>
      </c>
      <c r="L187" s="54" t="s">
        <v>10</v>
      </c>
      <c r="M187" s="54" t="s">
        <v>11</v>
      </c>
      <c r="N187" s="55" t="s">
        <v>12</v>
      </c>
      <c r="O187" s="53">
        <v>7</v>
      </c>
      <c r="P187" s="55" t="s">
        <v>13</v>
      </c>
      <c r="Q187" s="56"/>
      <c r="R187" s="57" t="s">
        <v>14</v>
      </c>
      <c r="S187" s="58"/>
      <c r="T187" s="58"/>
      <c r="U187" s="58"/>
      <c r="V187" s="58"/>
    </row>
    <row r="188" spans="1:22" x14ac:dyDescent="0.25">
      <c r="A188" s="43"/>
      <c r="B188" s="59"/>
      <c r="C188" s="60"/>
      <c r="D188" s="60"/>
      <c r="E188" s="60"/>
      <c r="F188" s="60"/>
      <c r="G188" s="60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2" t="s">
        <v>15</v>
      </c>
      <c r="S188" s="62"/>
      <c r="T188" s="62"/>
      <c r="U188" s="62"/>
      <c r="V188" s="62"/>
    </row>
    <row r="190" spans="1:22" x14ac:dyDescent="0.25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8.75" x14ac:dyDescent="0.3">
      <c r="E191" s="3" t="s">
        <v>0</v>
      </c>
      <c r="G191" s="4"/>
      <c r="H191" s="4"/>
      <c r="I191" s="4"/>
      <c r="J191" s="4"/>
      <c r="K191" s="4"/>
      <c r="L191" s="4"/>
      <c r="M191" s="5" t="s">
        <v>1</v>
      </c>
      <c r="N191" s="6">
        <f>N173</f>
        <v>0</v>
      </c>
    </row>
    <row r="192" spans="1:22" ht="18.75" x14ac:dyDescent="0.3">
      <c r="E192" s="3" t="s">
        <v>2</v>
      </c>
      <c r="J192" s="7"/>
      <c r="K192" s="7"/>
      <c r="L192" s="7"/>
      <c r="M192" s="5" t="s">
        <v>3</v>
      </c>
      <c r="N192" s="8" t="str">
        <f>N173&amp;".1"</f>
        <v>.1</v>
      </c>
    </row>
    <row r="193" spans="1:22" ht="18.75" x14ac:dyDescent="0.3">
      <c r="E193" t="s">
        <v>4</v>
      </c>
      <c r="H193" s="4"/>
      <c r="I193" s="4"/>
      <c r="J193" s="4"/>
      <c r="K193" s="4"/>
      <c r="L193" s="4"/>
      <c r="M193" s="9" t="s">
        <v>3</v>
      </c>
      <c r="N193" s="10">
        <f>N175</f>
        <v>0</v>
      </c>
    </row>
    <row r="194" spans="1:22" ht="18.75" x14ac:dyDescent="0.3">
      <c r="E194" t="s">
        <v>5</v>
      </c>
      <c r="L194" s="7"/>
      <c r="M194" s="9" t="s">
        <v>6</v>
      </c>
      <c r="N194" s="11" t="str">
        <f>N176</f>
        <v>-.1</v>
      </c>
      <c r="O194" s="11"/>
    </row>
    <row r="195" spans="1:22" ht="18.75" x14ac:dyDescent="0.3">
      <c r="E195" s="12" t="s">
        <v>7</v>
      </c>
      <c r="I195" s="4"/>
      <c r="J195" s="4"/>
      <c r="K195" s="4"/>
      <c r="L195" s="4"/>
      <c r="M195" s="9" t="s">
        <v>3</v>
      </c>
      <c r="N195" s="10">
        <f>N177+1</f>
        <v>1</v>
      </c>
    </row>
    <row r="196" spans="1:22" ht="15.75" thickBot="1" x14ac:dyDescent="0.3">
      <c r="E196" s="13" t="s">
        <v>8</v>
      </c>
      <c r="F196" s="13"/>
      <c r="G196" s="13"/>
      <c r="H196" s="13"/>
      <c r="I196" s="14"/>
      <c r="J196" s="14"/>
      <c r="K196" s="14"/>
      <c r="L196" s="14"/>
      <c r="M196" s="14" t="s">
        <v>3</v>
      </c>
      <c r="N196" s="15" t="s">
        <v>16</v>
      </c>
      <c r="O196" s="15"/>
    </row>
    <row r="197" spans="1:22" x14ac:dyDescent="0.25">
      <c r="A197" s="16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8"/>
    </row>
    <row r="198" spans="1:22" x14ac:dyDescent="0.25">
      <c r="A198" s="19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1"/>
    </row>
    <row r="199" spans="1:22" x14ac:dyDescent="0.25">
      <c r="A199" s="22"/>
      <c r="B199" s="23" t="s">
        <v>17</v>
      </c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5"/>
      <c r="V199" s="26"/>
    </row>
    <row r="200" spans="1:22" ht="15.75" thickBot="1" x14ac:dyDescent="0.3">
      <c r="A200" s="27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6"/>
    </row>
    <row r="201" spans="1:22" x14ac:dyDescent="0.25">
      <c r="A201" s="27"/>
      <c r="B201" s="29">
        <v>0</v>
      </c>
      <c r="C201" s="30"/>
      <c r="D201" s="30">
        <v>1</v>
      </c>
      <c r="E201" s="30">
        <v>1</v>
      </c>
      <c r="F201" s="30">
        <v>2</v>
      </c>
      <c r="G201" s="30">
        <v>2</v>
      </c>
      <c r="H201" s="30">
        <v>3</v>
      </c>
      <c r="I201" s="31">
        <v>3</v>
      </c>
      <c r="J201" s="29">
        <v>4</v>
      </c>
      <c r="K201" s="30">
        <v>4</v>
      </c>
      <c r="L201" s="30">
        <v>5</v>
      </c>
      <c r="M201" s="30"/>
      <c r="N201" s="30">
        <v>6</v>
      </c>
      <c r="O201" s="30">
        <v>1</v>
      </c>
      <c r="P201" s="30">
        <v>7</v>
      </c>
      <c r="Q201" s="31">
        <v>2</v>
      </c>
      <c r="R201" s="25">
        <v>8</v>
      </c>
      <c r="S201" s="32">
        <v>3</v>
      </c>
      <c r="T201" s="32">
        <v>9</v>
      </c>
      <c r="U201" s="32">
        <v>4</v>
      </c>
      <c r="V201" s="33"/>
    </row>
    <row r="202" spans="1:22" ht="15.75" thickBot="1" x14ac:dyDescent="0.3">
      <c r="A202" s="27"/>
      <c r="B202" s="34"/>
      <c r="C202" s="35"/>
      <c r="D202" s="35"/>
      <c r="E202" s="35"/>
      <c r="F202" s="35"/>
      <c r="G202" s="35"/>
      <c r="H202" s="35"/>
      <c r="I202" s="36"/>
      <c r="J202" s="34"/>
      <c r="K202" s="35"/>
      <c r="L202" s="35"/>
      <c r="M202" s="35"/>
      <c r="N202" s="35"/>
      <c r="O202" s="35"/>
      <c r="P202" s="35"/>
      <c r="Q202" s="36"/>
      <c r="R202" s="37"/>
      <c r="S202" s="20"/>
      <c r="T202" s="20"/>
      <c r="U202" s="20"/>
      <c r="V202" s="33"/>
    </row>
    <row r="203" spans="1:22" ht="15.75" thickBot="1" x14ac:dyDescent="0.3">
      <c r="A203" s="38"/>
      <c r="B203" s="39"/>
      <c r="C203" s="39"/>
      <c r="D203" s="39"/>
      <c r="E203" s="39"/>
      <c r="F203" s="40"/>
      <c r="G203" s="39"/>
      <c r="H203" s="39"/>
      <c r="I203" s="39"/>
      <c r="J203" s="39"/>
      <c r="K203" s="40"/>
      <c r="L203" s="39"/>
      <c r="M203" s="40"/>
      <c r="N203" s="39"/>
      <c r="O203" s="40"/>
      <c r="P203" s="39"/>
      <c r="Q203" s="40"/>
      <c r="R203" s="41"/>
      <c r="S203" s="41"/>
      <c r="T203" s="41"/>
      <c r="U203" s="41"/>
      <c r="V203" s="42"/>
    </row>
    <row r="204" spans="1:22" ht="15.75" thickBot="1" x14ac:dyDescent="0.3">
      <c r="A204" s="43"/>
      <c r="B204" s="43"/>
      <c r="C204" s="43"/>
      <c r="D204" s="43"/>
      <c r="E204" s="43"/>
      <c r="F204" s="44"/>
      <c r="G204" s="43"/>
      <c r="H204" s="43"/>
      <c r="I204" s="43"/>
      <c r="J204" s="43"/>
      <c r="K204" s="44"/>
      <c r="L204" s="43"/>
      <c r="M204" s="44"/>
      <c r="N204" s="43"/>
      <c r="O204" s="44"/>
      <c r="P204" s="43"/>
      <c r="Q204" s="44"/>
      <c r="R204" s="43"/>
      <c r="S204" s="43"/>
      <c r="T204" s="43"/>
      <c r="U204" s="43"/>
      <c r="V204" s="45"/>
    </row>
    <row r="205" spans="1:22" ht="41.25" thickBot="1" x14ac:dyDescent="0.3">
      <c r="A205" s="43"/>
      <c r="B205" s="46" t="str">
        <f>IF(Q205&gt;1,"Считыватель вх",IF(F205&lt;1,"","Считыватель вых"))</f>
        <v>Считыватель вых</v>
      </c>
      <c r="C205" s="47"/>
      <c r="D205" s="48"/>
      <c r="E205" s="48"/>
      <c r="F205" s="49">
        <v>4</v>
      </c>
      <c r="G205" s="49"/>
      <c r="H205" s="50"/>
      <c r="I205" s="51"/>
      <c r="J205" s="52" t="str">
        <f>IF(Q205&gt;1,"замок",IF(K205&gt;1,"замок пож.дв.","замок"))</f>
        <v>замок</v>
      </c>
      <c r="K205" s="53"/>
      <c r="L205" s="54" t="s">
        <v>10</v>
      </c>
      <c r="M205" s="54" t="s">
        <v>11</v>
      </c>
      <c r="N205" s="55" t="s">
        <v>12</v>
      </c>
      <c r="O205" s="53"/>
      <c r="P205" s="55" t="s">
        <v>13</v>
      </c>
      <c r="Q205" s="56"/>
      <c r="R205" s="57" t="s">
        <v>14</v>
      </c>
      <c r="S205" s="58"/>
      <c r="T205" s="58"/>
      <c r="U205" s="58"/>
      <c r="V205" s="58"/>
    </row>
    <row r="206" spans="1:22" x14ac:dyDescent="0.25">
      <c r="A206" s="43"/>
      <c r="B206" s="64">
        <f>IF(B205="Считыватель вых",B188,IF(B205="Считыватель вх",J206,""))</f>
        <v>0</v>
      </c>
      <c r="C206" s="61"/>
      <c r="D206" s="61"/>
      <c r="E206" s="61"/>
      <c r="F206" s="61"/>
      <c r="G206" s="61"/>
      <c r="H206" s="61"/>
      <c r="I206" s="61"/>
      <c r="J206" s="59" t="s">
        <v>18</v>
      </c>
      <c r="K206" s="61"/>
      <c r="L206" s="61"/>
      <c r="M206" s="61"/>
      <c r="N206" s="61"/>
      <c r="O206" s="61"/>
      <c r="P206" s="61"/>
      <c r="Q206" s="61"/>
      <c r="R206" s="62" t="s">
        <v>15</v>
      </c>
      <c r="S206" s="62"/>
      <c r="T206" s="62"/>
      <c r="U206" s="62"/>
      <c r="V206" s="62"/>
    </row>
    <row r="208" spans="1:22" x14ac:dyDescent="0.25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8.75" x14ac:dyDescent="0.3">
      <c r="E209" s="3" t="s">
        <v>0</v>
      </c>
      <c r="G209" s="4"/>
      <c r="H209" s="4"/>
      <c r="I209" s="4"/>
      <c r="J209" s="4"/>
      <c r="K209" s="4"/>
      <c r="L209" s="4"/>
      <c r="M209" s="5" t="s">
        <v>1</v>
      </c>
      <c r="N209" s="6">
        <f>N191</f>
        <v>0</v>
      </c>
    </row>
    <row r="210" spans="1:22" ht="18.75" x14ac:dyDescent="0.3">
      <c r="E210" s="3" t="s">
        <v>2</v>
      </c>
      <c r="J210" s="7"/>
      <c r="K210" s="7"/>
      <c r="L210" s="7"/>
      <c r="M210" s="5" t="s">
        <v>3</v>
      </c>
      <c r="N210" s="8" t="str">
        <f>N191&amp;".1"</f>
        <v>0.1</v>
      </c>
    </row>
    <row r="211" spans="1:22" ht="18.75" x14ac:dyDescent="0.3">
      <c r="E211" t="s">
        <v>4</v>
      </c>
      <c r="H211" s="4"/>
      <c r="I211" s="4"/>
      <c r="J211" s="4"/>
      <c r="K211" s="4"/>
      <c r="L211" s="4"/>
      <c r="M211" s="9" t="s">
        <v>3</v>
      </c>
      <c r="N211" s="10">
        <f>N193</f>
        <v>0</v>
      </c>
    </row>
    <row r="212" spans="1:22" ht="18.75" x14ac:dyDescent="0.3">
      <c r="E212" t="s">
        <v>5</v>
      </c>
      <c r="L212" s="7"/>
      <c r="M212" s="9" t="s">
        <v>6</v>
      </c>
      <c r="N212" s="11" t="str">
        <f>N194</f>
        <v>-.1</v>
      </c>
      <c r="O212" s="11"/>
    </row>
    <row r="213" spans="1:22" ht="18.75" x14ac:dyDescent="0.3">
      <c r="E213" s="12" t="s">
        <v>7</v>
      </c>
      <c r="I213" s="4"/>
      <c r="J213" s="4"/>
      <c r="K213" s="4"/>
      <c r="L213" s="4"/>
      <c r="M213" s="9" t="s">
        <v>3</v>
      </c>
      <c r="N213" s="10">
        <f>N195+1</f>
        <v>2</v>
      </c>
    </row>
    <row r="214" spans="1:22" ht="15.75" thickBot="1" x14ac:dyDescent="0.3">
      <c r="E214" s="13" t="s">
        <v>8</v>
      </c>
      <c r="F214" s="13"/>
      <c r="G214" s="13"/>
      <c r="H214" s="13"/>
      <c r="I214" s="14"/>
      <c r="J214" s="14"/>
      <c r="K214" s="14"/>
      <c r="L214" s="14"/>
      <c r="M214" s="14" t="s">
        <v>3</v>
      </c>
      <c r="N214" s="15" t="s">
        <v>16</v>
      </c>
      <c r="O214" s="15"/>
    </row>
    <row r="215" spans="1:22" x14ac:dyDescent="0.25">
      <c r="A215" s="16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8"/>
    </row>
    <row r="216" spans="1:22" x14ac:dyDescent="0.25">
      <c r="A216" s="19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1"/>
    </row>
    <row r="217" spans="1:22" x14ac:dyDescent="0.25">
      <c r="A217" s="22"/>
      <c r="B217" s="23" t="s">
        <v>17</v>
      </c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5"/>
      <c r="V217" s="26"/>
    </row>
    <row r="218" spans="1:22" ht="15.75" thickBot="1" x14ac:dyDescent="0.3">
      <c r="A218" s="27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6"/>
    </row>
    <row r="219" spans="1:22" x14ac:dyDescent="0.25">
      <c r="A219" s="27"/>
      <c r="B219" s="29">
        <v>0</v>
      </c>
      <c r="C219" s="30"/>
      <c r="D219" s="30">
        <v>1</v>
      </c>
      <c r="E219" s="30">
        <v>1</v>
      </c>
      <c r="F219" s="30">
        <v>2</v>
      </c>
      <c r="G219" s="30">
        <v>2</v>
      </c>
      <c r="H219" s="30">
        <v>3</v>
      </c>
      <c r="I219" s="31">
        <v>3</v>
      </c>
      <c r="J219" s="29">
        <v>4</v>
      </c>
      <c r="K219" s="30">
        <v>4</v>
      </c>
      <c r="L219" s="30">
        <v>5</v>
      </c>
      <c r="M219" s="30"/>
      <c r="N219" s="30">
        <v>6</v>
      </c>
      <c r="O219" s="30">
        <v>1</v>
      </c>
      <c r="P219" s="30">
        <v>7</v>
      </c>
      <c r="Q219" s="31">
        <v>2</v>
      </c>
      <c r="R219" s="25">
        <v>8</v>
      </c>
      <c r="S219" s="32">
        <v>3</v>
      </c>
      <c r="T219" s="32">
        <v>9</v>
      </c>
      <c r="U219" s="32">
        <v>4</v>
      </c>
      <c r="V219" s="33"/>
    </row>
    <row r="220" spans="1:22" ht="15.75" thickBot="1" x14ac:dyDescent="0.3">
      <c r="A220" s="27"/>
      <c r="B220" s="34"/>
      <c r="C220" s="35"/>
      <c r="D220" s="35"/>
      <c r="E220" s="35"/>
      <c r="F220" s="35"/>
      <c r="G220" s="35"/>
      <c r="H220" s="35"/>
      <c r="I220" s="36"/>
      <c r="J220" s="34"/>
      <c r="K220" s="35"/>
      <c r="L220" s="35"/>
      <c r="M220" s="35"/>
      <c r="N220" s="35"/>
      <c r="O220" s="35"/>
      <c r="P220" s="35"/>
      <c r="Q220" s="36"/>
      <c r="R220" s="37"/>
      <c r="S220" s="20"/>
      <c r="T220" s="20"/>
      <c r="U220" s="20"/>
      <c r="V220" s="33"/>
    </row>
    <row r="221" spans="1:22" ht="15.75" thickBot="1" x14ac:dyDescent="0.3">
      <c r="A221" s="38"/>
      <c r="B221" s="39"/>
      <c r="C221" s="39"/>
      <c r="D221" s="39"/>
      <c r="E221" s="39"/>
      <c r="F221" s="40"/>
      <c r="G221" s="39"/>
      <c r="H221" s="39"/>
      <c r="I221" s="39"/>
      <c r="J221" s="39"/>
      <c r="K221" s="40"/>
      <c r="L221" s="39"/>
      <c r="M221" s="40"/>
      <c r="N221" s="39"/>
      <c r="O221" s="40"/>
      <c r="P221" s="39"/>
      <c r="Q221" s="40"/>
      <c r="R221" s="41"/>
      <c r="S221" s="41"/>
      <c r="T221" s="41"/>
      <c r="U221" s="41"/>
      <c r="V221" s="42"/>
    </row>
    <row r="222" spans="1:22" ht="15.75" thickBot="1" x14ac:dyDescent="0.3">
      <c r="A222" s="43"/>
      <c r="B222" s="43"/>
      <c r="C222" s="43"/>
      <c r="D222" s="43"/>
      <c r="E222" s="43"/>
      <c r="F222" s="44"/>
      <c r="G222" s="43"/>
      <c r="H222" s="43"/>
      <c r="I222" s="43"/>
      <c r="J222" s="43"/>
      <c r="K222" s="44"/>
      <c r="L222" s="43"/>
      <c r="M222" s="44"/>
      <c r="N222" s="43"/>
      <c r="O222" s="44"/>
      <c r="P222" s="43"/>
      <c r="Q222" s="44"/>
      <c r="R222" s="43"/>
      <c r="S222" s="43"/>
      <c r="T222" s="43"/>
      <c r="U222" s="43"/>
      <c r="V222" s="45"/>
    </row>
    <row r="223" spans="1:22" ht="41.25" thickBot="1" x14ac:dyDescent="0.3">
      <c r="A223" s="43"/>
      <c r="B223" s="46" t="str">
        <f>IF(Q223&gt;1,"Считыватель вх",IF(F223&lt;1,"","Считыватель вых"))</f>
        <v>Считыватель вых</v>
      </c>
      <c r="C223" s="47"/>
      <c r="D223" s="48"/>
      <c r="E223" s="48"/>
      <c r="F223" s="49">
        <v>4</v>
      </c>
      <c r="G223" s="49"/>
      <c r="H223" s="50"/>
      <c r="I223" s="51"/>
      <c r="J223" s="52" t="str">
        <f>IF(Q223&gt;1,"замок",IF(K223&gt;1,"замок пож.дв.","замок"))</f>
        <v>замок</v>
      </c>
      <c r="K223" s="53"/>
      <c r="L223" s="54" t="s">
        <v>10</v>
      </c>
      <c r="M223" s="54" t="s">
        <v>11</v>
      </c>
      <c r="N223" s="55" t="s">
        <v>12</v>
      </c>
      <c r="O223" s="53"/>
      <c r="P223" s="55" t="s">
        <v>13</v>
      </c>
      <c r="Q223" s="56"/>
      <c r="R223" s="57" t="s">
        <v>14</v>
      </c>
      <c r="S223" s="58"/>
      <c r="T223" s="58"/>
      <c r="U223" s="58"/>
      <c r="V223" s="58"/>
    </row>
    <row r="224" spans="1:22" x14ac:dyDescent="0.25">
      <c r="A224" s="43"/>
      <c r="B224" s="64">
        <f>IF(B223="Считыватель вых",B206,IF(B223="Считыватель вх",J224,""))</f>
        <v>0</v>
      </c>
      <c r="C224" s="61"/>
      <c r="D224" s="61"/>
      <c r="E224" s="61"/>
      <c r="F224" s="61"/>
      <c r="G224" s="61"/>
      <c r="H224" s="61"/>
      <c r="I224" s="61"/>
      <c r="J224" s="59" t="s">
        <v>18</v>
      </c>
      <c r="K224" s="61"/>
      <c r="L224" s="61"/>
      <c r="M224" s="61"/>
      <c r="N224" s="61"/>
      <c r="O224" s="61"/>
      <c r="P224" s="61"/>
      <c r="Q224" s="61"/>
      <c r="R224" s="62" t="s">
        <v>15</v>
      </c>
      <c r="S224" s="62"/>
      <c r="T224" s="62"/>
      <c r="U224" s="62"/>
      <c r="V224" s="62"/>
    </row>
    <row r="226" spans="1:22" x14ac:dyDescent="0.25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8.75" x14ac:dyDescent="0.3">
      <c r="E227" s="3" t="s">
        <v>0</v>
      </c>
      <c r="G227" s="4"/>
      <c r="H227" s="4"/>
      <c r="I227" s="4"/>
      <c r="J227" s="4"/>
      <c r="K227" s="4"/>
      <c r="L227" s="4"/>
      <c r="M227" s="5" t="s">
        <v>1</v>
      </c>
      <c r="N227" s="6">
        <f>N209</f>
        <v>0</v>
      </c>
    </row>
    <row r="228" spans="1:22" ht="18.75" x14ac:dyDescent="0.3">
      <c r="E228" s="3" t="s">
        <v>2</v>
      </c>
      <c r="J228" s="7"/>
      <c r="K228" s="7"/>
      <c r="L228" s="7"/>
      <c r="M228" s="5" t="s">
        <v>3</v>
      </c>
      <c r="N228" s="8" t="str">
        <f>N209&amp;".1"</f>
        <v>0.1</v>
      </c>
    </row>
    <row r="229" spans="1:22" ht="18.75" x14ac:dyDescent="0.3">
      <c r="E229" t="s">
        <v>4</v>
      </c>
      <c r="H229" s="4"/>
      <c r="I229" s="4"/>
      <c r="J229" s="4"/>
      <c r="K229" s="4"/>
      <c r="L229" s="4"/>
      <c r="M229" s="9" t="s">
        <v>3</v>
      </c>
      <c r="N229" s="10">
        <f>N211</f>
        <v>0</v>
      </c>
    </row>
    <row r="230" spans="1:22" ht="18.75" x14ac:dyDescent="0.3">
      <c r="E230" t="s">
        <v>5</v>
      </c>
      <c r="L230" s="7"/>
      <c r="M230" s="9" t="s">
        <v>6</v>
      </c>
      <c r="N230" s="11" t="str">
        <f>N212</f>
        <v>-.1</v>
      </c>
      <c r="O230" s="11"/>
    </row>
    <row r="231" spans="1:22" ht="18.75" x14ac:dyDescent="0.3">
      <c r="E231" s="12" t="s">
        <v>7</v>
      </c>
      <c r="I231" s="4"/>
      <c r="J231" s="4"/>
      <c r="K231" s="4"/>
      <c r="L231" s="4"/>
      <c r="M231" s="9" t="s">
        <v>3</v>
      </c>
      <c r="N231" s="10">
        <f>N213+1</f>
        <v>3</v>
      </c>
    </row>
    <row r="232" spans="1:22" ht="15.75" thickBot="1" x14ac:dyDescent="0.3">
      <c r="E232" s="13" t="s">
        <v>8</v>
      </c>
      <c r="F232" s="13"/>
      <c r="G232" s="13"/>
      <c r="H232" s="13"/>
      <c r="I232" s="14"/>
      <c r="J232" s="14"/>
      <c r="K232" s="14"/>
      <c r="L232" s="14"/>
      <c r="M232" s="14" t="s">
        <v>3</v>
      </c>
      <c r="N232" s="15" t="s">
        <v>16</v>
      </c>
      <c r="O232" s="15"/>
    </row>
    <row r="233" spans="1:22" x14ac:dyDescent="0.25">
      <c r="A233" s="16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8"/>
    </row>
    <row r="234" spans="1:22" x14ac:dyDescent="0.25">
      <c r="A234" s="19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1"/>
    </row>
    <row r="235" spans="1:22" x14ac:dyDescent="0.25">
      <c r="A235" s="22"/>
      <c r="B235" s="23" t="s">
        <v>17</v>
      </c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5"/>
      <c r="V235" s="26"/>
    </row>
    <row r="236" spans="1:22" ht="15.75" thickBot="1" x14ac:dyDescent="0.3">
      <c r="A236" s="27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6"/>
    </row>
    <row r="237" spans="1:22" x14ac:dyDescent="0.25">
      <c r="A237" s="27"/>
      <c r="B237" s="29">
        <v>0</v>
      </c>
      <c r="C237" s="30"/>
      <c r="D237" s="30">
        <v>1</v>
      </c>
      <c r="E237" s="30">
        <v>1</v>
      </c>
      <c r="F237" s="30">
        <v>2</v>
      </c>
      <c r="G237" s="30">
        <v>2</v>
      </c>
      <c r="H237" s="30">
        <v>3</v>
      </c>
      <c r="I237" s="31">
        <v>3</v>
      </c>
      <c r="J237" s="29">
        <v>4</v>
      </c>
      <c r="K237" s="30">
        <v>4</v>
      </c>
      <c r="L237" s="30">
        <v>5</v>
      </c>
      <c r="M237" s="30"/>
      <c r="N237" s="30">
        <v>6</v>
      </c>
      <c r="O237" s="30">
        <v>1</v>
      </c>
      <c r="P237" s="30">
        <v>7</v>
      </c>
      <c r="Q237" s="31">
        <v>2</v>
      </c>
      <c r="R237" s="25">
        <v>8</v>
      </c>
      <c r="S237" s="32">
        <v>3</v>
      </c>
      <c r="T237" s="32">
        <v>9</v>
      </c>
      <c r="U237" s="32">
        <v>4</v>
      </c>
      <c r="V237" s="33"/>
    </row>
    <row r="238" spans="1:22" ht="15.75" thickBot="1" x14ac:dyDescent="0.3">
      <c r="A238" s="27"/>
      <c r="B238" s="34"/>
      <c r="C238" s="35"/>
      <c r="D238" s="35"/>
      <c r="E238" s="35"/>
      <c r="F238" s="35"/>
      <c r="G238" s="35"/>
      <c r="H238" s="35"/>
      <c r="I238" s="36"/>
      <c r="J238" s="34"/>
      <c r="K238" s="35"/>
      <c r="L238" s="35"/>
      <c r="M238" s="35"/>
      <c r="N238" s="35"/>
      <c r="O238" s="35"/>
      <c r="P238" s="35"/>
      <c r="Q238" s="36"/>
      <c r="R238" s="37"/>
      <c r="S238" s="20"/>
      <c r="T238" s="20"/>
      <c r="U238" s="20"/>
      <c r="V238" s="33"/>
    </row>
    <row r="239" spans="1:22" ht="15.75" thickBot="1" x14ac:dyDescent="0.3">
      <c r="A239" s="38"/>
      <c r="B239" s="39"/>
      <c r="C239" s="39"/>
      <c r="D239" s="39"/>
      <c r="E239" s="39"/>
      <c r="F239" s="40"/>
      <c r="G239" s="39"/>
      <c r="H239" s="39"/>
      <c r="I239" s="39"/>
      <c r="J239" s="39"/>
      <c r="K239" s="40"/>
      <c r="L239" s="39"/>
      <c r="M239" s="40"/>
      <c r="N239" s="39"/>
      <c r="O239" s="40"/>
      <c r="P239" s="39"/>
      <c r="Q239" s="40"/>
      <c r="R239" s="41"/>
      <c r="S239" s="41"/>
      <c r="T239" s="41"/>
      <c r="U239" s="41"/>
      <c r="V239" s="42"/>
    </row>
    <row r="240" spans="1:22" ht="15.75" thickBot="1" x14ac:dyDescent="0.3">
      <c r="A240" s="43"/>
      <c r="B240" s="43"/>
      <c r="C240" s="43"/>
      <c r="D240" s="43"/>
      <c r="E240" s="43"/>
      <c r="F240" s="44"/>
      <c r="G240" s="43"/>
      <c r="H240" s="43"/>
      <c r="I240" s="43"/>
      <c r="J240" s="43"/>
      <c r="K240" s="44"/>
      <c r="L240" s="43"/>
      <c r="M240" s="44"/>
      <c r="N240" s="43"/>
      <c r="O240" s="44"/>
      <c r="P240" s="43"/>
      <c r="Q240" s="44"/>
      <c r="R240" s="43"/>
      <c r="S240" s="43"/>
      <c r="T240" s="43"/>
      <c r="U240" s="43"/>
      <c r="V240" s="45"/>
    </row>
    <row r="241" spans="1:22" ht="41.25" thickBot="1" x14ac:dyDescent="0.3">
      <c r="A241" s="43"/>
      <c r="B241" s="46" t="str">
        <f>IF(Q241&gt;1,"Считыватель вх",IF(F241&lt;1,"","Считыватель вых"))</f>
        <v>Считыватель вых</v>
      </c>
      <c r="C241" s="47"/>
      <c r="D241" s="48"/>
      <c r="E241" s="48"/>
      <c r="F241" s="49">
        <v>4</v>
      </c>
      <c r="G241" s="49"/>
      <c r="H241" s="50"/>
      <c r="I241" s="51"/>
      <c r="J241" s="52" t="str">
        <f>IF(Q241&gt;1,"замок",IF(K241&gt;1,"замок пож.дв.","замок"))</f>
        <v>замок</v>
      </c>
      <c r="K241" s="53"/>
      <c r="L241" s="54" t="s">
        <v>10</v>
      </c>
      <c r="M241" s="54" t="s">
        <v>11</v>
      </c>
      <c r="N241" s="55" t="s">
        <v>12</v>
      </c>
      <c r="O241" s="53"/>
      <c r="P241" s="55" t="s">
        <v>13</v>
      </c>
      <c r="Q241" s="56"/>
      <c r="R241" s="57" t="s">
        <v>14</v>
      </c>
      <c r="S241" s="58"/>
      <c r="T241" s="58"/>
      <c r="U241" s="58"/>
      <c r="V241" s="58"/>
    </row>
    <row r="242" spans="1:22" x14ac:dyDescent="0.25">
      <c r="A242" s="43"/>
      <c r="B242" s="64">
        <f>IF(B241="Считыватель вых",B224,IF(B241="Считыватель вх",J242,""))</f>
        <v>0</v>
      </c>
      <c r="C242" s="61"/>
      <c r="D242" s="61"/>
      <c r="E242" s="61"/>
      <c r="F242" s="61"/>
      <c r="G242" s="61"/>
      <c r="H242" s="61"/>
      <c r="I242" s="61"/>
      <c r="J242" s="59" t="s">
        <v>18</v>
      </c>
      <c r="K242" s="61"/>
      <c r="L242" s="61"/>
      <c r="M242" s="61"/>
      <c r="N242" s="61"/>
      <c r="O242" s="61"/>
      <c r="P242" s="61"/>
      <c r="Q242" s="61"/>
      <c r="R242" s="62" t="s">
        <v>15</v>
      </c>
      <c r="S242" s="62"/>
      <c r="T242" s="62"/>
      <c r="U242" s="62"/>
      <c r="V242" s="62"/>
    </row>
    <row r="244" spans="1:22" x14ac:dyDescent="0.25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8.75" x14ac:dyDescent="0.3">
      <c r="E245" s="3" t="s">
        <v>0</v>
      </c>
      <c r="G245" s="4"/>
      <c r="H245" s="4"/>
      <c r="I245" s="4"/>
      <c r="J245" s="4"/>
      <c r="K245" s="4"/>
      <c r="L245" s="4"/>
      <c r="M245" s="5" t="s">
        <v>1</v>
      </c>
      <c r="N245" s="6">
        <f>N227</f>
        <v>0</v>
      </c>
    </row>
    <row r="246" spans="1:22" ht="18.75" x14ac:dyDescent="0.3">
      <c r="E246" s="3" t="s">
        <v>2</v>
      </c>
      <c r="J246" s="7"/>
      <c r="K246" s="7"/>
      <c r="L246" s="7"/>
      <c r="M246" s="5" t="s">
        <v>3</v>
      </c>
      <c r="N246" s="8" t="str">
        <f>N227&amp;".1"</f>
        <v>0.1</v>
      </c>
    </row>
    <row r="247" spans="1:22" ht="18.75" x14ac:dyDescent="0.3">
      <c r="E247" t="s">
        <v>4</v>
      </c>
      <c r="H247" s="4"/>
      <c r="I247" s="4"/>
      <c r="J247" s="4"/>
      <c r="K247" s="4"/>
      <c r="L247" s="4"/>
      <c r="M247" s="9" t="s">
        <v>3</v>
      </c>
      <c r="N247" s="10">
        <f>N229</f>
        <v>0</v>
      </c>
    </row>
    <row r="248" spans="1:22" ht="18.75" x14ac:dyDescent="0.3">
      <c r="E248" t="s">
        <v>5</v>
      </c>
      <c r="L248" s="7"/>
      <c r="M248" s="9" t="s">
        <v>6</v>
      </c>
      <c r="N248" s="11" t="str">
        <f>N230</f>
        <v>-.1</v>
      </c>
      <c r="O248" s="11"/>
    </row>
    <row r="249" spans="1:22" ht="18.75" x14ac:dyDescent="0.3">
      <c r="E249" s="12" t="s">
        <v>7</v>
      </c>
      <c r="I249" s="4"/>
      <c r="J249" s="4"/>
      <c r="K249" s="4"/>
      <c r="L249" s="4"/>
      <c r="M249" s="9" t="s">
        <v>3</v>
      </c>
      <c r="N249" s="10">
        <f>N231+1</f>
        <v>4</v>
      </c>
    </row>
    <row r="250" spans="1:22" ht="15.75" thickBot="1" x14ac:dyDescent="0.3">
      <c r="E250" s="13" t="s">
        <v>8</v>
      </c>
      <c r="F250" s="13"/>
      <c r="G250" s="13"/>
      <c r="H250" s="13"/>
      <c r="I250" s="14"/>
      <c r="J250" s="14"/>
      <c r="K250" s="14"/>
      <c r="L250" s="14"/>
      <c r="M250" s="14" t="s">
        <v>3</v>
      </c>
      <c r="N250" s="15" t="s">
        <v>16</v>
      </c>
      <c r="O250" s="15"/>
    </row>
    <row r="251" spans="1:22" x14ac:dyDescent="0.25">
      <c r="A251" s="16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8"/>
    </row>
    <row r="252" spans="1:22" x14ac:dyDescent="0.25">
      <c r="A252" s="19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1"/>
    </row>
    <row r="253" spans="1:22" x14ac:dyDescent="0.25">
      <c r="A253" s="22"/>
      <c r="B253" s="23" t="s">
        <v>17</v>
      </c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5"/>
      <c r="V253" s="26"/>
    </row>
    <row r="254" spans="1:22" ht="15.75" thickBot="1" x14ac:dyDescent="0.3">
      <c r="A254" s="27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6"/>
    </row>
    <row r="255" spans="1:22" x14ac:dyDescent="0.25">
      <c r="A255" s="27"/>
      <c r="B255" s="29">
        <v>0</v>
      </c>
      <c r="C255" s="30"/>
      <c r="D255" s="30">
        <v>1</v>
      </c>
      <c r="E255" s="30">
        <v>1</v>
      </c>
      <c r="F255" s="30">
        <v>2</v>
      </c>
      <c r="G255" s="30">
        <v>2</v>
      </c>
      <c r="H255" s="30">
        <v>3</v>
      </c>
      <c r="I255" s="31">
        <v>3</v>
      </c>
      <c r="J255" s="29">
        <v>4</v>
      </c>
      <c r="K255" s="30">
        <v>4</v>
      </c>
      <c r="L255" s="30">
        <v>5</v>
      </c>
      <c r="M255" s="30"/>
      <c r="N255" s="30">
        <v>6</v>
      </c>
      <c r="O255" s="30">
        <v>1</v>
      </c>
      <c r="P255" s="30">
        <v>7</v>
      </c>
      <c r="Q255" s="31">
        <v>2</v>
      </c>
      <c r="R255" s="25">
        <v>8</v>
      </c>
      <c r="S255" s="32">
        <v>3</v>
      </c>
      <c r="T255" s="32">
        <v>9</v>
      </c>
      <c r="U255" s="32">
        <v>4</v>
      </c>
      <c r="V255" s="33"/>
    </row>
    <row r="256" spans="1:22" ht="15.75" thickBot="1" x14ac:dyDescent="0.3">
      <c r="A256" s="27"/>
      <c r="B256" s="34"/>
      <c r="C256" s="35"/>
      <c r="D256" s="35"/>
      <c r="E256" s="35"/>
      <c r="F256" s="35"/>
      <c r="G256" s="35"/>
      <c r="H256" s="35"/>
      <c r="I256" s="36"/>
      <c r="J256" s="34"/>
      <c r="K256" s="35"/>
      <c r="L256" s="35"/>
      <c r="M256" s="35"/>
      <c r="N256" s="35"/>
      <c r="O256" s="35"/>
      <c r="P256" s="35"/>
      <c r="Q256" s="36"/>
      <c r="R256" s="37"/>
      <c r="S256" s="20"/>
      <c r="T256" s="20"/>
      <c r="U256" s="20"/>
      <c r="V256" s="33"/>
    </row>
    <row r="257" spans="1:22" ht="15.75" thickBot="1" x14ac:dyDescent="0.3">
      <c r="A257" s="38"/>
      <c r="B257" s="39"/>
      <c r="C257" s="39"/>
      <c r="D257" s="39"/>
      <c r="E257" s="39"/>
      <c r="F257" s="40"/>
      <c r="G257" s="39"/>
      <c r="H257" s="39"/>
      <c r="I257" s="39"/>
      <c r="J257" s="39"/>
      <c r="K257" s="40"/>
      <c r="L257" s="39"/>
      <c r="M257" s="40"/>
      <c r="N257" s="39"/>
      <c r="O257" s="40"/>
      <c r="P257" s="39"/>
      <c r="Q257" s="40"/>
      <c r="R257" s="41"/>
      <c r="S257" s="41"/>
      <c r="T257" s="41"/>
      <c r="U257" s="41"/>
      <c r="V257" s="42"/>
    </row>
    <row r="258" spans="1:22" ht="15.75" thickBot="1" x14ac:dyDescent="0.3">
      <c r="A258" s="43"/>
      <c r="B258" s="43"/>
      <c r="C258" s="43"/>
      <c r="D258" s="43"/>
      <c r="E258" s="43"/>
      <c r="F258" s="44"/>
      <c r="G258" s="43"/>
      <c r="H258" s="43"/>
      <c r="I258" s="43"/>
      <c r="J258" s="43"/>
      <c r="K258" s="44"/>
      <c r="L258" s="43"/>
      <c r="M258" s="44"/>
      <c r="N258" s="43"/>
      <c r="O258" s="44"/>
      <c r="P258" s="43"/>
      <c r="Q258" s="44"/>
      <c r="R258" s="43"/>
      <c r="S258" s="43"/>
      <c r="T258" s="43"/>
      <c r="U258" s="43"/>
      <c r="V258" s="45"/>
    </row>
    <row r="259" spans="1:22" ht="41.25" thickBot="1" x14ac:dyDescent="0.3">
      <c r="A259" s="43"/>
      <c r="B259" s="46" t="str">
        <f>IF(Q259&gt;1,"Считыватель вх",IF(F259&lt;1,"","Считыватель вых"))</f>
        <v>Считыватель вых</v>
      </c>
      <c r="C259" s="47"/>
      <c r="D259" s="48"/>
      <c r="E259" s="48"/>
      <c r="F259" s="49">
        <v>4</v>
      </c>
      <c r="G259" s="49"/>
      <c r="H259" s="50"/>
      <c r="I259" s="51"/>
      <c r="J259" s="52" t="str">
        <f>IF(Q259&gt;1,"замок",IF(K259&gt;1,"замок пож.дв.","замок"))</f>
        <v>замок</v>
      </c>
      <c r="K259" s="53"/>
      <c r="L259" s="54" t="s">
        <v>10</v>
      </c>
      <c r="M259" s="54" t="s">
        <v>11</v>
      </c>
      <c r="N259" s="55" t="s">
        <v>12</v>
      </c>
      <c r="O259" s="53"/>
      <c r="P259" s="55" t="s">
        <v>13</v>
      </c>
      <c r="Q259" s="56"/>
      <c r="R259" s="57" t="s">
        <v>14</v>
      </c>
      <c r="S259" s="58"/>
      <c r="T259" s="58"/>
      <c r="U259" s="58"/>
      <c r="V259" s="58"/>
    </row>
    <row r="260" spans="1:22" x14ac:dyDescent="0.25">
      <c r="A260" s="43"/>
      <c r="B260" s="64">
        <f>IF(B259="Считыватель вых",B242,IF(B259="Считыватель вх",J260,""))</f>
        <v>0</v>
      </c>
      <c r="C260" s="61"/>
      <c r="D260" s="61"/>
      <c r="E260" s="61"/>
      <c r="F260" s="61"/>
      <c r="G260" s="61"/>
      <c r="H260" s="61"/>
      <c r="I260" s="61"/>
      <c r="J260" s="59" t="s">
        <v>18</v>
      </c>
      <c r="K260" s="61"/>
      <c r="L260" s="61"/>
      <c r="M260" s="61"/>
      <c r="N260" s="61"/>
      <c r="O260" s="61"/>
      <c r="P260" s="61"/>
      <c r="Q260" s="61"/>
      <c r="R260" s="62" t="s">
        <v>15</v>
      </c>
      <c r="S260" s="62"/>
      <c r="T260" s="62"/>
      <c r="U260" s="62"/>
      <c r="V260" s="62"/>
    </row>
    <row r="262" spans="1:22" x14ac:dyDescent="0.25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8.75" x14ac:dyDescent="0.3">
      <c r="E263" s="3" t="s">
        <v>0</v>
      </c>
      <c r="G263" s="4"/>
      <c r="H263" s="4"/>
      <c r="I263" s="4"/>
      <c r="J263" s="4"/>
      <c r="K263" s="4"/>
      <c r="L263" s="4"/>
      <c r="M263" s="5" t="s">
        <v>1</v>
      </c>
      <c r="N263" s="6">
        <f>N245</f>
        <v>0</v>
      </c>
    </row>
    <row r="264" spans="1:22" ht="18.75" x14ac:dyDescent="0.3">
      <c r="E264" s="3" t="s">
        <v>2</v>
      </c>
      <c r="J264" s="7"/>
      <c r="K264" s="7"/>
      <c r="L264" s="7"/>
      <c r="M264" s="5" t="s">
        <v>3</v>
      </c>
      <c r="N264" s="8" t="str">
        <f>N245&amp;".1"</f>
        <v>0.1</v>
      </c>
    </row>
    <row r="265" spans="1:22" ht="18.75" x14ac:dyDescent="0.3">
      <c r="E265" t="s">
        <v>4</v>
      </c>
      <c r="H265" s="4"/>
      <c r="I265" s="4"/>
      <c r="J265" s="4"/>
      <c r="K265" s="4"/>
      <c r="L265" s="4"/>
      <c r="M265" s="9" t="s">
        <v>3</v>
      </c>
      <c r="N265" s="10">
        <f>N247</f>
        <v>0</v>
      </c>
    </row>
    <row r="266" spans="1:22" ht="18.75" x14ac:dyDescent="0.3">
      <c r="E266" t="s">
        <v>5</v>
      </c>
      <c r="L266" s="7"/>
      <c r="M266" s="9" t="s">
        <v>6</v>
      </c>
      <c r="N266" s="11" t="str">
        <f>N248</f>
        <v>-.1</v>
      </c>
      <c r="O266" s="11"/>
    </row>
    <row r="267" spans="1:22" ht="18.75" x14ac:dyDescent="0.3">
      <c r="E267" s="12" t="s">
        <v>7</v>
      </c>
      <c r="I267" s="4"/>
      <c r="J267" s="4"/>
      <c r="K267" s="4"/>
      <c r="L267" s="4"/>
      <c r="M267" s="9" t="s">
        <v>3</v>
      </c>
      <c r="N267" s="10">
        <f>N249+1</f>
        <v>5</v>
      </c>
    </row>
    <row r="268" spans="1:22" ht="15.75" thickBot="1" x14ac:dyDescent="0.3">
      <c r="E268" s="13" t="s">
        <v>8</v>
      </c>
      <c r="F268" s="13"/>
      <c r="G268" s="13"/>
      <c r="H268" s="13"/>
      <c r="I268" s="14"/>
      <c r="J268" s="14"/>
      <c r="K268" s="14"/>
      <c r="L268" s="14"/>
      <c r="M268" s="14" t="s">
        <v>3</v>
      </c>
      <c r="N268" s="15" t="s">
        <v>16</v>
      </c>
      <c r="O268" s="15"/>
    </row>
    <row r="269" spans="1:22" x14ac:dyDescent="0.25">
      <c r="A269" s="16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8"/>
    </row>
    <row r="270" spans="1:22" x14ac:dyDescent="0.25">
      <c r="A270" s="19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1"/>
    </row>
    <row r="271" spans="1:22" x14ac:dyDescent="0.25">
      <c r="A271" s="22"/>
      <c r="B271" s="23" t="s">
        <v>17</v>
      </c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5"/>
      <c r="V271" s="26"/>
    </row>
    <row r="272" spans="1:22" ht="15.75" thickBot="1" x14ac:dyDescent="0.3">
      <c r="A272" s="27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6"/>
    </row>
    <row r="273" spans="1:22" x14ac:dyDescent="0.25">
      <c r="A273" s="27"/>
      <c r="B273" s="29">
        <v>0</v>
      </c>
      <c r="C273" s="30"/>
      <c r="D273" s="30">
        <v>1</v>
      </c>
      <c r="E273" s="30">
        <v>1</v>
      </c>
      <c r="F273" s="30">
        <v>2</v>
      </c>
      <c r="G273" s="30">
        <v>2</v>
      </c>
      <c r="H273" s="30">
        <v>3</v>
      </c>
      <c r="I273" s="31">
        <v>3</v>
      </c>
      <c r="J273" s="29">
        <v>4</v>
      </c>
      <c r="K273" s="30">
        <v>4</v>
      </c>
      <c r="L273" s="30">
        <v>5</v>
      </c>
      <c r="M273" s="30"/>
      <c r="N273" s="30">
        <v>6</v>
      </c>
      <c r="O273" s="30">
        <v>1</v>
      </c>
      <c r="P273" s="30">
        <v>7</v>
      </c>
      <c r="Q273" s="31">
        <v>2</v>
      </c>
      <c r="R273" s="25">
        <v>8</v>
      </c>
      <c r="S273" s="32">
        <v>3</v>
      </c>
      <c r="T273" s="32">
        <v>9</v>
      </c>
      <c r="U273" s="32">
        <v>4</v>
      </c>
      <c r="V273" s="33"/>
    </row>
    <row r="274" spans="1:22" ht="15.75" thickBot="1" x14ac:dyDescent="0.3">
      <c r="A274" s="27"/>
      <c r="B274" s="34"/>
      <c r="C274" s="35"/>
      <c r="D274" s="35"/>
      <c r="E274" s="35"/>
      <c r="F274" s="35"/>
      <c r="G274" s="35"/>
      <c r="H274" s="35"/>
      <c r="I274" s="36"/>
      <c r="J274" s="34"/>
      <c r="K274" s="35"/>
      <c r="L274" s="35"/>
      <c r="M274" s="35"/>
      <c r="N274" s="35"/>
      <c r="O274" s="35"/>
      <c r="P274" s="35"/>
      <c r="Q274" s="36"/>
      <c r="R274" s="37"/>
      <c r="S274" s="20"/>
      <c r="T274" s="20"/>
      <c r="U274" s="20"/>
      <c r="V274" s="33"/>
    </row>
    <row r="275" spans="1:22" ht="15.75" thickBot="1" x14ac:dyDescent="0.3">
      <c r="A275" s="38"/>
      <c r="B275" s="39"/>
      <c r="C275" s="39"/>
      <c r="D275" s="39"/>
      <c r="E275" s="39"/>
      <c r="F275" s="40"/>
      <c r="G275" s="39"/>
      <c r="H275" s="39"/>
      <c r="I275" s="39"/>
      <c r="J275" s="39"/>
      <c r="K275" s="40"/>
      <c r="L275" s="39"/>
      <c r="M275" s="40"/>
      <c r="N275" s="39"/>
      <c r="O275" s="40"/>
      <c r="P275" s="39"/>
      <c r="Q275" s="40"/>
      <c r="R275" s="41"/>
      <c r="S275" s="41"/>
      <c r="T275" s="41"/>
      <c r="U275" s="41"/>
      <c r="V275" s="42"/>
    </row>
    <row r="276" spans="1:22" ht="15.75" thickBot="1" x14ac:dyDescent="0.3">
      <c r="A276" s="43"/>
      <c r="B276" s="43"/>
      <c r="C276" s="43"/>
      <c r="D276" s="43"/>
      <c r="E276" s="43"/>
      <c r="F276" s="44"/>
      <c r="G276" s="43"/>
      <c r="H276" s="43"/>
      <c r="I276" s="43"/>
      <c r="J276" s="43"/>
      <c r="K276" s="44"/>
      <c r="L276" s="43"/>
      <c r="M276" s="44"/>
      <c r="N276" s="43"/>
      <c r="O276" s="44"/>
      <c r="P276" s="43"/>
      <c r="Q276" s="44"/>
      <c r="R276" s="43"/>
      <c r="S276" s="43"/>
      <c r="T276" s="43"/>
      <c r="U276" s="43"/>
      <c r="V276" s="45"/>
    </row>
    <row r="277" spans="1:22" ht="41.25" thickBot="1" x14ac:dyDescent="0.3">
      <c r="A277" s="43"/>
      <c r="B277" s="46" t="str">
        <f>IF(Q277&gt;1,"Считыватель вх",IF(F277&lt;1,"","Считыватель вых"))</f>
        <v>Считыватель вых</v>
      </c>
      <c r="C277" s="47"/>
      <c r="D277" s="48"/>
      <c r="E277" s="48"/>
      <c r="F277" s="49">
        <v>4</v>
      </c>
      <c r="G277" s="49"/>
      <c r="H277" s="50"/>
      <c r="I277" s="51"/>
      <c r="J277" s="52" t="str">
        <f>IF(Q277&gt;1,"замок",IF(K277&gt;1,"замок пож.дв.","замок"))</f>
        <v>замок</v>
      </c>
      <c r="K277" s="53"/>
      <c r="L277" s="54" t="s">
        <v>10</v>
      </c>
      <c r="M277" s="54" t="s">
        <v>11</v>
      </c>
      <c r="N277" s="55" t="s">
        <v>12</v>
      </c>
      <c r="O277" s="53"/>
      <c r="P277" s="55" t="s">
        <v>13</v>
      </c>
      <c r="Q277" s="56"/>
      <c r="R277" s="57" t="s">
        <v>14</v>
      </c>
      <c r="S277" s="58"/>
      <c r="T277" s="58"/>
      <c r="U277" s="58"/>
      <c r="V277" s="58"/>
    </row>
    <row r="278" spans="1:22" x14ac:dyDescent="0.25">
      <c r="A278" s="43"/>
      <c r="B278" s="64">
        <f>IF(B277="Считыватель вых",B260,IF(B277="Считыватель вх",J278,""))</f>
        <v>0</v>
      </c>
      <c r="C278" s="61"/>
      <c r="D278" s="61"/>
      <c r="E278" s="61"/>
      <c r="F278" s="61"/>
      <c r="G278" s="61"/>
      <c r="H278" s="61"/>
      <c r="I278" s="61"/>
      <c r="J278" s="59" t="s">
        <v>18</v>
      </c>
      <c r="K278" s="61"/>
      <c r="L278" s="61"/>
      <c r="M278" s="61"/>
      <c r="N278" s="61"/>
      <c r="O278" s="61"/>
      <c r="P278" s="61"/>
      <c r="Q278" s="61"/>
      <c r="R278" s="62" t="s">
        <v>15</v>
      </c>
      <c r="S278" s="62"/>
      <c r="T278" s="62"/>
      <c r="U278" s="62"/>
      <c r="V278" s="62"/>
    </row>
    <row r="280" spans="1:22" x14ac:dyDescent="0.25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8.75" x14ac:dyDescent="0.3">
      <c r="E281" s="3" t="s">
        <v>0</v>
      </c>
      <c r="G281" s="4"/>
      <c r="H281" s="4"/>
      <c r="I281" s="4"/>
      <c r="J281" s="4"/>
      <c r="K281" s="4"/>
      <c r="L281" s="4"/>
      <c r="M281" s="5" t="s">
        <v>1</v>
      </c>
      <c r="N281" s="6">
        <f>N263</f>
        <v>0</v>
      </c>
    </row>
    <row r="282" spans="1:22" ht="18.75" x14ac:dyDescent="0.3">
      <c r="E282" s="3" t="s">
        <v>2</v>
      </c>
      <c r="J282" s="7"/>
      <c r="K282" s="7"/>
      <c r="L282" s="7"/>
      <c r="M282" s="5" t="s">
        <v>3</v>
      </c>
      <c r="N282" s="8" t="str">
        <f>N263&amp;".1"</f>
        <v>0.1</v>
      </c>
    </row>
    <row r="283" spans="1:22" ht="18.75" x14ac:dyDescent="0.3">
      <c r="E283" t="s">
        <v>4</v>
      </c>
      <c r="H283" s="4"/>
      <c r="I283" s="4"/>
      <c r="J283" s="4"/>
      <c r="K283" s="4"/>
      <c r="L283" s="4"/>
      <c r="M283" s="9" t="s">
        <v>3</v>
      </c>
      <c r="N283" s="10">
        <f>N265</f>
        <v>0</v>
      </c>
    </row>
    <row r="284" spans="1:22" ht="18.75" x14ac:dyDescent="0.3">
      <c r="E284" t="s">
        <v>5</v>
      </c>
      <c r="L284" s="7"/>
      <c r="M284" s="9" t="s">
        <v>6</v>
      </c>
      <c r="N284" s="11" t="str">
        <f>N266</f>
        <v>-.1</v>
      </c>
      <c r="O284" s="11"/>
    </row>
    <row r="285" spans="1:22" ht="18.75" x14ac:dyDescent="0.3">
      <c r="E285" s="12" t="s">
        <v>7</v>
      </c>
      <c r="I285" s="4"/>
      <c r="J285" s="4"/>
      <c r="K285" s="4"/>
      <c r="L285" s="4"/>
      <c r="M285" s="9" t="s">
        <v>3</v>
      </c>
      <c r="N285" s="10">
        <f>N267+1</f>
        <v>6</v>
      </c>
    </row>
    <row r="286" spans="1:22" ht="15.75" thickBot="1" x14ac:dyDescent="0.3">
      <c r="E286" s="13" t="s">
        <v>8</v>
      </c>
      <c r="F286" s="13"/>
      <c r="G286" s="13"/>
      <c r="H286" s="13"/>
      <c r="I286" s="14"/>
      <c r="J286" s="14"/>
      <c r="K286" s="14"/>
      <c r="L286" s="14"/>
      <c r="M286" s="14" t="s">
        <v>3</v>
      </c>
      <c r="N286" s="15" t="s">
        <v>16</v>
      </c>
      <c r="O286" s="15"/>
    </row>
    <row r="287" spans="1:22" x14ac:dyDescent="0.25">
      <c r="A287" s="16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8"/>
    </row>
    <row r="288" spans="1:22" x14ac:dyDescent="0.25">
      <c r="A288" s="19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1"/>
    </row>
    <row r="289" spans="1:22" x14ac:dyDescent="0.25">
      <c r="A289" s="22"/>
      <c r="B289" s="23" t="s">
        <v>17</v>
      </c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5"/>
      <c r="V289" s="26"/>
    </row>
    <row r="290" spans="1:22" ht="15.75" thickBot="1" x14ac:dyDescent="0.3">
      <c r="A290" s="27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6"/>
    </row>
    <row r="291" spans="1:22" x14ac:dyDescent="0.25">
      <c r="A291" s="27"/>
      <c r="B291" s="29">
        <v>0</v>
      </c>
      <c r="C291" s="30"/>
      <c r="D291" s="30">
        <v>1</v>
      </c>
      <c r="E291" s="30">
        <v>1</v>
      </c>
      <c r="F291" s="30">
        <v>2</v>
      </c>
      <c r="G291" s="30">
        <v>2</v>
      </c>
      <c r="H291" s="30">
        <v>3</v>
      </c>
      <c r="I291" s="31">
        <v>3</v>
      </c>
      <c r="J291" s="29">
        <v>4</v>
      </c>
      <c r="K291" s="30">
        <v>4</v>
      </c>
      <c r="L291" s="30">
        <v>5</v>
      </c>
      <c r="M291" s="30"/>
      <c r="N291" s="30">
        <v>6</v>
      </c>
      <c r="O291" s="30">
        <v>1</v>
      </c>
      <c r="P291" s="30">
        <v>7</v>
      </c>
      <c r="Q291" s="31">
        <v>2</v>
      </c>
      <c r="R291" s="25">
        <v>8</v>
      </c>
      <c r="S291" s="32">
        <v>3</v>
      </c>
      <c r="T291" s="32">
        <v>9</v>
      </c>
      <c r="U291" s="32">
        <v>4</v>
      </c>
      <c r="V291" s="33"/>
    </row>
    <row r="292" spans="1:22" ht="15.75" thickBot="1" x14ac:dyDescent="0.3">
      <c r="A292" s="27"/>
      <c r="B292" s="34"/>
      <c r="C292" s="35"/>
      <c r="D292" s="35"/>
      <c r="E292" s="35"/>
      <c r="F292" s="35"/>
      <c r="G292" s="35"/>
      <c r="H292" s="35"/>
      <c r="I292" s="36"/>
      <c r="J292" s="34"/>
      <c r="K292" s="35"/>
      <c r="L292" s="35"/>
      <c r="M292" s="35"/>
      <c r="N292" s="35"/>
      <c r="O292" s="35"/>
      <c r="P292" s="35"/>
      <c r="Q292" s="36"/>
      <c r="R292" s="37"/>
      <c r="S292" s="20"/>
      <c r="T292" s="20"/>
      <c r="U292" s="20"/>
      <c r="V292" s="33"/>
    </row>
    <row r="293" spans="1:22" ht="15.75" thickBot="1" x14ac:dyDescent="0.3">
      <c r="A293" s="38"/>
      <c r="B293" s="39"/>
      <c r="C293" s="39"/>
      <c r="D293" s="39"/>
      <c r="E293" s="39"/>
      <c r="F293" s="40"/>
      <c r="G293" s="39"/>
      <c r="H293" s="39"/>
      <c r="I293" s="39"/>
      <c r="J293" s="39"/>
      <c r="K293" s="40"/>
      <c r="L293" s="39"/>
      <c r="M293" s="40"/>
      <c r="N293" s="39"/>
      <c r="O293" s="40"/>
      <c r="P293" s="39"/>
      <c r="Q293" s="40"/>
      <c r="R293" s="41"/>
      <c r="S293" s="41"/>
      <c r="T293" s="41"/>
      <c r="U293" s="41"/>
      <c r="V293" s="42"/>
    </row>
    <row r="294" spans="1:22" ht="15.75" thickBot="1" x14ac:dyDescent="0.3">
      <c r="A294" s="43"/>
      <c r="B294" s="43"/>
      <c r="C294" s="43"/>
      <c r="D294" s="43"/>
      <c r="E294" s="43"/>
      <c r="F294" s="44"/>
      <c r="G294" s="43"/>
      <c r="H294" s="43"/>
      <c r="I294" s="43"/>
      <c r="J294" s="43"/>
      <c r="K294" s="44"/>
      <c r="L294" s="43"/>
      <c r="M294" s="44"/>
      <c r="N294" s="43"/>
      <c r="O294" s="44"/>
      <c r="P294" s="43"/>
      <c r="Q294" s="44"/>
      <c r="R294" s="43"/>
      <c r="S294" s="43"/>
      <c r="T294" s="43"/>
      <c r="U294" s="43"/>
      <c r="V294" s="45"/>
    </row>
    <row r="295" spans="1:22" ht="41.25" thickBot="1" x14ac:dyDescent="0.3">
      <c r="A295" s="43"/>
      <c r="B295" s="46" t="str">
        <f>IF(Q295&gt;1,"Считыватель вх",IF(F295&lt;1,"","Считыватель вых"))</f>
        <v>Считыватель вых</v>
      </c>
      <c r="C295" s="47"/>
      <c r="D295" s="48"/>
      <c r="E295" s="48"/>
      <c r="F295" s="49">
        <v>4</v>
      </c>
      <c r="G295" s="49"/>
      <c r="H295" s="50"/>
      <c r="I295" s="51"/>
      <c r="J295" s="52" t="str">
        <f>IF(Q295&gt;1,"замок",IF(K295&gt;1,"замок пож.дв.","замок"))</f>
        <v>замок</v>
      </c>
      <c r="K295" s="53"/>
      <c r="L295" s="54" t="s">
        <v>10</v>
      </c>
      <c r="M295" s="54" t="s">
        <v>11</v>
      </c>
      <c r="N295" s="55" t="s">
        <v>12</v>
      </c>
      <c r="O295" s="53"/>
      <c r="P295" s="55" t="s">
        <v>13</v>
      </c>
      <c r="Q295" s="56"/>
      <c r="R295" s="57" t="s">
        <v>14</v>
      </c>
      <c r="S295" s="58"/>
      <c r="T295" s="58"/>
      <c r="U295" s="58"/>
      <c r="V295" s="58"/>
    </row>
    <row r="296" spans="1:22" x14ac:dyDescent="0.25">
      <c r="A296" s="43"/>
      <c r="B296" s="64">
        <f>IF(B295="Считыватель вых",B278,IF(B295="Считыватель вх",J296,""))</f>
        <v>0</v>
      </c>
      <c r="C296" s="61"/>
      <c r="D296" s="61"/>
      <c r="E296" s="61"/>
      <c r="F296" s="61"/>
      <c r="G296" s="61"/>
      <c r="H296" s="61"/>
      <c r="I296" s="61"/>
      <c r="J296" s="59" t="s">
        <v>18</v>
      </c>
      <c r="K296" s="61"/>
      <c r="L296" s="61"/>
      <c r="M296" s="61"/>
      <c r="N296" s="61"/>
      <c r="O296" s="61"/>
      <c r="P296" s="61"/>
      <c r="Q296" s="61"/>
      <c r="R296" s="62" t="s">
        <v>15</v>
      </c>
      <c r="S296" s="62"/>
      <c r="T296" s="62"/>
      <c r="U296" s="62"/>
      <c r="V296" s="62"/>
    </row>
    <row r="298" spans="1:22" x14ac:dyDescent="0.25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8.75" x14ac:dyDescent="0.3">
      <c r="E299" s="3" t="s">
        <v>0</v>
      </c>
      <c r="G299" s="4"/>
      <c r="H299" s="4"/>
      <c r="I299" s="4"/>
      <c r="J299" s="4"/>
      <c r="K299" s="4"/>
      <c r="L299" s="4"/>
      <c r="M299" s="5" t="s">
        <v>1</v>
      </c>
      <c r="N299" s="6">
        <f>N281</f>
        <v>0</v>
      </c>
    </row>
    <row r="300" spans="1:22" ht="18.75" x14ac:dyDescent="0.3">
      <c r="E300" s="3" t="s">
        <v>2</v>
      </c>
      <c r="J300" s="7"/>
      <c r="K300" s="7"/>
      <c r="L300" s="7"/>
      <c r="M300" s="5" t="s">
        <v>3</v>
      </c>
      <c r="N300" s="8" t="str">
        <f>N281&amp;".1"</f>
        <v>0.1</v>
      </c>
    </row>
    <row r="301" spans="1:22" ht="18.75" x14ac:dyDescent="0.3">
      <c r="E301" t="s">
        <v>4</v>
      </c>
      <c r="H301" s="4"/>
      <c r="I301" s="4"/>
      <c r="J301" s="4"/>
      <c r="K301" s="4"/>
      <c r="L301" s="4"/>
      <c r="M301" s="9" t="s">
        <v>3</v>
      </c>
      <c r="N301" s="10">
        <f>N283</f>
        <v>0</v>
      </c>
    </row>
    <row r="302" spans="1:22" ht="18.75" x14ac:dyDescent="0.3">
      <c r="E302" t="s">
        <v>5</v>
      </c>
      <c r="L302" s="7"/>
      <c r="M302" s="9" t="s">
        <v>6</v>
      </c>
      <c r="N302" s="11" t="str">
        <f>N284</f>
        <v>-.1</v>
      </c>
      <c r="O302" s="11"/>
    </row>
    <row r="303" spans="1:22" ht="18.75" x14ac:dyDescent="0.3">
      <c r="E303" s="12" t="s">
        <v>7</v>
      </c>
      <c r="I303" s="4"/>
      <c r="J303" s="4"/>
      <c r="K303" s="4"/>
      <c r="L303" s="4"/>
      <c r="M303" s="9" t="s">
        <v>3</v>
      </c>
      <c r="N303" s="10">
        <f>N285+1</f>
        <v>7</v>
      </c>
    </row>
    <row r="304" spans="1:22" ht="15.75" thickBot="1" x14ac:dyDescent="0.3">
      <c r="E304" s="13" t="s">
        <v>8</v>
      </c>
      <c r="F304" s="13"/>
      <c r="G304" s="13"/>
      <c r="H304" s="13"/>
      <c r="I304" s="14"/>
      <c r="J304" s="14"/>
      <c r="K304" s="14"/>
      <c r="L304" s="14"/>
      <c r="M304" s="14" t="s">
        <v>3</v>
      </c>
      <c r="N304" s="15" t="s">
        <v>16</v>
      </c>
      <c r="O304" s="15"/>
    </row>
    <row r="305" spans="1:22" x14ac:dyDescent="0.25">
      <c r="A305" s="16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8"/>
    </row>
    <row r="306" spans="1:22" x14ac:dyDescent="0.25">
      <c r="A306" s="19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1"/>
    </row>
    <row r="307" spans="1:22" x14ac:dyDescent="0.25">
      <c r="A307" s="22"/>
      <c r="B307" s="23" t="s">
        <v>17</v>
      </c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5"/>
      <c r="V307" s="26"/>
    </row>
    <row r="308" spans="1:22" ht="15.75" thickBot="1" x14ac:dyDescent="0.3">
      <c r="A308" s="27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6"/>
    </row>
    <row r="309" spans="1:22" x14ac:dyDescent="0.25">
      <c r="A309" s="27"/>
      <c r="B309" s="29">
        <v>0</v>
      </c>
      <c r="C309" s="30"/>
      <c r="D309" s="30">
        <v>1</v>
      </c>
      <c r="E309" s="30">
        <v>1</v>
      </c>
      <c r="F309" s="30">
        <v>2</v>
      </c>
      <c r="G309" s="30">
        <v>2</v>
      </c>
      <c r="H309" s="30">
        <v>3</v>
      </c>
      <c r="I309" s="31">
        <v>3</v>
      </c>
      <c r="J309" s="29">
        <v>4</v>
      </c>
      <c r="K309" s="30">
        <v>4</v>
      </c>
      <c r="L309" s="30">
        <v>5</v>
      </c>
      <c r="M309" s="30"/>
      <c r="N309" s="30">
        <v>6</v>
      </c>
      <c r="O309" s="30">
        <v>1</v>
      </c>
      <c r="P309" s="30">
        <v>7</v>
      </c>
      <c r="Q309" s="31">
        <v>2</v>
      </c>
      <c r="R309" s="25">
        <v>8</v>
      </c>
      <c r="S309" s="32">
        <v>3</v>
      </c>
      <c r="T309" s="32">
        <v>9</v>
      </c>
      <c r="U309" s="32">
        <v>4</v>
      </c>
      <c r="V309" s="33"/>
    </row>
    <row r="310" spans="1:22" ht="15.75" thickBot="1" x14ac:dyDescent="0.3">
      <c r="A310" s="27"/>
      <c r="B310" s="34"/>
      <c r="C310" s="35"/>
      <c r="D310" s="35"/>
      <c r="E310" s="35"/>
      <c r="F310" s="35"/>
      <c r="G310" s="35"/>
      <c r="H310" s="35"/>
      <c r="I310" s="36"/>
      <c r="J310" s="34"/>
      <c r="K310" s="35"/>
      <c r="L310" s="35"/>
      <c r="M310" s="35"/>
      <c r="N310" s="35"/>
      <c r="O310" s="35"/>
      <c r="P310" s="35"/>
      <c r="Q310" s="36"/>
      <c r="R310" s="37"/>
      <c r="S310" s="20"/>
      <c r="T310" s="20"/>
      <c r="U310" s="20"/>
      <c r="V310" s="33"/>
    </row>
    <row r="311" spans="1:22" ht="15.75" thickBot="1" x14ac:dyDescent="0.3">
      <c r="A311" s="38"/>
      <c r="B311" s="39"/>
      <c r="C311" s="39"/>
      <c r="D311" s="39"/>
      <c r="E311" s="39"/>
      <c r="F311" s="40"/>
      <c r="G311" s="39"/>
      <c r="H311" s="39"/>
      <c r="I311" s="39"/>
      <c r="J311" s="39"/>
      <c r="K311" s="40"/>
      <c r="L311" s="39"/>
      <c r="M311" s="40"/>
      <c r="N311" s="39"/>
      <c r="O311" s="40"/>
      <c r="P311" s="39"/>
      <c r="Q311" s="40"/>
      <c r="R311" s="41"/>
      <c r="S311" s="41"/>
      <c r="T311" s="41"/>
      <c r="U311" s="41"/>
      <c r="V311" s="42"/>
    </row>
    <row r="312" spans="1:22" ht="15.75" thickBot="1" x14ac:dyDescent="0.3">
      <c r="A312" s="43"/>
      <c r="B312" s="43"/>
      <c r="C312" s="43"/>
      <c r="D312" s="43"/>
      <c r="E312" s="43"/>
      <c r="F312" s="44"/>
      <c r="G312" s="43"/>
      <c r="H312" s="43"/>
      <c r="I312" s="43"/>
      <c r="J312" s="43"/>
      <c r="K312" s="44"/>
      <c r="L312" s="43"/>
      <c r="M312" s="44"/>
      <c r="N312" s="43"/>
      <c r="O312" s="44"/>
      <c r="P312" s="43"/>
      <c r="Q312" s="44"/>
      <c r="R312" s="43"/>
      <c r="S312" s="43"/>
      <c r="T312" s="43"/>
      <c r="U312" s="43"/>
      <c r="V312" s="45"/>
    </row>
    <row r="313" spans="1:22" ht="41.25" thickBot="1" x14ac:dyDescent="0.3">
      <c r="A313" s="43"/>
      <c r="B313" s="46" t="str">
        <f>IF(Q313&gt;1,"Считыватель вх",IF(F313&lt;1,"","Считыватель вых"))</f>
        <v>Считыватель вых</v>
      </c>
      <c r="C313" s="47"/>
      <c r="D313" s="48"/>
      <c r="E313" s="48"/>
      <c r="F313" s="49">
        <v>4</v>
      </c>
      <c r="G313" s="49"/>
      <c r="H313" s="50"/>
      <c r="I313" s="51"/>
      <c r="J313" s="52" t="str">
        <f>IF(Q313&gt;1,"замок",IF(K313&gt;1,"замок пож.дв.","замок"))</f>
        <v>замок</v>
      </c>
      <c r="K313" s="53"/>
      <c r="L313" s="54" t="s">
        <v>10</v>
      </c>
      <c r="M313" s="54" t="s">
        <v>11</v>
      </c>
      <c r="N313" s="55" t="s">
        <v>12</v>
      </c>
      <c r="O313" s="53"/>
      <c r="P313" s="55" t="s">
        <v>13</v>
      </c>
      <c r="Q313" s="56"/>
      <c r="R313" s="57" t="s">
        <v>14</v>
      </c>
      <c r="S313" s="58"/>
      <c r="T313" s="58"/>
      <c r="U313" s="58"/>
      <c r="V313" s="58"/>
    </row>
    <row r="314" spans="1:22" x14ac:dyDescent="0.25">
      <c r="A314" s="43"/>
      <c r="B314" s="64">
        <f>IF(B313="Считыватель вых",B296,IF(B313="Считыватель вх",J314,""))</f>
        <v>0</v>
      </c>
      <c r="C314" s="61"/>
      <c r="D314" s="61"/>
      <c r="E314" s="61"/>
      <c r="F314" s="61"/>
      <c r="G314" s="61"/>
      <c r="H314" s="61"/>
      <c r="I314" s="61"/>
      <c r="J314" s="59" t="s">
        <v>18</v>
      </c>
      <c r="K314" s="61"/>
      <c r="L314" s="61"/>
      <c r="M314" s="61"/>
      <c r="N314" s="61"/>
      <c r="O314" s="61"/>
      <c r="P314" s="61"/>
      <c r="Q314" s="61"/>
      <c r="R314" s="62" t="s">
        <v>15</v>
      </c>
      <c r="S314" s="62"/>
      <c r="T314" s="62"/>
      <c r="U314" s="62"/>
      <c r="V314" s="62"/>
    </row>
    <row r="316" spans="1:22" x14ac:dyDescent="0.25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8.75" x14ac:dyDescent="0.3">
      <c r="E317" s="3" t="s">
        <v>0</v>
      </c>
      <c r="G317" s="4"/>
      <c r="H317" s="4"/>
      <c r="I317" s="4"/>
      <c r="J317" s="4"/>
      <c r="K317" s="4"/>
      <c r="L317" s="4"/>
      <c r="M317" s="5" t="s">
        <v>1</v>
      </c>
      <c r="N317" s="6">
        <f>N299</f>
        <v>0</v>
      </c>
    </row>
    <row r="318" spans="1:22" ht="18.75" x14ac:dyDescent="0.3">
      <c r="E318" s="3" t="s">
        <v>2</v>
      </c>
      <c r="J318" s="7"/>
      <c r="K318" s="7"/>
      <c r="L318" s="7"/>
      <c r="M318" s="5" t="s">
        <v>3</v>
      </c>
      <c r="N318" s="8" t="str">
        <f>N299&amp;".1"</f>
        <v>0.1</v>
      </c>
    </row>
    <row r="319" spans="1:22" ht="18.75" x14ac:dyDescent="0.3">
      <c r="E319" t="s">
        <v>4</v>
      </c>
      <c r="H319" s="4"/>
      <c r="I319" s="4"/>
      <c r="J319" s="4"/>
      <c r="K319" s="4"/>
      <c r="L319" s="4"/>
      <c r="M319" s="9" t="s">
        <v>3</v>
      </c>
      <c r="N319" s="10">
        <f>N301</f>
        <v>0</v>
      </c>
    </row>
    <row r="320" spans="1:22" ht="18.75" x14ac:dyDescent="0.3">
      <c r="E320" t="s">
        <v>5</v>
      </c>
      <c r="L320" s="7"/>
      <c r="M320" s="9" t="s">
        <v>6</v>
      </c>
      <c r="N320" s="11" t="str">
        <f>N302</f>
        <v>-.1</v>
      </c>
      <c r="O320" s="11"/>
    </row>
    <row r="321" spans="1:22" ht="18.75" x14ac:dyDescent="0.3">
      <c r="E321" s="12" t="s">
        <v>7</v>
      </c>
      <c r="I321" s="4"/>
      <c r="J321" s="4"/>
      <c r="K321" s="4"/>
      <c r="L321" s="4"/>
      <c r="M321" s="9" t="s">
        <v>3</v>
      </c>
      <c r="N321" s="10">
        <f>N303+1</f>
        <v>8</v>
      </c>
    </row>
    <row r="322" spans="1:22" ht="15.75" thickBot="1" x14ac:dyDescent="0.3">
      <c r="E322" s="13" t="s">
        <v>8</v>
      </c>
      <c r="F322" s="13"/>
      <c r="G322" s="13"/>
      <c r="H322" s="13"/>
      <c r="I322" s="14"/>
      <c r="J322" s="14"/>
      <c r="K322" s="14"/>
      <c r="L322" s="14"/>
      <c r="M322" s="14" t="s">
        <v>3</v>
      </c>
      <c r="N322" s="15" t="s">
        <v>16</v>
      </c>
      <c r="O322" s="15"/>
    </row>
    <row r="323" spans="1:22" x14ac:dyDescent="0.25">
      <c r="A323" s="16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8"/>
    </row>
    <row r="324" spans="1:22" x14ac:dyDescent="0.25">
      <c r="A324" s="19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1"/>
    </row>
    <row r="325" spans="1:22" x14ac:dyDescent="0.25">
      <c r="A325" s="22"/>
      <c r="B325" s="23" t="s">
        <v>17</v>
      </c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5"/>
      <c r="V325" s="26"/>
    </row>
    <row r="326" spans="1:22" ht="15.75" thickBot="1" x14ac:dyDescent="0.3">
      <c r="A326" s="27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6"/>
    </row>
    <row r="327" spans="1:22" x14ac:dyDescent="0.25">
      <c r="A327" s="27"/>
      <c r="B327" s="29">
        <v>0</v>
      </c>
      <c r="C327" s="30"/>
      <c r="D327" s="30">
        <v>1</v>
      </c>
      <c r="E327" s="30">
        <v>1</v>
      </c>
      <c r="F327" s="30">
        <v>2</v>
      </c>
      <c r="G327" s="30">
        <v>2</v>
      </c>
      <c r="H327" s="30">
        <v>3</v>
      </c>
      <c r="I327" s="31">
        <v>3</v>
      </c>
      <c r="J327" s="29">
        <v>4</v>
      </c>
      <c r="K327" s="30">
        <v>4</v>
      </c>
      <c r="L327" s="30">
        <v>5</v>
      </c>
      <c r="M327" s="30"/>
      <c r="N327" s="30">
        <v>6</v>
      </c>
      <c r="O327" s="30">
        <v>1</v>
      </c>
      <c r="P327" s="30">
        <v>7</v>
      </c>
      <c r="Q327" s="31">
        <v>2</v>
      </c>
      <c r="R327" s="25">
        <v>8</v>
      </c>
      <c r="S327" s="32">
        <v>3</v>
      </c>
      <c r="T327" s="32">
        <v>9</v>
      </c>
      <c r="U327" s="32">
        <v>4</v>
      </c>
      <c r="V327" s="33"/>
    </row>
    <row r="328" spans="1:22" ht="15.75" thickBot="1" x14ac:dyDescent="0.3">
      <c r="A328" s="27"/>
      <c r="B328" s="34"/>
      <c r="C328" s="35"/>
      <c r="D328" s="35"/>
      <c r="E328" s="35"/>
      <c r="F328" s="35"/>
      <c r="G328" s="35"/>
      <c r="H328" s="35"/>
      <c r="I328" s="36"/>
      <c r="J328" s="34"/>
      <c r="K328" s="35"/>
      <c r="L328" s="35"/>
      <c r="M328" s="35"/>
      <c r="N328" s="35"/>
      <c r="O328" s="35"/>
      <c r="P328" s="35"/>
      <c r="Q328" s="36"/>
      <c r="R328" s="37"/>
      <c r="S328" s="20"/>
      <c r="T328" s="20"/>
      <c r="U328" s="20"/>
      <c r="V328" s="33"/>
    </row>
    <row r="329" spans="1:22" ht="15.75" thickBot="1" x14ac:dyDescent="0.3">
      <c r="A329" s="38"/>
      <c r="B329" s="39"/>
      <c r="C329" s="39"/>
      <c r="D329" s="39"/>
      <c r="E329" s="39"/>
      <c r="F329" s="40"/>
      <c r="G329" s="39"/>
      <c r="H329" s="39"/>
      <c r="I329" s="39"/>
      <c r="J329" s="39"/>
      <c r="K329" s="40"/>
      <c r="L329" s="39"/>
      <c r="M329" s="40"/>
      <c r="N329" s="39"/>
      <c r="O329" s="40"/>
      <c r="P329" s="39"/>
      <c r="Q329" s="40"/>
      <c r="R329" s="41"/>
      <c r="S329" s="41"/>
      <c r="T329" s="41"/>
      <c r="U329" s="41"/>
      <c r="V329" s="42"/>
    </row>
    <row r="330" spans="1:22" ht="15.75" thickBot="1" x14ac:dyDescent="0.3">
      <c r="A330" s="43"/>
      <c r="B330" s="43"/>
      <c r="C330" s="43"/>
      <c r="D330" s="43"/>
      <c r="E330" s="43"/>
      <c r="F330" s="44"/>
      <c r="G330" s="43"/>
      <c r="H330" s="43"/>
      <c r="I330" s="43"/>
      <c r="J330" s="43"/>
      <c r="K330" s="44"/>
      <c r="L330" s="43"/>
      <c r="M330" s="44"/>
      <c r="N330" s="43"/>
      <c r="O330" s="44"/>
      <c r="P330" s="43"/>
      <c r="Q330" s="44"/>
      <c r="R330" s="43"/>
      <c r="S330" s="43"/>
      <c r="T330" s="43"/>
      <c r="U330" s="43"/>
      <c r="V330" s="45"/>
    </row>
    <row r="331" spans="1:22" ht="41.25" thickBot="1" x14ac:dyDescent="0.3">
      <c r="A331" s="43"/>
      <c r="B331" s="46" t="str">
        <f>IF(Q331&gt;1,"Считыватель вх",IF(F331&lt;1,"","Считыватель вых"))</f>
        <v>Считыватель вых</v>
      </c>
      <c r="C331" s="47"/>
      <c r="D331" s="48"/>
      <c r="E331" s="48"/>
      <c r="F331" s="49">
        <v>4</v>
      </c>
      <c r="G331" s="49"/>
      <c r="H331" s="50"/>
      <c r="I331" s="51"/>
      <c r="J331" s="52" t="str">
        <f>IF(Q331&gt;1,"замок",IF(K331&gt;1,"замок пож.дв.","замок"))</f>
        <v>замок</v>
      </c>
      <c r="K331" s="53"/>
      <c r="L331" s="54" t="s">
        <v>10</v>
      </c>
      <c r="M331" s="54" t="s">
        <v>11</v>
      </c>
      <c r="N331" s="55" t="s">
        <v>12</v>
      </c>
      <c r="O331" s="53"/>
      <c r="P331" s="55" t="s">
        <v>13</v>
      </c>
      <c r="Q331" s="56"/>
      <c r="R331" s="57" t="s">
        <v>14</v>
      </c>
      <c r="S331" s="58"/>
      <c r="T331" s="58"/>
      <c r="U331" s="58"/>
      <c r="V331" s="58"/>
    </row>
    <row r="332" spans="1:22" x14ac:dyDescent="0.25">
      <c r="A332" s="43"/>
      <c r="B332" s="64">
        <f>IF(B331="Считыватель вых",B314,IF(B331="Считыватель вх",J332,""))</f>
        <v>0</v>
      </c>
      <c r="C332" s="61"/>
      <c r="D332" s="61"/>
      <c r="E332" s="61"/>
      <c r="F332" s="61"/>
      <c r="G332" s="61"/>
      <c r="H332" s="61"/>
      <c r="I332" s="61"/>
      <c r="J332" s="59" t="s">
        <v>18</v>
      </c>
      <c r="K332" s="61"/>
      <c r="L332" s="61"/>
      <c r="M332" s="61"/>
      <c r="N332" s="61"/>
      <c r="O332" s="61"/>
      <c r="P332" s="61"/>
      <c r="Q332" s="61"/>
      <c r="R332" s="62" t="s">
        <v>15</v>
      </c>
      <c r="S332" s="62"/>
      <c r="T332" s="62"/>
      <c r="U332" s="62"/>
      <c r="V332" s="62"/>
    </row>
    <row r="334" spans="1:22" x14ac:dyDescent="0.25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8.75" x14ac:dyDescent="0.3">
      <c r="E335" s="3" t="s">
        <v>0</v>
      </c>
      <c r="G335" s="4"/>
      <c r="H335" s="4"/>
      <c r="I335" s="4"/>
      <c r="J335" s="4"/>
      <c r="K335" s="4"/>
      <c r="L335" s="4"/>
      <c r="M335" s="5" t="s">
        <v>1</v>
      </c>
      <c r="N335" s="6">
        <f>N317</f>
        <v>0</v>
      </c>
    </row>
    <row r="336" spans="1:22" ht="18.75" x14ac:dyDescent="0.3">
      <c r="E336" s="3" t="s">
        <v>2</v>
      </c>
      <c r="J336" s="7"/>
      <c r="K336" s="7"/>
      <c r="L336" s="7"/>
      <c r="M336" s="5" t="s">
        <v>3</v>
      </c>
      <c r="N336" s="8" t="str">
        <f>N317&amp;".1"</f>
        <v>0.1</v>
      </c>
    </row>
    <row r="337" spans="1:22" ht="18.75" x14ac:dyDescent="0.3">
      <c r="E337" t="s">
        <v>4</v>
      </c>
      <c r="H337" s="4"/>
      <c r="I337" s="4"/>
      <c r="J337" s="4"/>
      <c r="K337" s="4"/>
      <c r="L337" s="4"/>
      <c r="M337" s="9" t="s">
        <v>3</v>
      </c>
      <c r="N337" s="10">
        <f>N319</f>
        <v>0</v>
      </c>
    </row>
    <row r="338" spans="1:22" ht="18.75" x14ac:dyDescent="0.3">
      <c r="E338" t="s">
        <v>5</v>
      </c>
      <c r="L338" s="7"/>
      <c r="M338" s="9" t="s">
        <v>6</v>
      </c>
      <c r="N338" s="11" t="str">
        <f>N320</f>
        <v>-.1</v>
      </c>
      <c r="O338" s="11"/>
    </row>
    <row r="339" spans="1:22" ht="18.75" x14ac:dyDescent="0.3">
      <c r="E339" s="12" t="s">
        <v>7</v>
      </c>
      <c r="I339" s="4"/>
      <c r="J339" s="4"/>
      <c r="K339" s="4"/>
      <c r="L339" s="4"/>
      <c r="M339" s="9" t="s">
        <v>3</v>
      </c>
      <c r="N339" s="10">
        <f>N321+1</f>
        <v>9</v>
      </c>
    </row>
    <row r="340" spans="1:22" ht="15.75" thickBot="1" x14ac:dyDescent="0.3">
      <c r="E340" s="13" t="s">
        <v>8</v>
      </c>
      <c r="F340" s="13"/>
      <c r="G340" s="13"/>
      <c r="H340" s="13"/>
      <c r="I340" s="14"/>
      <c r="J340" s="14"/>
      <c r="K340" s="14"/>
      <c r="L340" s="14"/>
      <c r="M340" s="14" t="s">
        <v>3</v>
      </c>
      <c r="N340" s="15" t="s">
        <v>16</v>
      </c>
      <c r="O340" s="15"/>
    </row>
    <row r="341" spans="1:22" x14ac:dyDescent="0.25">
      <c r="A341" s="16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8"/>
    </row>
    <row r="342" spans="1:22" x14ac:dyDescent="0.25">
      <c r="A342" s="19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1"/>
    </row>
    <row r="343" spans="1:22" x14ac:dyDescent="0.25">
      <c r="A343" s="22"/>
      <c r="B343" s="23" t="s">
        <v>17</v>
      </c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5"/>
      <c r="V343" s="26"/>
    </row>
    <row r="344" spans="1:22" ht="15.75" thickBot="1" x14ac:dyDescent="0.3">
      <c r="A344" s="27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6"/>
    </row>
    <row r="345" spans="1:22" x14ac:dyDescent="0.25">
      <c r="A345" s="27"/>
      <c r="B345" s="29">
        <v>0</v>
      </c>
      <c r="C345" s="30"/>
      <c r="D345" s="30">
        <v>1</v>
      </c>
      <c r="E345" s="30">
        <v>1</v>
      </c>
      <c r="F345" s="30">
        <v>2</v>
      </c>
      <c r="G345" s="30">
        <v>2</v>
      </c>
      <c r="H345" s="30">
        <v>3</v>
      </c>
      <c r="I345" s="31">
        <v>3</v>
      </c>
      <c r="J345" s="29">
        <v>4</v>
      </c>
      <c r="K345" s="30">
        <v>4</v>
      </c>
      <c r="L345" s="30">
        <v>5</v>
      </c>
      <c r="M345" s="30"/>
      <c r="N345" s="30">
        <v>6</v>
      </c>
      <c r="O345" s="30">
        <v>1</v>
      </c>
      <c r="P345" s="30">
        <v>7</v>
      </c>
      <c r="Q345" s="31">
        <v>2</v>
      </c>
      <c r="R345" s="25">
        <v>8</v>
      </c>
      <c r="S345" s="32">
        <v>3</v>
      </c>
      <c r="T345" s="32">
        <v>9</v>
      </c>
      <c r="U345" s="32">
        <v>4</v>
      </c>
      <c r="V345" s="33"/>
    </row>
    <row r="346" spans="1:22" ht="15.75" thickBot="1" x14ac:dyDescent="0.3">
      <c r="A346" s="27"/>
      <c r="B346" s="34"/>
      <c r="C346" s="35"/>
      <c r="D346" s="35"/>
      <c r="E346" s="35"/>
      <c r="F346" s="35"/>
      <c r="G346" s="35"/>
      <c r="H346" s="35"/>
      <c r="I346" s="36"/>
      <c r="J346" s="34"/>
      <c r="K346" s="35"/>
      <c r="L346" s="35"/>
      <c r="M346" s="35"/>
      <c r="N346" s="35"/>
      <c r="O346" s="35"/>
      <c r="P346" s="35"/>
      <c r="Q346" s="36"/>
      <c r="R346" s="37"/>
      <c r="S346" s="20"/>
      <c r="T346" s="20"/>
      <c r="U346" s="20"/>
      <c r="V346" s="33"/>
    </row>
    <row r="347" spans="1:22" ht="15.75" thickBot="1" x14ac:dyDescent="0.3">
      <c r="A347" s="38"/>
      <c r="B347" s="39"/>
      <c r="C347" s="39"/>
      <c r="D347" s="39"/>
      <c r="E347" s="39"/>
      <c r="F347" s="40"/>
      <c r="G347" s="39"/>
      <c r="H347" s="39"/>
      <c r="I347" s="39"/>
      <c r="J347" s="39"/>
      <c r="K347" s="40"/>
      <c r="L347" s="39"/>
      <c r="M347" s="40"/>
      <c r="N347" s="39"/>
      <c r="O347" s="40"/>
      <c r="P347" s="39"/>
      <c r="Q347" s="40"/>
      <c r="R347" s="41"/>
      <c r="S347" s="41"/>
      <c r="T347" s="41"/>
      <c r="U347" s="41"/>
      <c r="V347" s="42"/>
    </row>
    <row r="348" spans="1:22" ht="15.75" thickBot="1" x14ac:dyDescent="0.3">
      <c r="A348" s="43"/>
      <c r="B348" s="43"/>
      <c r="C348" s="43"/>
      <c r="D348" s="43"/>
      <c r="E348" s="43"/>
      <c r="F348" s="44"/>
      <c r="G348" s="43"/>
      <c r="H348" s="43"/>
      <c r="I348" s="43"/>
      <c r="J348" s="43"/>
      <c r="K348" s="44"/>
      <c r="L348" s="43"/>
      <c r="M348" s="44"/>
      <c r="N348" s="43"/>
      <c r="O348" s="44"/>
      <c r="P348" s="43"/>
      <c r="Q348" s="44"/>
      <c r="R348" s="43"/>
      <c r="S348" s="43"/>
      <c r="T348" s="43"/>
      <c r="U348" s="43"/>
      <c r="V348" s="45"/>
    </row>
    <row r="349" spans="1:22" ht="41.25" thickBot="1" x14ac:dyDescent="0.3">
      <c r="A349" s="43"/>
      <c r="B349" s="46" t="str">
        <f>IF(Q349&gt;1,"Считыватель вх",IF(F349&lt;1,"","Считыватель вых"))</f>
        <v>Считыватель вых</v>
      </c>
      <c r="C349" s="47"/>
      <c r="D349" s="48"/>
      <c r="E349" s="48"/>
      <c r="F349" s="49">
        <v>4</v>
      </c>
      <c r="G349" s="49"/>
      <c r="H349" s="50"/>
      <c r="I349" s="51"/>
      <c r="J349" s="52" t="str">
        <f>IF(Q349&gt;1,"замок",IF(K349&gt;1,"замок пож.дв.","замок"))</f>
        <v>замок</v>
      </c>
      <c r="K349" s="53"/>
      <c r="L349" s="54" t="s">
        <v>10</v>
      </c>
      <c r="M349" s="54" t="s">
        <v>11</v>
      </c>
      <c r="N349" s="55" t="s">
        <v>12</v>
      </c>
      <c r="O349" s="53"/>
      <c r="P349" s="55" t="s">
        <v>13</v>
      </c>
      <c r="Q349" s="56"/>
      <c r="R349" s="57" t="s">
        <v>14</v>
      </c>
      <c r="S349" s="58"/>
      <c r="T349" s="58"/>
      <c r="U349" s="58"/>
      <c r="V349" s="58"/>
    </row>
    <row r="350" spans="1:22" x14ac:dyDescent="0.25">
      <c r="A350" s="43"/>
      <c r="B350" s="64">
        <f>IF(B349="Считыватель вых",B332,IF(B349="Считыватель вх",J350,""))</f>
        <v>0</v>
      </c>
      <c r="C350" s="61"/>
      <c r="D350" s="61"/>
      <c r="E350" s="61"/>
      <c r="F350" s="61"/>
      <c r="G350" s="61"/>
      <c r="H350" s="61"/>
      <c r="I350" s="61"/>
      <c r="J350" s="59" t="s">
        <v>18</v>
      </c>
      <c r="K350" s="61"/>
      <c r="L350" s="61"/>
      <c r="M350" s="61"/>
      <c r="N350" s="61"/>
      <c r="O350" s="61"/>
      <c r="P350" s="61"/>
      <c r="Q350" s="61"/>
      <c r="R350" s="62" t="s">
        <v>15</v>
      </c>
      <c r="S350" s="62"/>
      <c r="T350" s="62"/>
      <c r="U350" s="62"/>
      <c r="V350" s="62"/>
    </row>
    <row r="352" spans="1:22" x14ac:dyDescent="0.25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8.75" x14ac:dyDescent="0.3">
      <c r="E353" s="3" t="s">
        <v>0</v>
      </c>
      <c r="G353" s="4"/>
      <c r="H353" s="4"/>
      <c r="I353" s="4"/>
      <c r="J353" s="4"/>
      <c r="K353" s="4"/>
      <c r="L353" s="4"/>
      <c r="M353" s="5" t="s">
        <v>1</v>
      </c>
      <c r="N353" s="6">
        <f>N335</f>
        <v>0</v>
      </c>
    </row>
    <row r="354" spans="1:22" ht="18.75" x14ac:dyDescent="0.3">
      <c r="E354" s="3" t="s">
        <v>2</v>
      </c>
      <c r="J354" s="7"/>
      <c r="K354" s="7"/>
      <c r="L354" s="7"/>
      <c r="M354" s="5" t="s">
        <v>3</v>
      </c>
      <c r="N354" s="8" t="str">
        <f>N335&amp;".1"</f>
        <v>0.1</v>
      </c>
    </row>
    <row r="355" spans="1:22" ht="18.75" x14ac:dyDescent="0.3">
      <c r="E355" t="s">
        <v>4</v>
      </c>
      <c r="H355" s="4"/>
      <c r="I355" s="4"/>
      <c r="J355" s="4"/>
      <c r="K355" s="4"/>
      <c r="L355" s="4"/>
      <c r="M355" s="9" t="s">
        <v>3</v>
      </c>
      <c r="N355" s="10">
        <f>N337</f>
        <v>0</v>
      </c>
    </row>
    <row r="356" spans="1:22" ht="18.75" x14ac:dyDescent="0.3">
      <c r="E356" t="s">
        <v>5</v>
      </c>
      <c r="L356" s="7"/>
      <c r="M356" s="9" t="s">
        <v>6</v>
      </c>
      <c r="N356" s="11" t="str">
        <f>N338</f>
        <v>-.1</v>
      </c>
      <c r="O356" s="11"/>
    </row>
    <row r="357" spans="1:22" ht="18.75" x14ac:dyDescent="0.3">
      <c r="E357" s="12" t="s">
        <v>7</v>
      </c>
      <c r="I357" s="4"/>
      <c r="J357" s="4"/>
      <c r="K357" s="4"/>
      <c r="L357" s="4"/>
      <c r="M357" s="9" t="s">
        <v>3</v>
      </c>
      <c r="N357" s="10">
        <f>N339+1</f>
        <v>10</v>
      </c>
    </row>
    <row r="358" spans="1:22" ht="15.75" thickBot="1" x14ac:dyDescent="0.3">
      <c r="E358" s="13" t="s">
        <v>8</v>
      </c>
      <c r="F358" s="13"/>
      <c r="G358" s="13"/>
      <c r="H358" s="13"/>
      <c r="I358" s="14"/>
      <c r="J358" s="14"/>
      <c r="K358" s="14"/>
      <c r="L358" s="14"/>
      <c r="M358" s="14" t="s">
        <v>3</v>
      </c>
      <c r="N358" s="15" t="s">
        <v>16</v>
      </c>
      <c r="O358" s="15"/>
    </row>
    <row r="359" spans="1:22" x14ac:dyDescent="0.25">
      <c r="A359" s="16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8"/>
    </row>
    <row r="360" spans="1:22" x14ac:dyDescent="0.25">
      <c r="A360" s="19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1"/>
    </row>
    <row r="361" spans="1:22" x14ac:dyDescent="0.25">
      <c r="A361" s="22"/>
      <c r="B361" s="23" t="s">
        <v>17</v>
      </c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5"/>
      <c r="V361" s="26"/>
    </row>
    <row r="362" spans="1:22" ht="15.75" thickBot="1" x14ac:dyDescent="0.3">
      <c r="A362" s="27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6"/>
    </row>
    <row r="363" spans="1:22" x14ac:dyDescent="0.25">
      <c r="A363" s="27"/>
      <c r="B363" s="29">
        <v>0</v>
      </c>
      <c r="C363" s="30"/>
      <c r="D363" s="30">
        <v>1</v>
      </c>
      <c r="E363" s="30">
        <v>1</v>
      </c>
      <c r="F363" s="30">
        <v>2</v>
      </c>
      <c r="G363" s="30">
        <v>2</v>
      </c>
      <c r="H363" s="30">
        <v>3</v>
      </c>
      <c r="I363" s="31">
        <v>3</v>
      </c>
      <c r="J363" s="29">
        <v>4</v>
      </c>
      <c r="K363" s="30">
        <v>4</v>
      </c>
      <c r="L363" s="30">
        <v>5</v>
      </c>
      <c r="M363" s="30"/>
      <c r="N363" s="30">
        <v>6</v>
      </c>
      <c r="O363" s="30">
        <v>1</v>
      </c>
      <c r="P363" s="30">
        <v>7</v>
      </c>
      <c r="Q363" s="31">
        <v>2</v>
      </c>
      <c r="R363" s="25">
        <v>8</v>
      </c>
      <c r="S363" s="32">
        <v>3</v>
      </c>
      <c r="T363" s="32">
        <v>9</v>
      </c>
      <c r="U363" s="32">
        <v>4</v>
      </c>
      <c r="V363" s="33"/>
    </row>
    <row r="364" spans="1:22" ht="15.75" thickBot="1" x14ac:dyDescent="0.3">
      <c r="A364" s="27"/>
      <c r="B364" s="34"/>
      <c r="C364" s="35"/>
      <c r="D364" s="35"/>
      <c r="E364" s="35"/>
      <c r="F364" s="35"/>
      <c r="G364" s="35"/>
      <c r="H364" s="35"/>
      <c r="I364" s="36"/>
      <c r="J364" s="34"/>
      <c r="K364" s="35"/>
      <c r="L364" s="35"/>
      <c r="M364" s="35"/>
      <c r="N364" s="35"/>
      <c r="O364" s="35"/>
      <c r="P364" s="35"/>
      <c r="Q364" s="36"/>
      <c r="R364" s="37"/>
      <c r="S364" s="20"/>
      <c r="T364" s="20"/>
      <c r="U364" s="20"/>
      <c r="V364" s="33"/>
    </row>
    <row r="365" spans="1:22" ht="15.75" thickBot="1" x14ac:dyDescent="0.3">
      <c r="A365" s="38"/>
      <c r="B365" s="39"/>
      <c r="C365" s="39"/>
      <c r="D365" s="39"/>
      <c r="E365" s="39"/>
      <c r="F365" s="40"/>
      <c r="G365" s="39"/>
      <c r="H365" s="39"/>
      <c r="I365" s="39"/>
      <c r="J365" s="39"/>
      <c r="K365" s="40"/>
      <c r="L365" s="39"/>
      <c r="M365" s="40"/>
      <c r="N365" s="39"/>
      <c r="O365" s="40"/>
      <c r="P365" s="39"/>
      <c r="Q365" s="40"/>
      <c r="R365" s="41"/>
      <c r="S365" s="41"/>
      <c r="T365" s="41"/>
      <c r="U365" s="41"/>
      <c r="V365" s="42"/>
    </row>
    <row r="366" spans="1:22" ht="15.75" thickBot="1" x14ac:dyDescent="0.3">
      <c r="A366" s="43"/>
      <c r="B366" s="43"/>
      <c r="C366" s="43"/>
      <c r="D366" s="43"/>
      <c r="E366" s="43"/>
      <c r="F366" s="44"/>
      <c r="G366" s="43"/>
      <c r="H366" s="43"/>
      <c r="I366" s="43"/>
      <c r="J366" s="43"/>
      <c r="K366" s="44"/>
      <c r="L366" s="43"/>
      <c r="M366" s="44"/>
      <c r="N366" s="43"/>
      <c r="O366" s="44"/>
      <c r="P366" s="43"/>
      <c r="Q366" s="44"/>
      <c r="R366" s="43"/>
      <c r="S366" s="43"/>
      <c r="T366" s="43"/>
      <c r="U366" s="43"/>
      <c r="V366" s="45"/>
    </row>
    <row r="367" spans="1:22" ht="41.25" thickBot="1" x14ac:dyDescent="0.3">
      <c r="A367" s="43"/>
      <c r="B367" s="46" t="str">
        <f>IF(Q367&gt;1,"Считыватель вх",IF(F367&lt;1,"","Считыватель вых"))</f>
        <v>Считыватель вых</v>
      </c>
      <c r="C367" s="47"/>
      <c r="D367" s="48"/>
      <c r="E367" s="48"/>
      <c r="F367" s="49">
        <v>4</v>
      </c>
      <c r="G367" s="49"/>
      <c r="H367" s="50"/>
      <c r="I367" s="51"/>
      <c r="J367" s="52" t="str">
        <f>IF(Q367&gt;1,"замок",IF(K367&gt;1,"замок пож.дв.","замок"))</f>
        <v>замок</v>
      </c>
      <c r="K367" s="53"/>
      <c r="L367" s="54" t="s">
        <v>10</v>
      </c>
      <c r="M367" s="54" t="s">
        <v>11</v>
      </c>
      <c r="N367" s="55" t="s">
        <v>12</v>
      </c>
      <c r="O367" s="53"/>
      <c r="P367" s="55" t="s">
        <v>13</v>
      </c>
      <c r="Q367" s="56"/>
      <c r="R367" s="57" t="s">
        <v>14</v>
      </c>
      <c r="S367" s="58"/>
      <c r="T367" s="58"/>
      <c r="U367" s="58"/>
      <c r="V367" s="58"/>
    </row>
    <row r="368" spans="1:22" x14ac:dyDescent="0.25">
      <c r="A368" s="43"/>
      <c r="B368" s="64">
        <f>IF(B367="Считыватель вых",B350,IF(B367="Считыватель вх",J368,""))</f>
        <v>0</v>
      </c>
      <c r="C368" s="61"/>
      <c r="D368" s="61"/>
      <c r="E368" s="61"/>
      <c r="F368" s="61"/>
      <c r="G368" s="61"/>
      <c r="H368" s="61"/>
      <c r="I368" s="61"/>
      <c r="J368" s="59" t="s">
        <v>18</v>
      </c>
      <c r="K368" s="61"/>
      <c r="L368" s="61"/>
      <c r="M368" s="61"/>
      <c r="N368" s="61"/>
      <c r="O368" s="61"/>
      <c r="P368" s="61"/>
      <c r="Q368" s="61"/>
      <c r="R368" s="62" t="s">
        <v>15</v>
      </c>
      <c r="S368" s="62"/>
      <c r="T368" s="62"/>
      <c r="U368" s="62"/>
      <c r="V368" s="62"/>
    </row>
    <row r="370" spans="1:22" x14ac:dyDescent="0.25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8.75" x14ac:dyDescent="0.3">
      <c r="E371" s="3" t="s">
        <v>0</v>
      </c>
      <c r="G371" s="4"/>
      <c r="H371" s="4"/>
      <c r="I371" s="4"/>
      <c r="J371" s="4"/>
      <c r="K371" s="4"/>
      <c r="L371" s="4"/>
      <c r="M371" s="5" t="s">
        <v>1</v>
      </c>
      <c r="N371" s="6">
        <f>N353</f>
        <v>0</v>
      </c>
    </row>
    <row r="372" spans="1:22" ht="18.75" x14ac:dyDescent="0.3">
      <c r="E372" s="3" t="s">
        <v>2</v>
      </c>
      <c r="J372" s="7"/>
      <c r="K372" s="7"/>
      <c r="L372" s="7"/>
      <c r="M372" s="5" t="s">
        <v>3</v>
      </c>
      <c r="N372" s="8" t="str">
        <f>N353&amp;".1"</f>
        <v>0.1</v>
      </c>
    </row>
    <row r="373" spans="1:22" ht="18.75" x14ac:dyDescent="0.3">
      <c r="E373" t="s">
        <v>4</v>
      </c>
      <c r="H373" s="4"/>
      <c r="I373" s="4"/>
      <c r="J373" s="4"/>
      <c r="K373" s="4"/>
      <c r="L373" s="4"/>
      <c r="M373" s="9" t="s">
        <v>3</v>
      </c>
      <c r="N373" s="10">
        <f>N355</f>
        <v>0</v>
      </c>
    </row>
    <row r="374" spans="1:22" ht="18.75" x14ac:dyDescent="0.3">
      <c r="E374" t="s">
        <v>5</v>
      </c>
      <c r="L374" s="7"/>
      <c r="M374" s="9" t="s">
        <v>6</v>
      </c>
      <c r="N374" s="11" t="str">
        <f>N356</f>
        <v>-.1</v>
      </c>
      <c r="O374" s="11"/>
    </row>
    <row r="375" spans="1:22" ht="18.75" x14ac:dyDescent="0.3">
      <c r="E375" s="12" t="s">
        <v>7</v>
      </c>
      <c r="I375" s="4"/>
      <c r="J375" s="4"/>
      <c r="K375" s="4"/>
      <c r="L375" s="4"/>
      <c r="M375" s="9" t="s">
        <v>3</v>
      </c>
      <c r="N375" s="10">
        <f>N357+1</f>
        <v>11</v>
      </c>
    </row>
    <row r="376" spans="1:22" ht="15.75" thickBot="1" x14ac:dyDescent="0.3">
      <c r="E376" s="13" t="s">
        <v>8</v>
      </c>
      <c r="F376" s="13"/>
      <c r="G376" s="13"/>
      <c r="H376" s="13"/>
      <c r="I376" s="14"/>
      <c r="J376" s="14"/>
      <c r="K376" s="14"/>
      <c r="L376" s="14"/>
      <c r="M376" s="14" t="s">
        <v>3</v>
      </c>
      <c r="N376" s="15" t="s">
        <v>16</v>
      </c>
      <c r="O376" s="15"/>
    </row>
    <row r="377" spans="1:22" x14ac:dyDescent="0.25">
      <c r="A377" s="16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8"/>
    </row>
    <row r="378" spans="1:22" x14ac:dyDescent="0.25">
      <c r="A378" s="19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1"/>
    </row>
    <row r="379" spans="1:22" x14ac:dyDescent="0.25">
      <c r="A379" s="22"/>
      <c r="B379" s="23" t="s">
        <v>17</v>
      </c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5"/>
      <c r="V379" s="26"/>
    </row>
    <row r="380" spans="1:22" ht="15.75" thickBot="1" x14ac:dyDescent="0.3">
      <c r="A380" s="27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6"/>
    </row>
    <row r="381" spans="1:22" x14ac:dyDescent="0.25">
      <c r="A381" s="27"/>
      <c r="B381" s="29">
        <v>0</v>
      </c>
      <c r="C381" s="30"/>
      <c r="D381" s="30">
        <v>1</v>
      </c>
      <c r="E381" s="30">
        <v>1</v>
      </c>
      <c r="F381" s="30">
        <v>2</v>
      </c>
      <c r="G381" s="30">
        <v>2</v>
      </c>
      <c r="H381" s="30">
        <v>3</v>
      </c>
      <c r="I381" s="31">
        <v>3</v>
      </c>
      <c r="J381" s="29">
        <v>4</v>
      </c>
      <c r="K381" s="30">
        <v>4</v>
      </c>
      <c r="L381" s="30">
        <v>5</v>
      </c>
      <c r="M381" s="30"/>
      <c r="N381" s="30">
        <v>6</v>
      </c>
      <c r="O381" s="30">
        <v>1</v>
      </c>
      <c r="P381" s="30">
        <v>7</v>
      </c>
      <c r="Q381" s="31">
        <v>2</v>
      </c>
      <c r="R381" s="25">
        <v>8</v>
      </c>
      <c r="S381" s="32">
        <v>3</v>
      </c>
      <c r="T381" s="32">
        <v>9</v>
      </c>
      <c r="U381" s="32">
        <v>4</v>
      </c>
      <c r="V381" s="33"/>
    </row>
    <row r="382" spans="1:22" ht="15.75" thickBot="1" x14ac:dyDescent="0.3">
      <c r="A382" s="27"/>
      <c r="B382" s="34"/>
      <c r="C382" s="35"/>
      <c r="D382" s="35"/>
      <c r="E382" s="35"/>
      <c r="F382" s="35"/>
      <c r="G382" s="35"/>
      <c r="H382" s="35"/>
      <c r="I382" s="36"/>
      <c r="J382" s="34"/>
      <c r="K382" s="35"/>
      <c r="L382" s="35"/>
      <c r="M382" s="35"/>
      <c r="N382" s="35"/>
      <c r="O382" s="35"/>
      <c r="P382" s="35"/>
      <c r="Q382" s="36"/>
      <c r="R382" s="37"/>
      <c r="S382" s="20"/>
      <c r="T382" s="20"/>
      <c r="U382" s="20"/>
      <c r="V382" s="33"/>
    </row>
    <row r="383" spans="1:22" ht="15.75" thickBot="1" x14ac:dyDescent="0.3">
      <c r="A383" s="38"/>
      <c r="B383" s="39"/>
      <c r="C383" s="39"/>
      <c r="D383" s="39"/>
      <c r="E383" s="39"/>
      <c r="F383" s="40"/>
      <c r="G383" s="39"/>
      <c r="H383" s="39"/>
      <c r="I383" s="39"/>
      <c r="J383" s="39"/>
      <c r="K383" s="40"/>
      <c r="L383" s="39"/>
      <c r="M383" s="40"/>
      <c r="N383" s="39"/>
      <c r="O383" s="40"/>
      <c r="P383" s="39"/>
      <c r="Q383" s="40"/>
      <c r="R383" s="41"/>
      <c r="S383" s="41"/>
      <c r="T383" s="41"/>
      <c r="U383" s="41"/>
      <c r="V383" s="42"/>
    </row>
    <row r="384" spans="1:22" ht="15.75" thickBot="1" x14ac:dyDescent="0.3">
      <c r="A384" s="43"/>
      <c r="B384" s="43"/>
      <c r="C384" s="43"/>
      <c r="D384" s="43"/>
      <c r="E384" s="43"/>
      <c r="F384" s="44"/>
      <c r="G384" s="43"/>
      <c r="H384" s="43"/>
      <c r="I384" s="43"/>
      <c r="J384" s="43"/>
      <c r="K384" s="44"/>
      <c r="L384" s="43"/>
      <c r="M384" s="44"/>
      <c r="N384" s="43"/>
      <c r="O384" s="44"/>
      <c r="P384" s="43"/>
      <c r="Q384" s="44"/>
      <c r="R384" s="43"/>
      <c r="S384" s="43"/>
      <c r="T384" s="43"/>
      <c r="U384" s="43"/>
      <c r="V384" s="45"/>
    </row>
    <row r="385" spans="1:22" ht="41.25" thickBot="1" x14ac:dyDescent="0.3">
      <c r="A385" s="43"/>
      <c r="B385" s="46" t="str">
        <f>IF(Q385&gt;1,"Считыватель вх",IF(F385&lt;1,"","Считыватель вых"))</f>
        <v>Считыватель вых</v>
      </c>
      <c r="C385" s="47"/>
      <c r="D385" s="48"/>
      <c r="E385" s="48"/>
      <c r="F385" s="49">
        <v>4</v>
      </c>
      <c r="G385" s="49"/>
      <c r="H385" s="50"/>
      <c r="I385" s="51"/>
      <c r="J385" s="52" t="str">
        <f>IF(Q385&gt;1,"замок",IF(K385&gt;1,"замок пож.дв.","замок"))</f>
        <v>замок</v>
      </c>
      <c r="K385" s="53"/>
      <c r="L385" s="54" t="s">
        <v>10</v>
      </c>
      <c r="M385" s="54" t="s">
        <v>11</v>
      </c>
      <c r="N385" s="55" t="s">
        <v>12</v>
      </c>
      <c r="O385" s="53"/>
      <c r="P385" s="55" t="s">
        <v>13</v>
      </c>
      <c r="Q385" s="56"/>
      <c r="R385" s="57" t="s">
        <v>14</v>
      </c>
      <c r="S385" s="58"/>
      <c r="T385" s="58"/>
      <c r="U385" s="58"/>
      <c r="V385" s="58"/>
    </row>
    <row r="386" spans="1:22" x14ac:dyDescent="0.25">
      <c r="A386" s="43"/>
      <c r="B386" s="64">
        <f>IF(B385="Считыватель вых",B368,IF(B385="Считыватель вх",J386,""))</f>
        <v>0</v>
      </c>
      <c r="C386" s="61"/>
      <c r="D386" s="61"/>
      <c r="E386" s="61"/>
      <c r="F386" s="61"/>
      <c r="G386" s="61"/>
      <c r="H386" s="61"/>
      <c r="I386" s="61"/>
      <c r="J386" s="59" t="s">
        <v>18</v>
      </c>
      <c r="K386" s="61"/>
      <c r="L386" s="61"/>
      <c r="M386" s="61"/>
      <c r="N386" s="61"/>
      <c r="O386" s="61"/>
      <c r="P386" s="61"/>
      <c r="Q386" s="61"/>
      <c r="R386" s="62" t="s">
        <v>15</v>
      </c>
      <c r="S386" s="62"/>
      <c r="T386" s="62"/>
      <c r="U386" s="62"/>
      <c r="V386" s="62"/>
    </row>
    <row r="388" spans="1:22" x14ac:dyDescent="0.25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</sheetData>
  <mergeCells count="600">
    <mergeCell ref="B386:I386"/>
    <mergeCell ref="J386:Q386"/>
    <mergeCell ref="R386:V386"/>
    <mergeCell ref="N381:O381"/>
    <mergeCell ref="P381:Q381"/>
    <mergeCell ref="R381:S381"/>
    <mergeCell ref="T381:U381"/>
    <mergeCell ref="B385:E385"/>
    <mergeCell ref="F385:I385"/>
    <mergeCell ref="R385:V385"/>
    <mergeCell ref="N380:O380"/>
    <mergeCell ref="P380:Q380"/>
    <mergeCell ref="R380:S380"/>
    <mergeCell ref="T380:U380"/>
    <mergeCell ref="B381:C381"/>
    <mergeCell ref="D381:E381"/>
    <mergeCell ref="F381:G381"/>
    <mergeCell ref="H381:I381"/>
    <mergeCell ref="J381:K381"/>
    <mergeCell ref="L381:M381"/>
    <mergeCell ref="N374:O374"/>
    <mergeCell ref="E376:H376"/>
    <mergeCell ref="N376:O376"/>
    <mergeCell ref="B379:U379"/>
    <mergeCell ref="B380:C380"/>
    <mergeCell ref="D380:E380"/>
    <mergeCell ref="F380:G380"/>
    <mergeCell ref="H380:I380"/>
    <mergeCell ref="J380:K380"/>
    <mergeCell ref="L380:M380"/>
    <mergeCell ref="T363:U363"/>
    <mergeCell ref="B367:E367"/>
    <mergeCell ref="F367:I367"/>
    <mergeCell ref="R367:V367"/>
    <mergeCell ref="B368:I368"/>
    <mergeCell ref="J368:Q368"/>
    <mergeCell ref="R368:V368"/>
    <mergeCell ref="T362:U362"/>
    <mergeCell ref="B363:C363"/>
    <mergeCell ref="D363:E363"/>
    <mergeCell ref="F363:G363"/>
    <mergeCell ref="H363:I363"/>
    <mergeCell ref="J363:K363"/>
    <mergeCell ref="L363:M363"/>
    <mergeCell ref="N363:O363"/>
    <mergeCell ref="P363:Q363"/>
    <mergeCell ref="R363:S363"/>
    <mergeCell ref="B361:U361"/>
    <mergeCell ref="B362:C362"/>
    <mergeCell ref="D362:E362"/>
    <mergeCell ref="F362:G362"/>
    <mergeCell ref="H362:I362"/>
    <mergeCell ref="J362:K362"/>
    <mergeCell ref="L362:M362"/>
    <mergeCell ref="N362:O362"/>
    <mergeCell ref="P362:Q362"/>
    <mergeCell ref="R362:S362"/>
    <mergeCell ref="B350:I350"/>
    <mergeCell ref="J350:Q350"/>
    <mergeCell ref="R350:V350"/>
    <mergeCell ref="N356:O356"/>
    <mergeCell ref="E358:H358"/>
    <mergeCell ref="N358:O358"/>
    <mergeCell ref="N345:O345"/>
    <mergeCell ref="P345:Q345"/>
    <mergeCell ref="R345:S345"/>
    <mergeCell ref="T345:U345"/>
    <mergeCell ref="B349:E349"/>
    <mergeCell ref="F349:I349"/>
    <mergeCell ref="R349:V349"/>
    <mergeCell ref="N344:O344"/>
    <mergeCell ref="P344:Q344"/>
    <mergeCell ref="R344:S344"/>
    <mergeCell ref="T344:U344"/>
    <mergeCell ref="B345:C345"/>
    <mergeCell ref="D345:E345"/>
    <mergeCell ref="F345:G345"/>
    <mergeCell ref="H345:I345"/>
    <mergeCell ref="J345:K345"/>
    <mergeCell ref="L345:M345"/>
    <mergeCell ref="N338:O338"/>
    <mergeCell ref="E340:H340"/>
    <mergeCell ref="N340:O340"/>
    <mergeCell ref="B343:U343"/>
    <mergeCell ref="B344:C344"/>
    <mergeCell ref="D344:E344"/>
    <mergeCell ref="F344:G344"/>
    <mergeCell ref="H344:I344"/>
    <mergeCell ref="J344:K344"/>
    <mergeCell ref="L344:M344"/>
    <mergeCell ref="T327:U327"/>
    <mergeCell ref="B331:E331"/>
    <mergeCell ref="F331:I331"/>
    <mergeCell ref="R331:V331"/>
    <mergeCell ref="B332:I332"/>
    <mergeCell ref="J332:Q332"/>
    <mergeCell ref="R332:V332"/>
    <mergeCell ref="T326:U326"/>
    <mergeCell ref="B327:C327"/>
    <mergeCell ref="D327:E327"/>
    <mergeCell ref="F327:G327"/>
    <mergeCell ref="H327:I327"/>
    <mergeCell ref="J327:K327"/>
    <mergeCell ref="L327:M327"/>
    <mergeCell ref="N327:O327"/>
    <mergeCell ref="P327:Q327"/>
    <mergeCell ref="R327:S327"/>
    <mergeCell ref="B325:U325"/>
    <mergeCell ref="B326:C326"/>
    <mergeCell ref="D326:E326"/>
    <mergeCell ref="F326:G326"/>
    <mergeCell ref="H326:I326"/>
    <mergeCell ref="J326:K326"/>
    <mergeCell ref="L326:M326"/>
    <mergeCell ref="N326:O326"/>
    <mergeCell ref="P326:Q326"/>
    <mergeCell ref="R326:S326"/>
    <mergeCell ref="B314:I314"/>
    <mergeCell ref="J314:Q314"/>
    <mergeCell ref="R314:V314"/>
    <mergeCell ref="N320:O320"/>
    <mergeCell ref="E322:H322"/>
    <mergeCell ref="N322:O322"/>
    <mergeCell ref="N309:O309"/>
    <mergeCell ref="P309:Q309"/>
    <mergeCell ref="R309:S309"/>
    <mergeCell ref="T309:U309"/>
    <mergeCell ref="B313:E313"/>
    <mergeCell ref="F313:I313"/>
    <mergeCell ref="R313:V313"/>
    <mergeCell ref="N308:O308"/>
    <mergeCell ref="P308:Q308"/>
    <mergeCell ref="R308:S308"/>
    <mergeCell ref="T308:U308"/>
    <mergeCell ref="B309:C309"/>
    <mergeCell ref="D309:E309"/>
    <mergeCell ref="F309:G309"/>
    <mergeCell ref="H309:I309"/>
    <mergeCell ref="J309:K309"/>
    <mergeCell ref="L309:M309"/>
    <mergeCell ref="N302:O302"/>
    <mergeCell ref="E304:H304"/>
    <mergeCell ref="N304:O304"/>
    <mergeCell ref="B307:U307"/>
    <mergeCell ref="B308:C308"/>
    <mergeCell ref="D308:E308"/>
    <mergeCell ref="F308:G308"/>
    <mergeCell ref="H308:I308"/>
    <mergeCell ref="J308:K308"/>
    <mergeCell ref="L308:M308"/>
    <mergeCell ref="T291:U291"/>
    <mergeCell ref="B295:E295"/>
    <mergeCell ref="F295:I295"/>
    <mergeCell ref="R295:V295"/>
    <mergeCell ref="B296:I296"/>
    <mergeCell ref="J296:Q296"/>
    <mergeCell ref="R296:V296"/>
    <mergeCell ref="T290:U290"/>
    <mergeCell ref="B291:C291"/>
    <mergeCell ref="D291:E291"/>
    <mergeCell ref="F291:G291"/>
    <mergeCell ref="H291:I291"/>
    <mergeCell ref="J291:K291"/>
    <mergeCell ref="L291:M291"/>
    <mergeCell ref="N291:O291"/>
    <mergeCell ref="P291:Q291"/>
    <mergeCell ref="R291:S291"/>
    <mergeCell ref="B289:U289"/>
    <mergeCell ref="B290:C290"/>
    <mergeCell ref="D290:E290"/>
    <mergeCell ref="F290:G290"/>
    <mergeCell ref="H290:I290"/>
    <mergeCell ref="J290:K290"/>
    <mergeCell ref="L290:M290"/>
    <mergeCell ref="N290:O290"/>
    <mergeCell ref="P290:Q290"/>
    <mergeCell ref="R290:S290"/>
    <mergeCell ref="B278:I278"/>
    <mergeCell ref="J278:Q278"/>
    <mergeCell ref="R278:V278"/>
    <mergeCell ref="N284:O284"/>
    <mergeCell ref="E286:H286"/>
    <mergeCell ref="N286:O286"/>
    <mergeCell ref="N273:O273"/>
    <mergeCell ref="P273:Q273"/>
    <mergeCell ref="R273:S273"/>
    <mergeCell ref="T273:U273"/>
    <mergeCell ref="B277:E277"/>
    <mergeCell ref="F277:I277"/>
    <mergeCell ref="R277:V277"/>
    <mergeCell ref="N272:O272"/>
    <mergeCell ref="P272:Q272"/>
    <mergeCell ref="R272:S272"/>
    <mergeCell ref="T272:U272"/>
    <mergeCell ref="B273:C273"/>
    <mergeCell ref="D273:E273"/>
    <mergeCell ref="F273:G273"/>
    <mergeCell ref="H273:I273"/>
    <mergeCell ref="J273:K273"/>
    <mergeCell ref="L273:M273"/>
    <mergeCell ref="N266:O266"/>
    <mergeCell ref="E268:H268"/>
    <mergeCell ref="N268:O268"/>
    <mergeCell ref="B271:U271"/>
    <mergeCell ref="B272:C272"/>
    <mergeCell ref="D272:E272"/>
    <mergeCell ref="F272:G272"/>
    <mergeCell ref="H272:I272"/>
    <mergeCell ref="J272:K272"/>
    <mergeCell ref="L272:M272"/>
    <mergeCell ref="T255:U255"/>
    <mergeCell ref="B259:E259"/>
    <mergeCell ref="F259:I259"/>
    <mergeCell ref="R259:V259"/>
    <mergeCell ref="B260:I260"/>
    <mergeCell ref="J260:Q260"/>
    <mergeCell ref="R260:V260"/>
    <mergeCell ref="T254:U254"/>
    <mergeCell ref="B255:C255"/>
    <mergeCell ref="D255:E255"/>
    <mergeCell ref="F255:G255"/>
    <mergeCell ref="H255:I255"/>
    <mergeCell ref="J255:K255"/>
    <mergeCell ref="L255:M255"/>
    <mergeCell ref="N255:O255"/>
    <mergeCell ref="P255:Q255"/>
    <mergeCell ref="R255:S255"/>
    <mergeCell ref="B253:U253"/>
    <mergeCell ref="B254:C254"/>
    <mergeCell ref="D254:E254"/>
    <mergeCell ref="F254:G254"/>
    <mergeCell ref="H254:I254"/>
    <mergeCell ref="J254:K254"/>
    <mergeCell ref="L254:M254"/>
    <mergeCell ref="N254:O254"/>
    <mergeCell ref="P254:Q254"/>
    <mergeCell ref="R254:S254"/>
    <mergeCell ref="B242:I242"/>
    <mergeCell ref="J242:Q242"/>
    <mergeCell ref="R242:V242"/>
    <mergeCell ref="N248:O248"/>
    <mergeCell ref="E250:H250"/>
    <mergeCell ref="N250:O250"/>
    <mergeCell ref="N237:O237"/>
    <mergeCell ref="P237:Q237"/>
    <mergeCell ref="R237:S237"/>
    <mergeCell ref="T237:U237"/>
    <mergeCell ref="B241:E241"/>
    <mergeCell ref="F241:I241"/>
    <mergeCell ref="R241:V241"/>
    <mergeCell ref="N236:O236"/>
    <mergeCell ref="P236:Q236"/>
    <mergeCell ref="R236:S236"/>
    <mergeCell ref="T236:U236"/>
    <mergeCell ref="B237:C237"/>
    <mergeCell ref="D237:E237"/>
    <mergeCell ref="F237:G237"/>
    <mergeCell ref="H237:I237"/>
    <mergeCell ref="J237:K237"/>
    <mergeCell ref="L237:M237"/>
    <mergeCell ref="N230:O230"/>
    <mergeCell ref="E232:H232"/>
    <mergeCell ref="N232:O232"/>
    <mergeCell ref="B235:U235"/>
    <mergeCell ref="B236:C236"/>
    <mergeCell ref="D236:E236"/>
    <mergeCell ref="F236:G236"/>
    <mergeCell ref="H236:I236"/>
    <mergeCell ref="J236:K236"/>
    <mergeCell ref="L236:M236"/>
    <mergeCell ref="T219:U219"/>
    <mergeCell ref="B223:E223"/>
    <mergeCell ref="F223:I223"/>
    <mergeCell ref="R223:V223"/>
    <mergeCell ref="B224:I224"/>
    <mergeCell ref="J224:Q224"/>
    <mergeCell ref="R224:V224"/>
    <mergeCell ref="T218:U218"/>
    <mergeCell ref="B219:C219"/>
    <mergeCell ref="D219:E219"/>
    <mergeCell ref="F219:G219"/>
    <mergeCell ref="H219:I219"/>
    <mergeCell ref="J219:K219"/>
    <mergeCell ref="L219:M219"/>
    <mergeCell ref="N219:O219"/>
    <mergeCell ref="P219:Q219"/>
    <mergeCell ref="R219:S219"/>
    <mergeCell ref="B217:U217"/>
    <mergeCell ref="B218:C218"/>
    <mergeCell ref="D218:E218"/>
    <mergeCell ref="F218:G218"/>
    <mergeCell ref="H218:I218"/>
    <mergeCell ref="J218:K218"/>
    <mergeCell ref="L218:M218"/>
    <mergeCell ref="N218:O218"/>
    <mergeCell ref="P218:Q218"/>
    <mergeCell ref="R218:S218"/>
    <mergeCell ref="B206:I206"/>
    <mergeCell ref="J206:Q206"/>
    <mergeCell ref="R206:V206"/>
    <mergeCell ref="N212:O212"/>
    <mergeCell ref="E214:H214"/>
    <mergeCell ref="N214:O214"/>
    <mergeCell ref="N201:O201"/>
    <mergeCell ref="P201:Q201"/>
    <mergeCell ref="R201:S201"/>
    <mergeCell ref="T201:U201"/>
    <mergeCell ref="B205:E205"/>
    <mergeCell ref="F205:I205"/>
    <mergeCell ref="R205:V205"/>
    <mergeCell ref="N200:O200"/>
    <mergeCell ref="P200:Q200"/>
    <mergeCell ref="R200:S200"/>
    <mergeCell ref="T200:U200"/>
    <mergeCell ref="B201:C201"/>
    <mergeCell ref="D201:E201"/>
    <mergeCell ref="F201:G201"/>
    <mergeCell ref="H201:I201"/>
    <mergeCell ref="J201:K201"/>
    <mergeCell ref="L201:M201"/>
    <mergeCell ref="B200:C200"/>
    <mergeCell ref="D200:E200"/>
    <mergeCell ref="F200:G200"/>
    <mergeCell ref="H200:I200"/>
    <mergeCell ref="J200:K200"/>
    <mergeCell ref="L200:M200"/>
    <mergeCell ref="B188:Q188"/>
    <mergeCell ref="R188:V188"/>
    <mergeCell ref="N194:O194"/>
    <mergeCell ref="E196:H196"/>
    <mergeCell ref="N196:O196"/>
    <mergeCell ref="B199:U199"/>
    <mergeCell ref="N183:O183"/>
    <mergeCell ref="P183:Q183"/>
    <mergeCell ref="R183:S183"/>
    <mergeCell ref="T183:U183"/>
    <mergeCell ref="B187:E187"/>
    <mergeCell ref="F187:I187"/>
    <mergeCell ref="R187:V187"/>
    <mergeCell ref="N182:O182"/>
    <mergeCell ref="P182:Q182"/>
    <mergeCell ref="R182:S182"/>
    <mergeCell ref="T182:U182"/>
    <mergeCell ref="B183:C183"/>
    <mergeCell ref="D183:E183"/>
    <mergeCell ref="F183:G183"/>
    <mergeCell ref="H183:I183"/>
    <mergeCell ref="J183:K183"/>
    <mergeCell ref="L183:M183"/>
    <mergeCell ref="B169:Q169"/>
    <mergeCell ref="R169:V169"/>
    <mergeCell ref="E178:H178"/>
    <mergeCell ref="B181:U181"/>
    <mergeCell ref="B182:C182"/>
    <mergeCell ref="D182:E182"/>
    <mergeCell ref="F182:G182"/>
    <mergeCell ref="H182:I182"/>
    <mergeCell ref="J182:K182"/>
    <mergeCell ref="L182:M182"/>
    <mergeCell ref="N164:O164"/>
    <mergeCell ref="P164:Q164"/>
    <mergeCell ref="R164:S164"/>
    <mergeCell ref="T164:U164"/>
    <mergeCell ref="B168:E168"/>
    <mergeCell ref="F168:I168"/>
    <mergeCell ref="R168:V168"/>
    <mergeCell ref="N163:O163"/>
    <mergeCell ref="P163:Q163"/>
    <mergeCell ref="R163:S163"/>
    <mergeCell ref="T163:U163"/>
    <mergeCell ref="B164:C164"/>
    <mergeCell ref="D164:E164"/>
    <mergeCell ref="F164:G164"/>
    <mergeCell ref="H164:I164"/>
    <mergeCell ref="J164:K164"/>
    <mergeCell ref="L164:M164"/>
    <mergeCell ref="B150:Q150"/>
    <mergeCell ref="R150:V150"/>
    <mergeCell ref="E159:H159"/>
    <mergeCell ref="B162:U162"/>
    <mergeCell ref="B163:C163"/>
    <mergeCell ref="D163:E163"/>
    <mergeCell ref="F163:G163"/>
    <mergeCell ref="H163:I163"/>
    <mergeCell ref="J163:K163"/>
    <mergeCell ref="L163:M163"/>
    <mergeCell ref="N145:O145"/>
    <mergeCell ref="P145:Q145"/>
    <mergeCell ref="R145:S145"/>
    <mergeCell ref="T145:U145"/>
    <mergeCell ref="B149:E149"/>
    <mergeCell ref="F149:I149"/>
    <mergeCell ref="R149:V149"/>
    <mergeCell ref="N144:O144"/>
    <mergeCell ref="P144:Q144"/>
    <mergeCell ref="R144:S144"/>
    <mergeCell ref="T144:U144"/>
    <mergeCell ref="B145:C145"/>
    <mergeCell ref="D145:E145"/>
    <mergeCell ref="F145:G145"/>
    <mergeCell ref="H145:I145"/>
    <mergeCell ref="J145:K145"/>
    <mergeCell ref="L145:M145"/>
    <mergeCell ref="B131:Q131"/>
    <mergeCell ref="R131:V131"/>
    <mergeCell ref="E140:H140"/>
    <mergeCell ref="B143:U143"/>
    <mergeCell ref="B144:C144"/>
    <mergeCell ref="D144:E144"/>
    <mergeCell ref="F144:G144"/>
    <mergeCell ref="H144:I144"/>
    <mergeCell ref="J144:K144"/>
    <mergeCell ref="L144:M144"/>
    <mergeCell ref="N126:O126"/>
    <mergeCell ref="P126:Q126"/>
    <mergeCell ref="R126:S126"/>
    <mergeCell ref="T126:U126"/>
    <mergeCell ref="B130:E130"/>
    <mergeCell ref="F130:I130"/>
    <mergeCell ref="R130:V130"/>
    <mergeCell ref="N125:O125"/>
    <mergeCell ref="P125:Q125"/>
    <mergeCell ref="R125:S125"/>
    <mergeCell ref="T125:U125"/>
    <mergeCell ref="B126:C126"/>
    <mergeCell ref="D126:E126"/>
    <mergeCell ref="F126:G126"/>
    <mergeCell ref="H126:I126"/>
    <mergeCell ref="J126:K126"/>
    <mergeCell ref="L126:M126"/>
    <mergeCell ref="B112:Q112"/>
    <mergeCell ref="R112:V112"/>
    <mergeCell ref="E121:H121"/>
    <mergeCell ref="B124:U124"/>
    <mergeCell ref="B125:C125"/>
    <mergeCell ref="D125:E125"/>
    <mergeCell ref="F125:G125"/>
    <mergeCell ref="H125:I125"/>
    <mergeCell ref="J125:K125"/>
    <mergeCell ref="L125:M125"/>
    <mergeCell ref="N107:O107"/>
    <mergeCell ref="P107:Q107"/>
    <mergeCell ref="R107:S107"/>
    <mergeCell ref="T107:U107"/>
    <mergeCell ref="B111:E111"/>
    <mergeCell ref="F111:I111"/>
    <mergeCell ref="R111:V111"/>
    <mergeCell ref="N106:O106"/>
    <mergeCell ref="P106:Q106"/>
    <mergeCell ref="R106:S106"/>
    <mergeCell ref="T106:U106"/>
    <mergeCell ref="B107:C107"/>
    <mergeCell ref="D107:E107"/>
    <mergeCell ref="F107:G107"/>
    <mergeCell ref="H107:I107"/>
    <mergeCell ref="J107:K107"/>
    <mergeCell ref="L107:M107"/>
    <mergeCell ref="B93:Q93"/>
    <mergeCell ref="R93:V93"/>
    <mergeCell ref="E102:H102"/>
    <mergeCell ref="B105:U105"/>
    <mergeCell ref="B106:C106"/>
    <mergeCell ref="D106:E106"/>
    <mergeCell ref="F106:G106"/>
    <mergeCell ref="H106:I106"/>
    <mergeCell ref="J106:K106"/>
    <mergeCell ref="L106:M106"/>
    <mergeCell ref="N88:O88"/>
    <mergeCell ref="P88:Q88"/>
    <mergeCell ref="R88:S88"/>
    <mergeCell ref="T88:U88"/>
    <mergeCell ref="B92:E92"/>
    <mergeCell ref="F92:I92"/>
    <mergeCell ref="R92:V92"/>
    <mergeCell ref="N87:O87"/>
    <mergeCell ref="P87:Q87"/>
    <mergeCell ref="R87:S87"/>
    <mergeCell ref="T87:U87"/>
    <mergeCell ref="B88:C88"/>
    <mergeCell ref="D88:E88"/>
    <mergeCell ref="F88:G88"/>
    <mergeCell ref="H88:I88"/>
    <mergeCell ref="J88:K88"/>
    <mergeCell ref="L88:M88"/>
    <mergeCell ref="B74:Q74"/>
    <mergeCell ref="R74:V74"/>
    <mergeCell ref="E83:H83"/>
    <mergeCell ref="B86:U86"/>
    <mergeCell ref="B87:C87"/>
    <mergeCell ref="D87:E87"/>
    <mergeCell ref="F87:G87"/>
    <mergeCell ref="H87:I87"/>
    <mergeCell ref="J87:K87"/>
    <mergeCell ref="L87:M87"/>
    <mergeCell ref="N69:O69"/>
    <mergeCell ref="P69:Q69"/>
    <mergeCell ref="R69:S69"/>
    <mergeCell ref="T69:U69"/>
    <mergeCell ref="B73:E73"/>
    <mergeCell ref="F73:I73"/>
    <mergeCell ref="R73:V73"/>
    <mergeCell ref="N68:O68"/>
    <mergeCell ref="P68:Q68"/>
    <mergeCell ref="R68:S68"/>
    <mergeCell ref="T68:U68"/>
    <mergeCell ref="B69:C69"/>
    <mergeCell ref="D69:E69"/>
    <mergeCell ref="F69:G69"/>
    <mergeCell ref="H69:I69"/>
    <mergeCell ref="J69:K69"/>
    <mergeCell ref="L69:M69"/>
    <mergeCell ref="B55:Q55"/>
    <mergeCell ref="R55:V55"/>
    <mergeCell ref="E64:H64"/>
    <mergeCell ref="B67:U67"/>
    <mergeCell ref="B68:C68"/>
    <mergeCell ref="D68:E68"/>
    <mergeCell ref="F68:G68"/>
    <mergeCell ref="H68:I68"/>
    <mergeCell ref="J68:K68"/>
    <mergeCell ref="L68:M68"/>
    <mergeCell ref="N50:O50"/>
    <mergeCell ref="P50:Q50"/>
    <mergeCell ref="R50:S50"/>
    <mergeCell ref="T50:U50"/>
    <mergeCell ref="B54:E54"/>
    <mergeCell ref="F54:I54"/>
    <mergeCell ref="R54:V54"/>
    <mergeCell ref="N49:O49"/>
    <mergeCell ref="P49:Q49"/>
    <mergeCell ref="R49:S49"/>
    <mergeCell ref="T49:U49"/>
    <mergeCell ref="B50:C50"/>
    <mergeCell ref="D50:E50"/>
    <mergeCell ref="F50:G50"/>
    <mergeCell ref="H50:I50"/>
    <mergeCell ref="J50:K50"/>
    <mergeCell ref="L50:M50"/>
    <mergeCell ref="B36:Q36"/>
    <mergeCell ref="R36:V36"/>
    <mergeCell ref="E45:H45"/>
    <mergeCell ref="B48:U48"/>
    <mergeCell ref="B49:C49"/>
    <mergeCell ref="D49:E49"/>
    <mergeCell ref="F49:G49"/>
    <mergeCell ref="H49:I49"/>
    <mergeCell ref="J49:K49"/>
    <mergeCell ref="L49:M49"/>
    <mergeCell ref="N31:O31"/>
    <mergeCell ref="P31:Q31"/>
    <mergeCell ref="R31:S31"/>
    <mergeCell ref="T31:U31"/>
    <mergeCell ref="B35:E35"/>
    <mergeCell ref="F35:I35"/>
    <mergeCell ref="R35:V35"/>
    <mergeCell ref="N30:O30"/>
    <mergeCell ref="P30:Q30"/>
    <mergeCell ref="R30:S30"/>
    <mergeCell ref="T30:U30"/>
    <mergeCell ref="B31:C31"/>
    <mergeCell ref="D31:E31"/>
    <mergeCell ref="F31:G31"/>
    <mergeCell ref="H31:I31"/>
    <mergeCell ref="J31:K31"/>
    <mergeCell ref="L31:M31"/>
    <mergeCell ref="B17:Q17"/>
    <mergeCell ref="R17:V17"/>
    <mergeCell ref="E26:H26"/>
    <mergeCell ref="B29:U29"/>
    <mergeCell ref="B30:C30"/>
    <mergeCell ref="D30:E30"/>
    <mergeCell ref="F30:G30"/>
    <mergeCell ref="H30:I30"/>
    <mergeCell ref="J30:K30"/>
    <mergeCell ref="L30:M30"/>
    <mergeCell ref="N12:O12"/>
    <mergeCell ref="P12:Q12"/>
    <mergeCell ref="R12:S12"/>
    <mergeCell ref="T12:U12"/>
    <mergeCell ref="B16:E16"/>
    <mergeCell ref="F16:I16"/>
    <mergeCell ref="R16:V16"/>
    <mergeCell ref="N11:O11"/>
    <mergeCell ref="P11:Q11"/>
    <mergeCell ref="R11:S11"/>
    <mergeCell ref="T11:U11"/>
    <mergeCell ref="B12:C12"/>
    <mergeCell ref="D12:E12"/>
    <mergeCell ref="F12:G12"/>
    <mergeCell ref="H12:I12"/>
    <mergeCell ref="J12:K12"/>
    <mergeCell ref="L12:M12"/>
    <mergeCell ref="E7:H7"/>
    <mergeCell ref="B10:U10"/>
    <mergeCell ref="B11:C11"/>
    <mergeCell ref="D11:E11"/>
    <mergeCell ref="F11:G11"/>
    <mergeCell ref="H11:I11"/>
    <mergeCell ref="J11:K11"/>
    <mergeCell ref="L11:M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tech6</dc:creator>
  <cp:lastModifiedBy>tech6</cp:lastModifiedBy>
  <dcterms:created xsi:type="dcterms:W3CDTF">2026-06-09T15:50:07Z</dcterms:created>
  <dcterms:modified xsi:type="dcterms:W3CDTF">2026-06-09T16:16:30Z</dcterms:modified>
</cp:coreProperties>
</file>