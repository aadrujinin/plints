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840"/>
  </bookViews>
  <sheets>
    <sheet sheetId="4" name="SV777-1 (SV004)" state="visible" r:id="rId4"/>
    <sheet sheetId="7" name="SV777-2 (SV004)" state="hidden" r:id="rId5"/>
    <sheet sheetId="8" name="SV777-3 (SV004)" state="hidden" r:id="rId6"/>
    <sheet sheetId="6" name="шпоргалка-1" state="visible" r:id="rId7"/>
    <sheet sheetId="9" name="шпоргалка-2" state="hidden" r:id="rId8"/>
    <sheet sheetId="10" name="шпоргалка-3" state="hidden" r:id="rId9"/>
    <sheet sheetId="15" name="Шпоргалка общая" state="hidden" r:id="rId10"/>
    <sheet sheetId="19" name="Disp-1" state="visible" r:id="rId11"/>
    <sheet sheetId="18" name="Disp-2" state="hidden" r:id="rId12"/>
    <sheet sheetId="20" name="Disp-3" state="hidden" r:id="rId13"/>
  </sheets>
  <definedNames>
    <definedName name="_xlnm.Print_Area" localSheetId="7">'Disp-1'!$B2:$I17</definedName>
  </definedNames>
  <calcPr calcId="171027"/>
</workbook>
</file>

<file path=xl/sharedStrings.xml><?xml version="1.0" encoding="utf-8"?>
<sst xmlns="http://schemas.openxmlformats.org/spreadsheetml/2006/main" count="3760" uniqueCount="111">
  <si>
    <t>*******************************************************************************************</t>
  </si>
  <si>
    <t>Стойка</t>
  </si>
  <si>
    <t>XK</t>
  </si>
  <si>
    <t>2.1</t>
  </si>
  <si>
    <t>Контроллер SV 777</t>
  </si>
  <si>
    <t>№</t>
  </si>
  <si>
    <t>ХК 2.1.1</t>
  </si>
  <si>
    <t>Плата SV 004</t>
  </si>
  <si>
    <t>Наименование плинтодержателя</t>
  </si>
  <si>
    <t>ХВ-2.1.1</t>
  </si>
  <si>
    <t>Номер плинта</t>
  </si>
  <si>
    <t>к БП</t>
  </si>
  <si>
    <t>к SV 004*</t>
  </si>
  <si>
    <t>A</t>
  </si>
  <si>
    <t>B</t>
  </si>
  <si>
    <t>C</t>
  </si>
  <si>
    <t>D</t>
  </si>
  <si>
    <t>КАВ (1)</t>
  </si>
  <si>
    <t>10</t>
  </si>
  <si>
    <t>43</t>
  </si>
  <si>
    <t>55</t>
  </si>
  <si>
    <t>130</t>
  </si>
  <si>
    <t>пом.</t>
  </si>
  <si>
    <t>14</t>
  </si>
  <si>
    <t>17</t>
  </si>
  <si>
    <t>20</t>
  </si>
  <si>
    <t>A -</t>
  </si>
  <si>
    <t>питание "+"</t>
  </si>
  <si>
    <t>красный</t>
  </si>
  <si>
    <t>C -</t>
  </si>
  <si>
    <t>сигнальный</t>
  </si>
  <si>
    <t>синий</t>
  </si>
  <si>
    <t>B -</t>
  </si>
  <si>
    <t>питание "-"</t>
  </si>
  <si>
    <t>черный</t>
  </si>
  <si>
    <t>D -</t>
  </si>
  <si>
    <t>коричневый</t>
  </si>
  <si>
    <t>109</t>
  </si>
  <si>
    <t>163</t>
  </si>
  <si>
    <t>ИК (1)</t>
  </si>
  <si>
    <t>16</t>
  </si>
  <si>
    <t>22</t>
  </si>
  <si>
    <t>19</t>
  </si>
  <si>
    <t>23</t>
  </si>
  <si>
    <t>15</t>
  </si>
  <si>
    <t>28</t>
  </si>
  <si>
    <t>ИК (6)</t>
  </si>
  <si>
    <t>64</t>
  </si>
  <si>
    <t>94</t>
  </si>
  <si>
    <t>СМК (1), ИК (1)</t>
  </si>
  <si>
    <t>170</t>
  </si>
  <si>
    <t>18</t>
  </si>
  <si>
    <t>ДГУ</t>
  </si>
  <si>
    <t>ХВ-2.1.2</t>
  </si>
  <si>
    <t>115</t>
  </si>
  <si>
    <t>ИК (4)</t>
  </si>
  <si>
    <t>136</t>
  </si>
  <si>
    <t>169</t>
  </si>
  <si>
    <t>ДРС (1)</t>
  </si>
  <si>
    <t>24</t>
  </si>
  <si>
    <t>25</t>
  </si>
  <si>
    <t>31</t>
  </si>
  <si>
    <t>ДРС (2)</t>
  </si>
  <si>
    <t>97</t>
  </si>
  <si>
    <t>118</t>
  </si>
  <si>
    <t/>
  </si>
  <si>
    <t>ОПС</t>
  </si>
  <si>
    <t>Резерв</t>
  </si>
  <si>
    <t>1.1</t>
  </si>
  <si>
    <t>RS 485</t>
  </si>
  <si>
    <t>XB1</t>
  </si>
  <si>
    <t>SV20P</t>
  </si>
  <si>
    <t>GND</t>
  </si>
  <si>
    <t>SVDPO</t>
  </si>
  <si>
    <t>COM-1</t>
  </si>
  <si>
    <t>COM-2</t>
  </si>
  <si>
    <t>COM-3</t>
  </si>
  <si>
    <t xml:space="preserve"> RS-485  1.1</t>
  </si>
  <si>
    <t>земля.5</t>
  </si>
  <si>
    <t>RS-485</t>
  </si>
  <si>
    <t>желтый</t>
  </si>
  <si>
    <t>COM-4</t>
  </si>
  <si>
    <t>Device</t>
  </si>
  <si>
    <t>adress</t>
  </si>
  <si>
    <t>SV 485</t>
  </si>
  <si>
    <t>SV777 - 1</t>
  </si>
  <si>
    <t>SV004 -1</t>
  </si>
  <si>
    <t>SV004 - 2</t>
  </si>
  <si>
    <t>SV004 - 3</t>
  </si>
  <si>
    <t>SV004 - 4</t>
  </si>
  <si>
    <t>SV004 - 5</t>
  </si>
  <si>
    <t>SV004 - 6</t>
  </si>
  <si>
    <t>SV004 - 7</t>
  </si>
  <si>
    <t>SV004 - 8</t>
  </si>
  <si>
    <t>SV004 - 9</t>
  </si>
  <si>
    <t>SV004 - 10</t>
  </si>
  <si>
    <t>SV004 - 11</t>
  </si>
  <si>
    <t>SV004 - 12</t>
  </si>
  <si>
    <t>SV004 - 13</t>
  </si>
  <si>
    <t>SV004 - 14</t>
  </si>
  <si>
    <t>SV004 - 15</t>
  </si>
  <si>
    <t>SV004 - 16</t>
  </si>
  <si>
    <t>SV777 - 2</t>
  </si>
  <si>
    <t>SV004 - 1</t>
  </si>
  <si>
    <t>SV004  - 5</t>
  </si>
  <si>
    <t>SV004 -7</t>
  </si>
  <si>
    <t>SV777 - 3</t>
  </si>
  <si>
    <t xml:space="preserve">SV004 - 3 </t>
  </si>
  <si>
    <t>SV004  - 8</t>
  </si>
  <si>
    <t>Display panel №1</t>
  </si>
  <si>
    <t>Display panel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</si>
</sst>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color theme="1"/>
      <family val="2"/>
      <scheme val="minor"/>
      <sz val="11"/>
      <name val="Calibri"/>
    </font>
    <font>
      <charset val="204"/>
      <color theme="1"/>
      <family val="2"/>
      <scheme val="minor"/>
      <sz val="11"/>
      <name val="Calibri"/>
    </font>
    <font>
      <b/>
      <charset val="204"/>
      <color theme="1"/>
      <family val="2"/>
      <scheme val="minor"/>
      <sz val="12"/>
      <name val="Calibri"/>
    </font>
    <font>
      <b/>
      <charset val="204"/>
      <color theme="1"/>
      <family val="2"/>
      <scheme val="minor"/>
      <sz val="14"/>
      <name val="Calibri"/>
    </font>
    <font>
      <charset val="204"/>
      <color theme="1"/>
      <family val="2"/>
      <scheme val="minor"/>
      <sz val="14"/>
      <name val="Calibri"/>
    </font>
    <font>
      <charset val="204"/>
      <family val="2"/>
      <scheme val="minor"/>
      <sz val="11"/>
      <name val="Calibri"/>
    </font>
    <font>
      <charset val="204"/>
      <family val="2"/>
      <scheme val="minor"/>
      <sz val="6"/>
      <name val="Calibri"/>
    </font>
    <font>
      <charset val="204"/>
      <color theme="0"/>
      <family val="2"/>
      <scheme val="minor"/>
      <sz val="11"/>
      <name val="Calibri"/>
    </font>
    <font>
      <b/>
      <charset val="204"/>
      <color theme="1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/>
      <right style="thin"/>
      <top style="thin"/>
      <bottom style="thin"/>
      <diagonal style="thin"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111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applyFont="1" applyProtection="1">
      <protection hidden="1"/>
    </xf>
    <xf numFmtId="49" fontId="1" fillId="0" borderId="0" xfId="0" applyNumberFormat="1" applyFont="1" applyProtection="1">
      <protection hidden="1"/>
    </xf>
    <xf numFmtId="49" fontId="1" fillId="0" borderId="0" xfId="0" applyNumberFormat="1" applyFont="1" applyAlignment="1" applyProtection="1">
      <alignment horizontal="center" vertical="center"/>
      <protection hidden="1"/>
    </xf>
    <xf numFmtId="49" fontId="2" fillId="0" borderId="0" xfId="0" applyNumberFormat="1" applyFont="1" applyProtection="1">
      <protection hidden="1"/>
    </xf>
    <xf numFmtId="0" fontId="1" fillId="0" borderId="1" xfId="0" applyFont="1" applyBorder="1" applyProtection="1">
      <protection hidden="1"/>
    </xf>
    <xf numFmtId="49" fontId="1" fillId="0" borderId="1" xfId="0" applyNumberFormat="1" applyFont="1" applyBorder="1" applyProtection="1">
      <protection hidden="1"/>
    </xf>
    <xf numFmtId="49" fontId="3" fillId="0" borderId="0" xfId="0" applyNumberFormat="1" applyFont="1" applyAlignment="1" applyProtection="1">
      <alignment horizontal="right"/>
      <protection hidden="1"/>
    </xf>
    <xf numFmtId="49" fontId="3" fillId="0" borderId="0" xfId="0" applyNumberFormat="1" applyFont="1" applyAlignment="1" applyProtection="1">
      <alignment horizontal="left" wrapTex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left" wrapText="1"/>
      <protection hidden="1"/>
    </xf>
    <xf numFmtId="0" fontId="1" fillId="0" borderId="2" xfId="0" applyFont="1" applyBorder="1" applyProtection="1">
      <protection hidden="1"/>
    </xf>
    <xf numFmtId="49" fontId="1" fillId="0" borderId="2" xfId="0" applyNumberFormat="1" applyFont="1" applyBorder="1" applyProtection="1">
      <protection hidden="1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hidden="1"/>
    </xf>
    <xf numFmtId="49" fontId="4" fillId="0" borderId="0" xfId="0" applyNumberFormat="1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0" xfId="0" applyFont="1" applyProtection="1">
      <protection hidden="1"/>
    </xf>
    <xf numFmtId="49" fontId="4" fillId="0" borderId="0" xfId="0" applyNumberFormat="1" applyFont="1" applyProtection="1">
      <protection hidden="1"/>
    </xf>
    <xf numFmtId="49" fontId="1" fillId="2" borderId="0" xfId="0" applyNumberFormat="1" applyFont="1" applyFill="1" applyProtection="1">
      <protection hidden="1"/>
    </xf>
    <xf numFmtId="0" fontId="4" fillId="0" borderId="0" xfId="0" applyFont="1" applyAlignment="1" applyProtection="1">
      <alignment horizontal="left"/>
      <protection locked="0"/>
    </xf>
    <xf numFmtId="164" fontId="1" fillId="0" borderId="0" xfId="0" applyNumberFormat="1" applyFont="1" applyProtection="1">
      <protection hidden="1"/>
    </xf>
    <xf numFmtId="0" fontId="1" fillId="0" borderId="3" xfId="0" applyFont="1" applyBorder="1" applyProtection="1">
      <protection hidden="1"/>
    </xf>
    <xf numFmtId="0" fontId="1" fillId="0" borderId="4" xfId="0" applyFont="1" applyBorder="1" applyProtection="1">
      <protection hidden="1"/>
    </xf>
    <xf numFmtId="49" fontId="1" fillId="0" borderId="4" xfId="0" applyNumberFormat="1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49" fontId="1" fillId="0" borderId="7" xfId="0" applyNumberFormat="1" applyFont="1" applyBorder="1" applyAlignment="1" applyProtection="1">
      <alignment horizontal="center" vertical="center"/>
      <protection hidden="1"/>
    </xf>
    <xf numFmtId="49" fontId="1" fillId="0" borderId="8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49" fontId="1" fillId="0" borderId="6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textRotation="90"/>
      <protection hidden="1"/>
    </xf>
    <xf numFmtId="0" fontId="1" fillId="0" borderId="9" xfId="0" applyFont="1" applyBorder="1" applyProtection="1"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49" fontId="1" fillId="0" borderId="11" xfId="0" applyNumberFormat="1" applyFont="1" applyBorder="1" applyAlignment="1" applyProtection="1">
      <alignment horizontal="center" vertical="center"/>
      <protection hidden="1"/>
    </xf>
    <xf numFmtId="49" fontId="1" fillId="0" borderId="10" xfId="0" applyNumberFormat="1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 textRotation="90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0" fontId="1" fillId="3" borderId="4" xfId="0" applyFont="1" applyFill="1" applyBorder="1" applyAlignment="1" applyProtection="1">
      <alignment horizontal="left" vertical="center" wrapText="1"/>
      <protection hidden="1"/>
    </xf>
    <xf numFmtId="0" fontId="1" fillId="3" borderId="4" xfId="0" applyFont="1" applyFill="1" applyBorder="1" applyAlignment="1">
      <alignment horizontal="left" vertical="center" wrapText="1"/>
    </xf>
    <xf numFmtId="49" fontId="1" fillId="3" borderId="4" xfId="0" applyNumberFormat="1" applyFont="1" applyFill="1" applyBorder="1" applyAlignment="1" applyProtection="1">
      <alignment horizontal="left" vertical="center" wrapText="1"/>
      <protection hidden="1"/>
    </xf>
    <xf numFmtId="0" fontId="1" fillId="3" borderId="1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 applyProtection="1">
      <alignment horizontal="right" vertical="center"/>
      <protection hidden="1"/>
    </xf>
    <xf numFmtId="0" fontId="1" fillId="0" borderId="4" xfId="0" applyFont="1" applyBorder="1" applyAlignment="1">
      <alignment horizontal="right" vertical="center"/>
    </xf>
    <xf numFmtId="49" fontId="1" fillId="3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49" fontId="1" fillId="0" borderId="13" xfId="0" applyNumberFormat="1" applyFont="1" applyBorder="1" applyProtection="1">
      <protection hidden="1"/>
    </xf>
    <xf numFmtId="49" fontId="1" fillId="0" borderId="13" xfId="0" applyNumberFormat="1" applyFont="1" applyBorder="1" applyAlignment="1" applyProtection="1">
      <alignment horizontal="center" vertical="center"/>
      <protection hidden="1"/>
    </xf>
    <xf numFmtId="0" fontId="1" fillId="2" borderId="0" xfId="0" applyFont="1" applyFill="1" applyProtection="1">
      <protection hidden="1"/>
    </xf>
    <xf numFmtId="0" fontId="1" fillId="0" borderId="14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 textRotation="90"/>
      <protection hidden="1"/>
    </xf>
    <xf numFmtId="0" fontId="1" fillId="0" borderId="16" xfId="0" applyFont="1" applyBorder="1" applyAlignment="1" applyProtection="1">
      <alignment horizontal="center" vertical="center" textRotation="90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0" xfId="0" applyNumberFormat="1" applyFont="1" applyBorder="1" applyAlignment="1" applyProtection="1">
      <alignment horizontal="center" vertical="center"/>
      <protection hidden="1"/>
    </xf>
    <xf numFmtId="49" fontId="1" fillId="0" borderId="17" xfId="0" applyNumberFormat="1" applyFont="1" applyBorder="1" applyAlignment="1" applyProtection="1">
      <alignment horizontal="center" vertical="center"/>
      <protection hidden="1"/>
    </xf>
    <xf numFmtId="0" fontId="1" fillId="0" borderId="18" xfId="0" applyFont="1" applyBorder="1" applyProtection="1">
      <protection hidden="1"/>
    </xf>
    <xf numFmtId="0" fontId="1" fillId="5" borderId="19" xfId="0" applyFont="1" applyFill="1" applyBorder="1" applyAlignment="1" applyProtection="1">
      <alignment horizontal="center" vertical="center"/>
      <protection hidden="1"/>
    </xf>
    <xf numFmtId="0" fontId="1" fillId="5" borderId="20" xfId="0" applyFont="1" applyFill="1" applyBorder="1" applyAlignment="1" applyProtection="1">
      <alignment horizontal="center" vertical="center"/>
      <protection hidden="1"/>
    </xf>
    <xf numFmtId="0" fontId="1" fillId="3" borderId="21" xfId="0" applyFont="1" applyFill="1" applyBorder="1" applyAlignment="1" applyProtection="1">
      <alignment horizontal="right" vertical="center"/>
      <protection locked="0"/>
    </xf>
    <xf numFmtId="0" fontId="1" fillId="3" borderId="20" xfId="0" applyFont="1" applyFill="1" applyBorder="1" applyAlignment="1" applyProtection="1">
      <alignment horizontal="right" vertical="center"/>
      <protection locked="0"/>
    </xf>
    <xf numFmtId="49" fontId="1" fillId="3" borderId="20" xfId="0" applyNumberFormat="1" applyFont="1" applyFill="1" applyBorder="1" applyAlignment="1" applyProtection="1">
      <alignment horizontal="center" vertical="center"/>
      <protection locked="0"/>
    </xf>
    <xf numFmtId="49" fontId="1" fillId="3" borderId="22" xfId="0" applyNumberFormat="1" applyFont="1" applyFill="1" applyBorder="1" applyAlignment="1" applyProtection="1">
      <alignment horizontal="center" vertical="center"/>
      <protection locked="0"/>
    </xf>
    <xf numFmtId="0" fontId="1" fillId="6" borderId="19" xfId="0" applyFont="1" applyFill="1" applyBorder="1" applyAlignment="1" applyProtection="1">
      <alignment horizontal="center" vertical="center"/>
      <protection hidden="1"/>
    </xf>
    <xf numFmtId="0" fontId="1" fillId="6" borderId="20" xfId="0" applyFont="1" applyFill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164" fontId="1" fillId="0" borderId="13" xfId="0" applyNumberFormat="1" applyFont="1" applyBorder="1" applyProtection="1">
      <protection hidden="1"/>
    </xf>
    <xf numFmtId="0" fontId="1" fillId="0" borderId="23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1" fillId="0" borderId="27" xfId="0" applyFont="1" applyBorder="1" applyAlignment="1" applyProtection="1">
      <alignment horizontal="center"/>
      <protection hidden="1"/>
    </xf>
    <xf numFmtId="0" fontId="1" fillId="0" borderId="28" xfId="0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0" fontId="5" fillId="0" borderId="29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1" fillId="0" borderId="31" xfId="0" applyFont="1" applyBorder="1" applyAlignment="1" applyProtection="1">
      <alignment horizontal="center"/>
      <protection hidden="1"/>
    </xf>
    <xf numFmtId="0" fontId="1" fillId="0" borderId="32" xfId="0" applyFont="1" applyBorder="1" applyAlignment="1" applyProtection="1">
      <alignment horizontal="center"/>
      <protection hidden="1"/>
    </xf>
    <xf numFmtId="0" fontId="1" fillId="0" borderId="33" xfId="0" applyFont="1" applyBorder="1" applyAlignment="1" applyProtection="1">
      <alignment horizontal="center"/>
      <protection hidden="1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5" fillId="0" borderId="23" xfId="0" applyFont="1" applyBorder="1" applyAlignment="1" applyProtection="1">
      <alignment horizontal="center" vertical="center"/>
      <protection hidden="1"/>
    </xf>
    <xf numFmtId="0" fontId="5" fillId="0" borderId="25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15.xml"/><Relationship Id="rId11" Type="http://schemas.openxmlformats.org/officeDocument/2006/relationships/worksheet" Target="worksheets/sheet19.xml"/><Relationship Id="rId12" Type="http://schemas.openxmlformats.org/officeDocument/2006/relationships/worksheet" Target="worksheets/sheet18.xml"/><Relationship Id="rId1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1"/>
  <sheetViews>
    <sheetView workbookViewId="0" zoomScale="100" zoomScaleNormal="100" view="pageLayout">
      <selection activeCell="N646" sqref="N646"/>
    </sheetView>
  </sheetViews>
  <sheetFormatPr defaultRowHeight="15" outlineLevelRow="0" outlineLevelCol="0" x14ac:dyDescent="0.25" defaultColWidth="8.42578125"/>
  <cols>
    <col min="1" max="1" width="2.140625" customWidth="1"/>
    <col min="2" max="3" width="4.28515625" customWidth="1"/>
    <col min="4" max="5" width="3.85546875" style="1" customWidth="1"/>
    <col min="6" max="7" width="4.28515625" customWidth="1"/>
    <col min="8" max="9" width="3.85546875" style="1" customWidth="1"/>
    <col min="10" max="11" width="4.28515625" customWidth="1"/>
    <col min="12" max="12" width="3.85546875" style="1" customWidth="1"/>
    <col min="13" max="13" width="4.42578125" style="1" customWidth="1"/>
    <col min="14" max="14" width="4.7109375" customWidth="1"/>
    <col min="15" max="15" width="4.28515625" customWidth="1"/>
    <col min="16" max="17" width="3.85546875" style="1" customWidth="1"/>
    <col min="18" max="21" width="3.85546875" customWidth="1"/>
    <col min="22" max="22" width="2.140625" customWidth="1"/>
    <col min="23" max="23" width="2.42578125" customWidth="1"/>
    <col min="24" max="25" width="4" customWidth="1"/>
    <col min="26" max="26" width="3.7109375" customWidth="1"/>
    <col min="27" max="27" width="5.140625" customWidth="1"/>
    <col min="28" max="28" width="4.140625" customWidth="1"/>
    <col min="29" max="29" width="5" customWidth="1"/>
    <col min="30" max="30" width="4.5703125" customWidth="1"/>
    <col min="31" max="31" width="4.7109375" customWidth="1"/>
    <col min="32" max="32" width="3.7109375" customWidth="1"/>
    <col min="33" max="33" width="4.140625" customWidth="1"/>
    <col min="34" max="34" width="4" customWidth="1"/>
    <col min="35" max="35" width="4.140625" customWidth="1"/>
    <col min="36" max="36" width="4" customWidth="1"/>
    <col min="37" max="37" width="4.85546875" customWidth="1"/>
    <col min="38" max="38" width="4.42578125" customWidth="1"/>
    <col min="39" max="39" width="4" customWidth="1"/>
    <col min="40" max="40" width="3.85546875" customWidth="1"/>
    <col min="41" max="41" width="3.7109375" customWidth="1"/>
    <col min="42" max="42" width="3.140625" customWidth="1"/>
    <col min="43" max="43" width="3" customWidth="1"/>
    <col min="44" max="44" width="2.85546875" customWidth="1"/>
  </cols>
  <sheetData>
    <row r="1" spans="1:44" s="2" customFormat="1" x14ac:dyDescent="0.25">
      <c r="A1" s="3" t="s">
        <v>0</v>
      </c>
      <c r="B1" s="3"/>
      <c r="C1" s="3"/>
      <c r="D1" s="4"/>
      <c r="E1" s="5"/>
      <c r="F1" s="3"/>
      <c r="G1" s="3"/>
      <c r="H1" s="4"/>
      <c r="I1" s="4"/>
      <c r="J1" s="3"/>
      <c r="K1" s="3"/>
      <c r="L1" s="4"/>
      <c r="M1" s="4"/>
      <c r="N1" s="3"/>
      <c r="O1" s="3"/>
      <c r="P1" s="4"/>
      <c r="Q1" s="4"/>
      <c r="R1" s="3"/>
      <c r="S1" s="3"/>
      <c r="T1" s="3"/>
      <c r="U1" s="3"/>
      <c r="V1" s="3"/>
      <c r="W1" s="3"/>
      <c r="X1" s="3"/>
      <c r="Y1" s="3"/>
      <c r="Z1" s="4"/>
      <c r="AA1" s="5"/>
      <c r="AB1" s="3"/>
      <c r="AC1" s="3"/>
      <c r="AD1" s="4"/>
      <c r="AE1" s="4"/>
      <c r="AF1" s="3"/>
      <c r="AG1" s="3"/>
      <c r="AH1" s="4"/>
      <c r="AI1" s="4"/>
      <c r="AJ1" s="3"/>
      <c r="AK1" s="3"/>
      <c r="AL1" s="4"/>
      <c r="AM1" s="4"/>
      <c r="AN1" s="3"/>
      <c r="AO1" s="3"/>
      <c r="AP1" s="3"/>
      <c r="AQ1" s="3"/>
      <c r="AR1" s="3"/>
    </row>
    <row r="2" ht="15.6" customHeight="1" spans="1:44" x14ac:dyDescent="0.25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10" t="s">
        <v>3</v>
      </c>
      <c r="O2" s="11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2"/>
      <c r="AC2" s="3"/>
      <c r="AD2" s="3"/>
      <c r="AE2" s="3"/>
      <c r="AF2" s="3"/>
      <c r="AG2" s="3"/>
      <c r="AH2" s="3"/>
      <c r="AI2" s="3"/>
      <c r="AJ2" s="13"/>
      <c r="AK2" s="14"/>
      <c r="AL2" s="14"/>
      <c r="AM2" s="3"/>
      <c r="AN2" s="3"/>
      <c r="AO2" s="3"/>
      <c r="AP2" s="3"/>
      <c r="AQ2" s="3"/>
      <c r="AR2" s="3"/>
    </row>
    <row r="3" ht="15.6" customHeight="1" spans="1:44" x14ac:dyDescent="0.25">
      <c r="A3" s="3"/>
      <c r="B3" s="3"/>
      <c r="C3" s="3"/>
      <c r="D3" s="4"/>
      <c r="E3" s="6" t="s">
        <v>4</v>
      </c>
      <c r="F3" s="3"/>
      <c r="G3" s="3"/>
      <c r="H3" s="4"/>
      <c r="I3" s="4"/>
      <c r="J3" s="15"/>
      <c r="K3" s="15"/>
      <c r="L3" s="16"/>
      <c r="M3" s="9" t="s">
        <v>5</v>
      </c>
      <c r="N3" s="17" t="s">
        <v>6</v>
      </c>
      <c r="O3" s="17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2"/>
      <c r="AC3" s="3"/>
      <c r="AD3" s="3"/>
      <c r="AE3" s="3"/>
      <c r="AF3" s="3"/>
      <c r="AG3" s="3"/>
      <c r="AH3" s="3"/>
      <c r="AI3" s="3"/>
      <c r="AJ3" s="13"/>
      <c r="AK3" s="18"/>
      <c r="AL3" s="18"/>
      <c r="AM3" s="3"/>
      <c r="AN3" s="3"/>
      <c r="AO3" s="3"/>
      <c r="AP3" s="3"/>
      <c r="AQ3" s="3"/>
      <c r="AR3" s="3"/>
    </row>
    <row r="4" ht="15.6" customHeight="1" spans="1:44" x14ac:dyDescent="0.25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9" t="s">
        <v>5</v>
      </c>
      <c r="N4" s="20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21"/>
      <c r="AK4" s="20"/>
      <c r="AL4" s="3"/>
      <c r="AM4" s="3"/>
      <c r="AN4" s="3"/>
      <c r="AO4" s="3"/>
      <c r="AP4" s="3"/>
      <c r="AQ4" s="3"/>
      <c r="AR4" s="3"/>
    </row>
    <row r="5" ht="15.6" customHeight="1" spans="1:44" x14ac:dyDescent="0.25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6"/>
      <c r="M5" s="19" t="s">
        <v>5</v>
      </c>
      <c r="N5" s="20" t="s">
        <v>9</v>
      </c>
      <c r="O5" s="22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21"/>
      <c r="AK5" s="20"/>
      <c r="AL5" s="23"/>
      <c r="AM5" s="3"/>
      <c r="AN5" s="3"/>
      <c r="AO5" s="3"/>
      <c r="AP5" s="3"/>
      <c r="AQ5" s="3"/>
      <c r="AR5" s="3"/>
    </row>
    <row r="6" ht="15.6" customHeight="1" spans="1:44" x14ac:dyDescent="0.25">
      <c r="A6" s="3"/>
      <c r="B6" s="3"/>
      <c r="C6" s="3"/>
      <c r="D6" s="4"/>
      <c r="E6" s="24" t="s">
        <v>10</v>
      </c>
      <c r="F6" s="3"/>
      <c r="G6" s="3"/>
      <c r="H6" s="4"/>
      <c r="I6" s="8"/>
      <c r="J6" s="7"/>
      <c r="K6" s="7"/>
      <c r="L6" s="8"/>
      <c r="M6" s="19" t="s">
        <v>5</v>
      </c>
      <c r="N6" s="25">
        <v>13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21"/>
      <c r="AK6" s="20"/>
      <c r="AL6" s="3"/>
      <c r="AM6" s="3"/>
      <c r="AN6" s="3"/>
      <c r="AO6" s="3"/>
      <c r="AP6" s="3"/>
      <c r="AQ6" s="3"/>
      <c r="AR6" s="3"/>
    </row>
    <row r="7" ht="15.6" customHeight="1" spans="1:44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6"/>
      <c r="AL7" s="3"/>
      <c r="AM7" s="3"/>
      <c r="AN7" s="3"/>
      <c r="AO7" s="3"/>
      <c r="AP7" s="3"/>
      <c r="AQ7" s="3"/>
      <c r="AR7" s="3"/>
    </row>
    <row r="8" ht="15.6" customHeight="1" spans="1:44" x14ac:dyDescent="0.25">
      <c r="A8" s="27"/>
      <c r="B8" s="28"/>
      <c r="C8" s="28"/>
      <c r="D8" s="29"/>
      <c r="E8" s="29"/>
      <c r="F8" s="28"/>
      <c r="G8" s="28"/>
      <c r="H8" s="29"/>
      <c r="I8" s="29"/>
      <c r="J8" s="28"/>
      <c r="K8" s="28"/>
      <c r="L8" s="29"/>
      <c r="M8" s="29"/>
      <c r="N8" s="28"/>
      <c r="O8" s="28"/>
      <c r="P8" s="29"/>
      <c r="Q8" s="29"/>
      <c r="R8" s="28"/>
      <c r="S8" s="28"/>
      <c r="T8" s="28"/>
      <c r="U8" s="28"/>
      <c r="V8" s="28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6"/>
      <c r="AL8" s="3"/>
      <c r="AM8" s="3"/>
      <c r="AN8" s="3"/>
      <c r="AO8" s="3"/>
      <c r="AP8" s="3"/>
      <c r="AQ8" s="3"/>
      <c r="AR8" s="3"/>
    </row>
    <row r="9" ht="15.6" customHeight="1" spans="1:44" x14ac:dyDescent="0.25">
      <c r="A9" s="30"/>
      <c r="B9" s="31"/>
      <c r="C9" s="31"/>
      <c r="D9" s="32">
        <v>1</v>
      </c>
      <c r="E9" s="33"/>
      <c r="F9" s="31"/>
      <c r="G9" s="31"/>
      <c r="H9" s="32">
        <v>2</v>
      </c>
      <c r="I9" s="33"/>
      <c r="J9" s="31"/>
      <c r="K9" s="31"/>
      <c r="L9" s="32">
        <v>3</v>
      </c>
      <c r="M9" s="33"/>
      <c r="N9" s="31"/>
      <c r="O9" s="31"/>
      <c r="P9" s="32">
        <v>4</v>
      </c>
      <c r="Q9" s="33"/>
      <c r="R9" s="31"/>
      <c r="S9" s="31"/>
      <c r="T9" s="31"/>
      <c r="U9" s="31"/>
      <c r="V9" s="3"/>
      <c r="W9" s="3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5"/>
      <c r="AQ9" s="35"/>
      <c r="AR9" s="2"/>
    </row>
    <row r="10" ht="15.6" customHeight="1" spans="1:44" x14ac:dyDescent="0.25">
      <c r="A10" s="30"/>
      <c r="B10" s="31" t="s">
        <v>11</v>
      </c>
      <c r="C10" s="31"/>
      <c r="D10" s="32" t="s">
        <v>12</v>
      </c>
      <c r="E10" s="33"/>
      <c r="F10" s="31" t="s">
        <v>11</v>
      </c>
      <c r="G10" s="31"/>
      <c r="H10" s="32" t="s">
        <v>12</v>
      </c>
      <c r="I10" s="33"/>
      <c r="J10" s="31" t="s">
        <v>11</v>
      </c>
      <c r="K10" s="31"/>
      <c r="L10" s="32" t="s">
        <v>12</v>
      </c>
      <c r="M10" s="33"/>
      <c r="N10" s="31" t="s">
        <v>11</v>
      </c>
      <c r="O10" s="31"/>
      <c r="P10" s="32" t="s">
        <v>12</v>
      </c>
      <c r="Q10" s="33"/>
      <c r="R10" s="31"/>
      <c r="S10" s="31"/>
      <c r="T10" s="31"/>
      <c r="U10" s="31"/>
      <c r="V10" s="35"/>
      <c r="W10" s="3"/>
      <c r="X10" s="34"/>
      <c r="Y10" s="34"/>
      <c r="Z10" s="34"/>
      <c r="AA10" s="34"/>
      <c r="AB10" s="36"/>
      <c r="AC10" s="36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5"/>
      <c r="AQ10" s="35"/>
      <c r="AR10" s="2"/>
    </row>
    <row r="11" ht="15.6" customHeight="1" spans="1:44" x14ac:dyDescent="0.25">
      <c r="A11" s="30"/>
      <c r="B11" s="35"/>
      <c r="C11" s="35"/>
      <c r="D11" s="5"/>
      <c r="E11" s="5"/>
      <c r="F11" s="35"/>
      <c r="G11" s="35"/>
      <c r="H11" s="5"/>
      <c r="I11" s="5"/>
      <c r="J11" s="35"/>
      <c r="K11" s="35"/>
      <c r="L11" s="5"/>
      <c r="M11" s="5"/>
      <c r="N11" s="35"/>
      <c r="O11" s="35"/>
      <c r="P11" s="5"/>
      <c r="Q11" s="5"/>
      <c r="R11" s="35"/>
      <c r="S11" s="35"/>
      <c r="T11" s="35"/>
      <c r="U11" s="35"/>
      <c r="V11" s="35"/>
      <c r="W11" s="3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2"/>
    </row>
    <row r="12" ht="15.6" customHeight="1" spans="1:43" x14ac:dyDescent="0.25">
      <c r="A12" s="30"/>
      <c r="B12" s="31">
        <v>0</v>
      </c>
      <c r="C12" s="31"/>
      <c r="D12" s="37">
        <v>1</v>
      </c>
      <c r="E12" s="37"/>
      <c r="F12" s="31">
        <v>2</v>
      </c>
      <c r="G12" s="31"/>
      <c r="H12" s="37">
        <v>3</v>
      </c>
      <c r="I12" s="37"/>
      <c r="J12" s="31">
        <v>4</v>
      </c>
      <c r="K12" s="31"/>
      <c r="L12" s="37">
        <v>5</v>
      </c>
      <c r="M12" s="37"/>
      <c r="N12" s="31">
        <v>6</v>
      </c>
      <c r="O12" s="31"/>
      <c r="P12" s="37">
        <v>7</v>
      </c>
      <c r="Q12" s="37"/>
      <c r="R12" s="31">
        <v>8</v>
      </c>
      <c r="S12" s="31"/>
      <c r="T12" s="31">
        <v>9</v>
      </c>
      <c r="U12" s="31"/>
      <c r="V12" s="38"/>
      <c r="W12" s="3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5"/>
      <c r="AQ12" s="35"/>
    </row>
    <row r="13" ht="15.6" customHeight="1" spans="1:43" x14ac:dyDescent="0.25">
      <c r="A13" s="30"/>
      <c r="B13" s="31" t="s">
        <v>13</v>
      </c>
      <c r="C13" s="31" t="s">
        <v>14</v>
      </c>
      <c r="D13" s="37" t="s">
        <v>15</v>
      </c>
      <c r="E13" s="37" t="s">
        <v>16</v>
      </c>
      <c r="F13" s="31" t="s">
        <v>13</v>
      </c>
      <c r="G13" s="31" t="s">
        <v>14</v>
      </c>
      <c r="H13" s="37" t="s">
        <v>15</v>
      </c>
      <c r="I13" s="37" t="s">
        <v>16</v>
      </c>
      <c r="J13" s="31" t="s">
        <v>13</v>
      </c>
      <c r="K13" s="31" t="s">
        <v>14</v>
      </c>
      <c r="L13" s="37" t="s">
        <v>15</v>
      </c>
      <c r="M13" s="37" t="s">
        <v>16</v>
      </c>
      <c r="N13" s="31" t="s">
        <v>13</v>
      </c>
      <c r="O13" s="31" t="s">
        <v>14</v>
      </c>
      <c r="P13" s="37" t="s">
        <v>15</v>
      </c>
      <c r="Q13" s="37" t="s">
        <v>16</v>
      </c>
      <c r="R13" s="31" t="s">
        <v>13</v>
      </c>
      <c r="S13" s="31" t="s">
        <v>14</v>
      </c>
      <c r="T13" s="31" t="s">
        <v>15</v>
      </c>
      <c r="U13" s="31" t="s">
        <v>16</v>
      </c>
      <c r="V13" s="38"/>
      <c r="W13" s="3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5"/>
      <c r="AQ13" s="35"/>
    </row>
    <row r="14" ht="15.6" customHeight="1" spans="1:43" x14ac:dyDescent="0.25">
      <c r="A14" s="39"/>
      <c r="B14" s="40"/>
      <c r="C14" s="40"/>
      <c r="D14" s="41"/>
      <c r="E14" s="42"/>
      <c r="F14" s="40"/>
      <c r="G14" s="40"/>
      <c r="H14" s="41"/>
      <c r="I14" s="42"/>
      <c r="J14" s="40"/>
      <c r="K14" s="40"/>
      <c r="L14" s="41"/>
      <c r="M14" s="42"/>
      <c r="N14" s="40"/>
      <c r="O14" s="40"/>
      <c r="P14" s="41"/>
      <c r="Q14" s="42"/>
      <c r="R14" s="40"/>
      <c r="S14" s="40"/>
      <c r="T14" s="40"/>
      <c r="U14" s="40"/>
      <c r="V14" s="43"/>
      <c r="W14" s="3"/>
      <c r="X14" s="44"/>
      <c r="Y14" s="44"/>
      <c r="Z14" s="44"/>
      <c r="AA14" s="44"/>
      <c r="AB14" s="35"/>
      <c r="AC14" s="35"/>
      <c r="AD14" s="35"/>
      <c r="AE14" s="35"/>
      <c r="AF14" s="35"/>
      <c r="AG14" s="35"/>
      <c r="AH14" s="35"/>
      <c r="AI14" s="35"/>
      <c r="AJ14" s="35"/>
      <c r="AK14" s="45"/>
      <c r="AL14" s="35"/>
      <c r="AM14" s="35"/>
      <c r="AN14" s="35"/>
      <c r="AO14" s="35"/>
      <c r="AP14" s="35"/>
      <c r="AQ14" s="35"/>
    </row>
    <row r="15" ht="15.6" customHeight="1" spans="1:43" x14ac:dyDescent="0.25">
      <c r="A15" s="3"/>
      <c r="B15" s="46" t="s">
        <v>17</v>
      </c>
      <c r="C15" s="47"/>
      <c r="D15" s="48" t="s">
        <v>18</v>
      </c>
      <c r="E15" s="47"/>
      <c r="F15" s="46" t="s">
        <v>17</v>
      </c>
      <c r="G15" s="47"/>
      <c r="H15" s="48" t="s">
        <v>19</v>
      </c>
      <c r="I15" s="47"/>
      <c r="J15" s="46" t="s">
        <v>17</v>
      </c>
      <c r="K15" s="47"/>
      <c r="L15" s="48" t="s">
        <v>20</v>
      </c>
      <c r="M15" s="47"/>
      <c r="N15" s="46" t="s">
        <v>17</v>
      </c>
      <c r="O15" s="47"/>
      <c r="P15" s="48" t="s">
        <v>21</v>
      </c>
      <c r="Q15" s="47"/>
      <c r="R15" s="35"/>
      <c r="S15" s="35"/>
      <c r="T15" s="35"/>
      <c r="U15" s="35"/>
      <c r="V15" s="38"/>
      <c r="W15" s="3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</row>
    <row r="16" ht="15.6" customHeight="1" spans="1:43" x14ac:dyDescent="0.25">
      <c r="A16" s="3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35"/>
      <c r="S16" s="35"/>
      <c r="T16" s="35"/>
      <c r="U16" s="35"/>
      <c r="V16" s="38"/>
      <c r="W16" s="3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</row>
    <row r="17" ht="15.6" customHeight="1" spans="1:43" x14ac:dyDescent="0.25">
      <c r="A17" s="3"/>
      <c r="B17" s="50" t="s">
        <v>22</v>
      </c>
      <c r="C17" s="51"/>
      <c r="D17" s="52" t="s">
        <v>23</v>
      </c>
      <c r="E17" s="53"/>
      <c r="F17" s="50" t="s">
        <v>22</v>
      </c>
      <c r="G17" s="51"/>
      <c r="H17" s="52" t="s">
        <v>24</v>
      </c>
      <c r="I17" s="53"/>
      <c r="J17" s="50" t="s">
        <v>22</v>
      </c>
      <c r="K17" s="51"/>
      <c r="L17" s="52" t="s">
        <v>24</v>
      </c>
      <c r="M17" s="53"/>
      <c r="N17" s="50" t="s">
        <v>22</v>
      </c>
      <c r="O17" s="51"/>
      <c r="P17" s="52" t="s">
        <v>25</v>
      </c>
      <c r="Q17" s="53"/>
      <c r="R17" s="35"/>
      <c r="S17" s="35"/>
      <c r="T17" s="35"/>
      <c r="U17" s="35"/>
      <c r="V17" s="38"/>
      <c r="W17" s="3"/>
      <c r="X17" s="3"/>
      <c r="Y17" s="3"/>
      <c r="Z17" s="3"/>
      <c r="AA17" s="3"/>
      <c r="AB17" s="35"/>
      <c r="AC17" s="3"/>
      <c r="AD17" s="3"/>
      <c r="AE17" s="3"/>
      <c r="AF17" s="3"/>
      <c r="AG17" s="3"/>
      <c r="AH17" s="3"/>
      <c r="AI17" s="3"/>
      <c r="AJ17" s="3"/>
      <c r="AK17" s="26"/>
      <c r="AL17" s="3"/>
      <c r="AM17" s="3"/>
      <c r="AN17" s="3"/>
      <c r="AO17" s="3"/>
      <c r="AP17" s="3"/>
      <c r="AQ17" s="3"/>
    </row>
    <row r="18" ht="15.6" customHeight="1" spans="1:44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ht="15.6" customHeight="1" spans="1:44" x14ac:dyDescent="0.25">
      <c r="A19" s="3"/>
      <c r="B19" s="3"/>
      <c r="C19" s="3"/>
      <c r="D19" s="4"/>
      <c r="E19" s="5" t="s">
        <v>26</v>
      </c>
      <c r="F19" s="54" t="s">
        <v>27</v>
      </c>
      <c r="G19" s="54"/>
      <c r="H19" s="54"/>
      <c r="I19" s="54" t="s">
        <v>28</v>
      </c>
      <c r="J19" s="54"/>
      <c r="K19" s="3"/>
      <c r="L19" s="4"/>
      <c r="M19" s="4"/>
      <c r="N19" s="3"/>
      <c r="O19" s="35" t="s">
        <v>29</v>
      </c>
      <c r="P19" s="4" t="s">
        <v>30</v>
      </c>
      <c r="Q19" s="4"/>
      <c r="R19" s="3"/>
      <c r="S19" s="3" t="s">
        <v>31</v>
      </c>
      <c r="T19" s="3"/>
      <c r="U19" s="3"/>
      <c r="V19" s="3"/>
      <c r="W19" s="3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3"/>
    </row>
    <row r="20" ht="15.6" customHeight="1" spans="1:44" x14ac:dyDescent="0.25">
      <c r="A20" s="3"/>
      <c r="B20" s="3"/>
      <c r="C20" s="3"/>
      <c r="D20" s="4"/>
      <c r="E20" s="5" t="s">
        <v>32</v>
      </c>
      <c r="F20" s="54" t="s">
        <v>33</v>
      </c>
      <c r="G20" s="54"/>
      <c r="H20" s="54"/>
      <c r="I20" s="4" t="s">
        <v>34</v>
      </c>
      <c r="J20" s="3"/>
      <c r="K20" s="3"/>
      <c r="L20" s="4"/>
      <c r="M20" s="4"/>
      <c r="N20" s="3"/>
      <c r="O20" s="35" t="s">
        <v>35</v>
      </c>
      <c r="P20" s="4" t="s">
        <v>30</v>
      </c>
      <c r="Q20" s="4"/>
      <c r="R20" s="3"/>
      <c r="S20" s="3" t="s">
        <v>36</v>
      </c>
      <c r="T20" s="3"/>
      <c r="U20" s="3"/>
      <c r="V20" s="3"/>
      <c r="W20" s="3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3"/>
    </row>
    <row r="21" ht="15.6" customHeight="1" spans="1:44" s="2" customFormat="1" x14ac:dyDescent="0.25">
      <c r="A21" s="3" t="s">
        <v>0</v>
      </c>
      <c r="B21" s="3"/>
      <c r="C21" s="3"/>
      <c r="D21" s="4"/>
      <c r="E21" s="5"/>
      <c r="F21" s="3"/>
      <c r="G21" s="3"/>
      <c r="H21" s="4"/>
      <c r="I21" s="4"/>
      <c r="J21" s="3"/>
      <c r="K21" s="3"/>
      <c r="L21" s="4"/>
      <c r="M21" s="4"/>
      <c r="N21" s="3"/>
      <c r="O21" s="3"/>
      <c r="P21" s="4"/>
      <c r="Q21" s="4"/>
      <c r="R21" s="3"/>
      <c r="S21" s="3"/>
      <c r="T21" s="3"/>
      <c r="U21" s="3"/>
      <c r="V21" s="3"/>
      <c r="W21" s="3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3"/>
    </row>
    <row r="22" ht="15.6" customHeight="1" spans="1:44" x14ac:dyDescent="0.25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10" t="s">
        <v>3</v>
      </c>
      <c r="O22" s="11"/>
      <c r="P22" s="4"/>
      <c r="Q22" s="4"/>
      <c r="R22" s="3"/>
      <c r="S22" s="3"/>
      <c r="T22" s="3"/>
      <c r="U22" s="3"/>
      <c r="V22" s="3"/>
      <c r="W22" s="3"/>
      <c r="X22" s="3"/>
      <c r="Y22" s="3"/>
      <c r="Z22" s="3"/>
      <c r="AA22" s="3"/>
      <c r="AB22" s="12"/>
      <c r="AC22" s="3"/>
      <c r="AD22" s="3"/>
      <c r="AE22" s="3"/>
      <c r="AF22" s="3"/>
      <c r="AG22" s="3"/>
      <c r="AH22" s="3"/>
      <c r="AI22" s="3"/>
      <c r="AJ22" s="13"/>
      <c r="AK22" s="14"/>
      <c r="AL22" s="14"/>
      <c r="AM22" s="3"/>
      <c r="AN22" s="3"/>
      <c r="AO22" s="3"/>
      <c r="AP22" s="3"/>
      <c r="AQ22" s="3"/>
      <c r="AR22" s="3"/>
    </row>
    <row r="23" ht="15.6" customHeight="1" spans="1:44" x14ac:dyDescent="0.25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5"/>
      <c r="K23" s="15"/>
      <c r="L23" s="16"/>
      <c r="M23" s="9" t="s">
        <v>5</v>
      </c>
      <c r="N23" s="17" t="s">
        <v>6</v>
      </c>
      <c r="O23" s="17"/>
      <c r="P23" s="4"/>
      <c r="Q23" s="4"/>
      <c r="R23" s="3"/>
      <c r="S23" s="3"/>
      <c r="T23" s="3"/>
      <c r="U23" s="3"/>
      <c r="V23" s="3"/>
      <c r="W23" s="3"/>
      <c r="X23" s="3"/>
      <c r="Y23" s="3"/>
      <c r="Z23" s="3"/>
      <c r="AA23" s="3"/>
      <c r="AB23" s="12"/>
      <c r="AC23" s="3"/>
      <c r="AD23" s="3"/>
      <c r="AE23" s="3"/>
      <c r="AF23" s="3"/>
      <c r="AG23" s="3"/>
      <c r="AH23" s="3"/>
      <c r="AI23" s="3"/>
      <c r="AJ23" s="13"/>
      <c r="AK23" s="18"/>
      <c r="AL23" s="18"/>
      <c r="AM23" s="3"/>
      <c r="AN23" s="3"/>
      <c r="AO23" s="3"/>
      <c r="AP23" s="3"/>
      <c r="AQ23" s="3"/>
      <c r="AR23" s="3"/>
    </row>
    <row r="24" ht="15.6" customHeight="1" spans="1:44" x14ac:dyDescent="0.25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9" t="s">
        <v>5</v>
      </c>
      <c r="N24" s="20"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21"/>
      <c r="AK24" s="20"/>
      <c r="AL24" s="3"/>
      <c r="AM24" s="3"/>
      <c r="AN24" s="3"/>
      <c r="AO24" s="3"/>
      <c r="AP24" s="3"/>
      <c r="AQ24" s="3"/>
      <c r="AR24" s="3"/>
    </row>
    <row r="25" ht="15.6" customHeight="1" spans="1:44" x14ac:dyDescent="0.25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6"/>
      <c r="M25" s="19" t="s">
        <v>5</v>
      </c>
      <c r="N25" s="20" t="s">
        <v>9</v>
      </c>
      <c r="O25" s="22"/>
      <c r="P25" s="4"/>
      <c r="Q25" s="4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21"/>
      <c r="AK25" s="20"/>
      <c r="AL25" s="23"/>
      <c r="AM25" s="3"/>
      <c r="AN25" s="3"/>
      <c r="AO25" s="3"/>
      <c r="AP25" s="3"/>
      <c r="AQ25" s="3"/>
      <c r="AR25" s="3"/>
    </row>
    <row r="26" ht="15.6" customHeight="1" spans="1:44" x14ac:dyDescent="0.25">
      <c r="A26" s="3"/>
      <c r="B26" s="3"/>
      <c r="C26" s="3"/>
      <c r="D26" s="4"/>
      <c r="E26" s="24" t="s">
        <v>10</v>
      </c>
      <c r="F26" s="3"/>
      <c r="G26" s="3"/>
      <c r="H26" s="4"/>
      <c r="I26" s="8"/>
      <c r="J26" s="7"/>
      <c r="K26" s="7"/>
      <c r="L26" s="8"/>
      <c r="M26" s="19" t="s">
        <v>5</v>
      </c>
      <c r="N26" s="25">
        <v>14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21"/>
      <c r="AK26" s="20"/>
      <c r="AL26" s="3"/>
      <c r="AM26" s="3"/>
      <c r="AN26" s="3"/>
      <c r="AO26" s="3"/>
      <c r="AP26" s="3"/>
      <c r="AQ26" s="3"/>
      <c r="AR26" s="3"/>
    </row>
    <row r="27" ht="15.6" customHeight="1" spans="1:44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26"/>
      <c r="AL27" s="3"/>
      <c r="AM27" s="3"/>
      <c r="AN27" s="3"/>
      <c r="AO27" s="3"/>
      <c r="AP27" s="3"/>
      <c r="AQ27" s="3"/>
      <c r="AR27" s="3"/>
    </row>
    <row r="28" ht="15.6" customHeight="1" spans="1:44" x14ac:dyDescent="0.25">
      <c r="A28" s="27"/>
      <c r="B28" s="28"/>
      <c r="C28" s="28"/>
      <c r="D28" s="29"/>
      <c r="E28" s="29"/>
      <c r="F28" s="28"/>
      <c r="G28" s="28"/>
      <c r="H28" s="29"/>
      <c r="I28" s="29"/>
      <c r="J28" s="28"/>
      <c r="K28" s="28"/>
      <c r="L28" s="29"/>
      <c r="M28" s="29"/>
      <c r="N28" s="28"/>
      <c r="O28" s="28"/>
      <c r="P28" s="29"/>
      <c r="Q28" s="29"/>
      <c r="R28" s="28"/>
      <c r="S28" s="28"/>
      <c r="T28" s="28"/>
      <c r="U28" s="28"/>
      <c r="V28" s="28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26"/>
      <c r="AL28" s="3"/>
      <c r="AM28" s="3"/>
      <c r="AN28" s="3"/>
      <c r="AO28" s="3"/>
      <c r="AP28" s="3"/>
      <c r="AQ28" s="3"/>
      <c r="AR28" s="3"/>
    </row>
    <row r="29" ht="15.6" customHeight="1" spans="1:44" x14ac:dyDescent="0.25">
      <c r="A29" s="30"/>
      <c r="B29" s="31"/>
      <c r="C29" s="31"/>
      <c r="D29" s="32">
        <v>1</v>
      </c>
      <c r="E29" s="33"/>
      <c r="F29" s="31"/>
      <c r="G29" s="31"/>
      <c r="H29" s="32">
        <v>2</v>
      </c>
      <c r="I29" s="33"/>
      <c r="J29" s="31"/>
      <c r="K29" s="31"/>
      <c r="L29" s="32">
        <v>3</v>
      </c>
      <c r="M29" s="33"/>
      <c r="N29" s="31"/>
      <c r="O29" s="31"/>
      <c r="P29" s="32">
        <v>4</v>
      </c>
      <c r="Q29" s="33"/>
      <c r="R29" s="31"/>
      <c r="S29" s="31"/>
      <c r="T29" s="31"/>
      <c r="U29" s="31"/>
      <c r="V29" s="3"/>
      <c r="W29" s="3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5"/>
      <c r="AQ29" s="35"/>
      <c r="AR29" s="2"/>
    </row>
    <row r="30" ht="15.6" customHeight="1" spans="1:44" x14ac:dyDescent="0.25">
      <c r="A30" s="30"/>
      <c r="B30" s="31" t="s">
        <v>11</v>
      </c>
      <c r="C30" s="31"/>
      <c r="D30" s="32" t="s">
        <v>12</v>
      </c>
      <c r="E30" s="33"/>
      <c r="F30" s="31" t="s">
        <v>11</v>
      </c>
      <c r="G30" s="31"/>
      <c r="H30" s="32" t="s">
        <v>12</v>
      </c>
      <c r="I30" s="33"/>
      <c r="J30" s="31" t="s">
        <v>11</v>
      </c>
      <c r="K30" s="31"/>
      <c r="L30" s="32" t="s">
        <v>12</v>
      </c>
      <c r="M30" s="33"/>
      <c r="N30" s="31" t="s">
        <v>11</v>
      </c>
      <c r="O30" s="31"/>
      <c r="P30" s="32" t="s">
        <v>12</v>
      </c>
      <c r="Q30" s="33"/>
      <c r="R30" s="31"/>
      <c r="S30" s="31"/>
      <c r="T30" s="31"/>
      <c r="U30" s="31"/>
      <c r="V30" s="35"/>
      <c r="W30" s="3"/>
      <c r="X30" s="34"/>
      <c r="Y30" s="34"/>
      <c r="Z30" s="34"/>
      <c r="AA30" s="34"/>
      <c r="AB30" s="36"/>
      <c r="AC30" s="36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5"/>
      <c r="AQ30" s="35"/>
      <c r="AR30" s="2"/>
    </row>
    <row r="31" ht="15.6" customHeight="1" spans="1:44" x14ac:dyDescent="0.25">
      <c r="A31" s="30"/>
      <c r="B31" s="35"/>
      <c r="C31" s="35"/>
      <c r="D31" s="5"/>
      <c r="E31" s="5"/>
      <c r="F31" s="35"/>
      <c r="G31" s="35"/>
      <c r="H31" s="5"/>
      <c r="I31" s="5"/>
      <c r="J31" s="35"/>
      <c r="K31" s="35"/>
      <c r="L31" s="5"/>
      <c r="M31" s="5"/>
      <c r="N31" s="35"/>
      <c r="O31" s="35"/>
      <c r="P31" s="5"/>
      <c r="Q31" s="5"/>
      <c r="R31" s="35"/>
      <c r="S31" s="35"/>
      <c r="T31" s="35"/>
      <c r="U31" s="35"/>
      <c r="V31" s="35"/>
      <c r="W31" s="3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2"/>
    </row>
    <row r="32" ht="15.6" customHeight="1" spans="1:43" x14ac:dyDescent="0.25">
      <c r="A32" s="30"/>
      <c r="B32" s="31">
        <v>0</v>
      </c>
      <c r="C32" s="31"/>
      <c r="D32" s="37">
        <v>1</v>
      </c>
      <c r="E32" s="37"/>
      <c r="F32" s="31">
        <v>2</v>
      </c>
      <c r="G32" s="31"/>
      <c r="H32" s="37">
        <v>3</v>
      </c>
      <c r="I32" s="37"/>
      <c r="J32" s="31">
        <v>4</v>
      </c>
      <c r="K32" s="31"/>
      <c r="L32" s="37">
        <v>5</v>
      </c>
      <c r="M32" s="37"/>
      <c r="N32" s="31">
        <v>6</v>
      </c>
      <c r="O32" s="31"/>
      <c r="P32" s="37">
        <v>7</v>
      </c>
      <c r="Q32" s="37"/>
      <c r="R32" s="31">
        <v>8</v>
      </c>
      <c r="S32" s="31"/>
      <c r="T32" s="31">
        <v>9</v>
      </c>
      <c r="U32" s="31"/>
      <c r="V32" s="38"/>
      <c r="W32" s="3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5"/>
      <c r="AQ32" s="35"/>
    </row>
    <row r="33" ht="15.6" customHeight="1" spans="1:43" x14ac:dyDescent="0.25">
      <c r="A33" s="30"/>
      <c r="B33" s="31" t="s">
        <v>13</v>
      </c>
      <c r="C33" s="31" t="s">
        <v>14</v>
      </c>
      <c r="D33" s="37" t="s">
        <v>15</v>
      </c>
      <c r="E33" s="37" t="s">
        <v>16</v>
      </c>
      <c r="F33" s="31" t="s">
        <v>13</v>
      </c>
      <c r="G33" s="31" t="s">
        <v>14</v>
      </c>
      <c r="H33" s="37" t="s">
        <v>15</v>
      </c>
      <c r="I33" s="37" t="s">
        <v>16</v>
      </c>
      <c r="J33" s="31" t="s">
        <v>13</v>
      </c>
      <c r="K33" s="31" t="s">
        <v>14</v>
      </c>
      <c r="L33" s="37" t="s">
        <v>15</v>
      </c>
      <c r="M33" s="37" t="s">
        <v>16</v>
      </c>
      <c r="N33" s="31" t="s">
        <v>13</v>
      </c>
      <c r="O33" s="31" t="s">
        <v>14</v>
      </c>
      <c r="P33" s="37" t="s">
        <v>15</v>
      </c>
      <c r="Q33" s="37" t="s">
        <v>16</v>
      </c>
      <c r="R33" s="31" t="s">
        <v>13</v>
      </c>
      <c r="S33" s="31" t="s">
        <v>14</v>
      </c>
      <c r="T33" s="31" t="s">
        <v>15</v>
      </c>
      <c r="U33" s="31" t="s">
        <v>16</v>
      </c>
      <c r="V33" s="38"/>
      <c r="W33" s="3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35"/>
    </row>
    <row r="34" ht="15.6" customHeight="1" spans="1:43" x14ac:dyDescent="0.25">
      <c r="A34" s="39"/>
      <c r="B34" s="40"/>
      <c r="C34" s="40"/>
      <c r="D34" s="41"/>
      <c r="E34" s="42"/>
      <c r="F34" s="40"/>
      <c r="G34" s="40"/>
      <c r="H34" s="41"/>
      <c r="I34" s="42"/>
      <c r="J34" s="40"/>
      <c r="K34" s="40"/>
      <c r="L34" s="41"/>
      <c r="M34" s="42"/>
      <c r="N34" s="40"/>
      <c r="O34" s="40"/>
      <c r="P34" s="41"/>
      <c r="Q34" s="42"/>
      <c r="R34" s="40"/>
      <c r="S34" s="40"/>
      <c r="T34" s="40"/>
      <c r="U34" s="40"/>
      <c r="V34" s="43"/>
      <c r="W34" s="3"/>
      <c r="X34" s="44"/>
      <c r="Y34" s="44"/>
      <c r="Z34" s="44"/>
      <c r="AA34" s="44"/>
      <c r="AB34" s="35"/>
      <c r="AC34" s="35"/>
      <c r="AD34" s="35"/>
      <c r="AE34" s="35"/>
      <c r="AF34" s="35"/>
      <c r="AG34" s="35"/>
      <c r="AH34" s="35"/>
      <c r="AI34" s="35"/>
      <c r="AJ34" s="35"/>
      <c r="AK34" s="45"/>
      <c r="AL34" s="35"/>
      <c r="AM34" s="35"/>
      <c r="AN34" s="35"/>
      <c r="AO34" s="35"/>
      <c r="AP34" s="35"/>
      <c r="AQ34" s="35"/>
    </row>
    <row r="35" ht="15.6" customHeight="1" spans="1:43" x14ac:dyDescent="0.25">
      <c r="A35" s="3"/>
      <c r="B35" s="46" t="s">
        <v>17</v>
      </c>
      <c r="C35" s="47"/>
      <c r="D35" s="48" t="s">
        <v>37</v>
      </c>
      <c r="E35" s="47"/>
      <c r="F35" s="46" t="s">
        <v>17</v>
      </c>
      <c r="G35" s="47"/>
      <c r="H35" s="48" t="s">
        <v>38</v>
      </c>
      <c r="I35" s="47"/>
      <c r="J35" s="46" t="s">
        <v>39</v>
      </c>
      <c r="K35" s="47"/>
      <c r="L35" s="48" t="s">
        <v>40</v>
      </c>
      <c r="M35" s="47"/>
      <c r="N35" s="46" t="s">
        <v>39</v>
      </c>
      <c r="O35" s="47"/>
      <c r="P35" s="48" t="s">
        <v>41</v>
      </c>
      <c r="Q35" s="47"/>
      <c r="R35" s="35"/>
      <c r="S35" s="35"/>
      <c r="T35" s="35"/>
      <c r="U35" s="35"/>
      <c r="V35" s="38"/>
      <c r="W35" s="3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</row>
    <row r="36" ht="15.6" customHeight="1" spans="1:43" x14ac:dyDescent="0.25">
      <c r="A36" s="3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35"/>
      <c r="S36" s="35"/>
      <c r="T36" s="35"/>
      <c r="U36" s="35"/>
      <c r="V36" s="38"/>
      <c r="W36" s="3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</row>
    <row r="37" ht="15.6" customHeight="1" spans="1:43" x14ac:dyDescent="0.25">
      <c r="A37" s="3"/>
      <c r="B37" s="50" t="s">
        <v>22</v>
      </c>
      <c r="C37" s="51"/>
      <c r="D37" s="52" t="s">
        <v>42</v>
      </c>
      <c r="E37" s="53"/>
      <c r="F37" s="50" t="s">
        <v>22</v>
      </c>
      <c r="G37" s="51"/>
      <c r="H37" s="52" t="s">
        <v>43</v>
      </c>
      <c r="I37" s="53"/>
      <c r="J37" s="50" t="s">
        <v>22</v>
      </c>
      <c r="K37" s="51"/>
      <c r="L37" s="52" t="s">
        <v>23</v>
      </c>
      <c r="M37" s="53"/>
      <c r="N37" s="50" t="s">
        <v>22</v>
      </c>
      <c r="O37" s="51"/>
      <c r="P37" s="52" t="s">
        <v>44</v>
      </c>
      <c r="Q37" s="53"/>
      <c r="R37" s="35"/>
      <c r="S37" s="35"/>
      <c r="T37" s="35"/>
      <c r="U37" s="35"/>
      <c r="V37" s="38"/>
      <c r="W37" s="3"/>
      <c r="X37" s="3"/>
      <c r="Y37" s="3"/>
      <c r="Z37" s="3"/>
      <c r="AA37" s="3"/>
      <c r="AB37" s="35"/>
      <c r="AC37" s="3"/>
      <c r="AD37" s="3"/>
      <c r="AE37" s="3"/>
      <c r="AF37" s="3"/>
      <c r="AG37" s="3"/>
      <c r="AH37" s="3"/>
      <c r="AI37" s="3"/>
      <c r="AJ37" s="3"/>
      <c r="AK37" s="26"/>
      <c r="AL37" s="3"/>
      <c r="AM37" s="3"/>
      <c r="AN37" s="3"/>
      <c r="AO37" s="3"/>
      <c r="AP37" s="3"/>
      <c r="AQ37" s="3"/>
    </row>
    <row r="38" ht="15.6" customHeight="1" spans="1:44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ht="15.6" customHeight="1" spans="1:44" x14ac:dyDescent="0.25">
      <c r="A39" s="3"/>
      <c r="B39" s="3"/>
      <c r="C39" s="3"/>
      <c r="D39" s="4"/>
      <c r="E39" s="5" t="s">
        <v>26</v>
      </c>
      <c r="F39" s="54" t="s">
        <v>27</v>
      </c>
      <c r="G39" s="54"/>
      <c r="H39" s="54"/>
      <c r="I39" s="54" t="s">
        <v>28</v>
      </c>
      <c r="J39" s="54"/>
      <c r="K39" s="3"/>
      <c r="L39" s="4"/>
      <c r="M39" s="4"/>
      <c r="N39" s="3"/>
      <c r="O39" s="35" t="s">
        <v>29</v>
      </c>
      <c r="P39" s="4" t="s">
        <v>30</v>
      </c>
      <c r="Q39" s="4"/>
      <c r="R39" s="3"/>
      <c r="S39" s="3" t="s">
        <v>31</v>
      </c>
      <c r="T39" s="3"/>
      <c r="U39" s="3"/>
      <c r="V39" s="3"/>
      <c r="W39" s="3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3"/>
    </row>
    <row r="40" ht="15.6" customHeight="1" spans="1:44" x14ac:dyDescent="0.25">
      <c r="A40" s="3"/>
      <c r="B40" s="3"/>
      <c r="C40" s="3"/>
      <c r="D40" s="4"/>
      <c r="E40" s="5" t="s">
        <v>32</v>
      </c>
      <c r="F40" s="54" t="s">
        <v>33</v>
      </c>
      <c r="G40" s="54"/>
      <c r="H40" s="54"/>
      <c r="I40" s="4" t="s">
        <v>34</v>
      </c>
      <c r="J40" s="3"/>
      <c r="K40" s="3"/>
      <c r="L40" s="4"/>
      <c r="M40" s="4"/>
      <c r="N40" s="3"/>
      <c r="O40" s="35" t="s">
        <v>35</v>
      </c>
      <c r="P40" s="4" t="s">
        <v>30</v>
      </c>
      <c r="Q40" s="4"/>
      <c r="R40" s="3"/>
      <c r="S40" s="3" t="s">
        <v>36</v>
      </c>
      <c r="T40" s="3"/>
      <c r="U40" s="3"/>
      <c r="V40" s="3"/>
      <c r="W40" s="3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3"/>
    </row>
    <row r="41" ht="15.6" customHeight="1" spans="1:44" s="2" customFormat="1" x14ac:dyDescent="0.25">
      <c r="A41" s="3" t="s">
        <v>0</v>
      </c>
      <c r="B41" s="3"/>
      <c r="C41" s="3"/>
      <c r="D41" s="4"/>
      <c r="E41" s="5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3"/>
    </row>
    <row r="42" ht="18.75" customHeight="1" spans="1:22" x14ac:dyDescent="0.25">
      <c r="A42" s="3"/>
      <c r="B42" s="3"/>
      <c r="C42" s="3"/>
      <c r="D42" s="4"/>
      <c r="E42" s="6" t="s">
        <v>1</v>
      </c>
      <c r="F42" s="3"/>
      <c r="G42" s="7"/>
      <c r="H42" s="8"/>
      <c r="I42" s="8"/>
      <c r="J42" s="7"/>
      <c r="K42" s="7"/>
      <c r="L42" s="8"/>
      <c r="M42" s="9" t="s">
        <v>2</v>
      </c>
      <c r="N42" s="10" t="s">
        <v>3</v>
      </c>
      <c r="O42" s="11"/>
      <c r="P42" s="4"/>
      <c r="Q42" s="4"/>
      <c r="R42" s="3"/>
      <c r="S42" s="3"/>
      <c r="T42" s="3"/>
      <c r="U42" s="3"/>
      <c r="V42" s="3"/>
    </row>
    <row r="43" ht="18.75" customHeight="1" spans="1:22" x14ac:dyDescent="0.25">
      <c r="A43" s="3"/>
      <c r="B43" s="3"/>
      <c r="C43" s="3"/>
      <c r="D43" s="4"/>
      <c r="E43" s="6" t="s">
        <v>4</v>
      </c>
      <c r="F43" s="3"/>
      <c r="G43" s="3"/>
      <c r="H43" s="4"/>
      <c r="I43" s="4"/>
      <c r="J43" s="15"/>
      <c r="K43" s="15"/>
      <c r="L43" s="16"/>
      <c r="M43" s="9" t="s">
        <v>5</v>
      </c>
      <c r="N43" s="17" t="s">
        <v>6</v>
      </c>
      <c r="O43" s="17"/>
      <c r="P43" s="4"/>
      <c r="Q43" s="4"/>
      <c r="R43" s="3"/>
      <c r="S43" s="3"/>
      <c r="T43" s="3"/>
      <c r="U43" s="3"/>
      <c r="V43" s="3"/>
    </row>
    <row r="44" ht="18.75" customHeight="1" spans="1:22" x14ac:dyDescent="0.25">
      <c r="A44" s="3"/>
      <c r="B44" s="3"/>
      <c r="C44" s="3"/>
      <c r="D44" s="4"/>
      <c r="E44" s="4" t="s">
        <v>7</v>
      </c>
      <c r="F44" s="3"/>
      <c r="G44" s="3"/>
      <c r="H44" s="8"/>
      <c r="I44" s="8"/>
      <c r="J44" s="7"/>
      <c r="K44" s="7"/>
      <c r="L44" s="8"/>
      <c r="M44" s="19" t="s">
        <v>5</v>
      </c>
      <c r="N44" s="20">
        <v>2</v>
      </c>
      <c r="O44" s="3"/>
      <c r="P44" s="4"/>
      <c r="Q44" s="4"/>
      <c r="R44" s="3"/>
      <c r="S44" s="3"/>
      <c r="T44" s="3"/>
      <c r="U44" s="3"/>
      <c r="V44" s="3"/>
    </row>
    <row r="45" ht="18.75" customHeight="1" spans="1:22" x14ac:dyDescent="0.25">
      <c r="A45" s="3"/>
      <c r="B45" s="3"/>
      <c r="C45" s="3"/>
      <c r="D45" s="4"/>
      <c r="E45" s="4" t="s">
        <v>8</v>
      </c>
      <c r="F45" s="3"/>
      <c r="G45" s="3"/>
      <c r="H45" s="4"/>
      <c r="I45" s="4"/>
      <c r="J45" s="3"/>
      <c r="K45" s="3"/>
      <c r="L45" s="16"/>
      <c r="M45" s="19" t="s">
        <v>5</v>
      </c>
      <c r="N45" s="20" t="s">
        <v>9</v>
      </c>
      <c r="O45" s="22"/>
      <c r="P45" s="4"/>
      <c r="Q45" s="4"/>
      <c r="R45" s="3"/>
      <c r="S45" s="3"/>
      <c r="T45" s="3"/>
      <c r="U45" s="3"/>
      <c r="V45" s="3"/>
    </row>
    <row r="46" ht="18.75" customHeight="1" spans="1:22" x14ac:dyDescent="0.25">
      <c r="A46" s="3"/>
      <c r="B46" s="3"/>
      <c r="C46" s="3"/>
      <c r="D46" s="4"/>
      <c r="E46" s="24" t="s">
        <v>10</v>
      </c>
      <c r="F46" s="3"/>
      <c r="G46" s="3"/>
      <c r="H46" s="4"/>
      <c r="I46" s="8"/>
      <c r="J46" s="7"/>
      <c r="K46" s="7"/>
      <c r="L46" s="8"/>
      <c r="M46" s="19" t="s">
        <v>5</v>
      </c>
      <c r="N46" s="25">
        <v>15</v>
      </c>
      <c r="O46" s="3"/>
      <c r="P46" s="4"/>
      <c r="Q46" s="4"/>
      <c r="R46" s="3"/>
      <c r="S46" s="3"/>
      <c r="T46" s="3"/>
      <c r="U46" s="3"/>
      <c r="V46" s="3"/>
    </row>
    <row r="47" ht="15.75" customHeight="1" spans="1:22" x14ac:dyDescent="0.25">
      <c r="A47" s="3"/>
      <c r="B47" s="3"/>
      <c r="C47" s="3"/>
      <c r="D47" s="4"/>
      <c r="E47" s="4"/>
      <c r="F47" s="3"/>
      <c r="G47" s="3"/>
      <c r="H47" s="4"/>
      <c r="I47" s="4"/>
      <c r="J47" s="3"/>
      <c r="K47" s="3"/>
      <c r="L47" s="4"/>
      <c r="M47" s="4"/>
      <c r="N47" s="3"/>
      <c r="O47" s="3"/>
      <c r="P47" s="4"/>
      <c r="Q47" s="4"/>
      <c r="R47" s="3"/>
      <c r="S47" s="3"/>
      <c r="T47" s="3"/>
      <c r="U47" s="3"/>
      <c r="V47" s="3"/>
    </row>
    <row r="48" spans="1:22" x14ac:dyDescent="0.25">
      <c r="A48" s="27"/>
      <c r="B48" s="28"/>
      <c r="C48" s="28"/>
      <c r="D48" s="29"/>
      <c r="E48" s="29"/>
      <c r="F48" s="28"/>
      <c r="G48" s="28"/>
      <c r="H48" s="29"/>
      <c r="I48" s="29"/>
      <c r="J48" s="28"/>
      <c r="K48" s="28"/>
      <c r="L48" s="29"/>
      <c r="M48" s="29"/>
      <c r="N48" s="28"/>
      <c r="O48" s="28"/>
      <c r="P48" s="29"/>
      <c r="Q48" s="29"/>
      <c r="R48" s="28"/>
      <c r="S48" s="28"/>
      <c r="T48" s="28"/>
      <c r="U48" s="28"/>
      <c r="V48" s="28"/>
    </row>
    <row r="49" spans="1:22" x14ac:dyDescent="0.25">
      <c r="A49" s="30"/>
      <c r="B49" s="31"/>
      <c r="C49" s="31"/>
      <c r="D49" s="32">
        <v>1</v>
      </c>
      <c r="E49" s="33"/>
      <c r="F49" s="31"/>
      <c r="G49" s="31"/>
      <c r="H49" s="32">
        <v>2</v>
      </c>
      <c r="I49" s="33"/>
      <c r="J49" s="31"/>
      <c r="K49" s="31"/>
      <c r="L49" s="32">
        <v>3</v>
      </c>
      <c r="M49" s="33"/>
      <c r="N49" s="31"/>
      <c r="O49" s="31"/>
      <c r="P49" s="32">
        <v>4</v>
      </c>
      <c r="Q49" s="33"/>
      <c r="R49" s="31"/>
      <c r="S49" s="31"/>
      <c r="T49" s="31"/>
      <c r="U49" s="31"/>
      <c r="V49" s="3"/>
    </row>
    <row r="50" spans="1:22" x14ac:dyDescent="0.25">
      <c r="A50" s="30"/>
      <c r="B50" s="31" t="s">
        <v>11</v>
      </c>
      <c r="C50" s="31"/>
      <c r="D50" s="32" t="s">
        <v>12</v>
      </c>
      <c r="E50" s="33"/>
      <c r="F50" s="31" t="s">
        <v>11</v>
      </c>
      <c r="G50" s="31"/>
      <c r="H50" s="32" t="s">
        <v>12</v>
      </c>
      <c r="I50" s="33"/>
      <c r="J50" s="31" t="s">
        <v>11</v>
      </c>
      <c r="K50" s="31"/>
      <c r="L50" s="32" t="s">
        <v>12</v>
      </c>
      <c r="M50" s="33"/>
      <c r="N50" s="31" t="s">
        <v>11</v>
      </c>
      <c r="O50" s="31"/>
      <c r="P50" s="32" t="s">
        <v>12</v>
      </c>
      <c r="Q50" s="33"/>
      <c r="R50" s="31"/>
      <c r="S50" s="31"/>
      <c r="T50" s="31"/>
      <c r="U50" s="31"/>
      <c r="V50" s="35"/>
    </row>
    <row r="51" spans="1:22" x14ac:dyDescent="0.25">
      <c r="A51" s="30"/>
      <c r="B51" s="35"/>
      <c r="C51" s="35"/>
      <c r="D51" s="5"/>
      <c r="E51" s="5"/>
      <c r="F51" s="35"/>
      <c r="G51" s="35"/>
      <c r="H51" s="5"/>
      <c r="I51" s="5"/>
      <c r="J51" s="35"/>
      <c r="K51" s="35"/>
      <c r="L51" s="5"/>
      <c r="M51" s="5"/>
      <c r="N51" s="35"/>
      <c r="O51" s="35"/>
      <c r="P51" s="5"/>
      <c r="Q51" s="5"/>
      <c r="R51" s="35"/>
      <c r="S51" s="35"/>
      <c r="T51" s="35"/>
      <c r="U51" s="35"/>
      <c r="V51" s="35"/>
    </row>
    <row r="52" spans="1:22" x14ac:dyDescent="0.25">
      <c r="A52" s="30"/>
      <c r="B52" s="31">
        <v>0</v>
      </c>
      <c r="C52" s="31"/>
      <c r="D52" s="37">
        <v>1</v>
      </c>
      <c r="E52" s="37"/>
      <c r="F52" s="31">
        <v>2</v>
      </c>
      <c r="G52" s="31"/>
      <c r="H52" s="37">
        <v>3</v>
      </c>
      <c r="I52" s="37"/>
      <c r="J52" s="31">
        <v>4</v>
      </c>
      <c r="K52" s="31"/>
      <c r="L52" s="37">
        <v>5</v>
      </c>
      <c r="M52" s="37"/>
      <c r="N52" s="31">
        <v>6</v>
      </c>
      <c r="O52" s="31"/>
      <c r="P52" s="37">
        <v>7</v>
      </c>
      <c r="Q52" s="37"/>
      <c r="R52" s="31">
        <v>8</v>
      </c>
      <c r="S52" s="31"/>
      <c r="T52" s="31">
        <v>9</v>
      </c>
      <c r="U52" s="31"/>
      <c r="V52" s="38"/>
    </row>
    <row r="53" spans="1:22" x14ac:dyDescent="0.25">
      <c r="A53" s="30"/>
      <c r="B53" s="31" t="s">
        <v>13</v>
      </c>
      <c r="C53" s="31" t="s">
        <v>14</v>
      </c>
      <c r="D53" s="37" t="s">
        <v>15</v>
      </c>
      <c r="E53" s="37" t="s">
        <v>16</v>
      </c>
      <c r="F53" s="31" t="s">
        <v>13</v>
      </c>
      <c r="G53" s="31" t="s">
        <v>14</v>
      </c>
      <c r="H53" s="37" t="s">
        <v>15</v>
      </c>
      <c r="I53" s="37" t="s">
        <v>16</v>
      </c>
      <c r="J53" s="31" t="s">
        <v>13</v>
      </c>
      <c r="K53" s="31" t="s">
        <v>14</v>
      </c>
      <c r="L53" s="37" t="s">
        <v>15</v>
      </c>
      <c r="M53" s="37" t="s">
        <v>16</v>
      </c>
      <c r="N53" s="31" t="s">
        <v>13</v>
      </c>
      <c r="O53" s="31" t="s">
        <v>14</v>
      </c>
      <c r="P53" s="37" t="s">
        <v>15</v>
      </c>
      <c r="Q53" s="37" t="s">
        <v>16</v>
      </c>
      <c r="R53" s="31" t="s">
        <v>13</v>
      </c>
      <c r="S53" s="31" t="s">
        <v>14</v>
      </c>
      <c r="T53" s="31" t="s">
        <v>15</v>
      </c>
      <c r="U53" s="31" t="s">
        <v>16</v>
      </c>
      <c r="V53" s="38"/>
    </row>
    <row r="54" ht="15.75" customHeight="1" spans="1:22" x14ac:dyDescent="0.25">
      <c r="A54" s="39"/>
      <c r="B54" s="40"/>
      <c r="C54" s="40"/>
      <c r="D54" s="41"/>
      <c r="E54" s="42"/>
      <c r="F54" s="40"/>
      <c r="G54" s="40"/>
      <c r="H54" s="41"/>
      <c r="I54" s="42"/>
      <c r="J54" s="40"/>
      <c r="K54" s="40"/>
      <c r="L54" s="41"/>
      <c r="M54" s="42"/>
      <c r="N54" s="40"/>
      <c r="O54" s="40"/>
      <c r="P54" s="41"/>
      <c r="Q54" s="42"/>
      <c r="R54" s="40"/>
      <c r="S54" s="40"/>
      <c r="T54" s="40"/>
      <c r="U54" s="40"/>
      <c r="V54" s="43"/>
    </row>
    <row r="55" ht="15.6" customHeight="1" spans="1:43" x14ac:dyDescent="0.25">
      <c r="A55" s="3"/>
      <c r="B55" s="46" t="s">
        <v>39</v>
      </c>
      <c r="C55" s="47"/>
      <c r="D55" s="48" t="s">
        <v>45</v>
      </c>
      <c r="E55" s="47"/>
      <c r="F55" s="46" t="s">
        <v>46</v>
      </c>
      <c r="G55" s="47"/>
      <c r="H55" s="48" t="s">
        <v>47</v>
      </c>
      <c r="I55" s="47"/>
      <c r="J55" s="46" t="s">
        <v>39</v>
      </c>
      <c r="K55" s="47"/>
      <c r="L55" s="48" t="s">
        <v>48</v>
      </c>
      <c r="M55" s="47"/>
      <c r="N55" s="46" t="s">
        <v>49</v>
      </c>
      <c r="O55" s="47"/>
      <c r="P55" s="48" t="s">
        <v>50</v>
      </c>
      <c r="Q55" s="47"/>
      <c r="R55" s="35"/>
      <c r="S55" s="35"/>
      <c r="T55" s="35"/>
      <c r="U55" s="35"/>
      <c r="V55" s="38"/>
      <c r="W55" s="3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</row>
    <row r="56" ht="15.6" customHeight="1" spans="1:43" x14ac:dyDescent="0.25">
      <c r="A56" s="3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35"/>
      <c r="S56" s="35"/>
      <c r="T56" s="35"/>
      <c r="U56" s="35"/>
      <c r="V56" s="38"/>
      <c r="W56" s="3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</row>
    <row r="57" spans="1:22" x14ac:dyDescent="0.25">
      <c r="A57" s="3"/>
      <c r="B57" s="50" t="s">
        <v>22</v>
      </c>
      <c r="C57" s="50"/>
      <c r="D57" s="52" t="s">
        <v>40</v>
      </c>
      <c r="E57" s="52"/>
      <c r="F57" s="50" t="s">
        <v>22</v>
      </c>
      <c r="G57" s="50"/>
      <c r="H57" s="52" t="s">
        <v>24</v>
      </c>
      <c r="I57" s="52"/>
      <c r="J57" s="50" t="s">
        <v>22</v>
      </c>
      <c r="K57" s="50"/>
      <c r="L57" s="52" t="s">
        <v>51</v>
      </c>
      <c r="M57" s="52"/>
      <c r="N57" s="50" t="s">
        <v>22</v>
      </c>
      <c r="O57" s="50"/>
      <c r="P57" s="52" t="s">
        <v>52</v>
      </c>
      <c r="Q57" s="52"/>
      <c r="R57" s="35"/>
      <c r="S57" s="35"/>
      <c r="T57" s="35"/>
      <c r="U57" s="35"/>
      <c r="V57" s="38"/>
    </row>
    <row r="58" spans="1:22" x14ac:dyDescent="0.25">
      <c r="A58" s="3"/>
      <c r="B58" s="3"/>
      <c r="C58" s="3"/>
      <c r="D58" s="4"/>
      <c r="E58" s="4"/>
      <c r="F58" s="3"/>
      <c r="G58" s="3"/>
      <c r="H58" s="4"/>
      <c r="I58" s="4"/>
      <c r="J58" s="3"/>
      <c r="K58" s="3"/>
      <c r="L58" s="4"/>
      <c r="M58" s="4"/>
      <c r="N58" s="3"/>
      <c r="O58" s="3"/>
      <c r="P58" s="4"/>
      <c r="Q58" s="4"/>
      <c r="R58" s="3"/>
      <c r="S58" s="3"/>
      <c r="T58" s="3"/>
      <c r="U58" s="3"/>
      <c r="V58" s="3"/>
    </row>
    <row r="59" spans="1:22" x14ac:dyDescent="0.25">
      <c r="A59" s="3"/>
      <c r="B59" s="3"/>
      <c r="C59" s="3"/>
      <c r="D59" s="4"/>
      <c r="E59" s="5" t="s">
        <v>26</v>
      </c>
      <c r="F59" s="54" t="s">
        <v>27</v>
      </c>
      <c r="G59" s="54"/>
      <c r="H59" s="54"/>
      <c r="I59" s="54" t="s">
        <v>28</v>
      </c>
      <c r="J59" s="54"/>
      <c r="K59" s="3"/>
      <c r="L59" s="4"/>
      <c r="M59" s="4"/>
      <c r="N59" s="3"/>
      <c r="O59" s="35" t="s">
        <v>29</v>
      </c>
      <c r="P59" s="4" t="s">
        <v>30</v>
      </c>
      <c r="Q59" s="4"/>
      <c r="R59" s="3"/>
      <c r="S59" s="3" t="s">
        <v>31</v>
      </c>
      <c r="T59" s="3"/>
      <c r="U59" s="3"/>
      <c r="V59" s="3"/>
    </row>
    <row r="60" spans="1:22" x14ac:dyDescent="0.25">
      <c r="A60" s="3"/>
      <c r="B60" s="3"/>
      <c r="C60" s="3"/>
      <c r="D60" s="4"/>
      <c r="E60" s="5" t="s">
        <v>32</v>
      </c>
      <c r="F60" s="54" t="s">
        <v>33</v>
      </c>
      <c r="G60" s="54"/>
      <c r="H60" s="54"/>
      <c r="I60" s="4" t="s">
        <v>34</v>
      </c>
      <c r="J60" s="3"/>
      <c r="K60" s="3"/>
      <c r="L60" s="4"/>
      <c r="M60" s="4"/>
      <c r="N60" s="3"/>
      <c r="O60" s="35" t="s">
        <v>35</v>
      </c>
      <c r="P60" s="4" t="s">
        <v>30</v>
      </c>
      <c r="Q60" s="4"/>
      <c r="R60" s="3"/>
      <c r="S60" s="3" t="s">
        <v>36</v>
      </c>
      <c r="T60" s="3"/>
      <c r="U60" s="3"/>
      <c r="V60" s="3"/>
    </row>
    <row r="61" spans="1:22" x14ac:dyDescent="0.25">
      <c r="A61" s="3" t="s">
        <v>0</v>
      </c>
      <c r="B61" s="3"/>
      <c r="C61" s="3"/>
      <c r="D61" s="4"/>
      <c r="E61" s="5"/>
      <c r="F61" s="3"/>
      <c r="G61" s="3"/>
      <c r="H61" s="4"/>
      <c r="I61" s="4"/>
      <c r="J61" s="3"/>
      <c r="K61" s="3"/>
      <c r="L61" s="4"/>
      <c r="M61" s="4"/>
      <c r="N61" s="3"/>
      <c r="O61" s="3"/>
      <c r="P61" s="4"/>
      <c r="Q61" s="4"/>
      <c r="R61" s="3"/>
      <c r="S61" s="3"/>
      <c r="T61" s="3"/>
      <c r="U61" s="3"/>
      <c r="V61" s="3"/>
    </row>
    <row r="62" ht="18.75" customHeight="1" spans="1:22" x14ac:dyDescent="0.25">
      <c r="A62" s="3"/>
      <c r="B62" s="3"/>
      <c r="C62" s="3"/>
      <c r="D62" s="4"/>
      <c r="E62" s="6" t="s">
        <v>1</v>
      </c>
      <c r="F62" s="3"/>
      <c r="G62" s="7"/>
      <c r="H62" s="8"/>
      <c r="I62" s="8"/>
      <c r="J62" s="7"/>
      <c r="K62" s="7"/>
      <c r="L62" s="8"/>
      <c r="M62" s="9" t="s">
        <v>2</v>
      </c>
      <c r="N62" s="10" t="s">
        <v>3</v>
      </c>
      <c r="O62" s="11"/>
      <c r="P62" s="4"/>
      <c r="Q62" s="4"/>
      <c r="R62" s="3"/>
      <c r="S62" s="3"/>
      <c r="T62" s="3"/>
      <c r="U62" s="3"/>
      <c r="V62" s="3"/>
    </row>
    <row r="63" ht="18.75" customHeight="1" spans="1:22" x14ac:dyDescent="0.25">
      <c r="A63" s="3"/>
      <c r="B63" s="3"/>
      <c r="C63" s="3"/>
      <c r="D63" s="4"/>
      <c r="E63" s="6" t="s">
        <v>4</v>
      </c>
      <c r="F63" s="3"/>
      <c r="G63" s="3"/>
      <c r="H63" s="4"/>
      <c r="I63" s="4"/>
      <c r="J63" s="15"/>
      <c r="K63" s="15"/>
      <c r="L63" s="16"/>
      <c r="M63" s="9" t="s">
        <v>5</v>
      </c>
      <c r="N63" s="17" t="s">
        <v>6</v>
      </c>
      <c r="O63" s="17"/>
      <c r="P63" s="4"/>
      <c r="Q63" s="4"/>
      <c r="R63" s="3"/>
      <c r="S63" s="3"/>
      <c r="T63" s="3"/>
      <c r="U63" s="3"/>
      <c r="V63" s="3"/>
    </row>
    <row r="64" ht="18.75" customHeight="1" spans="1:22" x14ac:dyDescent="0.25">
      <c r="A64" s="3"/>
      <c r="B64" s="3"/>
      <c r="C64" s="3"/>
      <c r="D64" s="4"/>
      <c r="E64" s="4" t="s">
        <v>7</v>
      </c>
      <c r="F64" s="3"/>
      <c r="G64" s="3"/>
      <c r="H64" s="8"/>
      <c r="I64" s="8"/>
      <c r="J64" s="7"/>
      <c r="K64" s="7"/>
      <c r="L64" s="8"/>
      <c r="M64" s="19" t="s">
        <v>5</v>
      </c>
      <c r="N64" s="20">
        <v>2</v>
      </c>
      <c r="O64" s="3"/>
      <c r="P64" s="4"/>
      <c r="Q64" s="4"/>
      <c r="R64" s="3"/>
      <c r="S64" s="3"/>
      <c r="T64" s="3"/>
      <c r="U64" s="3"/>
      <c r="V64" s="3"/>
    </row>
    <row r="65" ht="18.75" customHeight="1" spans="1:22" x14ac:dyDescent="0.25">
      <c r="A65" s="3"/>
      <c r="B65" s="3"/>
      <c r="C65" s="3"/>
      <c r="D65" s="4"/>
      <c r="E65" s="4" t="s">
        <v>8</v>
      </c>
      <c r="F65" s="3"/>
      <c r="G65" s="3"/>
      <c r="H65" s="4"/>
      <c r="I65" s="4"/>
      <c r="J65" s="3"/>
      <c r="K65" s="3"/>
      <c r="L65" s="16"/>
      <c r="M65" s="19" t="s">
        <v>5</v>
      </c>
      <c r="N65" s="20" t="s">
        <v>53</v>
      </c>
      <c r="O65" s="22"/>
      <c r="P65" s="4"/>
      <c r="Q65" s="4"/>
      <c r="R65" s="3"/>
      <c r="S65" s="3"/>
      <c r="T65" s="3"/>
      <c r="U65" s="3"/>
      <c r="V65" s="3"/>
    </row>
    <row r="66" ht="18.75" customHeight="1" spans="1:22" x14ac:dyDescent="0.25">
      <c r="A66" s="3"/>
      <c r="B66" s="3"/>
      <c r="C66" s="3"/>
      <c r="D66" s="4"/>
      <c r="E66" s="24" t="s">
        <v>10</v>
      </c>
      <c r="F66" s="3"/>
      <c r="G66" s="3"/>
      <c r="H66" s="4"/>
      <c r="I66" s="8"/>
      <c r="J66" s="7"/>
      <c r="K66" s="7"/>
      <c r="L66" s="8"/>
      <c r="M66" s="19" t="s">
        <v>5</v>
      </c>
      <c r="N66" s="25">
        <v>16</v>
      </c>
      <c r="O66" s="3"/>
      <c r="P66" s="4"/>
      <c r="Q66" s="4"/>
      <c r="R66" s="3"/>
      <c r="S66" s="3"/>
      <c r="T66" s="3"/>
      <c r="U66" s="3"/>
      <c r="V66" s="3"/>
    </row>
    <row r="67" ht="15.75" customHeight="1" spans="1:22" x14ac:dyDescent="0.25">
      <c r="A67" s="3"/>
      <c r="B67" s="3"/>
      <c r="C67" s="3"/>
      <c r="D67" s="4"/>
      <c r="E67" s="4"/>
      <c r="F67" s="3"/>
      <c r="G67" s="3"/>
      <c r="H67" s="4"/>
      <c r="I67" s="4"/>
      <c r="J67" s="3"/>
      <c r="K67" s="3"/>
      <c r="L67" s="4"/>
      <c r="M67" s="4"/>
      <c r="N67" s="3"/>
      <c r="O67" s="3"/>
      <c r="P67" s="4"/>
      <c r="Q67" s="4"/>
      <c r="R67" s="3"/>
      <c r="S67" s="3"/>
      <c r="T67" s="3"/>
      <c r="U67" s="3"/>
      <c r="V67" s="3"/>
    </row>
    <row r="68" spans="1:22" x14ac:dyDescent="0.25">
      <c r="A68" s="27"/>
      <c r="B68" s="28"/>
      <c r="C68" s="28"/>
      <c r="D68" s="29"/>
      <c r="E68" s="29"/>
      <c r="F68" s="28"/>
      <c r="G68" s="28"/>
      <c r="H68" s="29"/>
      <c r="I68" s="29"/>
      <c r="J68" s="28"/>
      <c r="K68" s="28"/>
      <c r="L68" s="29"/>
      <c r="M68" s="29"/>
      <c r="N68" s="28"/>
      <c r="O68" s="28"/>
      <c r="P68" s="29"/>
      <c r="Q68" s="29"/>
      <c r="R68" s="28"/>
      <c r="S68" s="28"/>
      <c r="T68" s="28"/>
      <c r="U68" s="28"/>
      <c r="V68" s="28"/>
    </row>
    <row r="69" spans="1:22" x14ac:dyDescent="0.25">
      <c r="A69" s="30"/>
      <c r="B69" s="31"/>
      <c r="C69" s="31"/>
      <c r="D69" s="32">
        <v>1</v>
      </c>
      <c r="E69" s="33"/>
      <c r="F69" s="31"/>
      <c r="G69" s="31"/>
      <c r="H69" s="32">
        <v>2</v>
      </c>
      <c r="I69" s="33"/>
      <c r="J69" s="31"/>
      <c r="K69" s="31"/>
      <c r="L69" s="32">
        <v>3</v>
      </c>
      <c r="M69" s="33"/>
      <c r="N69" s="31"/>
      <c r="O69" s="31"/>
      <c r="P69" s="32">
        <v>4</v>
      </c>
      <c r="Q69" s="33"/>
      <c r="R69" s="31"/>
      <c r="S69" s="31"/>
      <c r="T69" s="31"/>
      <c r="U69" s="31"/>
      <c r="V69" s="3"/>
    </row>
    <row r="70" spans="1:22" x14ac:dyDescent="0.25">
      <c r="A70" s="30"/>
      <c r="B70" s="31" t="s">
        <v>11</v>
      </c>
      <c r="C70" s="31"/>
      <c r="D70" s="32" t="s">
        <v>12</v>
      </c>
      <c r="E70" s="33"/>
      <c r="F70" s="31" t="s">
        <v>11</v>
      </c>
      <c r="G70" s="31"/>
      <c r="H70" s="32" t="s">
        <v>12</v>
      </c>
      <c r="I70" s="33"/>
      <c r="J70" s="31" t="s">
        <v>11</v>
      </c>
      <c r="K70" s="31"/>
      <c r="L70" s="32" t="s">
        <v>12</v>
      </c>
      <c r="M70" s="33"/>
      <c r="N70" s="31" t="s">
        <v>11</v>
      </c>
      <c r="O70" s="31"/>
      <c r="P70" s="32" t="s">
        <v>12</v>
      </c>
      <c r="Q70" s="33"/>
      <c r="R70" s="31"/>
      <c r="S70" s="31"/>
      <c r="T70" s="31"/>
      <c r="U70" s="31"/>
      <c r="V70" s="35"/>
    </row>
    <row r="71" spans="1:22" x14ac:dyDescent="0.25">
      <c r="A71" s="30"/>
      <c r="B71" s="35"/>
      <c r="C71" s="35"/>
      <c r="D71" s="5"/>
      <c r="E71" s="5"/>
      <c r="F71" s="35"/>
      <c r="G71" s="35"/>
      <c r="H71" s="5"/>
      <c r="I71" s="5"/>
      <c r="J71" s="35"/>
      <c r="K71" s="35"/>
      <c r="L71" s="5"/>
      <c r="M71" s="5"/>
      <c r="N71" s="35"/>
      <c r="O71" s="35"/>
      <c r="P71" s="5"/>
      <c r="Q71" s="5"/>
      <c r="R71" s="35"/>
      <c r="S71" s="35"/>
      <c r="T71" s="35"/>
      <c r="U71" s="35"/>
      <c r="V71" s="35"/>
    </row>
    <row r="72" spans="1:22" x14ac:dyDescent="0.25">
      <c r="A72" s="30"/>
      <c r="B72" s="31">
        <v>0</v>
      </c>
      <c r="C72" s="31"/>
      <c r="D72" s="37">
        <v>1</v>
      </c>
      <c r="E72" s="37"/>
      <c r="F72" s="31">
        <v>2</v>
      </c>
      <c r="G72" s="31"/>
      <c r="H72" s="37">
        <v>3</v>
      </c>
      <c r="I72" s="37"/>
      <c r="J72" s="31">
        <v>4</v>
      </c>
      <c r="K72" s="31"/>
      <c r="L72" s="37">
        <v>5</v>
      </c>
      <c r="M72" s="37"/>
      <c r="N72" s="31">
        <v>6</v>
      </c>
      <c r="O72" s="31"/>
      <c r="P72" s="37">
        <v>7</v>
      </c>
      <c r="Q72" s="37"/>
      <c r="R72" s="31">
        <v>8</v>
      </c>
      <c r="S72" s="31"/>
      <c r="T72" s="31">
        <v>9</v>
      </c>
      <c r="U72" s="31"/>
      <c r="V72" s="38"/>
    </row>
    <row r="73" spans="1:22" x14ac:dyDescent="0.25">
      <c r="A73" s="30"/>
      <c r="B73" s="31" t="s">
        <v>13</v>
      </c>
      <c r="C73" s="31" t="s">
        <v>14</v>
      </c>
      <c r="D73" s="37" t="s">
        <v>15</v>
      </c>
      <c r="E73" s="37" t="s">
        <v>16</v>
      </c>
      <c r="F73" s="31" t="s">
        <v>13</v>
      </c>
      <c r="G73" s="31" t="s">
        <v>14</v>
      </c>
      <c r="H73" s="37" t="s">
        <v>15</v>
      </c>
      <c r="I73" s="37" t="s">
        <v>16</v>
      </c>
      <c r="J73" s="31" t="s">
        <v>13</v>
      </c>
      <c r="K73" s="31" t="s">
        <v>14</v>
      </c>
      <c r="L73" s="37" t="s">
        <v>15</v>
      </c>
      <c r="M73" s="37" t="s">
        <v>16</v>
      </c>
      <c r="N73" s="31" t="s">
        <v>13</v>
      </c>
      <c r="O73" s="31" t="s">
        <v>14</v>
      </c>
      <c r="P73" s="37" t="s">
        <v>15</v>
      </c>
      <c r="Q73" s="37" t="s">
        <v>16</v>
      </c>
      <c r="R73" s="31" t="s">
        <v>13</v>
      </c>
      <c r="S73" s="31" t="s">
        <v>14</v>
      </c>
      <c r="T73" s="31" t="s">
        <v>15</v>
      </c>
      <c r="U73" s="31" t="s">
        <v>16</v>
      </c>
      <c r="V73" s="38"/>
    </row>
    <row r="74" ht="15.75" customHeight="1" spans="1:22" x14ac:dyDescent="0.25">
      <c r="A74" s="39"/>
      <c r="B74" s="40"/>
      <c r="C74" s="40"/>
      <c r="D74" s="41"/>
      <c r="E74" s="42"/>
      <c r="F74" s="40"/>
      <c r="G74" s="40"/>
      <c r="H74" s="41"/>
      <c r="I74" s="42"/>
      <c r="J74" s="40"/>
      <c r="K74" s="40"/>
      <c r="L74" s="41"/>
      <c r="M74" s="42"/>
      <c r="N74" s="40"/>
      <c r="O74" s="40"/>
      <c r="P74" s="41"/>
      <c r="Q74" s="42"/>
      <c r="R74" s="40"/>
      <c r="S74" s="40"/>
      <c r="T74" s="40"/>
      <c r="U74" s="40"/>
      <c r="V74" s="43"/>
    </row>
    <row r="75" ht="15.6" customHeight="1" spans="1:43" x14ac:dyDescent="0.25">
      <c r="A75" s="3"/>
      <c r="B75" s="46" t="s">
        <v>39</v>
      </c>
      <c r="C75" s="47"/>
      <c r="D75" s="48" t="s">
        <v>54</v>
      </c>
      <c r="E75" s="47"/>
      <c r="F75" s="46" t="s">
        <v>55</v>
      </c>
      <c r="G75" s="47"/>
      <c r="H75" s="48" t="s">
        <v>56</v>
      </c>
      <c r="I75" s="47"/>
      <c r="J75" s="46" t="s">
        <v>39</v>
      </c>
      <c r="K75" s="47"/>
      <c r="L75" s="48" t="s">
        <v>57</v>
      </c>
      <c r="M75" s="47"/>
      <c r="N75" s="46" t="s">
        <v>58</v>
      </c>
      <c r="O75" s="47"/>
      <c r="P75" s="48" t="s">
        <v>42</v>
      </c>
      <c r="Q75" s="47"/>
      <c r="R75" s="35"/>
      <c r="S75" s="35"/>
      <c r="T75" s="35"/>
      <c r="U75" s="35"/>
      <c r="V75" s="38"/>
      <c r="W75" s="3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</row>
    <row r="76" ht="15.6" customHeight="1" spans="1:43" x14ac:dyDescent="0.25">
      <c r="A76" s="3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35"/>
      <c r="S76" s="35"/>
      <c r="T76" s="35"/>
      <c r="U76" s="35"/>
      <c r="V76" s="38"/>
      <c r="W76" s="3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</row>
    <row r="77" spans="1:22" x14ac:dyDescent="0.25">
      <c r="A77" s="3"/>
      <c r="B77" s="50" t="s">
        <v>22</v>
      </c>
      <c r="C77" s="51"/>
      <c r="D77" s="52" t="s">
        <v>42</v>
      </c>
      <c r="E77" s="53"/>
      <c r="F77" s="50" t="s">
        <v>22</v>
      </c>
      <c r="G77" s="51"/>
      <c r="H77" s="52" t="s">
        <v>25</v>
      </c>
      <c r="I77" s="53"/>
      <c r="J77" s="50" t="s">
        <v>22</v>
      </c>
      <c r="K77" s="51"/>
      <c r="L77" s="52" t="s">
        <v>59</v>
      </c>
      <c r="M77" s="53"/>
      <c r="N77" s="50" t="s">
        <v>22</v>
      </c>
      <c r="O77" s="51"/>
      <c r="P77" s="52" t="s">
        <v>23</v>
      </c>
      <c r="Q77" s="53"/>
      <c r="R77" s="35"/>
      <c r="S77" s="35"/>
      <c r="T77" s="35"/>
      <c r="U77" s="35"/>
      <c r="V77" s="38"/>
    </row>
    <row r="78" spans="1:22" x14ac:dyDescent="0.25">
      <c r="A78" s="3"/>
      <c r="B78" s="3"/>
      <c r="C78" s="3"/>
      <c r="D78" s="4"/>
      <c r="E78" s="4"/>
      <c r="F78" s="3"/>
      <c r="G78" s="3"/>
      <c r="H78" s="4"/>
      <c r="I78" s="4"/>
      <c r="J78" s="3"/>
      <c r="K78" s="3"/>
      <c r="L78" s="4"/>
      <c r="M78" s="4"/>
      <c r="N78" s="3"/>
      <c r="O78" s="3"/>
      <c r="P78" s="4"/>
      <c r="Q78" s="4"/>
      <c r="R78" s="3"/>
      <c r="S78" s="3"/>
      <c r="T78" s="3"/>
      <c r="U78" s="3"/>
      <c r="V78" s="3"/>
    </row>
    <row r="79" spans="1:22" x14ac:dyDescent="0.25">
      <c r="A79" s="3"/>
      <c r="B79" s="3"/>
      <c r="C79" s="3"/>
      <c r="D79" s="4"/>
      <c r="E79" s="5" t="s">
        <v>26</v>
      </c>
      <c r="F79" s="54" t="s">
        <v>27</v>
      </c>
      <c r="G79" s="54"/>
      <c r="H79" s="54"/>
      <c r="I79" s="54" t="s">
        <v>28</v>
      </c>
      <c r="J79" s="54"/>
      <c r="K79" s="3"/>
      <c r="L79" s="4"/>
      <c r="M79" s="4"/>
      <c r="N79" s="3"/>
      <c r="O79" s="35" t="s">
        <v>29</v>
      </c>
      <c r="P79" s="4" t="s">
        <v>30</v>
      </c>
      <c r="Q79" s="4"/>
      <c r="R79" s="3"/>
      <c r="S79" s="3" t="s">
        <v>31</v>
      </c>
      <c r="T79" s="3"/>
      <c r="U79" s="3"/>
      <c r="V79" s="3"/>
    </row>
    <row r="80" spans="1:22" x14ac:dyDescent="0.25">
      <c r="A80" s="3"/>
      <c r="B80" s="3"/>
      <c r="C80" s="3"/>
      <c r="D80" s="4"/>
      <c r="E80" s="5" t="s">
        <v>32</v>
      </c>
      <c r="F80" s="54" t="s">
        <v>33</v>
      </c>
      <c r="G80" s="54"/>
      <c r="H80" s="54"/>
      <c r="I80" s="4" t="s">
        <v>34</v>
      </c>
      <c r="J80" s="3"/>
      <c r="K80" s="3"/>
      <c r="L80" s="4"/>
      <c r="M80" s="4"/>
      <c r="N80" s="3"/>
      <c r="O80" s="35" t="s">
        <v>35</v>
      </c>
      <c r="P80" s="4" t="s">
        <v>30</v>
      </c>
      <c r="Q80" s="4"/>
      <c r="R80" s="3"/>
      <c r="S80" s="3" t="s">
        <v>36</v>
      </c>
      <c r="T80" s="3"/>
      <c r="U80" s="3"/>
      <c r="V80" s="3"/>
    </row>
    <row r="81" spans="1:22" x14ac:dyDescent="0.25">
      <c r="A81" s="3" t="s">
        <v>0</v>
      </c>
      <c r="B81" s="3"/>
      <c r="C81" s="3"/>
      <c r="D81" s="4"/>
      <c r="E81" s="5"/>
      <c r="F81" s="3"/>
      <c r="G81" s="3"/>
      <c r="H81" s="4"/>
      <c r="I81" s="4"/>
      <c r="J81" s="3"/>
      <c r="K81" s="3"/>
      <c r="L81" s="4"/>
      <c r="M81" s="4"/>
      <c r="N81" s="3"/>
      <c r="O81" s="3"/>
      <c r="P81" s="4"/>
      <c r="Q81" s="4"/>
      <c r="R81" s="3"/>
      <c r="S81" s="3"/>
      <c r="T81" s="3"/>
      <c r="U81" s="3"/>
      <c r="V81" s="3"/>
    </row>
    <row r="82" ht="18.75" customHeight="1" spans="1:22" x14ac:dyDescent="0.25">
      <c r="A82" s="3"/>
      <c r="B82" s="3"/>
      <c r="C82" s="3"/>
      <c r="D82" s="4"/>
      <c r="E82" s="6" t="s">
        <v>1</v>
      </c>
      <c r="F82" s="3"/>
      <c r="G82" s="7"/>
      <c r="H82" s="8"/>
      <c r="I82" s="8"/>
      <c r="J82" s="7"/>
      <c r="K82" s="7"/>
      <c r="L82" s="8"/>
      <c r="M82" s="9" t="s">
        <v>2</v>
      </c>
      <c r="N82" s="10" t="s">
        <v>3</v>
      </c>
      <c r="O82" s="11"/>
      <c r="P82" s="4"/>
      <c r="Q82" s="4"/>
      <c r="R82" s="3"/>
      <c r="S82" s="3"/>
      <c r="T82" s="3"/>
      <c r="U82" s="3"/>
      <c r="V82" s="3"/>
    </row>
    <row r="83" ht="18.75" customHeight="1" spans="1:22" x14ac:dyDescent="0.25">
      <c r="A83" s="3"/>
      <c r="B83" s="3"/>
      <c r="C83" s="3"/>
      <c r="D83" s="4"/>
      <c r="E83" s="6" t="s">
        <v>4</v>
      </c>
      <c r="F83" s="3"/>
      <c r="G83" s="3"/>
      <c r="H83" s="4"/>
      <c r="I83" s="4"/>
      <c r="J83" s="15"/>
      <c r="K83" s="15"/>
      <c r="L83" s="16"/>
      <c r="M83" s="9" t="s">
        <v>5</v>
      </c>
      <c r="N83" s="17" t="s">
        <v>6</v>
      </c>
      <c r="O83" s="17"/>
      <c r="P83" s="4"/>
      <c r="Q83" s="4"/>
      <c r="R83" s="3"/>
      <c r="S83" s="3"/>
      <c r="T83" s="3"/>
      <c r="U83" s="3"/>
      <c r="V83" s="3"/>
    </row>
    <row r="84" ht="18.75" customHeight="1" spans="1:22" x14ac:dyDescent="0.25">
      <c r="A84" s="3"/>
      <c r="B84" s="3"/>
      <c r="C84" s="3"/>
      <c r="D84" s="4"/>
      <c r="E84" s="4" t="s">
        <v>7</v>
      </c>
      <c r="F84" s="3"/>
      <c r="G84" s="3"/>
      <c r="H84" s="8"/>
      <c r="I84" s="8"/>
      <c r="J84" s="7"/>
      <c r="K84" s="7"/>
      <c r="L84" s="8"/>
      <c r="M84" s="19" t="s">
        <v>5</v>
      </c>
      <c r="N84" s="20">
        <v>3</v>
      </c>
      <c r="O84" s="3"/>
      <c r="P84" s="4"/>
      <c r="Q84" s="4"/>
      <c r="R84" s="3"/>
      <c r="S84" s="3"/>
      <c r="T84" s="3"/>
      <c r="U84" s="3"/>
      <c r="V84" s="3"/>
    </row>
    <row r="85" ht="18.75" customHeight="1" spans="1:22" x14ac:dyDescent="0.25">
      <c r="A85" s="3"/>
      <c r="B85" s="3"/>
      <c r="C85" s="3"/>
      <c r="D85" s="4"/>
      <c r="E85" s="4" t="s">
        <v>8</v>
      </c>
      <c r="F85" s="3"/>
      <c r="G85" s="3"/>
      <c r="H85" s="4"/>
      <c r="I85" s="4"/>
      <c r="J85" s="3"/>
      <c r="K85" s="3"/>
      <c r="L85" s="16"/>
      <c r="M85" s="19" t="s">
        <v>5</v>
      </c>
      <c r="N85" s="20" t="s">
        <v>53</v>
      </c>
      <c r="O85" s="22"/>
      <c r="P85" s="4"/>
      <c r="Q85" s="4"/>
      <c r="R85" s="3"/>
      <c r="S85" s="3"/>
      <c r="T85" s="3"/>
      <c r="U85" s="3"/>
      <c r="V85" s="3"/>
    </row>
    <row r="86" ht="18.75" customHeight="1" spans="1:22" x14ac:dyDescent="0.25">
      <c r="A86" s="3"/>
      <c r="B86" s="3"/>
      <c r="C86" s="3"/>
      <c r="D86" s="4"/>
      <c r="E86" s="24" t="s">
        <v>10</v>
      </c>
      <c r="F86" s="3"/>
      <c r="G86" s="3"/>
      <c r="H86" s="4"/>
      <c r="I86" s="8"/>
      <c r="J86" s="7"/>
      <c r="K86" s="7"/>
      <c r="L86" s="8"/>
      <c r="M86" s="19" t="s">
        <v>5</v>
      </c>
      <c r="N86" s="25">
        <v>17</v>
      </c>
      <c r="O86" s="3"/>
      <c r="P86" s="4"/>
      <c r="Q86" s="4"/>
      <c r="R86" s="3"/>
      <c r="S86" s="3"/>
      <c r="T86" s="3"/>
      <c r="U86" s="3"/>
      <c r="V86" s="3"/>
    </row>
    <row r="87" ht="15.75" customHeight="1" spans="1:22" x14ac:dyDescent="0.25">
      <c r="A87" s="3"/>
      <c r="B87" s="3"/>
      <c r="C87" s="3"/>
      <c r="D87" s="4"/>
      <c r="E87" s="4"/>
      <c r="F87" s="3"/>
      <c r="G87" s="3"/>
      <c r="H87" s="4"/>
      <c r="I87" s="4"/>
      <c r="J87" s="3"/>
      <c r="K87" s="3"/>
      <c r="L87" s="4"/>
      <c r="M87" s="4"/>
      <c r="N87" s="3"/>
      <c r="O87" s="3"/>
      <c r="P87" s="4"/>
      <c r="Q87" s="4"/>
      <c r="R87" s="3"/>
      <c r="S87" s="3"/>
      <c r="T87" s="3"/>
      <c r="U87" s="3"/>
      <c r="V87" s="3"/>
    </row>
    <row r="88" spans="1:22" x14ac:dyDescent="0.25">
      <c r="A88" s="27"/>
      <c r="B88" s="28"/>
      <c r="C88" s="28"/>
      <c r="D88" s="29"/>
      <c r="E88" s="29"/>
      <c r="F88" s="28"/>
      <c r="G88" s="28"/>
      <c r="H88" s="29"/>
      <c r="I88" s="29"/>
      <c r="J88" s="28"/>
      <c r="K88" s="28"/>
      <c r="L88" s="29"/>
      <c r="M88" s="29"/>
      <c r="N88" s="28"/>
      <c r="O88" s="28"/>
      <c r="P88" s="29"/>
      <c r="Q88" s="29"/>
      <c r="R88" s="28"/>
      <c r="S88" s="28"/>
      <c r="T88" s="28"/>
      <c r="U88" s="28"/>
      <c r="V88" s="28"/>
    </row>
    <row r="89" spans="1:22" x14ac:dyDescent="0.25">
      <c r="A89" s="30"/>
      <c r="B89" s="31"/>
      <c r="C89" s="31"/>
      <c r="D89" s="32">
        <v>1</v>
      </c>
      <c r="E89" s="33"/>
      <c r="F89" s="31"/>
      <c r="G89" s="31"/>
      <c r="H89" s="32">
        <v>2</v>
      </c>
      <c r="I89" s="33"/>
      <c r="J89" s="31"/>
      <c r="K89" s="31"/>
      <c r="L89" s="32">
        <v>3</v>
      </c>
      <c r="M89" s="33"/>
      <c r="N89" s="31"/>
      <c r="O89" s="31"/>
      <c r="P89" s="32">
        <v>4</v>
      </c>
      <c r="Q89" s="33"/>
      <c r="R89" s="31"/>
      <c r="S89" s="31"/>
      <c r="T89" s="31"/>
      <c r="U89" s="31"/>
      <c r="V89" s="3"/>
    </row>
    <row r="90" spans="1:22" x14ac:dyDescent="0.25">
      <c r="A90" s="30"/>
      <c r="B90" s="31" t="s">
        <v>11</v>
      </c>
      <c r="C90" s="31"/>
      <c r="D90" s="32" t="s">
        <v>12</v>
      </c>
      <c r="E90" s="33"/>
      <c r="F90" s="31" t="s">
        <v>11</v>
      </c>
      <c r="G90" s="31"/>
      <c r="H90" s="32" t="s">
        <v>12</v>
      </c>
      <c r="I90" s="33"/>
      <c r="J90" s="31" t="s">
        <v>11</v>
      </c>
      <c r="K90" s="31"/>
      <c r="L90" s="32" t="s">
        <v>12</v>
      </c>
      <c r="M90" s="33"/>
      <c r="N90" s="31" t="s">
        <v>11</v>
      </c>
      <c r="O90" s="31"/>
      <c r="P90" s="32" t="s">
        <v>12</v>
      </c>
      <c r="Q90" s="33"/>
      <c r="R90" s="31"/>
      <c r="S90" s="31"/>
      <c r="T90" s="31"/>
      <c r="U90" s="31"/>
      <c r="V90" s="35"/>
    </row>
    <row r="91" spans="1:22" x14ac:dyDescent="0.25">
      <c r="A91" s="30"/>
      <c r="B91" s="35"/>
      <c r="C91" s="35"/>
      <c r="D91" s="5"/>
      <c r="E91" s="5"/>
      <c r="F91" s="35"/>
      <c r="G91" s="35"/>
      <c r="H91" s="5"/>
      <c r="I91" s="5"/>
      <c r="J91" s="35"/>
      <c r="K91" s="35"/>
      <c r="L91" s="5"/>
      <c r="M91" s="5"/>
      <c r="N91" s="35"/>
      <c r="O91" s="35"/>
      <c r="P91" s="5"/>
      <c r="Q91" s="5"/>
      <c r="R91" s="35"/>
      <c r="S91" s="35"/>
      <c r="T91" s="35"/>
      <c r="U91" s="35"/>
      <c r="V91" s="35"/>
    </row>
    <row r="92" spans="1:22" x14ac:dyDescent="0.25">
      <c r="A92" s="30"/>
      <c r="B92" s="31">
        <v>0</v>
      </c>
      <c r="C92" s="31"/>
      <c r="D92" s="37">
        <v>1</v>
      </c>
      <c r="E92" s="37"/>
      <c r="F92" s="31">
        <v>2</v>
      </c>
      <c r="G92" s="31"/>
      <c r="H92" s="37">
        <v>3</v>
      </c>
      <c r="I92" s="37"/>
      <c r="J92" s="31">
        <v>4</v>
      </c>
      <c r="K92" s="31"/>
      <c r="L92" s="37">
        <v>5</v>
      </c>
      <c r="M92" s="37"/>
      <c r="N92" s="31">
        <v>6</v>
      </c>
      <c r="O92" s="31"/>
      <c r="P92" s="37">
        <v>7</v>
      </c>
      <c r="Q92" s="37"/>
      <c r="R92" s="31">
        <v>8</v>
      </c>
      <c r="S92" s="31"/>
      <c r="T92" s="31">
        <v>9</v>
      </c>
      <c r="U92" s="31"/>
      <c r="V92" s="38"/>
    </row>
    <row r="93" spans="1:22" x14ac:dyDescent="0.25">
      <c r="A93" s="30"/>
      <c r="B93" s="31" t="s">
        <v>13</v>
      </c>
      <c r="C93" s="31" t="s">
        <v>14</v>
      </c>
      <c r="D93" s="37" t="s">
        <v>15</v>
      </c>
      <c r="E93" s="37" t="s">
        <v>16</v>
      </c>
      <c r="F93" s="31" t="s">
        <v>13</v>
      </c>
      <c r="G93" s="31" t="s">
        <v>14</v>
      </c>
      <c r="H93" s="37" t="s">
        <v>15</v>
      </c>
      <c r="I93" s="37" t="s">
        <v>16</v>
      </c>
      <c r="J93" s="31" t="s">
        <v>13</v>
      </c>
      <c r="K93" s="31" t="s">
        <v>14</v>
      </c>
      <c r="L93" s="37" t="s">
        <v>15</v>
      </c>
      <c r="M93" s="37" t="s">
        <v>16</v>
      </c>
      <c r="N93" s="31" t="s">
        <v>13</v>
      </c>
      <c r="O93" s="31" t="s">
        <v>14</v>
      </c>
      <c r="P93" s="37" t="s">
        <v>15</v>
      </c>
      <c r="Q93" s="37" t="s">
        <v>16</v>
      </c>
      <c r="R93" s="31" t="s">
        <v>13</v>
      </c>
      <c r="S93" s="31" t="s">
        <v>14</v>
      </c>
      <c r="T93" s="31" t="s">
        <v>15</v>
      </c>
      <c r="U93" s="31" t="s">
        <v>16</v>
      </c>
      <c r="V93" s="38"/>
    </row>
    <row r="94" ht="15.75" customHeight="1" spans="1:22" x14ac:dyDescent="0.25">
      <c r="A94" s="39"/>
      <c r="B94" s="40"/>
      <c r="C94" s="40"/>
      <c r="D94" s="41"/>
      <c r="E94" s="42"/>
      <c r="F94" s="40"/>
      <c r="G94" s="40"/>
      <c r="H94" s="41"/>
      <c r="I94" s="42"/>
      <c r="J94" s="40"/>
      <c r="K94" s="40"/>
      <c r="L94" s="41"/>
      <c r="M94" s="42"/>
      <c r="N94" s="40"/>
      <c r="O94" s="40"/>
      <c r="P94" s="41"/>
      <c r="Q94" s="42"/>
      <c r="R94" s="40"/>
      <c r="S94" s="40"/>
      <c r="T94" s="40"/>
      <c r="U94" s="40"/>
      <c r="V94" s="43"/>
    </row>
    <row r="95" ht="15.6" customHeight="1" spans="1:43" x14ac:dyDescent="0.25">
      <c r="A95" s="3"/>
      <c r="B95" s="46" t="s">
        <v>58</v>
      </c>
      <c r="C95" s="47"/>
      <c r="D95" s="48" t="s">
        <v>60</v>
      </c>
      <c r="E95" s="47"/>
      <c r="F95" s="46" t="s">
        <v>58</v>
      </c>
      <c r="G95" s="47"/>
      <c r="H95" s="48" t="s">
        <v>61</v>
      </c>
      <c r="I95" s="47"/>
      <c r="J95" s="46" t="s">
        <v>62</v>
      </c>
      <c r="K95" s="47"/>
      <c r="L95" s="48" t="s">
        <v>47</v>
      </c>
      <c r="M95" s="47"/>
      <c r="N95" s="46" t="s">
        <v>58</v>
      </c>
      <c r="O95" s="47"/>
      <c r="P95" s="48" t="s">
        <v>63</v>
      </c>
      <c r="Q95" s="47"/>
      <c r="R95" s="35"/>
      <c r="S95" s="35"/>
      <c r="T95" s="35"/>
      <c r="U95" s="35"/>
      <c r="V95" s="38"/>
      <c r="W95" s="3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</row>
    <row r="96" ht="15.6" customHeight="1" spans="1:43" x14ac:dyDescent="0.25">
      <c r="A96" s="3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35"/>
      <c r="S96" s="35"/>
      <c r="T96" s="35"/>
      <c r="U96" s="35"/>
      <c r="V96" s="38"/>
      <c r="W96" s="3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</row>
    <row r="97" spans="1:22" x14ac:dyDescent="0.25">
      <c r="A97" s="3"/>
      <c r="B97" s="50" t="s">
        <v>22</v>
      </c>
      <c r="C97" s="51"/>
      <c r="D97" s="52" t="s">
        <v>44</v>
      </c>
      <c r="E97" s="53"/>
      <c r="F97" s="50" t="s">
        <v>22</v>
      </c>
      <c r="G97" s="51"/>
      <c r="H97" s="52" t="s">
        <v>40</v>
      </c>
      <c r="I97" s="53"/>
      <c r="J97" s="50" t="s">
        <v>22</v>
      </c>
      <c r="K97" s="51"/>
      <c r="L97" s="52" t="s">
        <v>24</v>
      </c>
      <c r="M97" s="53"/>
      <c r="N97" s="50" t="s">
        <v>22</v>
      </c>
      <c r="O97" s="51"/>
      <c r="P97" s="52" t="s">
        <v>51</v>
      </c>
      <c r="Q97" s="53"/>
      <c r="R97" s="35"/>
      <c r="S97" s="35"/>
      <c r="T97" s="35"/>
      <c r="U97" s="35"/>
      <c r="V97" s="38"/>
    </row>
    <row r="98" spans="1:22" x14ac:dyDescent="0.25">
      <c r="A98" s="3"/>
      <c r="B98" s="3"/>
      <c r="C98" s="3"/>
      <c r="D98" s="4"/>
      <c r="E98" s="4"/>
      <c r="F98" s="3"/>
      <c r="G98" s="3"/>
      <c r="H98" s="4"/>
      <c r="I98" s="4"/>
      <c r="J98" s="3"/>
      <c r="K98" s="3"/>
      <c r="L98" s="4"/>
      <c r="M98" s="4"/>
      <c r="N98" s="3"/>
      <c r="O98" s="3"/>
      <c r="P98" s="4"/>
      <c r="Q98" s="4"/>
      <c r="R98" s="3"/>
      <c r="S98" s="3"/>
      <c r="T98" s="3"/>
      <c r="U98" s="3"/>
      <c r="V98" s="3"/>
    </row>
    <row r="99" spans="1:22" x14ac:dyDescent="0.25">
      <c r="A99" s="3"/>
      <c r="B99" s="3"/>
      <c r="C99" s="3"/>
      <c r="D99" s="4"/>
      <c r="E99" s="5" t="s">
        <v>26</v>
      </c>
      <c r="F99" s="54" t="s">
        <v>27</v>
      </c>
      <c r="G99" s="54"/>
      <c r="H99" s="54"/>
      <c r="I99" s="54" t="s">
        <v>28</v>
      </c>
      <c r="J99" s="54"/>
      <c r="K99" s="3"/>
      <c r="L99" s="4"/>
      <c r="M99" s="4"/>
      <c r="N99" s="3"/>
      <c r="O99" s="35" t="s">
        <v>29</v>
      </c>
      <c r="P99" s="4" t="s">
        <v>30</v>
      </c>
      <c r="Q99" s="4"/>
      <c r="R99" s="3"/>
      <c r="S99" s="3" t="s">
        <v>31</v>
      </c>
      <c r="T99" s="3"/>
      <c r="U99" s="3"/>
      <c r="V99" s="3"/>
    </row>
    <row r="100" spans="1:22" x14ac:dyDescent="0.25">
      <c r="A100" s="3"/>
      <c r="B100" s="3"/>
      <c r="C100" s="3"/>
      <c r="D100" s="4"/>
      <c r="E100" s="5" t="s">
        <v>32</v>
      </c>
      <c r="F100" s="54" t="s">
        <v>33</v>
      </c>
      <c r="G100" s="54"/>
      <c r="H100" s="54"/>
      <c r="I100" s="4" t="s">
        <v>34</v>
      </c>
      <c r="J100" s="3"/>
      <c r="K100" s="3"/>
      <c r="L100" s="4"/>
      <c r="M100" s="4"/>
      <c r="N100" s="3"/>
      <c r="O100" s="35" t="s">
        <v>35</v>
      </c>
      <c r="P100" s="4" t="s">
        <v>30</v>
      </c>
      <c r="Q100" s="4"/>
      <c r="R100" s="3"/>
      <c r="S100" s="3" t="s">
        <v>36</v>
      </c>
      <c r="T100" s="3"/>
      <c r="U100" s="3"/>
      <c r="V100" s="3"/>
    </row>
    <row r="101" spans="1:22" x14ac:dyDescent="0.25">
      <c r="A101" s="3" t="s">
        <v>0</v>
      </c>
      <c r="B101" s="3"/>
      <c r="C101" s="3"/>
      <c r="D101" s="4"/>
      <c r="E101" s="5"/>
      <c r="F101" s="3"/>
      <c r="G101" s="3"/>
      <c r="H101" s="4"/>
      <c r="I101" s="4"/>
      <c r="J101" s="3"/>
      <c r="K101" s="3"/>
      <c r="L101" s="4"/>
      <c r="M101" s="4"/>
      <c r="N101" s="3"/>
      <c r="O101" s="3"/>
      <c r="P101" s="4"/>
      <c r="Q101" s="4"/>
      <c r="R101" s="3"/>
      <c r="S101" s="3"/>
      <c r="T101" s="3"/>
      <c r="U101" s="3"/>
      <c r="V101" s="3"/>
    </row>
    <row r="102" ht="18.75" customHeight="1" spans="1:22" x14ac:dyDescent="0.25">
      <c r="A102" s="3"/>
      <c r="B102" s="3"/>
      <c r="C102" s="3"/>
      <c r="D102" s="4"/>
      <c r="E102" s="6" t="s">
        <v>1</v>
      </c>
      <c r="F102" s="3"/>
      <c r="G102" s="7"/>
      <c r="H102" s="8"/>
      <c r="I102" s="8"/>
      <c r="J102" s="7"/>
      <c r="K102" s="7"/>
      <c r="L102" s="8"/>
      <c r="M102" s="9" t="s">
        <v>2</v>
      </c>
      <c r="N102" s="10" t="s">
        <v>3</v>
      </c>
      <c r="O102" s="11"/>
      <c r="P102" s="4"/>
      <c r="Q102" s="4"/>
      <c r="R102" s="3"/>
      <c r="S102" s="3"/>
      <c r="T102" s="3"/>
      <c r="U102" s="3"/>
      <c r="V102" s="3"/>
    </row>
    <row r="103" ht="18.75" customHeight="1" spans="1:22" x14ac:dyDescent="0.25">
      <c r="A103" s="3"/>
      <c r="B103" s="3"/>
      <c r="C103" s="3"/>
      <c r="D103" s="4"/>
      <c r="E103" s="6" t="s">
        <v>4</v>
      </c>
      <c r="F103" s="3"/>
      <c r="G103" s="3"/>
      <c r="H103" s="4"/>
      <c r="I103" s="4"/>
      <c r="J103" s="15"/>
      <c r="K103" s="15"/>
      <c r="L103" s="16"/>
      <c r="M103" s="9" t="s">
        <v>5</v>
      </c>
      <c r="N103" s="17" t="s">
        <v>6</v>
      </c>
      <c r="O103" s="17"/>
      <c r="P103" s="4"/>
      <c r="Q103" s="4"/>
      <c r="R103" s="3"/>
      <c r="S103" s="3"/>
      <c r="T103" s="3"/>
      <c r="U103" s="3"/>
      <c r="V103" s="3"/>
    </row>
    <row r="104" ht="18.75" customHeight="1" spans="1:22" x14ac:dyDescent="0.25">
      <c r="A104" s="3"/>
      <c r="B104" s="3"/>
      <c r="C104" s="3"/>
      <c r="D104" s="4"/>
      <c r="E104" s="4" t="s">
        <v>7</v>
      </c>
      <c r="F104" s="3"/>
      <c r="G104" s="3"/>
      <c r="H104" s="8"/>
      <c r="I104" s="8"/>
      <c r="J104" s="7"/>
      <c r="K104" s="7"/>
      <c r="L104" s="8"/>
      <c r="M104" s="19" t="s">
        <v>5</v>
      </c>
      <c r="N104" s="20">
        <v>3</v>
      </c>
      <c r="O104" s="3"/>
      <c r="P104" s="4"/>
      <c r="Q104" s="4"/>
      <c r="R104" s="3"/>
      <c r="S104" s="3"/>
      <c r="T104" s="3"/>
      <c r="U104" s="3"/>
      <c r="V104" s="3"/>
    </row>
    <row r="105" ht="18.75" customHeight="1" spans="1:22" x14ac:dyDescent="0.25">
      <c r="A105" s="3"/>
      <c r="B105" s="3"/>
      <c r="C105" s="3"/>
      <c r="D105" s="4"/>
      <c r="E105" s="4" t="s">
        <v>8</v>
      </c>
      <c r="F105" s="3"/>
      <c r="G105" s="3"/>
      <c r="H105" s="4"/>
      <c r="I105" s="4"/>
      <c r="J105" s="3"/>
      <c r="K105" s="3"/>
      <c r="L105" s="16"/>
      <c r="M105" s="19" t="s">
        <v>5</v>
      </c>
      <c r="N105" s="20" t="s">
        <v>53</v>
      </c>
      <c r="O105" s="22"/>
      <c r="P105" s="4"/>
      <c r="Q105" s="4"/>
      <c r="R105" s="3"/>
      <c r="S105" s="3"/>
      <c r="T105" s="3"/>
      <c r="U105" s="3"/>
      <c r="V105" s="3"/>
    </row>
    <row r="106" ht="18.75" customHeight="1" spans="1:22" x14ac:dyDescent="0.25">
      <c r="A106" s="3"/>
      <c r="B106" s="3"/>
      <c r="C106" s="3"/>
      <c r="D106" s="4"/>
      <c r="E106" s="24" t="s">
        <v>10</v>
      </c>
      <c r="F106" s="3"/>
      <c r="G106" s="3"/>
      <c r="H106" s="4"/>
      <c r="I106" s="8"/>
      <c r="J106" s="7"/>
      <c r="K106" s="7"/>
      <c r="L106" s="8"/>
      <c r="M106" s="19" t="s">
        <v>5</v>
      </c>
      <c r="N106" s="25">
        <v>18</v>
      </c>
      <c r="O106" s="3"/>
      <c r="P106" s="4"/>
      <c r="Q106" s="4"/>
      <c r="R106" s="3"/>
      <c r="S106" s="3"/>
      <c r="T106" s="3"/>
      <c r="U106" s="3"/>
      <c r="V106" s="3"/>
    </row>
    <row r="107" ht="15.75" customHeight="1" spans="1:22" x14ac:dyDescent="0.25">
      <c r="A107" s="3"/>
      <c r="B107" s="3"/>
      <c r="C107" s="3"/>
      <c r="D107" s="4"/>
      <c r="E107" s="4"/>
      <c r="F107" s="3"/>
      <c r="G107" s="3"/>
      <c r="H107" s="4"/>
      <c r="I107" s="4"/>
      <c r="J107" s="3"/>
      <c r="K107" s="3"/>
      <c r="L107" s="4"/>
      <c r="M107" s="4"/>
      <c r="N107" s="3"/>
      <c r="O107" s="3"/>
      <c r="P107" s="4"/>
      <c r="Q107" s="4"/>
      <c r="R107" s="3"/>
      <c r="S107" s="3"/>
      <c r="T107" s="3"/>
      <c r="U107" s="3"/>
      <c r="V107" s="3"/>
    </row>
    <row r="108" spans="1:22" x14ac:dyDescent="0.25">
      <c r="A108" s="27"/>
      <c r="B108" s="28"/>
      <c r="C108" s="28"/>
      <c r="D108" s="29"/>
      <c r="E108" s="29"/>
      <c r="F108" s="28"/>
      <c r="G108" s="28"/>
      <c r="H108" s="29"/>
      <c r="I108" s="29"/>
      <c r="J108" s="28"/>
      <c r="K108" s="28"/>
      <c r="L108" s="29"/>
      <c r="M108" s="29"/>
      <c r="N108" s="28"/>
      <c r="O108" s="28"/>
      <c r="P108" s="29"/>
      <c r="Q108" s="29"/>
      <c r="R108" s="28"/>
      <c r="S108" s="28"/>
      <c r="T108" s="28"/>
      <c r="U108" s="28"/>
      <c r="V108" s="28"/>
    </row>
    <row r="109" spans="1:22" x14ac:dyDescent="0.25">
      <c r="A109" s="30"/>
      <c r="B109" s="31"/>
      <c r="C109" s="31"/>
      <c r="D109" s="32">
        <v>1</v>
      </c>
      <c r="E109" s="33"/>
      <c r="F109" s="31"/>
      <c r="G109" s="31"/>
      <c r="H109" s="32">
        <v>2</v>
      </c>
      <c r="I109" s="33"/>
      <c r="J109" s="31"/>
      <c r="K109" s="31"/>
      <c r="L109" s="32">
        <v>3</v>
      </c>
      <c r="M109" s="33"/>
      <c r="N109" s="31"/>
      <c r="O109" s="31"/>
      <c r="P109" s="32">
        <v>4</v>
      </c>
      <c r="Q109" s="33"/>
      <c r="R109" s="31"/>
      <c r="S109" s="31"/>
      <c r="T109" s="31"/>
      <c r="U109" s="31"/>
      <c r="V109" s="3"/>
    </row>
    <row r="110" spans="1:22" x14ac:dyDescent="0.25">
      <c r="A110" s="30"/>
      <c r="B110" s="31" t="s">
        <v>11</v>
      </c>
      <c r="C110" s="31"/>
      <c r="D110" s="32" t="s">
        <v>12</v>
      </c>
      <c r="E110" s="33"/>
      <c r="F110" s="31" t="s">
        <v>11</v>
      </c>
      <c r="G110" s="31"/>
      <c r="H110" s="32" t="s">
        <v>12</v>
      </c>
      <c r="I110" s="33"/>
      <c r="J110" s="31" t="s">
        <v>11</v>
      </c>
      <c r="K110" s="31"/>
      <c r="L110" s="32" t="s">
        <v>12</v>
      </c>
      <c r="M110" s="33"/>
      <c r="N110" s="31" t="s">
        <v>11</v>
      </c>
      <c r="O110" s="31"/>
      <c r="P110" s="32" t="s">
        <v>12</v>
      </c>
      <c r="Q110" s="33"/>
      <c r="R110" s="31"/>
      <c r="S110" s="31"/>
      <c r="T110" s="31"/>
      <c r="U110" s="31"/>
      <c r="V110" s="35"/>
    </row>
    <row r="111" spans="1:22" x14ac:dyDescent="0.25">
      <c r="A111" s="30"/>
      <c r="B111" s="35"/>
      <c r="C111" s="35"/>
      <c r="D111" s="5"/>
      <c r="E111" s="5"/>
      <c r="F111" s="35"/>
      <c r="G111" s="35"/>
      <c r="H111" s="5"/>
      <c r="I111" s="5"/>
      <c r="J111" s="35"/>
      <c r="K111" s="35"/>
      <c r="L111" s="5"/>
      <c r="M111" s="5"/>
      <c r="N111" s="35"/>
      <c r="O111" s="35"/>
      <c r="P111" s="5"/>
      <c r="Q111" s="5"/>
      <c r="R111" s="35"/>
      <c r="S111" s="35"/>
      <c r="T111" s="35"/>
      <c r="U111" s="35"/>
      <c r="V111" s="35"/>
    </row>
    <row r="112" spans="1:22" x14ac:dyDescent="0.25">
      <c r="A112" s="30"/>
      <c r="B112" s="31">
        <v>0</v>
      </c>
      <c r="C112" s="31"/>
      <c r="D112" s="37">
        <v>1</v>
      </c>
      <c r="E112" s="37"/>
      <c r="F112" s="31">
        <v>2</v>
      </c>
      <c r="G112" s="31"/>
      <c r="H112" s="37">
        <v>3</v>
      </c>
      <c r="I112" s="37"/>
      <c r="J112" s="31">
        <v>4</v>
      </c>
      <c r="K112" s="31"/>
      <c r="L112" s="37">
        <v>5</v>
      </c>
      <c r="M112" s="37"/>
      <c r="N112" s="31">
        <v>6</v>
      </c>
      <c r="O112" s="31"/>
      <c r="P112" s="37">
        <v>7</v>
      </c>
      <c r="Q112" s="37"/>
      <c r="R112" s="31">
        <v>8</v>
      </c>
      <c r="S112" s="31"/>
      <c r="T112" s="31">
        <v>9</v>
      </c>
      <c r="U112" s="31"/>
      <c r="V112" s="38"/>
    </row>
    <row r="113" spans="1:22" x14ac:dyDescent="0.25">
      <c r="A113" s="30"/>
      <c r="B113" s="31" t="s">
        <v>13</v>
      </c>
      <c r="C113" s="31" t="s">
        <v>14</v>
      </c>
      <c r="D113" s="37" t="s">
        <v>15</v>
      </c>
      <c r="E113" s="37" t="s">
        <v>16</v>
      </c>
      <c r="F113" s="31" t="s">
        <v>13</v>
      </c>
      <c r="G113" s="31" t="s">
        <v>14</v>
      </c>
      <c r="H113" s="37" t="s">
        <v>15</v>
      </c>
      <c r="I113" s="37" t="s">
        <v>16</v>
      </c>
      <c r="J113" s="31" t="s">
        <v>13</v>
      </c>
      <c r="K113" s="31" t="s">
        <v>14</v>
      </c>
      <c r="L113" s="37" t="s">
        <v>15</v>
      </c>
      <c r="M113" s="37" t="s">
        <v>16</v>
      </c>
      <c r="N113" s="31" t="s">
        <v>13</v>
      </c>
      <c r="O113" s="31" t="s">
        <v>14</v>
      </c>
      <c r="P113" s="37" t="s">
        <v>15</v>
      </c>
      <c r="Q113" s="37" t="s">
        <v>16</v>
      </c>
      <c r="R113" s="31" t="s">
        <v>13</v>
      </c>
      <c r="S113" s="31" t="s">
        <v>14</v>
      </c>
      <c r="T113" s="31" t="s">
        <v>15</v>
      </c>
      <c r="U113" s="31" t="s">
        <v>16</v>
      </c>
      <c r="V113" s="38"/>
    </row>
    <row r="114" ht="15.75" customHeight="1" spans="1:22" x14ac:dyDescent="0.25">
      <c r="A114" s="39"/>
      <c r="B114" s="40"/>
      <c r="C114" s="40"/>
      <c r="D114" s="41"/>
      <c r="E114" s="42"/>
      <c r="F114" s="40"/>
      <c r="G114" s="40"/>
      <c r="H114" s="41"/>
      <c r="I114" s="42"/>
      <c r="J114" s="40"/>
      <c r="K114" s="40"/>
      <c r="L114" s="41"/>
      <c r="M114" s="42"/>
      <c r="N114" s="40"/>
      <c r="O114" s="40"/>
      <c r="P114" s="41"/>
      <c r="Q114" s="42"/>
      <c r="R114" s="40"/>
      <c r="S114" s="40"/>
      <c r="T114" s="40"/>
      <c r="U114" s="40"/>
      <c r="V114" s="43"/>
    </row>
    <row r="115" ht="15.6" customHeight="1" spans="1:43" x14ac:dyDescent="0.25">
      <c r="A115" s="3"/>
      <c r="B115" s="46" t="s">
        <v>58</v>
      </c>
      <c r="C115" s="47"/>
      <c r="D115" s="48" t="s">
        <v>64</v>
      </c>
      <c r="E115" s="47"/>
      <c r="F115" s="46" t="s">
        <v>65</v>
      </c>
      <c r="G115" s="47"/>
      <c r="H115" s="48" t="s">
        <v>65</v>
      </c>
      <c r="I115" s="47"/>
      <c r="J115" s="46" t="s">
        <v>65</v>
      </c>
      <c r="K115" s="47"/>
      <c r="L115" s="48" t="s">
        <v>65</v>
      </c>
      <c r="M115" s="47"/>
      <c r="N115" s="46" t="s">
        <v>66</v>
      </c>
      <c r="O115" s="47"/>
      <c r="P115" s="48" t="s">
        <v>65</v>
      </c>
      <c r="Q115" s="47"/>
      <c r="R115" s="35"/>
      <c r="S115" s="35"/>
      <c r="T115" s="35"/>
      <c r="U115" s="35"/>
      <c r="V115" s="38"/>
      <c r="W115" s="3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</row>
    <row r="116" ht="15.6" customHeight="1" spans="1:43" x14ac:dyDescent="0.25">
      <c r="A116" s="3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35"/>
      <c r="S116" s="35"/>
      <c r="T116" s="35"/>
      <c r="U116" s="35"/>
      <c r="V116" s="38"/>
      <c r="W116" s="3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</row>
    <row r="117" spans="1:22" x14ac:dyDescent="0.25">
      <c r="A117" s="3"/>
      <c r="B117" s="50" t="s">
        <v>22</v>
      </c>
      <c r="C117" s="51"/>
      <c r="D117" s="52" t="s">
        <v>42</v>
      </c>
      <c r="E117" s="53"/>
      <c r="F117" s="50" t="s">
        <v>67</v>
      </c>
      <c r="G117" s="51"/>
      <c r="H117" s="52" t="s">
        <v>65</v>
      </c>
      <c r="I117" s="53"/>
      <c r="J117" s="50" t="s">
        <v>67</v>
      </c>
      <c r="K117" s="51"/>
      <c r="L117" s="52" t="s">
        <v>65</v>
      </c>
      <c r="M117" s="53"/>
      <c r="N117" s="50" t="s">
        <v>65</v>
      </c>
      <c r="O117" s="51"/>
      <c r="P117" s="52" t="s">
        <v>65</v>
      </c>
      <c r="Q117" s="53"/>
      <c r="R117" s="35"/>
      <c r="S117" s="35"/>
      <c r="T117" s="35"/>
      <c r="U117" s="35"/>
      <c r="V117" s="38"/>
    </row>
    <row r="118" spans="1:22" x14ac:dyDescent="0.25">
      <c r="A118" s="3"/>
      <c r="B118" s="3"/>
      <c r="C118" s="3"/>
      <c r="D118" s="4"/>
      <c r="E118" s="4"/>
      <c r="F118" s="3"/>
      <c r="G118" s="3"/>
      <c r="H118" s="4"/>
      <c r="I118" s="4"/>
      <c r="J118" s="3"/>
      <c r="K118" s="3"/>
      <c r="L118" s="4"/>
      <c r="M118" s="4"/>
      <c r="N118" s="3"/>
      <c r="O118" s="3"/>
      <c r="P118" s="4"/>
      <c r="Q118" s="4"/>
      <c r="R118" s="3"/>
      <c r="S118" s="3"/>
      <c r="T118" s="3"/>
      <c r="U118" s="3"/>
      <c r="V118" s="3"/>
    </row>
    <row r="119" spans="1:22" x14ac:dyDescent="0.25">
      <c r="A119" s="3"/>
      <c r="B119" s="3"/>
      <c r="C119" s="3"/>
      <c r="D119" s="4"/>
      <c r="E119" s="5" t="s">
        <v>26</v>
      </c>
      <c r="F119" s="54" t="s">
        <v>27</v>
      </c>
      <c r="G119" s="54"/>
      <c r="H119" s="54"/>
      <c r="I119" s="54" t="s">
        <v>28</v>
      </c>
      <c r="J119" s="54"/>
      <c r="K119" s="3"/>
      <c r="L119" s="4"/>
      <c r="M119" s="4"/>
      <c r="N119" s="3"/>
      <c r="O119" s="35" t="s">
        <v>29</v>
      </c>
      <c r="P119" s="4" t="s">
        <v>30</v>
      </c>
      <c r="Q119" s="4"/>
      <c r="R119" s="3"/>
      <c r="S119" s="3" t="s">
        <v>31</v>
      </c>
      <c r="T119" s="3"/>
      <c r="U119" s="3"/>
      <c r="V119" s="3"/>
    </row>
    <row r="120" spans="1:22" x14ac:dyDescent="0.25">
      <c r="A120" s="3"/>
      <c r="B120" s="3"/>
      <c r="C120" s="3"/>
      <c r="D120" s="4"/>
      <c r="E120" s="5" t="s">
        <v>32</v>
      </c>
      <c r="F120" s="54" t="s">
        <v>33</v>
      </c>
      <c r="G120" s="54"/>
      <c r="H120" s="54"/>
      <c r="I120" s="4" t="s">
        <v>34</v>
      </c>
      <c r="J120" s="3"/>
      <c r="K120" s="3"/>
      <c r="L120" s="4"/>
      <c r="M120" s="4"/>
      <c r="N120" s="3"/>
      <c r="O120" s="35" t="s">
        <v>35</v>
      </c>
      <c r="P120" s="4" t="s">
        <v>30</v>
      </c>
      <c r="Q120" s="4"/>
      <c r="R120" s="3"/>
      <c r="S120" s="3" t="s">
        <v>36</v>
      </c>
      <c r="T120" s="3"/>
      <c r="U120" s="3"/>
      <c r="V120" s="3"/>
    </row>
    <row r="121" spans="1:22" x14ac:dyDescent="0.25">
      <c r="A121" s="3" t="s">
        <v>0</v>
      </c>
      <c r="B121" s="3"/>
      <c r="C121" s="3"/>
      <c r="D121" s="4"/>
      <c r="E121" s="5"/>
      <c r="F121" s="3"/>
      <c r="G121" s="3"/>
      <c r="H121" s="4"/>
      <c r="I121" s="4"/>
      <c r="J121" s="3"/>
      <c r="K121" s="3"/>
      <c r="L121" s="4"/>
      <c r="M121" s="4"/>
      <c r="N121" s="3"/>
      <c r="O121" s="3"/>
      <c r="P121" s="4"/>
      <c r="Q121" s="4"/>
      <c r="R121" s="3"/>
      <c r="S121" s="3"/>
      <c r="T121" s="3"/>
      <c r="U121" s="3"/>
      <c r="V121" s="3"/>
    </row>
  </sheetData>
  <sheetProtection formatCells="0" formatColumns="0" formatRows="0" insertColumns="0" insertRows="0" insertHyperlinks="0" deleteColumns="0" deleteRows="0" sort="0" autoFilter="0" pivotTables="0"/>
  <mergeCells count="490"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B15:C16"/>
    <mergeCell ref="D15:E16"/>
    <mergeCell ref="F15:G16"/>
    <mergeCell ref="H15:I16"/>
    <mergeCell ref="J15:K16"/>
    <mergeCell ref="L15:M16"/>
    <mergeCell ref="N15:O16"/>
    <mergeCell ref="P15:Q16"/>
    <mergeCell ref="X15:AA15"/>
    <mergeCell ref="AB15:AE15"/>
    <mergeCell ref="AF15:AI15"/>
    <mergeCell ref="AJ15:AM15"/>
    <mergeCell ref="AN15:AQ15"/>
    <mergeCell ref="R16:U16"/>
    <mergeCell ref="X16:AA16"/>
    <mergeCell ref="AB16:AE16"/>
    <mergeCell ref="AF16:AI16"/>
    <mergeCell ref="AJ16:AM16"/>
    <mergeCell ref="AN16:AQ16"/>
    <mergeCell ref="B17:C17"/>
    <mergeCell ref="D17:E17"/>
    <mergeCell ref="F17:G17"/>
    <mergeCell ref="H17:I17"/>
    <mergeCell ref="J17:K17"/>
    <mergeCell ref="L17:M17"/>
    <mergeCell ref="N17:O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N22:O22"/>
    <mergeCell ref="AK22:AL22"/>
    <mergeCell ref="N23:O23"/>
    <mergeCell ref="AK23:AL23"/>
    <mergeCell ref="D29:E29"/>
    <mergeCell ref="H29:I29"/>
    <mergeCell ref="L29:M29"/>
    <mergeCell ref="P29:Q29"/>
    <mergeCell ref="X29:AA29"/>
    <mergeCell ref="AB29:AE29"/>
    <mergeCell ref="AF29:AI29"/>
    <mergeCell ref="AJ29:AM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X31:AA31"/>
    <mergeCell ref="AB31:AE31"/>
    <mergeCell ref="AF31:AI31"/>
    <mergeCell ref="AJ31:AM31"/>
    <mergeCell ref="AN31:AQ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B35:C36"/>
    <mergeCell ref="D35:E36"/>
    <mergeCell ref="F35:G36"/>
    <mergeCell ref="H35:I36"/>
    <mergeCell ref="J35:K36"/>
    <mergeCell ref="L35:M36"/>
    <mergeCell ref="N35:O36"/>
    <mergeCell ref="P35:Q36"/>
    <mergeCell ref="X35:AA35"/>
    <mergeCell ref="AB35:AE35"/>
    <mergeCell ref="AF35:AI35"/>
    <mergeCell ref="AJ35:AM35"/>
    <mergeCell ref="AN35:AQ35"/>
    <mergeCell ref="R36:U36"/>
    <mergeCell ref="X36:AA36"/>
    <mergeCell ref="AB36:AE36"/>
    <mergeCell ref="AF36:AI36"/>
    <mergeCell ref="AJ36:AM36"/>
    <mergeCell ref="AN36:AQ36"/>
    <mergeCell ref="B37:C37"/>
    <mergeCell ref="D37:E37"/>
    <mergeCell ref="F37:G37"/>
    <mergeCell ref="H37:I37"/>
    <mergeCell ref="J37:K37"/>
    <mergeCell ref="L37:M37"/>
    <mergeCell ref="N37:O37"/>
    <mergeCell ref="P37:Q37"/>
    <mergeCell ref="F39:H39"/>
    <mergeCell ref="I39:J39"/>
    <mergeCell ref="X39:AQ39"/>
    <mergeCell ref="F40:H40"/>
    <mergeCell ref="X40:AA40"/>
    <mergeCell ref="AB40:AE40"/>
    <mergeCell ref="AF40:AI40"/>
    <mergeCell ref="AJ40:AM40"/>
    <mergeCell ref="AN40:AQ40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N42:O42"/>
    <mergeCell ref="N43:O43"/>
    <mergeCell ref="D49:E49"/>
    <mergeCell ref="H49:I49"/>
    <mergeCell ref="L49:M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5:C56"/>
    <mergeCell ref="D55:E56"/>
    <mergeCell ref="F55:G56"/>
    <mergeCell ref="H55:I56"/>
    <mergeCell ref="J55:K56"/>
    <mergeCell ref="L55:M56"/>
    <mergeCell ref="N55:O56"/>
    <mergeCell ref="P55:Q56"/>
    <mergeCell ref="X55:AA55"/>
    <mergeCell ref="AB55:AE55"/>
    <mergeCell ref="AF55:AI55"/>
    <mergeCell ref="AJ55:AM55"/>
    <mergeCell ref="AN55:AQ55"/>
    <mergeCell ref="R56:U56"/>
    <mergeCell ref="X56:AA56"/>
    <mergeCell ref="AB56:AE56"/>
    <mergeCell ref="AF56:AI56"/>
    <mergeCell ref="AJ56:AM56"/>
    <mergeCell ref="AN56:AQ56"/>
    <mergeCell ref="B57:C57"/>
    <mergeCell ref="D57:E57"/>
    <mergeCell ref="F57:G57"/>
    <mergeCell ref="H57:I57"/>
    <mergeCell ref="J57:K57"/>
    <mergeCell ref="L57:M57"/>
    <mergeCell ref="N57:O57"/>
    <mergeCell ref="P57:Q57"/>
    <mergeCell ref="F59:H59"/>
    <mergeCell ref="I59:J59"/>
    <mergeCell ref="F60:H60"/>
    <mergeCell ref="N62:O62"/>
    <mergeCell ref="N63:O63"/>
    <mergeCell ref="D69:E69"/>
    <mergeCell ref="H69:I69"/>
    <mergeCell ref="L69:M69"/>
    <mergeCell ref="P69:Q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5:C76"/>
    <mergeCell ref="D75:E76"/>
    <mergeCell ref="F75:G76"/>
    <mergeCell ref="H75:I76"/>
    <mergeCell ref="J75:K76"/>
    <mergeCell ref="L75:M76"/>
    <mergeCell ref="N75:O76"/>
    <mergeCell ref="P75:Q76"/>
    <mergeCell ref="X75:AA75"/>
    <mergeCell ref="AB75:AE75"/>
    <mergeCell ref="AF75:AI75"/>
    <mergeCell ref="AJ75:AM75"/>
    <mergeCell ref="AN75:AQ75"/>
    <mergeCell ref="R76:U76"/>
    <mergeCell ref="X76:AA76"/>
    <mergeCell ref="AB76:AE76"/>
    <mergeCell ref="AF76:AI76"/>
    <mergeCell ref="AJ76:AM76"/>
    <mergeCell ref="AN76:AQ76"/>
    <mergeCell ref="B77:C77"/>
    <mergeCell ref="D77:E77"/>
    <mergeCell ref="F77:G77"/>
    <mergeCell ref="H77:I77"/>
    <mergeCell ref="J77:K77"/>
    <mergeCell ref="L77:M77"/>
    <mergeCell ref="N77:O77"/>
    <mergeCell ref="P77:Q77"/>
    <mergeCell ref="F79:H79"/>
    <mergeCell ref="I79:J79"/>
    <mergeCell ref="F80:H80"/>
    <mergeCell ref="N82:O82"/>
    <mergeCell ref="N83:O83"/>
    <mergeCell ref="D89:E89"/>
    <mergeCell ref="H89:I89"/>
    <mergeCell ref="L89:M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B95:C96"/>
    <mergeCell ref="D95:E96"/>
    <mergeCell ref="F95:G96"/>
    <mergeCell ref="H95:I96"/>
    <mergeCell ref="J95:K96"/>
    <mergeCell ref="L95:M96"/>
    <mergeCell ref="N95:O96"/>
    <mergeCell ref="P95:Q96"/>
    <mergeCell ref="X95:AA95"/>
    <mergeCell ref="AB95:AE95"/>
    <mergeCell ref="AF95:AI95"/>
    <mergeCell ref="AJ95:AM95"/>
    <mergeCell ref="AN95:AQ95"/>
    <mergeCell ref="R96:U96"/>
    <mergeCell ref="X96:AA96"/>
    <mergeCell ref="AB96:AE96"/>
    <mergeCell ref="AF96:AI96"/>
    <mergeCell ref="AJ96:AM96"/>
    <mergeCell ref="AN96:AQ96"/>
    <mergeCell ref="B97:C97"/>
    <mergeCell ref="D97:E97"/>
    <mergeCell ref="F97:G97"/>
    <mergeCell ref="H97:I97"/>
    <mergeCell ref="J97:K97"/>
    <mergeCell ref="L97:M97"/>
    <mergeCell ref="N97:O97"/>
    <mergeCell ref="P97:Q97"/>
    <mergeCell ref="F99:H99"/>
    <mergeCell ref="I99:J99"/>
    <mergeCell ref="F100:H100"/>
    <mergeCell ref="N102:O102"/>
    <mergeCell ref="N103:O103"/>
    <mergeCell ref="D109:E109"/>
    <mergeCell ref="H109:I109"/>
    <mergeCell ref="L109:M109"/>
    <mergeCell ref="P109:Q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B115:C116"/>
    <mergeCell ref="D115:E116"/>
    <mergeCell ref="F115:G116"/>
    <mergeCell ref="H115:I116"/>
    <mergeCell ref="J115:K116"/>
    <mergeCell ref="L115:M116"/>
    <mergeCell ref="N115:O116"/>
    <mergeCell ref="P115:Q116"/>
    <mergeCell ref="X115:AA115"/>
    <mergeCell ref="AB115:AE115"/>
    <mergeCell ref="AF115:AI115"/>
    <mergeCell ref="AJ115:AM115"/>
    <mergeCell ref="AN115:AQ115"/>
    <mergeCell ref="R116:U116"/>
    <mergeCell ref="X116:AA116"/>
    <mergeCell ref="AB116:AE116"/>
    <mergeCell ref="AF116:AI116"/>
    <mergeCell ref="AJ116:AM116"/>
    <mergeCell ref="AN116:AQ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F119:H119"/>
    <mergeCell ref="I119:J119"/>
    <mergeCell ref="F120:H120"/>
  </mergeCells>
  <printOptions horizontalCentered="1"/>
  <pageMargins left="0.984251968503937" right="0.3937007874015748" top="0.3937007874015748" bottom="2.5590551181102366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7"/>
  <sheetViews>
    <sheetView workbookViewId="0" zoomScale="100" zoomScaleNormal="100">
      <selection activeCell="D128" sqref="D128"/>
    </sheetView>
  </sheetViews>
  <sheetFormatPr defaultRowHeight="15" outlineLevelRow="0" outlineLevelCol="0" x14ac:dyDescent="0.25"/>
  <cols>
    <col min="2" max="2" width="9.140625" customWidth="1"/>
    <col min="3" max="3" width="5" customWidth="1"/>
    <col min="4" max="4" width="7.42578125" customWidth="1"/>
  </cols>
  <sheetData>
    <row r="2" spans="3:3" x14ac:dyDescent="0.25">
      <c r="C2" t="s">
        <v>85</v>
      </c>
    </row>
    <row r="3" spans="2:2" x14ac:dyDescent="0.25">
      <c r="B3" t="s">
        <v>86</v>
      </c>
    </row>
    <row r="4" spans="1:5" x14ac:dyDescent="0.25">
      <c r="A4">
        <v>1</v>
      </c>
      <c r="B4" t="str">
        <f>IF('SV777-1 (SV004)'!B16&lt;1,"резерв",'SV777-1 (SV004)'!B16)</f>
        <v>резерв</v>
      </c>
      <c r="C4" s="102">
        <f>'SV777-1 (SV004)'!B17</f>
        <v>0</v>
      </c>
      <c r="D4" s="103">
        <f>IF(B4="резерв","",'SV777-1 (SV004)'!D17)</f>
      </c>
      <c r="E4">
        <f>IF('SV777-1 (SV004)'!D16&lt;1,"","ШЛ."&amp;'SV777-1 (SV004)'!D16)</f>
      </c>
    </row>
    <row r="5" spans="1:5" x14ac:dyDescent="0.25">
      <c r="A5">
        <v>2</v>
      </c>
      <c r="B5" t="str">
        <f>IF('SV777-1 (SV004)'!F16&lt;1,"резерв",'SV777-1 (SV004)'!F16)</f>
        <v>резерв</v>
      </c>
      <c r="C5" s="102">
        <f>'SV777-1 (SV004)'!F17</f>
        <v>0</v>
      </c>
      <c r="D5" s="103">
        <f>IF(B5="резерв","",'SV777-1 (SV004)'!H17)</f>
      </c>
      <c r="E5">
        <f>IF('SV777-1 (SV004)'!H16&lt;1,"","ШЛ."&amp;'SV777-1 (SV004)'!H16)</f>
      </c>
    </row>
    <row r="6" spans="1:5" x14ac:dyDescent="0.25">
      <c r="A6">
        <v>3</v>
      </c>
      <c r="B6" t="str">
        <f>IF('SV777-1 (SV004)'!J16&lt;1,"резерв",'SV777-1 (SV004)'!J16)</f>
        <v>резерв</v>
      </c>
      <c r="C6" s="102">
        <f>'SV777-1 (SV004)'!J17</f>
        <v>0</v>
      </c>
      <c r="D6" s="103">
        <f>IF(B6="резерв","",'SV777-1 (SV004)'!L17)</f>
      </c>
      <c r="E6">
        <f>IF('SV777-1 (SV004)'!L16&lt;1,"","ШЛ."&amp;'SV777-1 (SV004)'!L16)</f>
      </c>
    </row>
    <row r="7" spans="1:5" x14ac:dyDescent="0.25">
      <c r="A7">
        <v>4</v>
      </c>
      <c r="B7" t="str">
        <f>IF('SV777-1 (SV004)'!N16&lt;1,"резерв",'SV777-1 (SV004)'!N16)</f>
        <v>резерв</v>
      </c>
      <c r="C7" s="102">
        <f>'SV777-1 (SV004)'!N17</f>
        <v>0</v>
      </c>
      <c r="D7" s="103">
        <f>IF(B7="резерв","",'SV777-1 (SV004)'!P17)</f>
      </c>
      <c r="E7">
        <f>IF('SV777-1 (SV004)'!P16&lt;1,"","ШЛ."&amp;'SV777-1 (SV004)'!P16)</f>
      </c>
    </row>
    <row r="8" spans="1:5" x14ac:dyDescent="0.25">
      <c r="A8">
        <v>5</v>
      </c>
      <c r="B8" t="e">
        <f>IF('SV777-1 (SV004)'!#REF!&lt;1,"резерв",'SV777-1 (SV004)'!#REF!)</f>
        <v>#REF!</v>
      </c>
      <c r="C8" s="102" t="e">
        <f>'SV777-1 (SV004)'!#REF!</f>
        <v>#REF!</v>
      </c>
      <c r="D8" s="103" t="e">
        <f>IF(B8="резерв","",'SV777-1 (SV004)'!#REF!)</f>
        <v>#REF!</v>
      </c>
      <c r="E8" t="e">
        <f>IF('SV777-1 (SV004)'!#REF!&lt;1,"","ШЛ."&amp;'SV777-1 (SV004)'!#REF!)</f>
        <v>#REF!</v>
      </c>
    </row>
    <row r="9" spans="1:5" x14ac:dyDescent="0.25">
      <c r="A9">
        <v>6</v>
      </c>
      <c r="B9" t="e">
        <f>IF('SV777-1 (SV004)'!#REF!&lt;1,"резерв",'SV777-1 (SV004)'!#REF!)</f>
        <v>#REF!</v>
      </c>
      <c r="C9" s="102" t="e">
        <f>'SV777-1 (SV004)'!#REF!</f>
        <v>#REF!</v>
      </c>
      <c r="D9" s="103" t="e">
        <f>IF(B9="резерв","",'SV777-1 (SV004)'!#REF!)</f>
        <v>#REF!</v>
      </c>
      <c r="E9" t="e">
        <f>IF('SV777-1 (SV004)'!#REF!&lt;1,"","ШЛ."&amp;'SV777-1 (SV004)'!#REF!)</f>
        <v>#REF!</v>
      </c>
    </row>
    <row r="10" spans="1:5" x14ac:dyDescent="0.25">
      <c r="A10">
        <v>7</v>
      </c>
      <c r="B10" t="e">
        <f>IF('SV777-1 (SV004)'!#REF!&lt;1,"резерв",'SV777-1 (SV004)'!#REF!)</f>
        <v>#REF!</v>
      </c>
      <c r="C10" s="102" t="e">
        <f>'SV777-1 (SV004)'!#REF!</f>
        <v>#REF!</v>
      </c>
      <c r="D10" s="103" t="e">
        <f>IF(B10="резерв","",'SV777-1 (SV004)'!#REF!)</f>
        <v>#REF!</v>
      </c>
      <c r="E10" t="e">
        <f>IF('SV777-1 (SV004)'!#REF!&lt;1,"","ШЛ."&amp;'SV777-1 (SV004)'!#REF!)</f>
        <v>#REF!</v>
      </c>
    </row>
    <row r="11" spans="1:5" x14ac:dyDescent="0.25">
      <c r="A11">
        <v>8</v>
      </c>
      <c r="B11" t="e">
        <f>IF('SV777-1 (SV004)'!#REF!&lt;1,"резерв",'SV777-1 (SV004)'!#REF!)</f>
        <v>#REF!</v>
      </c>
      <c r="C11" s="102" t="e">
        <f>'SV777-1 (SV004)'!#REF!</f>
        <v>#REF!</v>
      </c>
      <c r="D11" s="103" t="e">
        <f>IF(B11="резерв","",'SV777-1 (SV004)'!#REF!)</f>
        <v>#REF!</v>
      </c>
      <c r="E11" t="e">
        <f>IF('SV777-1 (SV004)'!#REF!&lt;1,"","ШЛ."&amp;'SV777-1 (SV004)'!#REF!)</f>
        <v>#REF!</v>
      </c>
    </row>
    <row r="12" spans="2:2" x14ac:dyDescent="0.25">
      <c r="B12" t="s">
        <v>87</v>
      </c>
    </row>
    <row r="13" spans="1:5" x14ac:dyDescent="0.25">
      <c r="A13">
        <v>1</v>
      </c>
      <c r="B13" t="e">
        <f>IF('SV777-1 (SV004)'!#REF!&lt;1,"резерв",'SV777-1 (SV004)'!#REF!)</f>
        <v>#REF!</v>
      </c>
      <c r="C13" s="102" t="e">
        <f>'SV777-1 (SV004)'!#REF!</f>
        <v>#REF!</v>
      </c>
      <c r="D13" s="103" t="e">
        <f>IF(B13="резерв","",'SV777-1 (SV004)'!#REF!)</f>
        <v>#REF!</v>
      </c>
      <c r="E13" t="e">
        <f>IF('SV777-1 (SV004)'!#REF!&lt;1,"","ШЛ."&amp;'SV777-1 (SV004)'!#REF!)</f>
        <v>#REF!</v>
      </c>
    </row>
    <row r="14" spans="1:5" x14ac:dyDescent="0.25">
      <c r="A14">
        <v>2</v>
      </c>
      <c r="B14" t="e">
        <f>IF('SV777-1 (SV004)'!#REF!&lt;1,"резерв",'SV777-1 (SV004)'!#REF!)</f>
        <v>#REF!</v>
      </c>
      <c r="C14" s="102" t="e">
        <f>'SV777-1 (SV004)'!#REF!</f>
        <v>#REF!</v>
      </c>
      <c r="D14" s="103" t="e">
        <f>IF(B14="резерв","",'SV777-1 (SV004)'!#REF!)</f>
        <v>#REF!</v>
      </c>
      <c r="E14" t="e">
        <f>IF('SV777-1 (SV004)'!#REF!&lt;1,"","ШЛ."&amp;'SV777-1 (SV004)'!#REF!)</f>
        <v>#REF!</v>
      </c>
    </row>
    <row r="15" spans="1:5" x14ac:dyDescent="0.25">
      <c r="A15">
        <v>3</v>
      </c>
      <c r="B15" t="e">
        <f>IF('SV777-1 (SV004)'!#REF!&lt;1,"резерв",'SV777-1 (SV004)'!#REF!)</f>
        <v>#REF!</v>
      </c>
      <c r="C15" s="102" t="e">
        <f>'SV777-1 (SV004)'!#REF!</f>
        <v>#REF!</v>
      </c>
      <c r="D15" s="103" t="e">
        <f>IF(B15="резерв","",'SV777-1 (SV004)'!#REF!)</f>
        <v>#REF!</v>
      </c>
      <c r="E15" t="e">
        <f>IF('SV777-1 (SV004)'!#REF!&lt;1,"","ШЛ."&amp;'SV777-1 (SV004)'!#REF!)</f>
        <v>#REF!</v>
      </c>
    </row>
    <row r="16" spans="1:5" x14ac:dyDescent="0.25">
      <c r="A16">
        <v>4</v>
      </c>
      <c r="B16" t="e">
        <f>IF('SV777-1 (SV004)'!#REF!&lt;1,"резерв",'SV777-1 (SV004)'!#REF!)</f>
        <v>#REF!</v>
      </c>
      <c r="C16" s="102" t="e">
        <f>'SV777-1 (SV004)'!#REF!</f>
        <v>#REF!</v>
      </c>
      <c r="D16" s="103" t="e">
        <f>IF(B16="резерв","",'SV777-1 (SV004)'!#REF!)</f>
        <v>#REF!</v>
      </c>
      <c r="E16" t="e">
        <f>IF('SV777-1 (SV004)'!#REF!&lt;1,"","ШЛ."&amp;'SV777-1 (SV004)'!#REF!)</f>
        <v>#REF!</v>
      </c>
    </row>
    <row r="17" spans="1:5" x14ac:dyDescent="0.25">
      <c r="A17">
        <v>5</v>
      </c>
      <c r="B17" t="e">
        <f>IF('SV777-1 (SV004)'!#REF!&lt;1,"резерв",'SV777-1 (SV004)'!#REF!)</f>
        <v>#REF!</v>
      </c>
      <c r="C17" s="102" t="e">
        <f>'SV777-1 (SV004)'!#REF!</f>
        <v>#REF!</v>
      </c>
      <c r="D17" s="103" t="e">
        <f>IF(B17="резерв","",'SV777-1 (SV004)'!#REF!)</f>
        <v>#REF!</v>
      </c>
      <c r="E17" t="e">
        <f>IF('SV777-1 (SV004)'!#REF!&lt;1,"","ШЛ."&amp;'SV777-1 (SV004)'!#REF!)</f>
        <v>#REF!</v>
      </c>
    </row>
    <row r="18" spans="1:5" x14ac:dyDescent="0.25">
      <c r="A18">
        <v>6</v>
      </c>
      <c r="B18" t="e">
        <f>IF('SV777-1 (SV004)'!#REF!&lt;1,"резерв",'SV777-1 (SV004)'!#REF!)</f>
        <v>#REF!</v>
      </c>
      <c r="C18" s="102" t="e">
        <f>'SV777-1 (SV004)'!#REF!</f>
        <v>#REF!</v>
      </c>
      <c r="D18" s="103" t="e">
        <f>IF(B18="резерв","",'SV777-1 (SV004)'!#REF!)</f>
        <v>#REF!</v>
      </c>
      <c r="E18" t="e">
        <f>IF('SV777-1 (SV004)'!#REF!&lt;1,"","ШЛ."&amp;'SV777-1 (SV004)'!#REF!)</f>
        <v>#REF!</v>
      </c>
    </row>
    <row r="19" spans="1:5" x14ac:dyDescent="0.25">
      <c r="A19">
        <v>7</v>
      </c>
      <c r="B19" t="e">
        <f>IF('SV777-1 (SV004)'!#REF!&lt;1,"резерв",'SV777-1 (SV004)'!#REF!)</f>
        <v>#REF!</v>
      </c>
      <c r="C19" s="102" t="e">
        <f>'SV777-1 (SV004)'!#REF!</f>
        <v>#REF!</v>
      </c>
      <c r="D19" s="103" t="e">
        <f>IF(B19="резерв","",'SV777-1 (SV004)'!#REF!)</f>
        <v>#REF!</v>
      </c>
      <c r="E19" t="e">
        <f>IF('SV777-1 (SV004)'!#REF!&lt;1,"","ШЛ."&amp;'SV777-1 (SV004)'!#REF!)</f>
        <v>#REF!</v>
      </c>
    </row>
    <row r="20" spans="1:5" x14ac:dyDescent="0.25">
      <c r="A20">
        <v>8</v>
      </c>
      <c r="B20" t="e">
        <f>IF('SV777-1 (SV004)'!#REF!&lt;1,"резерв",'SV777-1 (SV004)'!#REF!)</f>
        <v>#REF!</v>
      </c>
      <c r="C20" s="102" t="e">
        <f>'SV777-1 (SV004)'!#REF!</f>
        <v>#REF!</v>
      </c>
      <c r="D20" s="103" t="e">
        <f>IF(B20="резерв","",'SV777-1 (SV004)'!#REF!)</f>
        <v>#REF!</v>
      </c>
      <c r="E20" t="e">
        <f>IF('SV777-1 (SV004)'!#REF!&lt;1,"","ШЛ."&amp;'SV777-1 (SV004)'!#REF!)</f>
        <v>#REF!</v>
      </c>
    </row>
    <row r="21" spans="2:4" x14ac:dyDescent="0.25">
      <c r="B21" t="s">
        <v>88</v>
      </c>
      <c r="C21" s="102"/>
      <c r="D21" s="103"/>
    </row>
    <row r="22" spans="1:5" x14ac:dyDescent="0.25">
      <c r="A22">
        <v>1</v>
      </c>
      <c r="B22" t="e">
        <f>IF('SV777-1 (SV004)'!#REF!&lt;1,"резерв",'SV777-1 (SV004)'!#REF!)</f>
        <v>#REF!</v>
      </c>
      <c r="C22" s="102" t="e">
        <f>'SV777-1 (SV004)'!#REF!</f>
        <v>#REF!</v>
      </c>
      <c r="D22" s="103" t="e">
        <f>IF(B22="резерв","",'SV777-1 (SV004)'!#REF!)</f>
        <v>#REF!</v>
      </c>
      <c r="E22" t="e">
        <f>IF('SV777-1 (SV004)'!#REF!&lt;1,"","ШЛ."&amp;'SV777-1 (SV004)'!#REF!)</f>
        <v>#REF!</v>
      </c>
    </row>
    <row r="23" spans="1:5" x14ac:dyDescent="0.25">
      <c r="A23">
        <v>2</v>
      </c>
      <c r="B23" t="e">
        <f>IF('SV777-1 (SV004)'!#REF!&lt;1,"резерв",'SV777-1 (SV004)'!#REF!)</f>
        <v>#REF!</v>
      </c>
      <c r="C23" s="102" t="e">
        <f>'SV777-1 (SV004)'!#REF!</f>
        <v>#REF!</v>
      </c>
      <c r="D23" s="103" t="e">
        <f>IF(B23="резерв","",'SV777-1 (SV004)'!#REF!)</f>
        <v>#REF!</v>
      </c>
      <c r="E23" t="e">
        <f>IF('SV777-1 (SV004)'!#REF!&lt;1,"","ШЛ."&amp;'SV777-1 (SV004)'!#REF!)</f>
        <v>#REF!</v>
      </c>
    </row>
    <row r="24" spans="1:5" x14ac:dyDescent="0.25">
      <c r="A24">
        <v>3</v>
      </c>
      <c r="B24" t="e">
        <f>IF('SV777-1 (SV004)'!#REF!&lt;1,"резерв",'SV777-1 (SV004)'!#REF!)</f>
        <v>#REF!</v>
      </c>
      <c r="C24" s="102" t="e">
        <f>'SV777-1 (SV004)'!#REF!</f>
        <v>#REF!</v>
      </c>
      <c r="D24" s="103" t="e">
        <f>IF(B24="резерв","",'SV777-1 (SV004)'!#REF!)</f>
        <v>#REF!</v>
      </c>
      <c r="E24" t="e">
        <f>IF('SV777-1 (SV004)'!#REF!&lt;1,"","ШЛ."&amp;'SV777-1 (SV004)'!#REF!)</f>
        <v>#REF!</v>
      </c>
    </row>
    <row r="25" spans="1:5" x14ac:dyDescent="0.25">
      <c r="A25">
        <v>4</v>
      </c>
      <c r="B25" t="e">
        <f>IF('SV777-1 (SV004)'!#REF!&lt;1,"резерв",'SV777-1 (SV004)'!#REF!)</f>
        <v>#REF!</v>
      </c>
      <c r="C25" s="102" t="e">
        <f>'SV777-1 (SV004)'!#REF!</f>
        <v>#REF!</v>
      </c>
      <c r="D25" s="103" t="e">
        <f>IF(B25="резерв","",'SV777-1 (SV004)'!#REF!)</f>
        <v>#REF!</v>
      </c>
      <c r="E25" t="e">
        <f>IF('SV777-1 (SV004)'!#REF!&lt;1,"","ШЛ."&amp;'SV777-1 (SV004)'!#REF!)</f>
        <v>#REF!</v>
      </c>
    </row>
    <row r="26" spans="1:5" x14ac:dyDescent="0.25">
      <c r="A26">
        <v>5</v>
      </c>
      <c r="B26" t="e">
        <f>IF('SV777-1 (SV004)'!#REF!&lt;1,"резерв",'SV777-1 (SV004)'!#REF!)</f>
        <v>#REF!</v>
      </c>
      <c r="C26" s="102" t="e">
        <f>'SV777-1 (SV004)'!#REF!</f>
        <v>#REF!</v>
      </c>
      <c r="D26" s="103" t="e">
        <f>IF(B26="резерв","",'SV777-1 (SV004)'!#REF!)</f>
        <v>#REF!</v>
      </c>
      <c r="E26" t="e">
        <f>IF('SV777-1 (SV004)'!#REF!&lt;1,"","ШЛ."&amp;'SV777-1 (SV004)'!#REF!)</f>
        <v>#REF!</v>
      </c>
    </row>
    <row r="27" spans="1:5" x14ac:dyDescent="0.25">
      <c r="A27">
        <v>6</v>
      </c>
      <c r="B27" t="e">
        <f>IF('SV777-1 (SV004)'!#REF!&lt;1,"резерв",'SV777-1 (SV004)'!#REF!)</f>
        <v>#REF!</v>
      </c>
      <c r="C27" s="102" t="e">
        <f>'SV777-1 (SV004)'!#REF!</f>
        <v>#REF!</v>
      </c>
      <c r="D27" s="103" t="e">
        <f>IF(B27="резерв","",'SV777-1 (SV004)'!#REF!)</f>
        <v>#REF!</v>
      </c>
      <c r="E27" t="e">
        <f>IF('SV777-1 (SV004)'!#REF!&lt;1,"","ШЛ."&amp;'SV777-1 (SV004)'!#REF!)</f>
        <v>#REF!</v>
      </c>
    </row>
    <row r="28" spans="1:5" x14ac:dyDescent="0.25">
      <c r="A28">
        <v>7</v>
      </c>
      <c r="B28" t="e">
        <f>IF('SV777-1 (SV004)'!#REF!&lt;1,"резерв",'SV777-1 (SV004)'!#REF!)</f>
        <v>#REF!</v>
      </c>
      <c r="C28" s="102" t="e">
        <f>'SV777-1 (SV004)'!#REF!</f>
        <v>#REF!</v>
      </c>
      <c r="D28" s="103" t="e">
        <f>IF(B28="резерв","",'SV777-1 (SV004)'!#REF!)</f>
        <v>#REF!</v>
      </c>
      <c r="E28" t="e">
        <f>IF('SV777-1 (SV004)'!#REF!&lt;1,"","ШЛ."&amp;'SV777-1 (SV004)'!#REF!)</f>
        <v>#REF!</v>
      </c>
    </row>
    <row r="29" spans="1:5" x14ac:dyDescent="0.25">
      <c r="A29">
        <v>8</v>
      </c>
      <c r="B29" t="e">
        <f>IF('SV777-1 (SV004)'!#REF!&lt;1,"резерв",'SV777-1 (SV004)'!#REF!)</f>
        <v>#REF!</v>
      </c>
      <c r="C29" s="102" t="e">
        <f>'SV777-1 (SV004)'!#REF!</f>
        <v>#REF!</v>
      </c>
      <c r="D29" s="103" t="e">
        <f>IF(B29="резерв","",'SV777-1 (SV004)'!#REF!)</f>
        <v>#REF!</v>
      </c>
      <c r="E29" t="e">
        <f>IF('SV777-1 (SV004)'!#REF!&lt;1,"","ШЛ."&amp;'SV777-1 (SV004)'!#REF!)</f>
        <v>#REF!</v>
      </c>
    </row>
    <row r="30" spans="2:4" x14ac:dyDescent="0.25">
      <c r="B30" t="s">
        <v>89</v>
      </c>
      <c r="C30" s="102"/>
      <c r="D30" s="103"/>
    </row>
    <row r="31" spans="1:5" x14ac:dyDescent="0.25">
      <c r="A31">
        <v>1</v>
      </c>
      <c r="B31" t="e">
        <f>IF('SV777-1 (SV004)'!#REF!&lt;1,"резерв",'SV777-1 (SV004)'!#REF!)</f>
        <v>#REF!</v>
      </c>
      <c r="C31" s="102" t="e">
        <f>'SV777-1 (SV004)'!#REF!</f>
        <v>#REF!</v>
      </c>
      <c r="D31" s="103" t="e">
        <f>IF(B31="резерв","",'SV777-1 (SV004)'!#REF!)</f>
        <v>#REF!</v>
      </c>
      <c r="E31" t="e">
        <f>IF('SV777-1 (SV004)'!#REF!&lt;1,"","ШЛ."&amp;'SV777-1 (SV004)'!#REF!)</f>
        <v>#REF!</v>
      </c>
    </row>
    <row r="32" spans="1:5" x14ac:dyDescent="0.25">
      <c r="A32">
        <v>2</v>
      </c>
      <c r="B32" t="e">
        <f>IF('SV777-1 (SV004)'!#REF!&lt;1,"резерв",'SV777-1 (SV004)'!#REF!)</f>
        <v>#REF!</v>
      </c>
      <c r="C32" s="102" t="e">
        <f>'SV777-1 (SV004)'!#REF!</f>
        <v>#REF!</v>
      </c>
      <c r="D32" s="103" t="e">
        <f>IF(B32="резерв","",'SV777-1 (SV004)'!#REF!)</f>
        <v>#REF!</v>
      </c>
      <c r="E32" t="e">
        <f>IF('SV777-1 (SV004)'!#REF!&lt;1,"","ШЛ."&amp;'SV777-1 (SV004)'!#REF!)</f>
        <v>#REF!</v>
      </c>
    </row>
    <row r="33" spans="1:5" x14ac:dyDescent="0.25">
      <c r="A33">
        <v>3</v>
      </c>
      <c r="B33" t="e">
        <f>IF('SV777-1 (SV004)'!#REF!&lt;1,"резерв",'SV777-1 (SV004)'!#REF!)</f>
        <v>#REF!</v>
      </c>
      <c r="C33" s="102" t="e">
        <f>'SV777-1 (SV004)'!#REF!</f>
        <v>#REF!</v>
      </c>
      <c r="D33" s="103" t="e">
        <f>IF(B33="резерв","",'SV777-1 (SV004)'!#REF!)</f>
        <v>#REF!</v>
      </c>
      <c r="E33" t="e">
        <f>IF('SV777-1 (SV004)'!#REF!&lt;1,"","ШЛ."&amp;'SV777-1 (SV004)'!#REF!)</f>
        <v>#REF!</v>
      </c>
    </row>
    <row r="34" spans="1:5" x14ac:dyDescent="0.25">
      <c r="A34">
        <v>4</v>
      </c>
      <c r="B34" t="e">
        <f>IF('SV777-1 (SV004)'!#REF!&lt;1,"резерв",'SV777-1 (SV004)'!#REF!)</f>
        <v>#REF!</v>
      </c>
      <c r="C34" s="102" t="e">
        <f>'SV777-1 (SV004)'!#REF!</f>
        <v>#REF!</v>
      </c>
      <c r="D34" s="103" t="e">
        <f>IF(B34="резерв","",'SV777-1 (SV004)'!#REF!)</f>
        <v>#REF!</v>
      </c>
      <c r="E34" t="e">
        <f>IF('SV777-1 (SV004)'!#REF!&lt;1,"","ШЛ."&amp;'SV777-1 (SV004)'!#REF!)</f>
        <v>#REF!</v>
      </c>
    </row>
    <row r="35" spans="1:5" x14ac:dyDescent="0.25">
      <c r="A35">
        <v>5</v>
      </c>
      <c r="B35" t="e">
        <f>IF('SV777-1 (SV004)'!#REF!&lt;1,"резерв",'SV777-1 (SV004)'!#REF!)</f>
        <v>#REF!</v>
      </c>
      <c r="C35" s="102" t="e">
        <f>'SV777-1 (SV004)'!#REF!</f>
        <v>#REF!</v>
      </c>
      <c r="D35" s="103" t="e">
        <f>IF(B35="резерв","",'SV777-1 (SV004)'!#REF!)</f>
        <v>#REF!</v>
      </c>
      <c r="E35" t="e">
        <f>IF('SV777-1 (SV004)'!#REF!&lt;1,"","ШЛ."&amp;'SV777-1 (SV004)'!#REF!)</f>
        <v>#REF!</v>
      </c>
    </row>
    <row r="36" spans="1:5" x14ac:dyDescent="0.25">
      <c r="A36">
        <v>6</v>
      </c>
      <c r="B36" t="e">
        <f>IF('SV777-1 (SV004)'!#REF!&lt;1,"резерв",'SV777-1 (SV004)'!#REF!)</f>
        <v>#REF!</v>
      </c>
      <c r="C36" s="102" t="e">
        <f>'SV777-1 (SV004)'!#REF!</f>
        <v>#REF!</v>
      </c>
      <c r="D36" s="103" t="e">
        <f>IF(B36="резерв","",'SV777-1 (SV004)'!#REF!)</f>
        <v>#REF!</v>
      </c>
      <c r="E36" t="e">
        <f>IF('SV777-1 (SV004)'!#REF!&lt;1,"","ШЛ."&amp;'SV777-1 (SV004)'!#REF!)</f>
        <v>#REF!</v>
      </c>
    </row>
    <row r="37" spans="1:5" x14ac:dyDescent="0.25">
      <c r="A37">
        <v>7</v>
      </c>
      <c r="B37" t="e">
        <f>IF('SV777-1 (SV004)'!#REF!&lt;1,"резерв",'SV777-1 (SV004)'!#REF!)</f>
        <v>#REF!</v>
      </c>
      <c r="C37" s="102" t="e">
        <f>'SV777-1 (SV004)'!#REF!</f>
        <v>#REF!</v>
      </c>
      <c r="D37" s="103" t="e">
        <f>IF(B37="резерв","",'SV777-1 (SV004)'!#REF!)</f>
        <v>#REF!</v>
      </c>
      <c r="E37" t="e">
        <f>IF('SV777-1 (SV004)'!#REF!&lt;1,"","ШЛ."&amp;'SV777-1 (SV004)'!#REF!)</f>
        <v>#REF!</v>
      </c>
    </row>
    <row r="38" spans="1:5" x14ac:dyDescent="0.25">
      <c r="A38">
        <v>8</v>
      </c>
      <c r="B38" t="e">
        <f>IF('SV777-1 (SV004)'!#REF!&lt;1,"резерв",'SV777-1 (SV004)'!#REF!)</f>
        <v>#REF!</v>
      </c>
      <c r="C38" s="102" t="e">
        <f>'SV777-1 (SV004)'!#REF!</f>
        <v>#REF!</v>
      </c>
      <c r="D38" s="103" t="e">
        <f>IF(B38="резерв","",'SV777-1 (SV004)'!#REF!)</f>
        <v>#REF!</v>
      </c>
      <c r="E38" t="e">
        <f>IF('SV777-1 (SV004)'!#REF!&lt;1,"","ШЛ."&amp;'SV777-1 (SV004)'!#REF!)</f>
        <v>#REF!</v>
      </c>
    </row>
    <row r="39" spans="2:4" x14ac:dyDescent="0.25">
      <c r="B39" t="s">
        <v>90</v>
      </c>
      <c r="C39" s="102"/>
      <c r="D39" s="103"/>
    </row>
    <row r="40" spans="1:5" x14ac:dyDescent="0.25">
      <c r="A40">
        <v>1</v>
      </c>
      <c r="B40" t="e">
        <f>IF('SV777-1 (SV004)'!#REF!&lt;1,"резерв",'SV777-1 (SV004)'!#REF!)</f>
        <v>#REF!</v>
      </c>
      <c r="C40" s="102" t="e">
        <f>'SV777-1 (SV004)'!#REF!</f>
        <v>#REF!</v>
      </c>
      <c r="D40" s="103" t="e">
        <f>IF(B40="резерв","",'SV777-1 (SV004)'!#REF!)</f>
        <v>#REF!</v>
      </c>
      <c r="E40" t="e">
        <f>IF('SV777-1 (SV004)'!#REF!&lt;1,"","ШЛ."&amp;'SV777-1 (SV004)'!#REF!)</f>
        <v>#REF!</v>
      </c>
    </row>
    <row r="41" spans="1:5" x14ac:dyDescent="0.25">
      <c r="A41">
        <v>2</v>
      </c>
      <c r="B41" t="e">
        <f>IF('SV777-1 (SV004)'!#REF!&lt;1,"резерв",'SV777-1 (SV004)'!#REF!)</f>
        <v>#REF!</v>
      </c>
      <c r="C41" s="102" t="e">
        <f>'SV777-1 (SV004)'!#REF!</f>
        <v>#REF!</v>
      </c>
      <c r="D41" s="103" t="e">
        <f>IF(B41="резерв","",'SV777-1 (SV004)'!#REF!)</f>
        <v>#REF!</v>
      </c>
      <c r="E41" t="e">
        <f>IF('SV777-1 (SV004)'!#REF!&lt;1,"","ШЛ."&amp;'SV777-1 (SV004)'!#REF!)</f>
        <v>#REF!</v>
      </c>
    </row>
    <row r="42" spans="1:5" x14ac:dyDescent="0.25">
      <c r="A42">
        <v>3</v>
      </c>
      <c r="B42" t="e">
        <f>IF('SV777-1 (SV004)'!#REF!&lt;1,"резерв",'SV777-1 (SV004)'!#REF!)</f>
        <v>#REF!</v>
      </c>
      <c r="C42" s="102" t="e">
        <f>'SV777-1 (SV004)'!#REF!</f>
        <v>#REF!</v>
      </c>
      <c r="D42" s="103" t="e">
        <f>IF(B42="резерв","",'SV777-1 (SV004)'!#REF!)</f>
        <v>#REF!</v>
      </c>
      <c r="E42" t="e">
        <f>IF('SV777-1 (SV004)'!#REF!&lt;1,"","ШЛ."&amp;'SV777-1 (SV004)'!#REF!)</f>
        <v>#REF!</v>
      </c>
    </row>
    <row r="43" spans="1:5" x14ac:dyDescent="0.25">
      <c r="A43">
        <v>4</v>
      </c>
      <c r="B43" t="e">
        <f>IF('SV777-1 (SV004)'!#REF!&lt;1,"резерв",'SV777-1 (SV004)'!#REF!)</f>
        <v>#REF!</v>
      </c>
      <c r="C43" s="102" t="e">
        <f>'SV777-1 (SV004)'!#REF!</f>
        <v>#REF!</v>
      </c>
      <c r="D43" s="103" t="e">
        <f>IF(B43="резерв","",'SV777-1 (SV004)'!#REF!)</f>
        <v>#REF!</v>
      </c>
      <c r="E43" t="e">
        <f>IF('SV777-1 (SV004)'!#REF!&lt;1,"","ШЛ."&amp;'SV777-1 (SV004)'!#REF!)</f>
        <v>#REF!</v>
      </c>
    </row>
    <row r="44" spans="1:5" x14ac:dyDescent="0.25">
      <c r="A44">
        <v>5</v>
      </c>
      <c r="B44" t="e">
        <f>IF('SV777-1 (SV004)'!#REF!&lt;1,"резерв",'SV777-1 (SV004)'!#REF!)</f>
        <v>#REF!</v>
      </c>
      <c r="C44" s="102" t="e">
        <f>'SV777-1 (SV004)'!#REF!</f>
        <v>#REF!</v>
      </c>
      <c r="D44" s="103" t="e">
        <f>IF(B44="резерв","",'SV777-1 (SV004)'!#REF!)</f>
        <v>#REF!</v>
      </c>
      <c r="E44" t="e">
        <f>IF('SV777-1 (SV004)'!#REF!&lt;1,"","ШЛ."&amp;'SV777-1 (SV004)'!#REF!)</f>
        <v>#REF!</v>
      </c>
    </row>
    <row r="45" spans="1:5" x14ac:dyDescent="0.25">
      <c r="A45">
        <v>6</v>
      </c>
      <c r="B45" t="e">
        <f>IF('SV777-1 (SV004)'!#REF!&lt;1,"резерв",'SV777-1 (SV004)'!#REF!)</f>
        <v>#REF!</v>
      </c>
      <c r="C45" s="102" t="e">
        <f>'SV777-1 (SV004)'!#REF!</f>
        <v>#REF!</v>
      </c>
      <c r="D45" s="103" t="e">
        <f>IF(B45="резерв","",'SV777-1 (SV004)'!#REF!)</f>
        <v>#REF!</v>
      </c>
      <c r="E45" t="e">
        <f>IF('SV777-1 (SV004)'!#REF!&lt;1,"","ШЛ."&amp;'SV777-1 (SV004)'!#REF!)</f>
        <v>#REF!</v>
      </c>
    </row>
    <row r="46" spans="1:5" x14ac:dyDescent="0.25">
      <c r="A46">
        <v>7</v>
      </c>
      <c r="B46" t="e">
        <f>IF('SV777-1 (SV004)'!#REF!&lt;1,"резерв",'SV777-1 (SV004)'!#REF!)</f>
        <v>#REF!</v>
      </c>
      <c r="C46" s="102" t="e">
        <f>'SV777-1 (SV004)'!#REF!</f>
        <v>#REF!</v>
      </c>
      <c r="D46" s="103" t="e">
        <f>IF(B46="резерв","",'SV777-1 (SV004)'!#REF!)</f>
        <v>#REF!</v>
      </c>
      <c r="E46" t="e">
        <f>IF('SV777-1 (SV004)'!#REF!&lt;1,"","ШЛ."&amp;'SV777-1 (SV004)'!#REF!)</f>
        <v>#REF!</v>
      </c>
    </row>
    <row r="47" spans="1:5" x14ac:dyDescent="0.25">
      <c r="A47">
        <v>8</v>
      </c>
      <c r="B47" t="e">
        <f>IF('SV777-1 (SV004)'!#REF!&lt;1,"резерв",'SV777-1 (SV004)'!#REF!)</f>
        <v>#REF!</v>
      </c>
      <c r="C47" s="102" t="e">
        <f>'SV777-1 (SV004)'!#REF!</f>
        <v>#REF!</v>
      </c>
      <c r="D47" s="103" t="e">
        <f>IF(B47="резерв","",'SV777-1 (SV004)'!#REF!)</f>
        <v>#REF!</v>
      </c>
      <c r="E47" t="e">
        <f>IF('SV777-1 (SV004)'!#REF!&lt;1,"","ШЛ."&amp;'SV777-1 (SV004)'!#REF!)</f>
        <v>#REF!</v>
      </c>
    </row>
    <row r="48" spans="2:2" x14ac:dyDescent="0.25">
      <c r="B48" t="s">
        <v>91</v>
      </c>
    </row>
    <row r="49" spans="1:5" x14ac:dyDescent="0.25">
      <c r="A49">
        <v>1</v>
      </c>
      <c r="B49" t="e">
        <f>IF('SV777-1 (SV004)'!#REF!&lt;1,"резерв",'SV777-1 (SV004)'!#REF!)</f>
        <v>#REF!</v>
      </c>
      <c r="C49" s="102" t="e">
        <f>'SV777-1 (SV004)'!#REF!</f>
        <v>#REF!</v>
      </c>
      <c r="D49" s="103" t="e">
        <f>IF(B49="резерв","",'SV777-1 (SV004)'!#REF!)</f>
        <v>#REF!</v>
      </c>
      <c r="E49" t="e">
        <f>IF('SV777-1 (SV004)'!#REF!&lt;1,"","ШЛ."&amp;'SV777-1 (SV004)'!#REF!)</f>
        <v>#REF!</v>
      </c>
    </row>
    <row r="50" spans="1:5" x14ac:dyDescent="0.25">
      <c r="A50">
        <v>2</v>
      </c>
      <c r="B50" t="e">
        <f>IF('SV777-1 (SV004)'!#REF!&lt;1,"резерв",'SV777-1 (SV004)'!#REF!)</f>
        <v>#REF!</v>
      </c>
      <c r="C50" s="102" t="e">
        <f>'SV777-1 (SV004)'!#REF!</f>
        <v>#REF!</v>
      </c>
      <c r="D50" s="103" t="e">
        <f>IF(B50="резерв","",'SV777-1 (SV004)'!#REF!)</f>
        <v>#REF!</v>
      </c>
      <c r="E50" t="e">
        <f>IF('SV777-1 (SV004)'!#REF!&lt;1,"","ШЛ."&amp;'SV777-1 (SV004)'!#REF!)</f>
        <v>#REF!</v>
      </c>
    </row>
    <row r="51" spans="1:5" x14ac:dyDescent="0.25">
      <c r="A51">
        <v>3</v>
      </c>
      <c r="B51" t="e">
        <f>IF('SV777-1 (SV004)'!#REF!&lt;1,"резерв",'SV777-1 (SV004)'!#REF!)</f>
        <v>#REF!</v>
      </c>
      <c r="C51" s="102" t="e">
        <f>'SV777-1 (SV004)'!#REF!</f>
        <v>#REF!</v>
      </c>
      <c r="D51" s="103" t="e">
        <f>IF(B51="резерв","",'SV777-1 (SV004)'!#REF!)</f>
        <v>#REF!</v>
      </c>
      <c r="E51" t="e">
        <f>IF('SV777-1 (SV004)'!#REF!&lt;1,"","ШЛ."&amp;'SV777-1 (SV004)'!#REF!)</f>
        <v>#REF!</v>
      </c>
    </row>
    <row r="52" spans="1:5" x14ac:dyDescent="0.25">
      <c r="A52">
        <v>4</v>
      </c>
      <c r="B52" t="e">
        <f>IF('SV777-1 (SV004)'!#REF!&lt;1,"резерв",'SV777-1 (SV004)'!#REF!)</f>
        <v>#REF!</v>
      </c>
      <c r="C52" s="102" t="e">
        <f>'SV777-1 (SV004)'!#REF!</f>
        <v>#REF!</v>
      </c>
      <c r="D52" s="103" t="e">
        <f>IF(B52="резерв","",'SV777-1 (SV004)'!#REF!)</f>
        <v>#REF!</v>
      </c>
      <c r="E52" t="e">
        <f>IF('SV777-1 (SV004)'!#REF!&lt;1,"","ШЛ."&amp;'SV777-1 (SV004)'!#REF!)</f>
        <v>#REF!</v>
      </c>
    </row>
    <row r="53" spans="1:5" x14ac:dyDescent="0.25">
      <c r="A53">
        <v>5</v>
      </c>
      <c r="B53" t="e">
        <f>IF('SV777-1 (SV004)'!#REF!&lt;1,"резерв",'SV777-1 (SV004)'!#REF!)</f>
        <v>#REF!</v>
      </c>
      <c r="C53" s="102" t="e">
        <f>'SV777-1 (SV004)'!#REF!</f>
        <v>#REF!</v>
      </c>
      <c r="D53" s="103" t="e">
        <f>IF(B53="резерв","",'SV777-1 (SV004)'!#REF!)</f>
        <v>#REF!</v>
      </c>
      <c r="E53" t="e">
        <f>IF('SV777-1 (SV004)'!#REF!&lt;1,"","ШЛ."&amp;'SV777-1 (SV004)'!#REF!)</f>
        <v>#REF!</v>
      </c>
    </row>
    <row r="54" spans="1:5" x14ac:dyDescent="0.25">
      <c r="A54">
        <v>6</v>
      </c>
      <c r="B54" t="e">
        <f>IF('SV777-1 (SV004)'!#REF!&lt;1,"резерв",'SV777-1 (SV004)'!#REF!)</f>
        <v>#REF!</v>
      </c>
      <c r="C54" s="102" t="e">
        <f>'SV777-1 (SV004)'!#REF!</f>
        <v>#REF!</v>
      </c>
      <c r="D54" s="103" t="e">
        <f>IF(B54="резерв","",'SV777-1 (SV004)'!#REF!)</f>
        <v>#REF!</v>
      </c>
      <c r="E54" t="e">
        <f>IF('SV777-1 (SV004)'!#REF!&lt;1,"","ШЛ."&amp;'SV777-1 (SV004)'!#REF!)</f>
        <v>#REF!</v>
      </c>
    </row>
    <row r="55" spans="1:5" x14ac:dyDescent="0.25">
      <c r="A55">
        <v>7</v>
      </c>
      <c r="B55" t="e">
        <f>IF('SV777-1 (SV004)'!#REF!&lt;1,"резерв",'SV777-1 (SV004)'!#REF!)</f>
        <v>#REF!</v>
      </c>
      <c r="C55" s="102" t="e">
        <f>'SV777-1 (SV004)'!#REF!</f>
        <v>#REF!</v>
      </c>
      <c r="D55" s="103" t="e">
        <f>IF(B55="резерв","",'SV777-1 (SV004)'!#REF!)</f>
        <v>#REF!</v>
      </c>
      <c r="E55" t="e">
        <f>IF('SV777-1 (SV004)'!#REF!&lt;1,"","ШЛ."&amp;'SV777-1 (SV004)'!#REF!)</f>
        <v>#REF!</v>
      </c>
    </row>
    <row r="56" spans="1:5" x14ac:dyDescent="0.25">
      <c r="A56">
        <v>8</v>
      </c>
      <c r="B56" t="e">
        <f>IF('SV777-1 (SV004)'!#REF!&lt;1,"резерв",'SV777-1 (SV004)'!#REF!)</f>
        <v>#REF!</v>
      </c>
      <c r="C56" s="102" t="e">
        <f>'SV777-1 (SV004)'!#REF!</f>
        <v>#REF!</v>
      </c>
      <c r="D56" s="103" t="e">
        <f>IF(B56="резерв","",'SV777-1 (SV004)'!#REF!)</f>
        <v>#REF!</v>
      </c>
      <c r="E56" t="e">
        <f>IF('SV777-1 (SV004)'!#REF!&lt;1,"","ШЛ."&amp;'SV777-1 (SV004)'!#REF!)</f>
        <v>#REF!</v>
      </c>
    </row>
    <row r="57" spans="2:2" x14ac:dyDescent="0.25">
      <c r="B57" t="s">
        <v>92</v>
      </c>
    </row>
    <row r="58" spans="1:5" x14ac:dyDescent="0.25">
      <c r="A58">
        <v>1</v>
      </c>
      <c r="B58" t="e">
        <f>IF('SV777-1 (SV004)'!#REF!&lt;1,"резерв",'SV777-1 (SV004)'!#REF!)</f>
        <v>#REF!</v>
      </c>
      <c r="C58" s="102" t="e">
        <f>'SV777-1 (SV004)'!#REF!</f>
        <v>#REF!</v>
      </c>
      <c r="D58" s="103" t="e">
        <f>IF(B58="резерв","",'SV777-1 (SV004)'!#REF!)</f>
        <v>#REF!</v>
      </c>
      <c r="E58" t="e">
        <f>IF('SV777-1 (SV004)'!#REF!&lt;1,"","ШЛ."&amp;'SV777-1 (SV004)'!#REF!)</f>
        <v>#REF!</v>
      </c>
    </row>
    <row r="59" spans="1:5" x14ac:dyDescent="0.25">
      <c r="A59">
        <v>2</v>
      </c>
      <c r="B59" t="e">
        <f>IF('SV777-1 (SV004)'!#REF!&lt;1,"резерв",'SV777-1 (SV004)'!#REF!)</f>
        <v>#REF!</v>
      </c>
      <c r="C59" s="102" t="e">
        <f>'SV777-1 (SV004)'!#REF!</f>
        <v>#REF!</v>
      </c>
      <c r="D59" s="103" t="e">
        <f>IF(B59="резерв","",'SV777-1 (SV004)'!#REF!)</f>
        <v>#REF!</v>
      </c>
      <c r="E59" t="e">
        <f>IF('SV777-1 (SV004)'!#REF!&lt;1,"","ШЛ."&amp;'SV777-1 (SV004)'!#REF!)</f>
        <v>#REF!</v>
      </c>
    </row>
    <row r="60" spans="1:5" x14ac:dyDescent="0.25">
      <c r="A60">
        <v>3</v>
      </c>
      <c r="B60" t="e">
        <f>IF('SV777-1 (SV004)'!#REF!&lt;1,"резерв",'SV777-1 (SV004)'!#REF!)</f>
        <v>#REF!</v>
      </c>
      <c r="C60" s="102" t="e">
        <f>'SV777-1 (SV004)'!#REF!</f>
        <v>#REF!</v>
      </c>
      <c r="D60" s="103" t="e">
        <f>IF(B60="резерв","",'SV777-1 (SV004)'!#REF!)</f>
        <v>#REF!</v>
      </c>
      <c r="E60" t="e">
        <f>IF('SV777-1 (SV004)'!#REF!&lt;1,"","ШЛ."&amp;'SV777-1 (SV004)'!#REF!)</f>
        <v>#REF!</v>
      </c>
    </row>
    <row r="61" spans="1:5" x14ac:dyDescent="0.25">
      <c r="A61">
        <v>4</v>
      </c>
      <c r="B61" t="e">
        <f>IF('SV777-1 (SV004)'!#REF!&lt;1,"резерв",'SV777-1 (SV004)'!#REF!)</f>
        <v>#REF!</v>
      </c>
      <c r="C61" s="102" t="e">
        <f>'SV777-1 (SV004)'!#REF!</f>
        <v>#REF!</v>
      </c>
      <c r="D61" s="103" t="e">
        <f>IF(B61="резерв","",'SV777-1 (SV004)'!#REF!)</f>
        <v>#REF!</v>
      </c>
      <c r="E61" t="e">
        <f>IF('SV777-1 (SV004)'!#REF!&lt;1,"","ШЛ."&amp;'SV777-1 (SV004)'!#REF!)</f>
        <v>#REF!</v>
      </c>
    </row>
    <row r="62" spans="1:5" x14ac:dyDescent="0.25">
      <c r="A62">
        <v>5</v>
      </c>
      <c r="B62" t="e">
        <f>IF('SV777-1 (SV004)'!#REF!&lt;1,"резерв",'SV777-1 (SV004)'!#REF!)</f>
        <v>#REF!</v>
      </c>
      <c r="C62" s="102" t="e">
        <f>'SV777-1 (SV004)'!#REF!</f>
        <v>#REF!</v>
      </c>
      <c r="D62" s="103" t="e">
        <f>IF(B62="резерв","",'SV777-1 (SV004)'!#REF!)</f>
        <v>#REF!</v>
      </c>
      <c r="E62" t="e">
        <f>IF('SV777-1 (SV004)'!#REF!&lt;1,"","ШЛ."&amp;'SV777-1 (SV004)'!#REF!)</f>
        <v>#REF!</v>
      </c>
    </row>
    <row r="63" spans="1:5" x14ac:dyDescent="0.25">
      <c r="A63">
        <v>6</v>
      </c>
      <c r="B63" t="e">
        <f>IF('SV777-1 (SV004)'!#REF!&lt;1,"резерв",'SV777-1 (SV004)'!#REF!)</f>
        <v>#REF!</v>
      </c>
      <c r="C63" s="102" t="e">
        <f>'SV777-1 (SV004)'!#REF!</f>
        <v>#REF!</v>
      </c>
      <c r="D63" s="103" t="e">
        <f>IF(B63="резерв","",'SV777-1 (SV004)'!#REF!)</f>
        <v>#REF!</v>
      </c>
      <c r="E63" t="e">
        <f>IF('SV777-1 (SV004)'!#REF!&lt;1,"","ШЛ."&amp;'SV777-1 (SV004)'!#REF!)</f>
        <v>#REF!</v>
      </c>
    </row>
    <row r="64" spans="1:5" x14ac:dyDescent="0.25">
      <c r="A64">
        <v>7</v>
      </c>
      <c r="B64" t="e">
        <f>IF('SV777-1 (SV004)'!#REF!&lt;1,"резерв",'SV777-1 (SV004)'!#REF!)</f>
        <v>#REF!</v>
      </c>
      <c r="C64" s="102" t="e">
        <f>'SV777-1 (SV004)'!#REF!</f>
        <v>#REF!</v>
      </c>
      <c r="D64" s="103" t="e">
        <f>IF(B64="резерв","",'SV777-1 (SV004)'!#REF!)</f>
        <v>#REF!</v>
      </c>
      <c r="E64" t="e">
        <f>IF('SV777-1 (SV004)'!#REF!&lt;1,"","ШЛ."&amp;'SV777-1 (SV004)'!#REF!)</f>
        <v>#REF!</v>
      </c>
    </row>
    <row r="65" spans="1:5" x14ac:dyDescent="0.25">
      <c r="A65">
        <v>8</v>
      </c>
      <c r="B65" t="e">
        <f>IF('SV777-1 (SV004)'!#REF!&lt;1,"резерв",'SV777-1 (SV004)'!#REF!)</f>
        <v>#REF!</v>
      </c>
      <c r="C65" s="102" t="e">
        <f>'SV777-1 (SV004)'!#REF!</f>
        <v>#REF!</v>
      </c>
      <c r="D65" s="103" t="e">
        <f>IF(B65="резерв","",'SV777-1 (SV004)'!#REF!)</f>
        <v>#REF!</v>
      </c>
      <c r="E65" t="e">
        <f>IF('SV777-1 (SV004)'!#REF!&lt;1,"","ШЛ."&amp;'SV777-1 (SV004)'!#REF!)</f>
        <v>#REF!</v>
      </c>
    </row>
    <row r="66" spans="2:2" x14ac:dyDescent="0.25">
      <c r="B66" t="s">
        <v>93</v>
      </c>
    </row>
    <row r="67" spans="1:5" x14ac:dyDescent="0.25">
      <c r="A67">
        <v>1</v>
      </c>
      <c r="B67" t="e">
        <f>IF('SV777-1 (SV004)'!#REF!&lt;1,"резерв",'SV777-1 (SV004)'!#REF!)</f>
        <v>#REF!</v>
      </c>
      <c r="C67" s="102" t="e">
        <f>'SV777-1 (SV004)'!#REF!</f>
        <v>#REF!</v>
      </c>
      <c r="D67" s="103" t="e">
        <f>IF(B67="резерв","",'SV777-1 (SV004)'!#REF!)</f>
        <v>#REF!</v>
      </c>
      <c r="E67" t="e">
        <f>IF('SV777-1 (SV004)'!#REF!&lt;1,"","ШЛ."&amp;'SV777-1 (SV004)'!#REF!)</f>
        <v>#REF!</v>
      </c>
    </row>
    <row r="68" spans="1:5" x14ac:dyDescent="0.25">
      <c r="A68">
        <v>2</v>
      </c>
      <c r="B68" t="e">
        <f>IF('SV777-1 (SV004)'!#REF!&lt;1,"резерв",'SV777-1 (SV004)'!#REF!)</f>
        <v>#REF!</v>
      </c>
      <c r="C68" s="102" t="e">
        <f>'SV777-1 (SV004)'!#REF!</f>
        <v>#REF!</v>
      </c>
      <c r="D68" s="103" t="e">
        <f>IF(B68="резерв","",'SV777-1 (SV004)'!#REF!)</f>
        <v>#REF!</v>
      </c>
      <c r="E68" t="e">
        <f>IF('SV777-1 (SV004)'!#REF!&lt;1,"","ШЛ."&amp;'SV777-1 (SV004)'!#REF!)</f>
        <v>#REF!</v>
      </c>
    </row>
    <row r="69" spans="1:5" x14ac:dyDescent="0.25">
      <c r="A69">
        <v>3</v>
      </c>
      <c r="B69" t="e">
        <f>IF('SV777-1 (SV004)'!#REF!&lt;1,"резерв",'SV777-1 (SV004)'!#REF!)</f>
        <v>#REF!</v>
      </c>
      <c r="C69" s="102" t="e">
        <f>'SV777-1 (SV004)'!#REF!</f>
        <v>#REF!</v>
      </c>
      <c r="D69" s="103" t="e">
        <f>IF(B69="резерв","",'SV777-1 (SV004)'!#REF!)</f>
        <v>#REF!</v>
      </c>
      <c r="E69" t="e">
        <f>IF('SV777-1 (SV004)'!#REF!&lt;1,"","ШЛ."&amp;'SV777-1 (SV004)'!#REF!)</f>
        <v>#REF!</v>
      </c>
    </row>
    <row r="70" spans="1:5" x14ac:dyDescent="0.25">
      <c r="A70">
        <v>4</v>
      </c>
      <c r="B70" t="e">
        <f>IF('SV777-1 (SV004)'!#REF!&lt;1,"резерв",'SV777-1 (SV004)'!#REF!)</f>
        <v>#REF!</v>
      </c>
      <c r="C70" s="102" t="e">
        <f>'SV777-1 (SV004)'!#REF!</f>
        <v>#REF!</v>
      </c>
      <c r="D70" s="103" t="e">
        <f>IF(B70="резерв","",'SV777-1 (SV004)'!#REF!)</f>
        <v>#REF!</v>
      </c>
      <c r="E70" t="e">
        <f>IF('SV777-1 (SV004)'!#REF!&lt;1,"","ШЛ."&amp;'SV777-1 (SV004)'!#REF!)</f>
        <v>#REF!</v>
      </c>
    </row>
    <row r="71" spans="1:5" x14ac:dyDescent="0.25">
      <c r="A71">
        <v>5</v>
      </c>
      <c r="B71" t="e">
        <f>IF('SV777-1 (SV004)'!#REF!&lt;1,"резерв",'SV777-1 (SV004)'!#REF!)</f>
        <v>#REF!</v>
      </c>
      <c r="C71" s="102" t="e">
        <f>'SV777-1 (SV004)'!#REF!</f>
        <v>#REF!</v>
      </c>
      <c r="D71" s="103" t="e">
        <f>IF(B71="резерв","",'SV777-1 (SV004)'!#REF!)</f>
        <v>#REF!</v>
      </c>
      <c r="E71" t="e">
        <f>IF('SV777-1 (SV004)'!#REF!&lt;1,"","ШЛ."&amp;'SV777-1 (SV004)'!#REF!)</f>
        <v>#REF!</v>
      </c>
    </row>
    <row r="72" spans="1:5" x14ac:dyDescent="0.25">
      <c r="A72">
        <v>6</v>
      </c>
      <c r="B72" t="e">
        <f>IF('SV777-1 (SV004)'!#REF!&lt;1,"резерв",'SV777-1 (SV004)'!#REF!)</f>
        <v>#REF!</v>
      </c>
      <c r="C72" s="102" t="e">
        <f>'SV777-1 (SV004)'!#REF!</f>
        <v>#REF!</v>
      </c>
      <c r="D72" s="103" t="e">
        <f>IF(B72="резерв","",'SV777-1 (SV004)'!#REF!)</f>
        <v>#REF!</v>
      </c>
      <c r="E72" t="e">
        <f>IF('SV777-1 (SV004)'!#REF!&lt;1,"","ШЛ."&amp;'SV777-1 (SV004)'!#REF!)</f>
        <v>#REF!</v>
      </c>
    </row>
    <row r="73" spans="1:5" x14ac:dyDescent="0.25">
      <c r="A73">
        <v>7</v>
      </c>
      <c r="B73" t="e">
        <f>IF('SV777-1 (SV004)'!#REF!&lt;1,"резерв",'SV777-1 (SV004)'!#REF!)</f>
        <v>#REF!</v>
      </c>
      <c r="C73" s="102" t="e">
        <f>'SV777-1 (SV004)'!#REF!</f>
        <v>#REF!</v>
      </c>
      <c r="D73" s="103" t="e">
        <f>IF(B73="резерв","",'SV777-1 (SV004)'!#REF!)</f>
        <v>#REF!</v>
      </c>
      <c r="E73" t="e">
        <f>IF('SV777-1 (SV004)'!#REF!&lt;1,"","ШЛ."&amp;'SV777-1 (SV004)'!#REF!)</f>
        <v>#REF!</v>
      </c>
    </row>
    <row r="74" spans="1:5" x14ac:dyDescent="0.25">
      <c r="A74">
        <v>8</v>
      </c>
      <c r="B74" t="e">
        <f>IF('SV777-1 (SV004)'!#REF!&lt;1,"резерв",'SV777-1 (SV004)'!#REF!)</f>
        <v>#REF!</v>
      </c>
      <c r="C74" s="102" t="e">
        <f>'SV777-1 (SV004)'!#REF!</f>
        <v>#REF!</v>
      </c>
      <c r="D74" s="103" t="e">
        <f>IF(B74="резерв","",'SV777-1 (SV004)'!#REF!)</f>
        <v>#REF!</v>
      </c>
      <c r="E74" t="e">
        <f>IF('SV777-1 (SV004)'!#REF!&lt;1,"","ШЛ."&amp;'SV777-1 (SV004)'!#REF!)</f>
        <v>#REF!</v>
      </c>
    </row>
    <row r="75" spans="2:2" x14ac:dyDescent="0.25">
      <c r="B75" t="s">
        <v>94</v>
      </c>
    </row>
    <row r="76" spans="1:5" x14ac:dyDescent="0.25">
      <c r="A76">
        <v>1</v>
      </c>
      <c r="B76" t="e">
        <f>IF('SV777-1 (SV004)'!#REF!&lt;1,"резерв",'SV777-1 (SV004)'!#REF!)</f>
        <v>#REF!</v>
      </c>
      <c r="C76" s="102" t="e">
        <f>'SV777-1 (SV004)'!#REF!</f>
        <v>#REF!</v>
      </c>
      <c r="D76" s="103" t="e">
        <f>IF(B76="резерв","",'SV777-1 (SV004)'!#REF!)</f>
        <v>#REF!</v>
      </c>
      <c r="E76" t="e">
        <f>IF('SV777-1 (SV004)'!#REF!&lt;1,"","ШЛ."&amp;'SV777-1 (SV004)'!#REF!)</f>
        <v>#REF!</v>
      </c>
    </row>
    <row r="77" spans="1:5" x14ac:dyDescent="0.25">
      <c r="A77">
        <v>2</v>
      </c>
      <c r="B77" t="e">
        <f>IF('SV777-1 (SV004)'!#REF!&lt;1,"резерв",'SV777-1 (SV004)'!#REF!)</f>
        <v>#REF!</v>
      </c>
      <c r="C77" s="102" t="e">
        <f>'SV777-1 (SV004)'!#REF!</f>
        <v>#REF!</v>
      </c>
      <c r="D77" s="103" t="e">
        <f>IF(B77="резерв","",'SV777-1 (SV004)'!#REF!)</f>
        <v>#REF!</v>
      </c>
      <c r="E77" t="e">
        <f>IF('SV777-1 (SV004)'!#REF!&lt;1,"","ШЛ."&amp;'SV777-1 (SV004)'!#REF!)</f>
        <v>#REF!</v>
      </c>
    </row>
    <row r="78" spans="1:5" x14ac:dyDescent="0.25">
      <c r="A78">
        <v>3</v>
      </c>
      <c r="B78" t="e">
        <f>IF('SV777-1 (SV004)'!#REF!&lt;1,"резерв",'SV777-1 (SV004)'!#REF!)</f>
        <v>#REF!</v>
      </c>
      <c r="C78" s="102" t="e">
        <f>'SV777-1 (SV004)'!#REF!</f>
        <v>#REF!</v>
      </c>
      <c r="D78" s="103" t="e">
        <f>IF(B78="резерв","",'SV777-1 (SV004)'!#REF!)</f>
        <v>#REF!</v>
      </c>
      <c r="E78" t="e">
        <f>IF('SV777-1 (SV004)'!#REF!&lt;1,"","ШЛ."&amp;'SV777-1 (SV004)'!#REF!)</f>
        <v>#REF!</v>
      </c>
    </row>
    <row r="79" spans="1:5" x14ac:dyDescent="0.25">
      <c r="A79">
        <v>4</v>
      </c>
      <c r="B79" t="e">
        <f>IF('SV777-1 (SV004)'!#REF!&lt;1,"резерв",'SV777-1 (SV004)'!#REF!)</f>
        <v>#REF!</v>
      </c>
      <c r="C79" s="102" t="e">
        <f>'SV777-1 (SV004)'!#REF!</f>
        <v>#REF!</v>
      </c>
      <c r="D79" s="103" t="e">
        <f>IF(B79="резерв","",'SV777-1 (SV004)'!#REF!)</f>
        <v>#REF!</v>
      </c>
      <c r="E79" t="e">
        <f>IF('SV777-1 (SV004)'!#REF!&lt;1,"","ШЛ."&amp;'SV777-1 (SV004)'!#REF!)</f>
        <v>#REF!</v>
      </c>
    </row>
    <row r="80" spans="1:5" x14ac:dyDescent="0.25">
      <c r="A80">
        <v>5</v>
      </c>
      <c r="B80" t="e">
        <f>IF('SV777-1 (SV004)'!#REF!&lt;1,"резерв",'SV777-1 (SV004)'!#REF!)</f>
        <v>#REF!</v>
      </c>
      <c r="C80" s="102" t="e">
        <f>'SV777-1 (SV004)'!#REF!</f>
        <v>#REF!</v>
      </c>
      <c r="D80" s="103" t="e">
        <f>IF(B80="резерв","",'SV777-1 (SV004)'!#REF!)</f>
        <v>#REF!</v>
      </c>
      <c r="E80" t="e">
        <f>IF('SV777-1 (SV004)'!#REF!&lt;1,"","ШЛ."&amp;'SV777-1 (SV004)'!#REF!)</f>
        <v>#REF!</v>
      </c>
    </row>
    <row r="81" spans="1:5" x14ac:dyDescent="0.25">
      <c r="A81">
        <v>6</v>
      </c>
      <c r="B81" t="e">
        <f>IF('SV777-1 (SV004)'!#REF!&lt;1,"резерв",'SV777-1 (SV004)'!#REF!)</f>
        <v>#REF!</v>
      </c>
      <c r="C81" s="102" t="e">
        <f>'SV777-1 (SV004)'!#REF!</f>
        <v>#REF!</v>
      </c>
      <c r="D81" s="103" t="e">
        <f>IF(B81="резерв","",'SV777-1 (SV004)'!#REF!)</f>
        <v>#REF!</v>
      </c>
      <c r="E81" t="e">
        <f>IF('SV777-1 (SV004)'!#REF!&lt;1,"","ШЛ."&amp;'SV777-1 (SV004)'!#REF!)</f>
        <v>#REF!</v>
      </c>
    </row>
    <row r="82" spans="1:5" x14ac:dyDescent="0.25">
      <c r="A82">
        <v>7</v>
      </c>
      <c r="B82" t="e">
        <f>IF('SV777-1 (SV004)'!#REF!&lt;1,"резерв",'SV777-1 (SV004)'!#REF!)</f>
        <v>#REF!</v>
      </c>
      <c r="C82" s="102" t="e">
        <f>'SV777-1 (SV004)'!#REF!</f>
        <v>#REF!</v>
      </c>
      <c r="D82" s="103" t="e">
        <f>IF(B82="резерв","",'SV777-1 (SV004)'!#REF!)</f>
        <v>#REF!</v>
      </c>
      <c r="E82" t="e">
        <f>IF('SV777-1 (SV004)'!#REF!&lt;1,"","ШЛ."&amp;'SV777-1 (SV004)'!#REF!)</f>
        <v>#REF!</v>
      </c>
    </row>
    <row r="83" spans="1:5" x14ac:dyDescent="0.25">
      <c r="A83">
        <v>8</v>
      </c>
      <c r="B83" t="e">
        <f>IF('SV777-1 (SV004)'!#REF!&lt;1,"резерв",'SV777-1 (SV004)'!#REF!)</f>
        <v>#REF!</v>
      </c>
      <c r="C83" s="102" t="e">
        <f>'SV777-1 (SV004)'!#REF!</f>
        <v>#REF!</v>
      </c>
      <c r="D83" s="103" t="e">
        <f>IF(B83="резерв","",'SV777-1 (SV004)'!#REF!)</f>
        <v>#REF!</v>
      </c>
      <c r="E83" t="e">
        <f>IF('SV777-1 (SV004)'!#REF!&lt;1,"","ШЛ."&amp;'SV777-1 (SV004)'!#REF!)</f>
        <v>#REF!</v>
      </c>
    </row>
    <row r="84" spans="2:2" x14ac:dyDescent="0.25">
      <c r="B84" t="s">
        <v>95</v>
      </c>
    </row>
    <row r="85" spans="1:5" x14ac:dyDescent="0.25">
      <c r="A85">
        <v>1</v>
      </c>
      <c r="B85" t="e">
        <f>IF('SV777-1 (SV004)'!#REF!&lt;1,"резерв",'SV777-1 (SV004)'!#REF!)</f>
        <v>#REF!</v>
      </c>
      <c r="C85" s="102" t="e">
        <f>'SV777-1 (SV004)'!#REF!</f>
        <v>#REF!</v>
      </c>
      <c r="D85" s="103" t="e">
        <f>IF(B85="резерв","",'SV777-1 (SV004)'!#REF!)</f>
        <v>#REF!</v>
      </c>
      <c r="E85" t="e">
        <f>IF('SV777-1 (SV004)'!#REF!&lt;1,"","ШЛ."&amp;'SV777-1 (SV004)'!#REF!)</f>
        <v>#REF!</v>
      </c>
    </row>
    <row r="86" spans="1:5" x14ac:dyDescent="0.25">
      <c r="A86">
        <v>2</v>
      </c>
      <c r="B86" t="e">
        <f>IF('SV777-1 (SV004)'!#REF!&lt;1,"резерв",'SV777-1 (SV004)'!#REF!)</f>
        <v>#REF!</v>
      </c>
      <c r="C86" s="102" t="e">
        <f>'SV777-1 (SV004)'!#REF!</f>
        <v>#REF!</v>
      </c>
      <c r="D86" s="103" t="e">
        <f>IF(B86="резерв","",'SV777-1 (SV004)'!#REF!)</f>
        <v>#REF!</v>
      </c>
      <c r="E86" t="e">
        <f>IF('SV777-1 (SV004)'!#REF!&lt;1,"","ШЛ."&amp;'SV777-1 (SV004)'!#REF!)</f>
        <v>#REF!</v>
      </c>
    </row>
    <row r="87" spans="1:5" x14ac:dyDescent="0.25">
      <c r="A87">
        <v>3</v>
      </c>
      <c r="B87" t="e">
        <f>IF('SV777-1 (SV004)'!#REF!&lt;1,"резерв",'SV777-1 (SV004)'!#REF!)</f>
        <v>#REF!</v>
      </c>
      <c r="C87" s="102" t="e">
        <f>'SV777-1 (SV004)'!#REF!</f>
        <v>#REF!</v>
      </c>
      <c r="D87" s="103" t="e">
        <f>IF(B87="резерв","",'SV777-1 (SV004)'!#REF!)</f>
        <v>#REF!</v>
      </c>
      <c r="E87" t="e">
        <f>IF('SV777-1 (SV004)'!#REF!&lt;1,"","ШЛ."&amp;'SV777-1 (SV004)'!#REF!)</f>
        <v>#REF!</v>
      </c>
    </row>
    <row r="88" spans="1:5" x14ac:dyDescent="0.25">
      <c r="A88">
        <v>4</v>
      </c>
      <c r="B88" t="e">
        <f>IF('SV777-1 (SV004)'!#REF!&lt;1,"резерв",'SV777-1 (SV004)'!#REF!)</f>
        <v>#REF!</v>
      </c>
      <c r="C88" s="102" t="e">
        <f>'SV777-1 (SV004)'!#REF!</f>
        <v>#REF!</v>
      </c>
      <c r="D88" s="103" t="e">
        <f>IF(B88="резерв","",'SV777-1 (SV004)'!#REF!)</f>
        <v>#REF!</v>
      </c>
      <c r="E88" t="e">
        <f>IF('SV777-1 (SV004)'!#REF!&lt;1,"","ШЛ."&amp;'SV777-1 (SV004)'!#REF!)</f>
        <v>#REF!</v>
      </c>
    </row>
    <row r="89" spans="1:5" x14ac:dyDescent="0.25">
      <c r="A89">
        <v>5</v>
      </c>
      <c r="B89" t="e">
        <f>IF('SV777-1 (SV004)'!#REF!&lt;1,"резерв",'SV777-1 (SV004)'!#REF!)</f>
        <v>#REF!</v>
      </c>
      <c r="C89" s="102" t="e">
        <f>'SV777-1 (SV004)'!#REF!</f>
        <v>#REF!</v>
      </c>
      <c r="D89" s="103" t="e">
        <f>IF(B89="резерв","",'SV777-1 (SV004)'!#REF!)</f>
        <v>#REF!</v>
      </c>
      <c r="E89" t="e">
        <f>IF('SV777-1 (SV004)'!#REF!&lt;1,"","ШЛ."&amp;'SV777-1 (SV004)'!#REF!)</f>
        <v>#REF!</v>
      </c>
    </row>
    <row r="90" spans="1:5" x14ac:dyDescent="0.25">
      <c r="A90">
        <v>6</v>
      </c>
      <c r="B90" t="e">
        <f>IF('SV777-1 (SV004)'!#REF!&lt;1,"резерв",'SV777-1 (SV004)'!#REF!)</f>
        <v>#REF!</v>
      </c>
      <c r="C90" s="102" t="e">
        <f>'SV777-1 (SV004)'!#REF!</f>
        <v>#REF!</v>
      </c>
      <c r="D90" s="103" t="e">
        <f>IF(B90="резерв","",'SV777-1 (SV004)'!#REF!)</f>
        <v>#REF!</v>
      </c>
      <c r="E90" t="e">
        <f>IF('SV777-1 (SV004)'!#REF!&lt;1,"","ШЛ."&amp;'SV777-1 (SV004)'!#REF!)</f>
        <v>#REF!</v>
      </c>
    </row>
    <row r="91" spans="1:5" x14ac:dyDescent="0.25">
      <c r="A91">
        <v>7</v>
      </c>
      <c r="B91" t="e">
        <f>IF('SV777-1 (SV004)'!#REF!&lt;1,"резерв",'SV777-1 (SV004)'!#REF!)</f>
        <v>#REF!</v>
      </c>
      <c r="C91" s="102" t="e">
        <f>'SV777-1 (SV004)'!#REF!</f>
        <v>#REF!</v>
      </c>
      <c r="D91" s="103" t="e">
        <f>IF(B91="резерв","",'SV777-1 (SV004)'!#REF!)</f>
        <v>#REF!</v>
      </c>
      <c r="E91" t="e">
        <f>IF('SV777-1 (SV004)'!#REF!&lt;1,"","ШЛ."&amp;'SV777-1 (SV004)'!#REF!)</f>
        <v>#REF!</v>
      </c>
    </row>
    <row r="92" spans="1:5" x14ac:dyDescent="0.25">
      <c r="A92">
        <v>8</v>
      </c>
      <c r="B92" t="e">
        <f>IF('SV777-1 (SV004)'!#REF!&lt;1,"резерв",'SV777-1 (SV004)'!#REF!)</f>
        <v>#REF!</v>
      </c>
      <c r="C92" s="102" t="e">
        <f>'SV777-1 (SV004)'!#REF!</f>
        <v>#REF!</v>
      </c>
      <c r="D92" s="103" t="e">
        <f>IF(B92="резерв","",'SV777-1 (SV004)'!#REF!)</f>
        <v>#REF!</v>
      </c>
      <c r="E92" t="e">
        <f>IF('SV777-1 (SV004)'!#REF!&lt;1,"","ШЛ."&amp;'SV777-1 (SV004)'!#REF!)</f>
        <v>#REF!</v>
      </c>
    </row>
    <row r="93" spans="2:2" x14ac:dyDescent="0.25">
      <c r="B93" t="s">
        <v>96</v>
      </c>
    </row>
    <row r="94" spans="1:5" x14ac:dyDescent="0.25">
      <c r="A94">
        <v>1</v>
      </c>
      <c r="B94" t="e">
        <f>IF('SV777-1 (SV004)'!#REF!&lt;1,"резерв",'SV777-1 (SV004)'!#REF!)</f>
        <v>#REF!</v>
      </c>
      <c r="C94" s="102" t="e">
        <f>'SV777-1 (SV004)'!#REF!</f>
        <v>#REF!</v>
      </c>
      <c r="D94" s="103" t="e">
        <f>IF(B94="резерв","",'SV777-1 (SV004)'!#REF!)</f>
        <v>#REF!</v>
      </c>
      <c r="E94" t="e">
        <f>IF('SV777-1 (SV004)'!#REF!&lt;1,"","ШЛ."&amp;'SV777-1 (SV004)'!#REF!)</f>
        <v>#REF!</v>
      </c>
    </row>
    <row r="95" spans="1:5" x14ac:dyDescent="0.25">
      <c r="A95">
        <v>2</v>
      </c>
      <c r="B95" t="e">
        <f>IF('SV777-1 (SV004)'!#REF!&lt;1,"резерв",'SV777-1 (SV004)'!#REF!)</f>
        <v>#REF!</v>
      </c>
      <c r="C95" s="102" t="e">
        <f>'SV777-1 (SV004)'!#REF!</f>
        <v>#REF!</v>
      </c>
      <c r="D95" s="103" t="e">
        <f>IF(B95="резерв","",'SV777-1 (SV004)'!#REF!)</f>
        <v>#REF!</v>
      </c>
      <c r="E95" t="e">
        <f>IF('SV777-1 (SV004)'!#REF!&lt;1,"","ШЛ."&amp;'SV777-1 (SV004)'!#REF!)</f>
        <v>#REF!</v>
      </c>
    </row>
    <row r="96" spans="1:5" x14ac:dyDescent="0.25">
      <c r="A96">
        <v>3</v>
      </c>
      <c r="B96" t="e">
        <f>IF('SV777-1 (SV004)'!#REF!&lt;1,"резерв",'SV777-1 (SV004)'!#REF!)</f>
        <v>#REF!</v>
      </c>
      <c r="C96" s="102" t="e">
        <f>'SV777-1 (SV004)'!#REF!</f>
        <v>#REF!</v>
      </c>
      <c r="D96" s="103" t="e">
        <f>IF(B96="резерв","",'SV777-1 (SV004)'!#REF!)</f>
        <v>#REF!</v>
      </c>
      <c r="E96" t="e">
        <f>IF('SV777-1 (SV004)'!#REF!&lt;1,"","ШЛ."&amp;'SV777-1 (SV004)'!#REF!)</f>
        <v>#REF!</v>
      </c>
    </row>
    <row r="97" spans="1:5" x14ac:dyDescent="0.25">
      <c r="A97">
        <v>4</v>
      </c>
      <c r="B97" t="e">
        <f>IF('SV777-1 (SV004)'!#REF!&lt;1,"резерв",'SV777-1 (SV004)'!#REF!)</f>
        <v>#REF!</v>
      </c>
      <c r="C97" s="102" t="e">
        <f>'SV777-1 (SV004)'!#REF!</f>
        <v>#REF!</v>
      </c>
      <c r="D97" s="103" t="e">
        <f>IF(B97="резерв","",'SV777-1 (SV004)'!#REF!)</f>
        <v>#REF!</v>
      </c>
      <c r="E97" t="e">
        <f>IF('SV777-1 (SV004)'!#REF!&lt;1,"","ШЛ."&amp;'SV777-1 (SV004)'!#REF!)</f>
        <v>#REF!</v>
      </c>
    </row>
    <row r="98" spans="1:5" x14ac:dyDescent="0.25">
      <c r="A98">
        <v>5</v>
      </c>
      <c r="B98" t="e">
        <f>IF('SV777-1 (SV004)'!#REF!&lt;1,"резерв",'SV777-1 (SV004)'!#REF!)</f>
        <v>#REF!</v>
      </c>
      <c r="C98" s="102" t="e">
        <f>'SV777-1 (SV004)'!#REF!</f>
        <v>#REF!</v>
      </c>
      <c r="D98" s="103" t="e">
        <f>IF(B98="резерв","",'SV777-1 (SV004)'!#REF!)</f>
        <v>#REF!</v>
      </c>
      <c r="E98" t="e">
        <f>IF('SV777-1 (SV004)'!#REF!&lt;1,"","ШЛ."&amp;'SV777-1 (SV004)'!#REF!)</f>
        <v>#REF!</v>
      </c>
    </row>
    <row r="99" spans="1:5" x14ac:dyDescent="0.25">
      <c r="A99">
        <v>6</v>
      </c>
      <c r="B99" t="e">
        <f>IF('SV777-1 (SV004)'!#REF!&lt;1,"резерв",'SV777-1 (SV004)'!#REF!)</f>
        <v>#REF!</v>
      </c>
      <c r="C99" s="102" t="e">
        <f>'SV777-1 (SV004)'!#REF!</f>
        <v>#REF!</v>
      </c>
      <c r="D99" s="103" t="e">
        <f>IF(B99="резерв","",'SV777-1 (SV004)'!#REF!)</f>
        <v>#REF!</v>
      </c>
      <c r="E99" t="e">
        <f>IF('SV777-1 (SV004)'!#REF!&lt;1,"","ШЛ."&amp;'SV777-1 (SV004)'!#REF!)</f>
        <v>#REF!</v>
      </c>
    </row>
    <row r="100" spans="1:5" x14ac:dyDescent="0.25">
      <c r="A100">
        <v>7</v>
      </c>
      <c r="B100" t="e">
        <f>IF('SV777-1 (SV004)'!#REF!&lt;1,"резерв",'SV777-1 (SV004)'!#REF!)</f>
        <v>#REF!</v>
      </c>
      <c r="C100" s="102" t="e">
        <f>'SV777-1 (SV004)'!#REF!</f>
        <v>#REF!</v>
      </c>
      <c r="D100" s="103" t="e">
        <f>IF(B100="резерв","",'SV777-1 (SV004)'!#REF!)</f>
        <v>#REF!</v>
      </c>
      <c r="E100" t="e">
        <f>IF('SV777-1 (SV004)'!#REF!&lt;1,"","ШЛ."&amp;'SV777-1 (SV004)'!#REF!)</f>
        <v>#REF!</v>
      </c>
    </row>
    <row r="101" spans="1:5" x14ac:dyDescent="0.25">
      <c r="A101">
        <v>8</v>
      </c>
      <c r="B101" t="e">
        <f>IF('SV777-1 (SV004)'!#REF!&lt;1,"резерв",'SV777-1 (SV004)'!#REF!)</f>
        <v>#REF!</v>
      </c>
      <c r="C101" s="102" t="e">
        <f>'SV777-1 (SV004)'!#REF!</f>
        <v>#REF!</v>
      </c>
      <c r="D101" s="103" t="e">
        <f>IF(B101="резерв","",'SV777-1 (SV004)'!#REF!)</f>
        <v>#REF!</v>
      </c>
      <c r="E101" t="e">
        <f>IF('SV777-1 (SV004)'!#REF!&lt;1,"","ШЛ."&amp;'SV777-1 (SV004)'!#REF!)</f>
        <v>#REF!</v>
      </c>
    </row>
    <row r="102" spans="2:2" x14ac:dyDescent="0.25">
      <c r="B102" t="s">
        <v>97</v>
      </c>
    </row>
    <row r="103" spans="1:5" x14ac:dyDescent="0.25">
      <c r="A103">
        <v>1</v>
      </c>
      <c r="B103" t="e">
        <f>IF('SV777-1 (SV004)'!#REF!&lt;1,"резерв",'SV777-1 (SV004)'!#REF!)</f>
        <v>#REF!</v>
      </c>
      <c r="C103" s="102" t="e">
        <f>'SV777-1 (SV004)'!#REF!</f>
        <v>#REF!</v>
      </c>
      <c r="D103" s="103" t="e">
        <f>IF(B103="резерв","",'SV777-1 (SV004)'!#REF!)</f>
        <v>#REF!</v>
      </c>
      <c r="E103" t="e">
        <f>IF('SV777-1 (SV004)'!#REF!&lt;1,"","ШЛ."&amp;'SV777-1 (SV004)'!#REF!)</f>
        <v>#REF!</v>
      </c>
    </row>
    <row r="104" spans="1:5" x14ac:dyDescent="0.25">
      <c r="A104">
        <v>2</v>
      </c>
      <c r="B104" t="e">
        <f>IF('SV777-1 (SV004)'!#REF!&lt;1,"резерв",'SV777-1 (SV004)'!#REF!)</f>
        <v>#REF!</v>
      </c>
      <c r="C104" s="102" t="e">
        <f>'SV777-1 (SV004)'!#REF!</f>
        <v>#REF!</v>
      </c>
      <c r="D104" s="103" t="e">
        <f>IF(B104="резерв","",'SV777-1 (SV004)'!#REF!)</f>
        <v>#REF!</v>
      </c>
      <c r="E104" t="e">
        <f>IF('SV777-1 (SV004)'!#REF!&lt;1,"","ШЛ."&amp;'SV777-1 (SV004)'!#REF!)</f>
        <v>#REF!</v>
      </c>
    </row>
    <row r="105" spans="1:5" x14ac:dyDescent="0.25">
      <c r="A105">
        <v>3</v>
      </c>
      <c r="B105" t="e">
        <f>IF('SV777-1 (SV004)'!#REF!&lt;1,"резерв",'SV777-1 (SV004)'!#REF!)</f>
        <v>#REF!</v>
      </c>
      <c r="C105" s="102" t="e">
        <f>'SV777-1 (SV004)'!#REF!</f>
        <v>#REF!</v>
      </c>
      <c r="D105" s="103" t="e">
        <f>IF(B105="резерв","",'SV777-1 (SV004)'!#REF!)</f>
        <v>#REF!</v>
      </c>
      <c r="E105" t="e">
        <f>IF('SV777-1 (SV004)'!#REF!&lt;1,"","ШЛ."&amp;'SV777-1 (SV004)'!#REF!)</f>
        <v>#REF!</v>
      </c>
    </row>
    <row r="106" spans="1:5" x14ac:dyDescent="0.25">
      <c r="A106">
        <v>4</v>
      </c>
      <c r="B106" t="e">
        <f>IF('SV777-1 (SV004)'!#REF!&lt;1,"резерв",'SV777-1 (SV004)'!#REF!)</f>
        <v>#REF!</v>
      </c>
      <c r="C106" s="102" t="e">
        <f>'SV777-1 (SV004)'!#REF!</f>
        <v>#REF!</v>
      </c>
      <c r="D106" s="103" t="e">
        <f>IF(B106="резерв","",'SV777-1 (SV004)'!#REF!)</f>
        <v>#REF!</v>
      </c>
      <c r="E106" t="e">
        <f>IF('SV777-1 (SV004)'!#REF!&lt;1,"","ШЛ."&amp;'SV777-1 (SV004)'!#REF!)</f>
        <v>#REF!</v>
      </c>
    </row>
    <row r="107" spans="1:5" x14ac:dyDescent="0.25">
      <c r="A107">
        <v>5</v>
      </c>
      <c r="B107" t="e">
        <f>IF('SV777-1 (SV004)'!#REF!&lt;1,"резерв",'SV777-1 (SV004)'!#REF!)</f>
        <v>#REF!</v>
      </c>
      <c r="C107" s="102" t="e">
        <f>'SV777-1 (SV004)'!#REF!</f>
        <v>#REF!</v>
      </c>
      <c r="D107" s="103" t="e">
        <f>IF(B107="резерв","",'SV777-1 (SV004)'!#REF!)</f>
        <v>#REF!</v>
      </c>
      <c r="E107" t="e">
        <f>IF('SV777-1 (SV004)'!#REF!&lt;1,"","ШЛ."&amp;'SV777-1 (SV004)'!#REF!)</f>
        <v>#REF!</v>
      </c>
    </row>
    <row r="108" spans="1:5" x14ac:dyDescent="0.25">
      <c r="A108">
        <v>6</v>
      </c>
      <c r="B108" t="e">
        <f>IF('SV777-1 (SV004)'!#REF!&lt;1,"резерв",'SV777-1 (SV004)'!#REF!)</f>
        <v>#REF!</v>
      </c>
      <c r="C108" s="102" t="e">
        <f>'SV777-1 (SV004)'!#REF!</f>
        <v>#REF!</v>
      </c>
      <c r="D108" s="103" t="e">
        <f>IF(B108="резерв","",'SV777-1 (SV004)'!#REF!)</f>
        <v>#REF!</v>
      </c>
      <c r="E108" t="e">
        <f>IF('SV777-1 (SV004)'!#REF!&lt;1,"","ШЛ."&amp;'SV777-1 (SV004)'!#REF!)</f>
        <v>#REF!</v>
      </c>
    </row>
    <row r="109" spans="1:5" x14ac:dyDescent="0.25">
      <c r="A109">
        <v>7</v>
      </c>
      <c r="B109" t="e">
        <f>IF('SV777-1 (SV004)'!#REF!&lt;1,"резерв",'SV777-1 (SV004)'!#REF!)</f>
        <v>#REF!</v>
      </c>
      <c r="C109" s="102" t="e">
        <f>'SV777-1 (SV004)'!#REF!</f>
        <v>#REF!</v>
      </c>
      <c r="D109" s="103" t="e">
        <f>IF(B109="резерв","",'SV777-1 (SV004)'!#REF!)</f>
        <v>#REF!</v>
      </c>
      <c r="E109" t="e">
        <f>IF('SV777-1 (SV004)'!#REF!&lt;1,"","ШЛ."&amp;'SV777-1 (SV004)'!#REF!)</f>
        <v>#REF!</v>
      </c>
    </row>
    <row r="110" spans="1:5" x14ac:dyDescent="0.25">
      <c r="A110">
        <v>8</v>
      </c>
      <c r="B110" t="e">
        <f>IF('SV777-1 (SV004)'!#REF!&lt;1,"резерв",'SV777-1 (SV004)'!#REF!)</f>
        <v>#REF!</v>
      </c>
      <c r="C110" s="102" t="e">
        <f>'SV777-1 (SV004)'!#REF!</f>
        <v>#REF!</v>
      </c>
      <c r="D110" s="103" t="e">
        <f>IF(B110="резерв","",'SV777-1 (SV004)'!#REF!)</f>
        <v>#REF!</v>
      </c>
      <c r="E110" t="e">
        <f>IF('SV777-1 (SV004)'!#REF!&lt;1,"","ШЛ."&amp;'SV777-1 (SV004)'!#REF!)</f>
        <v>#REF!</v>
      </c>
    </row>
    <row r="111" spans="2:2" x14ac:dyDescent="0.25">
      <c r="B111" t="s">
        <v>98</v>
      </c>
    </row>
    <row r="112" spans="1:5" x14ac:dyDescent="0.25">
      <c r="A112">
        <v>1</v>
      </c>
      <c r="B112" t="e">
        <f>IF('SV777-1 (SV004)'!#REF!&lt;1,"резерв",'SV777-1 (SV004)'!#REF!)</f>
        <v>#REF!</v>
      </c>
      <c r="C112" s="102" t="e">
        <f>'SV777-1 (SV004)'!#REF!</f>
        <v>#REF!</v>
      </c>
      <c r="D112" s="103" t="e">
        <f>IF(B112="резерв","",'SV777-1 (SV004)'!#REF!)</f>
        <v>#REF!</v>
      </c>
      <c r="E112" t="e">
        <f>IF('SV777-1 (SV004)'!#REF!&lt;1,"","ШЛ."&amp;'SV777-1 (SV004)'!#REF!)</f>
        <v>#REF!</v>
      </c>
    </row>
    <row r="113" spans="1:5" x14ac:dyDescent="0.25">
      <c r="A113">
        <v>2</v>
      </c>
      <c r="B113" t="e">
        <f>IF('SV777-1 (SV004)'!#REF!&lt;1,"резерв",'SV777-1 (SV004)'!#REF!)</f>
        <v>#REF!</v>
      </c>
      <c r="C113" s="102" t="e">
        <f>'SV777-1 (SV004)'!#REF!</f>
        <v>#REF!</v>
      </c>
      <c r="D113" s="103" t="e">
        <f>IF(B113="резерв","",'SV777-1 (SV004)'!#REF!)</f>
        <v>#REF!</v>
      </c>
      <c r="E113" t="e">
        <f>IF('SV777-1 (SV004)'!#REF!&lt;1,"","ШЛ."&amp;'SV777-1 (SV004)'!#REF!)</f>
        <v>#REF!</v>
      </c>
    </row>
    <row r="114" spans="1:5" x14ac:dyDescent="0.25">
      <c r="A114">
        <v>3</v>
      </c>
      <c r="B114" t="e">
        <f>IF('SV777-1 (SV004)'!#REF!&lt;1,"резерв",'SV777-1 (SV004)'!#REF!)</f>
        <v>#REF!</v>
      </c>
      <c r="C114" s="102" t="e">
        <f>'SV777-1 (SV004)'!#REF!</f>
        <v>#REF!</v>
      </c>
      <c r="D114" s="103" t="e">
        <f>IF(B114="резерв","",'SV777-1 (SV004)'!#REF!)</f>
        <v>#REF!</v>
      </c>
      <c r="E114" t="e">
        <f>IF('SV777-1 (SV004)'!#REF!&lt;1,"","ШЛ."&amp;'SV777-1 (SV004)'!#REF!)</f>
        <v>#REF!</v>
      </c>
    </row>
    <row r="115" spans="1:5" x14ac:dyDescent="0.25">
      <c r="A115">
        <v>4</v>
      </c>
      <c r="B115" t="e">
        <f>IF('SV777-1 (SV004)'!#REF!&lt;1,"резерв",'SV777-1 (SV004)'!#REF!)</f>
        <v>#REF!</v>
      </c>
      <c r="C115" s="102" t="e">
        <f>'SV777-1 (SV004)'!#REF!</f>
        <v>#REF!</v>
      </c>
      <c r="D115" s="103" t="e">
        <f>IF(B115="резерв","",'SV777-1 (SV004)'!#REF!)</f>
        <v>#REF!</v>
      </c>
      <c r="E115" t="e">
        <f>IF('SV777-1 (SV004)'!#REF!&lt;1,"","ШЛ."&amp;'SV777-1 (SV004)'!#REF!)</f>
        <v>#REF!</v>
      </c>
    </row>
    <row r="116" spans="1:5" x14ac:dyDescent="0.25">
      <c r="A116">
        <v>5</v>
      </c>
      <c r="B116" t="e">
        <f>IF('SV777-1 (SV004)'!#REF!&lt;1,"резерв",'SV777-1 (SV004)'!#REF!)</f>
        <v>#REF!</v>
      </c>
      <c r="C116" s="102" t="e">
        <f>'SV777-1 (SV004)'!#REF!</f>
        <v>#REF!</v>
      </c>
      <c r="D116" s="103" t="e">
        <f>IF(B116="резерв","",'SV777-1 (SV004)'!#REF!)</f>
        <v>#REF!</v>
      </c>
      <c r="E116" t="e">
        <f>IF('SV777-1 (SV004)'!#REF!&lt;1,"","ШЛ."&amp;'SV777-1 (SV004)'!#REF!)</f>
        <v>#REF!</v>
      </c>
    </row>
    <row r="117" spans="1:5" x14ac:dyDescent="0.25">
      <c r="A117">
        <v>6</v>
      </c>
      <c r="B117" t="e">
        <f>IF('SV777-1 (SV004)'!#REF!&lt;1,"резерв",'SV777-1 (SV004)'!#REF!)</f>
        <v>#REF!</v>
      </c>
      <c r="C117" s="102" t="e">
        <f>'SV777-1 (SV004)'!#REF!</f>
        <v>#REF!</v>
      </c>
      <c r="D117" s="103" t="e">
        <f>IF(B117="резерв","",'SV777-1 (SV004)'!#REF!)</f>
        <v>#REF!</v>
      </c>
      <c r="E117" t="e">
        <f>IF('SV777-1 (SV004)'!#REF!&lt;1,"","ШЛ."&amp;'SV777-1 (SV004)'!#REF!)</f>
        <v>#REF!</v>
      </c>
    </row>
    <row r="118" spans="1:5" x14ac:dyDescent="0.25">
      <c r="A118">
        <v>7</v>
      </c>
      <c r="B118" t="e">
        <f>IF('SV777-1 (SV004)'!#REF!&lt;1,"резерв",'SV777-1 (SV004)'!#REF!)</f>
        <v>#REF!</v>
      </c>
      <c r="C118" s="102" t="e">
        <f>'SV777-1 (SV004)'!#REF!</f>
        <v>#REF!</v>
      </c>
      <c r="D118" s="103" t="e">
        <f>IF(B118="резерв","",'SV777-1 (SV004)'!#REF!)</f>
        <v>#REF!</v>
      </c>
      <c r="E118" t="e">
        <f>IF('SV777-1 (SV004)'!#REF!&lt;1,"","ШЛ."&amp;'SV777-1 (SV004)'!#REF!)</f>
        <v>#REF!</v>
      </c>
    </row>
    <row r="119" spans="1:5" x14ac:dyDescent="0.25">
      <c r="A119">
        <v>8</v>
      </c>
      <c r="B119" t="e">
        <f>IF('SV777-1 (SV004)'!#REF!&lt;1,"резерв",'SV777-1 (SV004)'!#REF!)</f>
        <v>#REF!</v>
      </c>
      <c r="C119" s="102" t="e">
        <f>'SV777-1 (SV004)'!#REF!</f>
        <v>#REF!</v>
      </c>
      <c r="D119" s="103" t="e">
        <f>IF(B119="резерв","",'SV777-1 (SV004)'!#REF!)</f>
        <v>#REF!</v>
      </c>
      <c r="E119" t="e">
        <f>IF('SV777-1 (SV004)'!#REF!&lt;1,"","ШЛ."&amp;'SV777-1 (SV004)'!#REF!)</f>
        <v>#REF!</v>
      </c>
    </row>
    <row r="120" spans="2:2" x14ac:dyDescent="0.25">
      <c r="B120" t="s">
        <v>99</v>
      </c>
    </row>
    <row r="121" spans="1:5" x14ac:dyDescent="0.25">
      <c r="A121">
        <v>1</v>
      </c>
      <c r="B121" t="e">
        <f>IF('SV777-1 (SV004)'!#REF!&lt;1,"резерв",'SV777-1 (SV004)'!#REF!)</f>
        <v>#REF!</v>
      </c>
      <c r="C121" s="102" t="e">
        <f>'SV777-1 (SV004)'!#REF!</f>
        <v>#REF!</v>
      </c>
      <c r="D121" s="103" t="e">
        <f>IF(B121="резерв","",'SV777-1 (SV004)'!#REF!)</f>
        <v>#REF!</v>
      </c>
      <c r="E121" t="e">
        <f>IF('SV777-1 (SV004)'!#REF!&lt;1,"","ШЛ."&amp;'SV777-1 (SV004)'!#REF!)</f>
        <v>#REF!</v>
      </c>
    </row>
    <row r="122" spans="1:5" x14ac:dyDescent="0.25">
      <c r="A122">
        <v>2</v>
      </c>
      <c r="B122" t="e">
        <f>IF('SV777-1 (SV004)'!#REF!&lt;1,"резерв",'SV777-1 (SV004)'!#REF!)</f>
        <v>#REF!</v>
      </c>
      <c r="C122" s="102" t="e">
        <f>'SV777-1 (SV004)'!#REF!</f>
        <v>#REF!</v>
      </c>
      <c r="D122" s="103" t="e">
        <f>IF(B122="резерв","",'SV777-1 (SV004)'!#REF!)</f>
        <v>#REF!</v>
      </c>
      <c r="E122" t="e">
        <f>IF('SV777-1 (SV004)'!#REF!&lt;1,"","ШЛ."&amp;'SV777-1 (SV004)'!#REF!)</f>
        <v>#REF!</v>
      </c>
    </row>
    <row r="123" spans="1:5" x14ac:dyDescent="0.25">
      <c r="A123">
        <v>3</v>
      </c>
      <c r="B123" t="e">
        <f>IF('SV777-1 (SV004)'!#REF!&lt;1,"резерв",'SV777-1 (SV004)'!#REF!)</f>
        <v>#REF!</v>
      </c>
      <c r="C123" s="102" t="e">
        <f>'SV777-1 (SV004)'!#REF!</f>
        <v>#REF!</v>
      </c>
      <c r="D123" s="103" t="e">
        <f>IF(B123="резерв","",'SV777-1 (SV004)'!#REF!)</f>
        <v>#REF!</v>
      </c>
      <c r="E123" t="e">
        <f>IF('SV777-1 (SV004)'!#REF!&lt;1,"","ШЛ."&amp;'SV777-1 (SV004)'!#REF!)</f>
        <v>#REF!</v>
      </c>
    </row>
    <row r="124" spans="1:5" x14ac:dyDescent="0.25">
      <c r="A124">
        <v>4</v>
      </c>
      <c r="B124" t="e">
        <f>IF('SV777-1 (SV004)'!#REF!&lt;1,"резерв",'SV777-1 (SV004)'!#REF!)</f>
        <v>#REF!</v>
      </c>
      <c r="C124" s="102" t="e">
        <f>'SV777-1 (SV004)'!#REF!</f>
        <v>#REF!</v>
      </c>
      <c r="D124" s="103" t="e">
        <f>IF(B124="резерв","",'SV777-1 (SV004)'!#REF!)</f>
        <v>#REF!</v>
      </c>
      <c r="E124" t="e">
        <f>IF('SV777-1 (SV004)'!#REF!&lt;1,"","ШЛ."&amp;'SV777-1 (SV004)'!#REF!)</f>
        <v>#REF!</v>
      </c>
    </row>
    <row r="125" spans="1:5" x14ac:dyDescent="0.25">
      <c r="A125">
        <v>5</v>
      </c>
      <c r="B125" t="e">
        <f>IF('SV777-1 (SV004)'!#REF!&lt;1,"резерв",'SV777-1 (SV004)'!#REF!)</f>
        <v>#REF!</v>
      </c>
      <c r="C125" s="102" t="e">
        <f>'SV777-1 (SV004)'!#REF!</f>
        <v>#REF!</v>
      </c>
      <c r="D125" s="103" t="e">
        <f>IF(B125="резерв","",'SV777-1 (SV004)'!#REF!)</f>
        <v>#REF!</v>
      </c>
      <c r="E125" t="e">
        <f>IF('SV777-1 (SV004)'!#REF!&lt;1,"","ШЛ."&amp;'SV777-1 (SV004)'!#REF!)</f>
        <v>#REF!</v>
      </c>
    </row>
    <row r="126" spans="1:5" x14ac:dyDescent="0.25">
      <c r="A126">
        <v>6</v>
      </c>
      <c r="B126" t="e">
        <f>IF('SV777-1 (SV004)'!#REF!&lt;1,"резерв",'SV777-1 (SV004)'!#REF!)</f>
        <v>#REF!</v>
      </c>
      <c r="C126" s="102" t="e">
        <f>'SV777-1 (SV004)'!#REF!</f>
        <v>#REF!</v>
      </c>
      <c r="D126" s="103" t="e">
        <f>IF(B126="резерв","",'SV777-1 (SV004)'!#REF!)</f>
        <v>#REF!</v>
      </c>
      <c r="E126" t="e">
        <f>IF('SV777-1 (SV004)'!#REF!&lt;1,"","ШЛ."&amp;'SV777-1 (SV004)'!#REF!)</f>
        <v>#REF!</v>
      </c>
    </row>
    <row r="127" spans="1:5" x14ac:dyDescent="0.25">
      <c r="A127">
        <v>7</v>
      </c>
      <c r="B127" t="e">
        <f>IF('SV777-1 (SV004)'!#REF!&lt;1,"резерв",'SV777-1 (SV004)'!#REF!)</f>
        <v>#REF!</v>
      </c>
      <c r="C127" s="102" t="e">
        <f>'SV777-1 (SV004)'!#REF!</f>
        <v>#REF!</v>
      </c>
      <c r="D127" s="103" t="e">
        <f>IF(B127="резерв","",'SV777-1 (SV004)'!#REF!)</f>
        <v>#REF!</v>
      </c>
      <c r="E127" t="e">
        <f>IF('SV777-1 (SV004)'!#REF!&lt;1,"","ШЛ."&amp;'SV777-1 (SV004)'!#REF!)</f>
        <v>#REF!</v>
      </c>
    </row>
    <row r="128" spans="1:5" x14ac:dyDescent="0.25">
      <c r="A128">
        <v>8</v>
      </c>
      <c r="B128" t="e">
        <f>IF('SV777-1 (SV004)'!#REF!&lt;1,"резерв",'SV777-1 (SV004)'!#REF!)</f>
        <v>#REF!</v>
      </c>
      <c r="C128" s="102" t="e">
        <f>'SV777-1 (SV004)'!#REF!</f>
        <v>#REF!</v>
      </c>
      <c r="D128" s="103" t="e">
        <f>IF(B128="резерв","",'SV777-1 (SV004)'!#REF!)</f>
        <v>#REF!</v>
      </c>
      <c r="E128" t="e">
        <f>IF('SV777-1 (SV004)'!#REF!&lt;1,"","ШЛ."&amp;'SV777-1 (SV004)'!#REF!)</f>
        <v>#REF!</v>
      </c>
    </row>
    <row r="129" hidden="1" spans="2:2" x14ac:dyDescent="0.25">
      <c r="B129" t="s">
        <v>100</v>
      </c>
    </row>
    <row r="130" hidden="1" spans="1:5" x14ac:dyDescent="0.25">
      <c r="A130">
        <v>1</v>
      </c>
      <c r="B130" t="e">
        <f>IF('SV777-1 (SV004)'!#REF!&lt;1,"резерв",'SV777-1 (SV004)'!#REF!)</f>
        <v>#REF!</v>
      </c>
      <c r="C130" s="102" t="e">
        <f>'SV777-1 (SV004)'!#REF!</f>
        <v>#REF!</v>
      </c>
      <c r="D130" s="103" t="e">
        <f>IF(B130="резерв","",'SV777-1 (SV004)'!#REF!)</f>
        <v>#REF!</v>
      </c>
      <c r="E130" t="e">
        <f>IF('SV777-1 (SV004)'!#REF!&lt;1,"","ШЛ."&amp;'SV777-1 (SV004)'!#REF!)</f>
        <v>#REF!</v>
      </c>
    </row>
    <row r="131" hidden="1" spans="1:5" x14ac:dyDescent="0.25">
      <c r="A131">
        <v>2</v>
      </c>
      <c r="B131" t="e">
        <f>IF('SV777-1 (SV004)'!#REF!&lt;1,"резерв",'SV777-1 (SV004)'!#REF!)</f>
        <v>#REF!</v>
      </c>
      <c r="C131" s="102" t="e">
        <f>'SV777-1 (SV004)'!#REF!</f>
        <v>#REF!</v>
      </c>
      <c r="D131" s="103" t="e">
        <f>IF(B131="резерв","",'SV777-1 (SV004)'!#REF!)</f>
        <v>#REF!</v>
      </c>
      <c r="E131" t="e">
        <f>IF('SV777-1 (SV004)'!#REF!&lt;1,"","ШЛ."&amp;'SV777-1 (SV004)'!#REF!)</f>
        <v>#REF!</v>
      </c>
    </row>
    <row r="132" hidden="1" spans="1:5" x14ac:dyDescent="0.25">
      <c r="A132">
        <v>3</v>
      </c>
      <c r="B132" t="e">
        <f>IF('SV777-1 (SV004)'!#REF!&lt;1,"резерв",'SV777-1 (SV004)'!#REF!)</f>
        <v>#REF!</v>
      </c>
      <c r="C132" s="102" t="e">
        <f>'SV777-1 (SV004)'!#REF!</f>
        <v>#REF!</v>
      </c>
      <c r="D132" s="103" t="e">
        <f>IF(B132="резерв","",'SV777-1 (SV004)'!#REF!)</f>
        <v>#REF!</v>
      </c>
      <c r="E132" t="e">
        <f>IF('SV777-1 (SV004)'!#REF!&lt;1,"","ШЛ."&amp;'SV777-1 (SV004)'!#REF!)</f>
        <v>#REF!</v>
      </c>
    </row>
    <row r="133" hidden="1" spans="1:5" x14ac:dyDescent="0.25">
      <c r="A133">
        <v>4</v>
      </c>
      <c r="B133" t="e">
        <f>IF('SV777-1 (SV004)'!#REF!&lt;1,"резерв",'SV777-1 (SV004)'!#REF!)</f>
        <v>#REF!</v>
      </c>
      <c r="C133" s="102" t="e">
        <f>'SV777-1 (SV004)'!#REF!</f>
        <v>#REF!</v>
      </c>
      <c r="D133" s="103" t="e">
        <f>IF(B133="резерв","",'SV777-1 (SV004)'!#REF!)</f>
        <v>#REF!</v>
      </c>
      <c r="E133" t="e">
        <f>IF('SV777-1 (SV004)'!#REF!&lt;1,"","ШЛ."&amp;'SV777-1 (SV004)'!#REF!)</f>
        <v>#REF!</v>
      </c>
    </row>
    <row r="134" hidden="1" spans="1:5" x14ac:dyDescent="0.25">
      <c r="A134">
        <v>5</v>
      </c>
      <c r="B134" t="e">
        <f>IF('SV777-1 (SV004)'!#REF!&lt;1,"резерв",'SV777-1 (SV004)'!#REF!)</f>
        <v>#REF!</v>
      </c>
      <c r="C134" s="102" t="e">
        <f>'SV777-1 (SV004)'!#REF!</f>
        <v>#REF!</v>
      </c>
      <c r="D134" s="103" t="e">
        <f>IF(B134="резерв","",'SV777-1 (SV004)'!#REF!)</f>
        <v>#REF!</v>
      </c>
      <c r="E134" t="e">
        <f>IF('SV777-1 (SV004)'!#REF!&lt;1,"","ШЛ."&amp;'SV777-1 (SV004)'!#REF!)</f>
        <v>#REF!</v>
      </c>
    </row>
    <row r="135" hidden="1" spans="1:5" x14ac:dyDescent="0.25">
      <c r="A135">
        <v>6</v>
      </c>
      <c r="B135" t="e">
        <f>IF('SV777-1 (SV004)'!#REF!&lt;1,"резерв",'SV777-1 (SV004)'!#REF!)</f>
        <v>#REF!</v>
      </c>
      <c r="C135" s="102" t="e">
        <f>'SV777-1 (SV004)'!#REF!</f>
        <v>#REF!</v>
      </c>
      <c r="D135" s="103" t="e">
        <f>IF(B135="резерв","",'SV777-1 (SV004)'!#REF!)</f>
        <v>#REF!</v>
      </c>
      <c r="E135" t="e">
        <f>IF('SV777-1 (SV004)'!#REF!&lt;1,"","ШЛ."&amp;'SV777-1 (SV004)'!#REF!)</f>
        <v>#REF!</v>
      </c>
    </row>
    <row r="136" hidden="1" spans="1:5" x14ac:dyDescent="0.25">
      <c r="A136">
        <v>7</v>
      </c>
      <c r="B136" t="e">
        <f>IF('SV777-1 (SV004)'!#REF!&lt;1,"резерв",'SV777-1 (SV004)'!#REF!)</f>
        <v>#REF!</v>
      </c>
      <c r="C136" s="102" t="e">
        <f>'SV777-1 (SV004)'!#REF!</f>
        <v>#REF!</v>
      </c>
      <c r="D136" s="103" t="e">
        <f>IF(B136="резерв","",'SV777-1 (SV004)'!#REF!)</f>
        <v>#REF!</v>
      </c>
      <c r="E136" t="e">
        <f>IF('SV777-1 (SV004)'!#REF!&lt;1,"","ШЛ."&amp;'SV777-1 (SV004)'!#REF!)</f>
        <v>#REF!</v>
      </c>
    </row>
    <row r="137" hidden="1" spans="1:5" x14ac:dyDescent="0.25">
      <c r="A137">
        <v>8</v>
      </c>
      <c r="B137" t="e">
        <f>IF('SV777-1 (SV004)'!#REF!&lt;1,"резерв",'SV777-1 (SV004)'!#REF!)</f>
        <v>#REF!</v>
      </c>
      <c r="C137" s="102" t="e">
        <f>'SV777-1 (SV004)'!#REF!</f>
        <v>#REF!</v>
      </c>
      <c r="D137" s="103" t="e">
        <f>IF(B137="резерв","",'SV777-1 (SV004)'!#REF!)</f>
        <v>#REF!</v>
      </c>
      <c r="E137" t="e">
        <f>IF('SV777-1 (SV004)'!#REF!&lt;1,"","ШЛ."&amp;'SV777-1 (SV004)'!#REF!)</f>
        <v>#REF!</v>
      </c>
    </row>
    <row r="138" hidden="1" spans="2:2" x14ac:dyDescent="0.25">
      <c r="B138" t="s">
        <v>101</v>
      </c>
    </row>
    <row r="139" hidden="1" spans="1:5" x14ac:dyDescent="0.25">
      <c r="A139">
        <v>1</v>
      </c>
      <c r="B139" t="e">
        <f>IF('SV777-1 (SV004)'!#REF!&lt;1,"резерв",'SV777-1 (SV004)'!#REF!)</f>
        <v>#REF!</v>
      </c>
      <c r="C139" s="102" t="e">
        <f>'SV777-1 (SV004)'!#REF!</f>
        <v>#REF!</v>
      </c>
      <c r="D139" s="103" t="e">
        <f>IF(B139="резерв","",'SV777-1 (SV004)'!#REF!)</f>
        <v>#REF!</v>
      </c>
      <c r="E139" t="e">
        <f>IF('SV777-1 (SV004)'!#REF!&lt;1,"","ШЛ."&amp;'SV777-1 (SV004)'!#REF!)</f>
        <v>#REF!</v>
      </c>
    </row>
    <row r="140" hidden="1" spans="1:5" x14ac:dyDescent="0.25">
      <c r="A140">
        <v>2</v>
      </c>
      <c r="B140" t="e">
        <f>IF('SV777-1 (SV004)'!#REF!&lt;1,"резерв",'SV777-1 (SV004)'!#REF!)</f>
        <v>#REF!</v>
      </c>
      <c r="C140" s="102" t="e">
        <f>'SV777-1 (SV004)'!#REF!</f>
        <v>#REF!</v>
      </c>
      <c r="D140" s="103" t="e">
        <f>IF(B140="резерв","",'SV777-1 (SV004)'!#REF!)</f>
        <v>#REF!</v>
      </c>
      <c r="E140" t="e">
        <f>IF('SV777-1 (SV004)'!#REF!&lt;1,"","ШЛ."&amp;'SV777-1 (SV004)'!#REF!)</f>
        <v>#REF!</v>
      </c>
    </row>
    <row r="141" hidden="1" spans="1:5" x14ac:dyDescent="0.25">
      <c r="A141">
        <v>3</v>
      </c>
      <c r="B141" t="e">
        <f>IF('SV777-1 (SV004)'!#REF!&lt;1,"резерв",'SV777-1 (SV004)'!#REF!)</f>
        <v>#REF!</v>
      </c>
      <c r="C141" s="102" t="e">
        <f>'SV777-1 (SV004)'!#REF!</f>
        <v>#REF!</v>
      </c>
      <c r="D141" s="103" t="e">
        <f>IF(B141="резерв","",'SV777-1 (SV004)'!#REF!)</f>
        <v>#REF!</v>
      </c>
      <c r="E141" t="e">
        <f>IF('SV777-1 (SV004)'!#REF!&lt;1,"","ШЛ."&amp;'SV777-1 (SV004)'!#REF!)</f>
        <v>#REF!</v>
      </c>
    </row>
    <row r="142" hidden="1" spans="1:5" x14ac:dyDescent="0.25">
      <c r="A142">
        <v>4</v>
      </c>
      <c r="B142" t="e">
        <f>IF('SV777-1 (SV004)'!#REF!&lt;1,"резерв",'SV777-1 (SV004)'!#REF!)</f>
        <v>#REF!</v>
      </c>
      <c r="C142" s="102" t="e">
        <f>'SV777-1 (SV004)'!#REF!</f>
        <v>#REF!</v>
      </c>
      <c r="D142" s="103" t="e">
        <f>IF(B142="резерв","",'SV777-1 (SV004)'!#REF!)</f>
        <v>#REF!</v>
      </c>
      <c r="E142" t="e">
        <f>IF('SV777-1 (SV004)'!#REF!&lt;1,"","ШЛ."&amp;'SV777-1 (SV004)'!#REF!)</f>
        <v>#REF!</v>
      </c>
    </row>
    <row r="143" hidden="1" spans="1:5" x14ac:dyDescent="0.25">
      <c r="A143">
        <v>5</v>
      </c>
      <c r="B143" t="e">
        <f>IF('SV777-1 (SV004)'!#REF!&lt;1,"резерв",'SV777-1 (SV004)'!#REF!)</f>
        <v>#REF!</v>
      </c>
      <c r="C143" s="102" t="e">
        <f>'SV777-1 (SV004)'!#REF!</f>
        <v>#REF!</v>
      </c>
      <c r="D143" s="103" t="e">
        <f>IF(B143="резерв","",'SV777-1 (SV004)'!#REF!)</f>
        <v>#REF!</v>
      </c>
      <c r="E143" t="e">
        <f>IF('SV777-1 (SV004)'!#REF!&lt;1,"","ШЛ."&amp;'SV777-1 (SV004)'!#REF!)</f>
        <v>#REF!</v>
      </c>
    </row>
    <row r="144" hidden="1" spans="1:5" x14ac:dyDescent="0.25">
      <c r="A144">
        <v>6</v>
      </c>
      <c r="B144" t="e">
        <f>IF('SV777-1 (SV004)'!#REF!&lt;1,"резерв",'SV777-1 (SV004)'!#REF!)</f>
        <v>#REF!</v>
      </c>
      <c r="C144" s="102" t="e">
        <f>'SV777-1 (SV004)'!#REF!</f>
        <v>#REF!</v>
      </c>
      <c r="D144" s="103" t="e">
        <f>IF(B144="резерв","",'SV777-1 (SV004)'!#REF!)</f>
        <v>#REF!</v>
      </c>
      <c r="E144" t="e">
        <f>IF('SV777-1 (SV004)'!#REF!&lt;1,"","ШЛ."&amp;'SV777-1 (SV004)'!#REF!)</f>
        <v>#REF!</v>
      </c>
    </row>
    <row r="145" hidden="1" spans="1:5" x14ac:dyDescent="0.25">
      <c r="A145">
        <v>7</v>
      </c>
      <c r="B145" t="e">
        <f>IF('SV777-1 (SV004)'!#REF!&lt;1,"резерв",'SV777-1 (SV004)'!#REF!)</f>
        <v>#REF!</v>
      </c>
      <c r="C145" s="102" t="e">
        <f>'SV777-1 (SV004)'!#REF!</f>
        <v>#REF!</v>
      </c>
      <c r="D145" s="103" t="e">
        <f>IF(B145="резерв","",'SV777-1 (SV004)'!#REF!)</f>
        <v>#REF!</v>
      </c>
      <c r="E145" t="e">
        <f>IF('SV777-1 (SV004)'!#REF!&lt;1,"","ШЛ."&amp;'SV777-1 (SV004)'!#REF!)</f>
        <v>#REF!</v>
      </c>
    </row>
    <row r="146" hidden="1" spans="1:5" x14ac:dyDescent="0.25">
      <c r="A146">
        <v>8</v>
      </c>
      <c r="B146" t="e">
        <f>IF('SV777-1 (SV004)'!#REF!&lt;1,"резерв",'SV777-1 (SV004)'!#REF!)</f>
        <v>#REF!</v>
      </c>
      <c r="C146" s="102" t="e">
        <f>'SV777-1 (SV004)'!#REF!</f>
        <v>#REF!</v>
      </c>
      <c r="D146" s="103" t="e">
        <f>IF(B146="резерв","",'SV777-1 (SV004)'!#REF!)</f>
        <v>#REF!</v>
      </c>
      <c r="E146" t="e">
        <f>IF('SV777-1 (SV004)'!#REF!&lt;1,"","ШЛ."&amp;'SV777-1 (SV004)'!#REF!)</f>
        <v>#REF!</v>
      </c>
    </row>
    <row r="147" hidden="1" spans="3:4" x14ac:dyDescent="0.25">
      <c r="C147" s="102"/>
      <c r="D147" s="103"/>
    </row>
    <row r="148" hidden="1" spans="3:4" x14ac:dyDescent="0.25">
      <c r="C148" s="102"/>
      <c r="D148" s="103"/>
    </row>
    <row r="149" hidden="1" spans="3:4" x14ac:dyDescent="0.25">
      <c r="C149" s="102"/>
      <c r="D149" s="103"/>
    </row>
    <row r="150" hidden="1" spans="3:4" x14ac:dyDescent="0.25">
      <c r="C150" s="102"/>
      <c r="D150" s="103"/>
    </row>
    <row r="151" hidden="1" spans="3:4" x14ac:dyDescent="0.25">
      <c r="C151" s="102"/>
      <c r="D151" s="103"/>
    </row>
    <row r="152" spans="3:4" x14ac:dyDescent="0.25">
      <c r="C152" s="102"/>
      <c r="D152" s="103"/>
    </row>
    <row r="153" spans="3:4" x14ac:dyDescent="0.25">
      <c r="C153" s="102"/>
      <c r="D153" s="103"/>
    </row>
    <row r="154" spans="3:4" x14ac:dyDescent="0.25">
      <c r="C154" s="102"/>
      <c r="D154" s="103"/>
    </row>
    <row r="180" spans="3:5" x14ac:dyDescent="0.25">
      <c r="C180" s="102"/>
      <c r="D180" s="103"/>
      <c r="E180" t="str">
        <f>IF('SV777-1 (SV004)'!D30&lt;1,"","ШЛ."&amp;'SV777-1 (SV004)'!D30)</f>
        <v>ШЛ.к SV 004*</v>
      </c>
    </row>
    <row r="181" spans="3:5" x14ac:dyDescent="0.25">
      <c r="C181" s="102"/>
      <c r="D181" s="103"/>
      <c r="E181" t="str">
        <f>IF('SV777-1 (SV004)'!H30&lt;1,"","ШЛ."&amp;'SV777-1 (SV004)'!H30)</f>
        <v>ШЛ.к SV 004*</v>
      </c>
    </row>
    <row r="182" spans="3:5" x14ac:dyDescent="0.25">
      <c r="C182" s="102"/>
      <c r="D182" s="103"/>
      <c r="E182" t="str">
        <f>IF('SV777-1 (SV004)'!L30&lt;1,"","ШЛ."&amp;'SV777-1 (SV004)'!L30)</f>
        <v>ШЛ.к SV 004*</v>
      </c>
    </row>
    <row r="183" spans="3:5" x14ac:dyDescent="0.25">
      <c r="C183" s="102"/>
      <c r="D183" s="103"/>
      <c r="E183" t="str">
        <f>IF('SV777-1 (SV004)'!P30&lt;1,"","ШЛ."&amp;'SV777-1 (SV004)'!P30)</f>
        <v>ШЛ.к SV 004*</v>
      </c>
    </row>
    <row r="184" spans="3:5" x14ac:dyDescent="0.25">
      <c r="C184" s="102"/>
      <c r="D184" s="103"/>
      <c r="E184" t="str">
        <f>IF('SV777-1 (SV004)'!D49&lt;1,"","ШЛ."&amp;'SV777-1 (SV004)'!D49)</f>
        <v>ШЛ.1</v>
      </c>
    </row>
    <row r="185" spans="3:5" x14ac:dyDescent="0.25">
      <c r="C185" s="102"/>
      <c r="D185" s="103"/>
      <c r="E185" t="str">
        <f>IF('SV777-1 (SV004)'!H49&lt;1,"","ШЛ."&amp;'SV777-1 (SV004)'!H49)</f>
        <v>ШЛ.2</v>
      </c>
    </row>
    <row r="186" spans="3:5" x14ac:dyDescent="0.25">
      <c r="C186" s="102"/>
      <c r="D186" s="103"/>
      <c r="E186" t="str">
        <f>IF('SV777-1 (SV004)'!L49&lt;1,"","ШЛ."&amp;'SV777-1 (SV004)'!L49)</f>
        <v>ШЛ.3</v>
      </c>
    </row>
    <row r="187" spans="3:5" x14ac:dyDescent="0.25">
      <c r="C187" s="102"/>
      <c r="D187" s="103"/>
      <c r="E187" t="str">
        <f>IF('SV777-1 (SV004)'!P49&lt;1,"","ШЛ."&amp;'SV777-1 (SV004)'!P49)</f>
        <v>ШЛ.4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73"/>
  <sheetViews>
    <sheetView workbookViewId="0" zoomScale="100" zoomScaleNormal="100" view="pageLayout"/>
  </sheetViews>
  <sheetFormatPr defaultRowHeight="15" outlineLevelRow="0" outlineLevelCol="0" x14ac:dyDescent="0.25" defaultColWidth="9.140625"/>
  <cols>
    <col min="1" max="1" width="2.140625" customWidth="1"/>
    <col min="2" max="3" width="4.28515625" customWidth="1"/>
    <col min="4" max="5" width="3.85546875" style="1" customWidth="1"/>
    <col min="6" max="7" width="4.28515625" customWidth="1"/>
    <col min="8" max="9" width="3.85546875" style="1" customWidth="1"/>
    <col min="10" max="11" width="4.28515625" customWidth="1"/>
    <col min="12" max="12" width="3.85546875" style="1" customWidth="1"/>
    <col min="13" max="13" width="4.42578125" style="1" customWidth="1"/>
    <col min="14" max="14" width="4.7109375" customWidth="1"/>
    <col min="15" max="15" width="4.28515625" customWidth="1"/>
    <col min="16" max="17" width="3.85546875" style="1" customWidth="1"/>
    <col min="18" max="21" width="3.85546875" customWidth="1"/>
    <col min="22" max="22" width="2.140625" customWidth="1"/>
    <col min="23" max="39" width="4" customWidth="1"/>
    <col min="40" max="44" width="3.7109375" customWidth="1"/>
  </cols>
  <sheetData>
    <row r="1" spans="1:44" x14ac:dyDescent="0.25">
      <c r="A1" s="55"/>
      <c r="B1" s="55"/>
      <c r="C1" s="55"/>
      <c r="D1" s="56"/>
      <c r="E1" s="57"/>
      <c r="F1" s="55"/>
      <c r="G1" s="55"/>
      <c r="H1" s="56"/>
      <c r="I1" s="56"/>
      <c r="J1" s="55"/>
      <c r="K1" s="55"/>
      <c r="L1" s="56"/>
      <c r="M1" s="56"/>
      <c r="N1" s="55"/>
      <c r="O1" s="55"/>
      <c r="P1" s="56"/>
      <c r="Q1" s="56"/>
      <c r="R1" s="55"/>
      <c r="S1" s="55"/>
      <c r="T1" s="55"/>
      <c r="U1" s="55"/>
      <c r="V1" s="55"/>
      <c r="W1" s="55"/>
      <c r="X1" s="55"/>
      <c r="Y1" s="55"/>
      <c r="Z1" s="56"/>
      <c r="AA1" s="57"/>
      <c r="AB1" s="55"/>
      <c r="AC1" s="55"/>
      <c r="AD1" s="56"/>
      <c r="AE1" s="56"/>
      <c r="AF1" s="55"/>
      <c r="AG1" s="55"/>
      <c r="AH1" s="56"/>
      <c r="AI1" s="56"/>
      <c r="AJ1" s="55"/>
      <c r="AK1" s="55"/>
      <c r="AL1" s="56"/>
      <c r="AM1" s="56"/>
      <c r="AN1" s="55"/>
      <c r="AO1" s="55"/>
      <c r="AP1" s="55"/>
      <c r="AQ1" s="55"/>
      <c r="AR1" s="55"/>
    </row>
    <row r="2" ht="15.6" customHeight="1" spans="1:44" x14ac:dyDescent="0.25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10" t="s">
        <v>68</v>
      </c>
      <c r="O2" s="11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2" t="s">
        <v>1</v>
      </c>
      <c r="AC2" s="3"/>
      <c r="AD2" s="7"/>
      <c r="AE2" s="7"/>
      <c r="AF2" s="7"/>
      <c r="AG2" s="7"/>
      <c r="AH2" s="7"/>
      <c r="AI2" s="7"/>
      <c r="AJ2" s="13" t="s">
        <v>2</v>
      </c>
      <c r="AK2" s="14" t="s">
        <v>68</v>
      </c>
      <c r="AL2" s="14"/>
      <c r="AM2" s="3"/>
      <c r="AN2" s="3"/>
      <c r="AO2" s="3"/>
      <c r="AP2" s="3"/>
      <c r="AQ2" s="3"/>
      <c r="AR2" s="3"/>
    </row>
    <row r="3" ht="15.6" customHeight="1" spans="1:44" x14ac:dyDescent="0.25">
      <c r="A3" s="3"/>
      <c r="B3" s="3"/>
      <c r="C3" s="3"/>
      <c r="D3" s="4"/>
      <c r="E3" s="6" t="s">
        <v>4</v>
      </c>
      <c r="F3" s="3"/>
      <c r="G3" s="3"/>
      <c r="H3" s="4"/>
      <c r="I3" s="4"/>
      <c r="J3" s="15"/>
      <c r="K3" s="15"/>
      <c r="L3" s="16"/>
      <c r="M3" s="9" t="s">
        <v>5</v>
      </c>
      <c r="N3" s="17" t="str">
        <f>N2&amp;".2"</f>
        <v>1.1.2</v>
      </c>
      <c r="O3" s="17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2" t="s">
        <v>4</v>
      </c>
      <c r="AC3" s="3"/>
      <c r="AD3" s="3"/>
      <c r="AE3" s="3"/>
      <c r="AF3" s="3"/>
      <c r="AG3" s="15"/>
      <c r="AH3" s="15"/>
      <c r="AI3" s="15"/>
      <c r="AJ3" s="13" t="s">
        <v>5</v>
      </c>
      <c r="AK3" s="18" t="str">
        <f>AK2&amp;".2"</f>
        <v>1.1.2</v>
      </c>
      <c r="AL3" s="18"/>
      <c r="AM3" s="3"/>
      <c r="AN3" s="3"/>
      <c r="AO3" s="3"/>
      <c r="AP3" s="3"/>
      <c r="AQ3" s="3"/>
      <c r="AR3" s="3"/>
    </row>
    <row r="4" ht="15.6" customHeight="1" spans="1:44" x14ac:dyDescent="0.25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9" t="s">
        <v>5</v>
      </c>
      <c r="N4" s="20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69</v>
      </c>
      <c r="AC4" s="3"/>
      <c r="AD4" s="3"/>
      <c r="AE4" s="7"/>
      <c r="AF4" s="7"/>
      <c r="AG4" s="7"/>
      <c r="AH4" s="7"/>
      <c r="AI4" s="7"/>
      <c r="AJ4" s="21" t="s">
        <v>5</v>
      </c>
      <c r="AK4" s="20">
        <v>1</v>
      </c>
      <c r="AL4" s="3"/>
      <c r="AM4" s="3"/>
      <c r="AN4" s="3"/>
      <c r="AO4" s="3"/>
      <c r="AP4" s="3"/>
      <c r="AQ4" s="3"/>
      <c r="AR4" s="3"/>
    </row>
    <row r="5" ht="15.6" customHeight="1" spans="1:44" x14ac:dyDescent="0.25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6"/>
      <c r="M5" s="19" t="s">
        <v>70</v>
      </c>
      <c r="N5" s="20" t="str">
        <f>"-"&amp;N2&amp;".3"</f>
        <v>-1.1.3</v>
      </c>
      <c r="O5" s="22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</v>
      </c>
      <c r="AC5" s="3"/>
      <c r="AD5" s="3"/>
      <c r="AE5" s="3"/>
      <c r="AF5" s="3"/>
      <c r="AG5" s="3"/>
      <c r="AH5" s="3"/>
      <c r="AI5" s="15"/>
      <c r="AJ5" s="21" t="s">
        <v>70</v>
      </c>
      <c r="AK5" s="20" t="str">
        <f>"-"&amp;AK2&amp;".4"</f>
        <v>-1.1.4</v>
      </c>
      <c r="AL5" s="23"/>
      <c r="AM5" s="3"/>
      <c r="AN5" s="3"/>
      <c r="AO5" s="3"/>
      <c r="AP5" s="3"/>
      <c r="AQ5" s="3"/>
      <c r="AR5" s="3"/>
    </row>
    <row r="6" ht="15.6" customHeight="1" spans="1:44" x14ac:dyDescent="0.25">
      <c r="A6" s="3"/>
      <c r="B6" s="3"/>
      <c r="C6" s="3"/>
      <c r="D6" s="4"/>
      <c r="E6" s="24" t="s">
        <v>10</v>
      </c>
      <c r="F6" s="3"/>
      <c r="G6" s="3"/>
      <c r="H6" s="4"/>
      <c r="I6" s="8"/>
      <c r="J6" s="7"/>
      <c r="K6" s="7"/>
      <c r="L6" s="8"/>
      <c r="M6" s="19" t="s">
        <v>5</v>
      </c>
      <c r="N6" s="25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58" t="s">
        <v>10</v>
      </c>
      <c r="AC6" s="3"/>
      <c r="AD6" s="3"/>
      <c r="AE6" s="3"/>
      <c r="AF6" s="7"/>
      <c r="AG6" s="7"/>
      <c r="AH6" s="7"/>
      <c r="AI6" s="7"/>
      <c r="AJ6" s="21" t="s">
        <v>5</v>
      </c>
      <c r="AK6" s="20">
        <v>18</v>
      </c>
      <c r="AL6" s="3"/>
      <c r="AM6" s="3"/>
      <c r="AN6" s="3"/>
      <c r="AO6" s="3"/>
      <c r="AP6" s="3"/>
      <c r="AQ6" s="3"/>
      <c r="AR6" s="3"/>
    </row>
    <row r="7" ht="15.6" customHeight="1" spans="1:44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6"/>
      <c r="AL7" s="3"/>
      <c r="AM7" s="3"/>
      <c r="AN7" s="3"/>
      <c r="AO7" s="3"/>
      <c r="AP7" s="3"/>
      <c r="AQ7" s="3"/>
      <c r="AR7" s="3"/>
    </row>
    <row r="8" ht="15.6" customHeight="1" spans="1:44" x14ac:dyDescent="0.25">
      <c r="A8" s="27"/>
      <c r="B8" s="28"/>
      <c r="C8" s="28"/>
      <c r="D8" s="29"/>
      <c r="E8" s="29"/>
      <c r="F8" s="28"/>
      <c r="G8" s="28"/>
      <c r="H8" s="29"/>
      <c r="I8" s="29"/>
      <c r="J8" s="28"/>
      <c r="K8" s="28"/>
      <c r="L8" s="29"/>
      <c r="M8" s="29"/>
      <c r="N8" s="28"/>
      <c r="O8" s="28"/>
      <c r="P8" s="29"/>
      <c r="Q8" s="29"/>
      <c r="R8" s="28"/>
      <c r="S8" s="28"/>
      <c r="T8" s="28"/>
      <c r="U8" s="28"/>
      <c r="V8" s="59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6"/>
      <c r="AL8" s="3"/>
      <c r="AM8" s="3"/>
      <c r="AN8" s="3"/>
      <c r="AO8" s="3"/>
      <c r="AP8" s="3"/>
      <c r="AQ8" s="3"/>
      <c r="AR8" s="3"/>
    </row>
    <row r="9" ht="15.6" customHeight="1" spans="1:43" x14ac:dyDescent="0.25">
      <c r="A9" s="30"/>
      <c r="B9" s="31"/>
      <c r="C9" s="31"/>
      <c r="D9" s="32">
        <v>1</v>
      </c>
      <c r="E9" s="33"/>
      <c r="F9" s="31"/>
      <c r="G9" s="31"/>
      <c r="H9" s="32">
        <v>2</v>
      </c>
      <c r="I9" s="33"/>
      <c r="J9" s="31"/>
      <c r="K9" s="31"/>
      <c r="L9" s="32">
        <v>3</v>
      </c>
      <c r="M9" s="33"/>
      <c r="N9" s="31"/>
      <c r="O9" s="31"/>
      <c r="P9" s="32">
        <v>4</v>
      </c>
      <c r="Q9" s="33"/>
      <c r="R9" s="31"/>
      <c r="S9" s="31"/>
      <c r="T9" s="31"/>
      <c r="U9" s="31"/>
      <c r="V9" s="60"/>
      <c r="W9" s="3"/>
      <c r="X9" s="61">
        <v>1</v>
      </c>
      <c r="Y9" s="62"/>
      <c r="Z9" s="62"/>
      <c r="AA9" s="63"/>
      <c r="AB9" s="61">
        <v>2</v>
      </c>
      <c r="AC9" s="62"/>
      <c r="AD9" s="62"/>
      <c r="AE9" s="63"/>
      <c r="AF9" s="61">
        <v>3</v>
      </c>
      <c r="AG9" s="62"/>
      <c r="AH9" s="62"/>
      <c r="AI9" s="63"/>
      <c r="AJ9" s="61">
        <v>4</v>
      </c>
      <c r="AK9" s="62"/>
      <c r="AL9" s="62"/>
      <c r="AM9" s="63"/>
      <c r="AN9" s="64"/>
      <c r="AO9" s="64"/>
      <c r="AP9" s="31"/>
      <c r="AQ9" s="31"/>
    </row>
    <row r="10" ht="15.6" customHeight="1" spans="1:43" x14ac:dyDescent="0.25">
      <c r="A10" s="30"/>
      <c r="B10" s="31" t="s">
        <v>11</v>
      </c>
      <c r="C10" s="31"/>
      <c r="D10" s="32" t="s">
        <v>12</v>
      </c>
      <c r="E10" s="33"/>
      <c r="F10" s="31" t="s">
        <v>11</v>
      </c>
      <c r="G10" s="31"/>
      <c r="H10" s="32" t="s">
        <v>12</v>
      </c>
      <c r="I10" s="33"/>
      <c r="J10" s="31" t="s">
        <v>11</v>
      </c>
      <c r="K10" s="31"/>
      <c r="L10" s="32" t="s">
        <v>12</v>
      </c>
      <c r="M10" s="33"/>
      <c r="N10" s="31" t="s">
        <v>11</v>
      </c>
      <c r="O10" s="31"/>
      <c r="P10" s="32" t="s">
        <v>12</v>
      </c>
      <c r="Q10" s="33"/>
      <c r="R10" s="31"/>
      <c r="S10" s="31"/>
      <c r="T10" s="31"/>
      <c r="U10" s="31"/>
      <c r="V10" s="65"/>
      <c r="W10" s="3"/>
      <c r="X10" s="64" t="s">
        <v>71</v>
      </c>
      <c r="Y10" s="64"/>
      <c r="Z10" s="61" t="s">
        <v>72</v>
      </c>
      <c r="AA10" s="63"/>
      <c r="AB10" s="66" t="s">
        <v>73</v>
      </c>
      <c r="AC10" s="66"/>
      <c r="AD10" s="61" t="s">
        <v>72</v>
      </c>
      <c r="AE10" s="63"/>
      <c r="AF10" s="64">
        <v>485</v>
      </c>
      <c r="AG10" s="64"/>
      <c r="AH10" s="61" t="s">
        <v>72</v>
      </c>
      <c r="AI10" s="63"/>
      <c r="AJ10" s="64">
        <v>485</v>
      </c>
      <c r="AK10" s="64"/>
      <c r="AL10" s="61" t="s">
        <v>72</v>
      </c>
      <c r="AM10" s="63"/>
      <c r="AN10" s="64"/>
      <c r="AO10" s="64"/>
      <c r="AP10" s="31"/>
      <c r="AQ10" s="31"/>
    </row>
    <row r="11" ht="15.6" customHeight="1" spans="1:43" x14ac:dyDescent="0.25">
      <c r="A11" s="30"/>
      <c r="B11" s="35"/>
      <c r="C11" s="35"/>
      <c r="D11" s="5"/>
      <c r="E11" s="5"/>
      <c r="F11" s="35"/>
      <c r="G11" s="35"/>
      <c r="H11" s="5"/>
      <c r="I11" s="5"/>
      <c r="J11" s="35"/>
      <c r="K11" s="35"/>
      <c r="L11" s="5"/>
      <c r="M11" s="5"/>
      <c r="N11" s="35"/>
      <c r="O11" s="35"/>
      <c r="P11" s="5"/>
      <c r="Q11" s="5"/>
      <c r="R11" s="35"/>
      <c r="S11" s="35"/>
      <c r="T11" s="35"/>
      <c r="U11" s="35"/>
      <c r="V11" s="65"/>
      <c r="W11" s="3"/>
      <c r="X11" s="61" t="s">
        <v>74</v>
      </c>
      <c r="Y11" s="62"/>
      <c r="Z11" s="62"/>
      <c r="AA11" s="63"/>
      <c r="AB11" s="61" t="s">
        <v>75</v>
      </c>
      <c r="AC11" s="62"/>
      <c r="AD11" s="62"/>
      <c r="AE11" s="63"/>
      <c r="AF11" s="61" t="s">
        <v>76</v>
      </c>
      <c r="AG11" s="62"/>
      <c r="AH11" s="62"/>
      <c r="AI11" s="63"/>
      <c r="AJ11" s="61"/>
      <c r="AK11" s="62"/>
      <c r="AL11" s="62"/>
      <c r="AM11" s="63"/>
      <c r="AN11" s="61"/>
      <c r="AO11" s="62"/>
      <c r="AP11" s="62"/>
      <c r="AQ11" s="63"/>
    </row>
    <row r="12" ht="15.6" customHeight="1" spans="1:43" x14ac:dyDescent="0.25">
      <c r="A12" s="30"/>
      <c r="B12" s="31">
        <v>0</v>
      </c>
      <c r="C12" s="31"/>
      <c r="D12" s="37">
        <v>1</v>
      </c>
      <c r="E12" s="37"/>
      <c r="F12" s="31">
        <v>2</v>
      </c>
      <c r="G12" s="31"/>
      <c r="H12" s="37">
        <v>3</v>
      </c>
      <c r="I12" s="37"/>
      <c r="J12" s="31">
        <v>4</v>
      </c>
      <c r="K12" s="31"/>
      <c r="L12" s="37">
        <v>5</v>
      </c>
      <c r="M12" s="37"/>
      <c r="N12" s="31">
        <v>6</v>
      </c>
      <c r="O12" s="31"/>
      <c r="P12" s="37">
        <v>7</v>
      </c>
      <c r="Q12" s="37"/>
      <c r="R12" s="31">
        <v>8</v>
      </c>
      <c r="S12" s="31"/>
      <c r="T12" s="31">
        <v>9</v>
      </c>
      <c r="U12" s="31"/>
      <c r="V12" s="67"/>
      <c r="W12" s="3"/>
      <c r="X12" s="64">
        <v>0</v>
      </c>
      <c r="Y12" s="64"/>
      <c r="Z12" s="64">
        <v>1</v>
      </c>
      <c r="AA12" s="64"/>
      <c r="AB12" s="64">
        <v>2</v>
      </c>
      <c r="AC12" s="64"/>
      <c r="AD12" s="64">
        <v>3</v>
      </c>
      <c r="AE12" s="64"/>
      <c r="AF12" s="64">
        <v>4</v>
      </c>
      <c r="AG12" s="64"/>
      <c r="AH12" s="64">
        <v>5</v>
      </c>
      <c r="AI12" s="64"/>
      <c r="AJ12" s="64">
        <v>6</v>
      </c>
      <c r="AK12" s="64"/>
      <c r="AL12" s="64">
        <v>7</v>
      </c>
      <c r="AM12" s="64"/>
      <c r="AN12" s="64">
        <v>8</v>
      </c>
      <c r="AO12" s="64"/>
      <c r="AP12" s="31">
        <v>9</v>
      </c>
      <c r="AQ12" s="31"/>
    </row>
    <row r="13" ht="15.6" customHeight="1" spans="1:43" x14ac:dyDescent="0.25">
      <c r="A13" s="30"/>
      <c r="B13" s="31" t="s">
        <v>13</v>
      </c>
      <c r="C13" s="31" t="s">
        <v>14</v>
      </c>
      <c r="D13" s="37" t="s">
        <v>15</v>
      </c>
      <c r="E13" s="37" t="s">
        <v>16</v>
      </c>
      <c r="F13" s="31" t="s">
        <v>13</v>
      </c>
      <c r="G13" s="31" t="s">
        <v>14</v>
      </c>
      <c r="H13" s="37" t="s">
        <v>15</v>
      </c>
      <c r="I13" s="37" t="s">
        <v>16</v>
      </c>
      <c r="J13" s="31" t="s">
        <v>13</v>
      </c>
      <c r="K13" s="31" t="s">
        <v>14</v>
      </c>
      <c r="L13" s="37" t="s">
        <v>15</v>
      </c>
      <c r="M13" s="37" t="s">
        <v>16</v>
      </c>
      <c r="N13" s="31" t="s">
        <v>13</v>
      </c>
      <c r="O13" s="31" t="s">
        <v>14</v>
      </c>
      <c r="P13" s="37" t="s">
        <v>15</v>
      </c>
      <c r="Q13" s="37" t="s">
        <v>16</v>
      </c>
      <c r="R13" s="31" t="s">
        <v>13</v>
      </c>
      <c r="S13" s="31" t="s">
        <v>14</v>
      </c>
      <c r="T13" s="31" t="s">
        <v>15</v>
      </c>
      <c r="U13" s="31" t="s">
        <v>16</v>
      </c>
      <c r="V13" s="67"/>
      <c r="W13" s="3"/>
      <c r="X13" s="64">
        <v>1</v>
      </c>
      <c r="Y13" s="64">
        <v>2</v>
      </c>
      <c r="Z13" s="64">
        <v>5</v>
      </c>
      <c r="AA13" s="64"/>
      <c r="AB13" s="64">
        <v>1</v>
      </c>
      <c r="AC13" s="64">
        <v>2</v>
      </c>
      <c r="AD13" s="64">
        <v>5</v>
      </c>
      <c r="AE13" s="64"/>
      <c r="AF13" s="64">
        <v>1</v>
      </c>
      <c r="AG13" s="64">
        <v>2</v>
      </c>
      <c r="AH13" s="64">
        <v>5</v>
      </c>
      <c r="AI13" s="64"/>
      <c r="AJ13" s="64">
        <v>1</v>
      </c>
      <c r="AK13" s="64">
        <v>2</v>
      </c>
      <c r="AL13" s="64">
        <v>5</v>
      </c>
      <c r="AM13" s="64"/>
      <c r="AN13" s="64"/>
      <c r="AO13" s="64"/>
      <c r="AP13" s="31"/>
      <c r="AQ13" s="31"/>
    </row>
    <row r="14" ht="15.6" customHeight="1" spans="1:43" x14ac:dyDescent="0.25">
      <c r="A14" s="39"/>
      <c r="B14" s="40"/>
      <c r="C14" s="40"/>
      <c r="D14" s="41"/>
      <c r="E14" s="42"/>
      <c r="F14" s="40"/>
      <c r="G14" s="40"/>
      <c r="H14" s="41"/>
      <c r="I14" s="42"/>
      <c r="J14" s="40"/>
      <c r="K14" s="40"/>
      <c r="L14" s="41"/>
      <c r="M14" s="42"/>
      <c r="N14" s="40"/>
      <c r="O14" s="40"/>
      <c r="P14" s="41"/>
      <c r="Q14" s="42"/>
      <c r="R14" s="40"/>
      <c r="S14" s="40"/>
      <c r="T14" s="40"/>
      <c r="U14" s="40"/>
      <c r="V14" s="68"/>
      <c r="W14" s="3"/>
      <c r="X14" s="69"/>
      <c r="Y14" s="69"/>
      <c r="Z14" s="69"/>
      <c r="AA14" s="69"/>
      <c r="AB14" s="40"/>
      <c r="AC14" s="40"/>
      <c r="AD14" s="40"/>
      <c r="AE14" s="70"/>
      <c r="AF14" s="40"/>
      <c r="AG14" s="40"/>
      <c r="AH14" s="40"/>
      <c r="AI14" s="70"/>
      <c r="AJ14" s="40"/>
      <c r="AK14" s="71"/>
      <c r="AL14" s="40"/>
      <c r="AM14" s="70"/>
      <c r="AN14" s="40"/>
      <c r="AO14" s="40"/>
      <c r="AP14" s="40"/>
      <c r="AQ14" s="40"/>
    </row>
    <row r="15" ht="15.6" customHeight="1" spans="1:43" x14ac:dyDescent="0.25">
      <c r="A15" s="3"/>
      <c r="B15" s="35"/>
      <c r="C15" s="35"/>
      <c r="D15" s="72"/>
      <c r="E15" s="5"/>
      <c r="F15" s="35"/>
      <c r="G15" s="35"/>
      <c r="H15" s="72"/>
      <c r="I15" s="5"/>
      <c r="J15" s="35"/>
      <c r="K15" s="35"/>
      <c r="L15" s="72"/>
      <c r="M15" s="5"/>
      <c r="N15" s="35"/>
      <c r="O15" s="35"/>
      <c r="P15" s="72"/>
      <c r="Q15" s="5"/>
      <c r="R15" s="35"/>
      <c r="S15" s="35"/>
      <c r="T15" s="35"/>
      <c r="U15" s="35"/>
      <c r="V15" s="38"/>
      <c r="W15" s="73"/>
      <c r="X15" s="74" t="s">
        <v>77</v>
      </c>
      <c r="Y15" s="75"/>
      <c r="Z15" s="75"/>
      <c r="AA15" s="75"/>
      <c r="AB15" s="74" t="s">
        <v>77</v>
      </c>
      <c r="AC15" s="75"/>
      <c r="AD15" s="75"/>
      <c r="AE15" s="75"/>
      <c r="AF15" s="74"/>
      <c r="AG15" s="75"/>
      <c r="AH15" s="75"/>
      <c r="AI15" s="75"/>
      <c r="AJ15" s="74"/>
      <c r="AK15" s="75"/>
      <c r="AL15" s="75"/>
      <c r="AM15" s="75"/>
      <c r="AN15" s="74"/>
      <c r="AO15" s="75"/>
      <c r="AP15" s="75"/>
      <c r="AQ15" s="75"/>
    </row>
    <row r="16" ht="15.6" customHeight="1" spans="1:43" x14ac:dyDescent="0.25">
      <c r="A16" s="3"/>
      <c r="B16" s="76"/>
      <c r="C16" s="77"/>
      <c r="D16" s="78"/>
      <c r="E16" s="79"/>
      <c r="F16" s="76"/>
      <c r="G16" s="77"/>
      <c r="H16" s="78"/>
      <c r="I16" s="79"/>
      <c r="J16" s="76"/>
      <c r="K16" s="77"/>
      <c r="L16" s="78"/>
      <c r="M16" s="79"/>
      <c r="N16" s="76"/>
      <c r="O16" s="77"/>
      <c r="P16" s="78"/>
      <c r="Q16" s="79"/>
      <c r="R16" s="35"/>
      <c r="S16" s="35"/>
      <c r="T16" s="35"/>
      <c r="U16" s="35"/>
      <c r="V16" s="38"/>
      <c r="W16" s="73"/>
      <c r="X16" s="80" t="s">
        <v>78</v>
      </c>
      <c r="Y16" s="81"/>
      <c r="Z16" s="81"/>
      <c r="AA16" s="81"/>
      <c r="AB16" s="80" t="s">
        <v>78</v>
      </c>
      <c r="AC16" s="81"/>
      <c r="AD16" s="81"/>
      <c r="AE16" s="81"/>
      <c r="AF16" s="80"/>
      <c r="AG16" s="81"/>
      <c r="AH16" s="81"/>
      <c r="AI16" s="81"/>
      <c r="AJ16" s="80"/>
      <c r="AK16" s="81"/>
      <c r="AL16" s="81"/>
      <c r="AM16" s="81"/>
      <c r="AN16" s="80"/>
      <c r="AO16" s="81"/>
      <c r="AP16" s="81"/>
      <c r="AQ16" s="81"/>
    </row>
    <row r="17" ht="15.6" customHeight="1" spans="1:43" x14ac:dyDescent="0.25">
      <c r="A17" s="3"/>
      <c r="B17" s="50"/>
      <c r="C17" s="50"/>
      <c r="D17" s="52"/>
      <c r="E17" s="53"/>
      <c r="F17" s="50">
        <f>IF(H16&lt;1,"","пом.")</f>
      </c>
      <c r="G17" s="50"/>
      <c r="H17" s="52"/>
      <c r="I17" s="53"/>
      <c r="J17" s="50">
        <f>IF(L16&lt;1,"","пом.")</f>
      </c>
      <c r="K17" s="50"/>
      <c r="L17" s="52"/>
      <c r="M17" s="53"/>
      <c r="N17" s="50">
        <f>IF(P16&lt;1,"","пом.")</f>
      </c>
      <c r="O17" s="50"/>
      <c r="P17" s="52"/>
      <c r="Q17" s="53"/>
      <c r="R17" s="35"/>
      <c r="S17" s="35"/>
      <c r="T17" s="35"/>
      <c r="U17" s="35"/>
      <c r="V17" s="38"/>
      <c r="W17" s="73"/>
      <c r="X17" s="55"/>
      <c r="Y17" s="55"/>
      <c r="Z17" s="55"/>
      <c r="AA17" s="55"/>
      <c r="AB17" s="82"/>
      <c r="AC17" s="55"/>
      <c r="AD17" s="55"/>
      <c r="AE17" s="55"/>
      <c r="AF17" s="55"/>
      <c r="AG17" s="55"/>
      <c r="AH17" s="55"/>
      <c r="AI17" s="55"/>
      <c r="AJ17" s="55"/>
      <c r="AK17" s="83"/>
      <c r="AL17" s="55"/>
      <c r="AM17" s="55"/>
      <c r="AN17" s="55"/>
      <c r="AO17" s="55"/>
      <c r="AP17" s="55"/>
      <c r="AQ17" s="55"/>
    </row>
    <row r="18" ht="15.6" customHeight="1" spans="1:44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ht="15.6" customHeight="1" spans="1:44" x14ac:dyDescent="0.25">
      <c r="A19" s="3"/>
      <c r="B19" s="3"/>
      <c r="C19" s="3"/>
      <c r="D19" s="4"/>
      <c r="E19" s="5" t="s">
        <v>26</v>
      </c>
      <c r="F19" s="54" t="s">
        <v>27</v>
      </c>
      <c r="G19" s="54"/>
      <c r="H19" s="54"/>
      <c r="I19" s="54" t="s">
        <v>28</v>
      </c>
      <c r="J19" s="54"/>
      <c r="K19" s="3"/>
      <c r="L19" s="4"/>
      <c r="M19" s="4"/>
      <c r="N19" s="3"/>
      <c r="O19" s="35" t="s">
        <v>29</v>
      </c>
      <c r="P19" s="4" t="s">
        <v>30</v>
      </c>
      <c r="Q19" s="4"/>
      <c r="R19" s="3"/>
      <c r="S19" s="3" t="s">
        <v>31</v>
      </c>
      <c r="T19" s="3"/>
      <c r="U19" s="3"/>
      <c r="V19" s="3"/>
      <c r="W19" s="3"/>
      <c r="X19" s="84" t="s">
        <v>79</v>
      </c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6"/>
      <c r="AR19" s="3"/>
    </row>
    <row r="20" ht="15.6" customHeight="1" spans="1:44" x14ac:dyDescent="0.25">
      <c r="A20" s="3"/>
      <c r="B20" s="3"/>
      <c r="C20" s="3"/>
      <c r="D20" s="4"/>
      <c r="E20" s="5" t="s">
        <v>32</v>
      </c>
      <c r="F20" s="54" t="s">
        <v>33</v>
      </c>
      <c r="G20" s="54"/>
      <c r="H20" s="54"/>
      <c r="I20" s="4" t="s">
        <v>34</v>
      </c>
      <c r="J20" s="3"/>
      <c r="K20" s="3"/>
      <c r="L20" s="4"/>
      <c r="M20" s="4"/>
      <c r="N20" s="3"/>
      <c r="O20" s="35" t="s">
        <v>35</v>
      </c>
      <c r="P20" s="4" t="s">
        <v>30</v>
      </c>
      <c r="Q20" s="4"/>
      <c r="R20" s="3"/>
      <c r="S20" s="3" t="s">
        <v>80</v>
      </c>
      <c r="T20" s="3"/>
      <c r="U20" s="3"/>
      <c r="V20" s="3"/>
      <c r="W20" s="3"/>
      <c r="X20" s="87" t="s">
        <v>74</v>
      </c>
      <c r="Y20" s="88"/>
      <c r="Z20" s="88"/>
      <c r="AA20" s="89"/>
      <c r="AB20" s="87" t="s">
        <v>75</v>
      </c>
      <c r="AC20" s="88"/>
      <c r="AD20" s="88"/>
      <c r="AE20" s="89"/>
      <c r="AF20" s="87" t="s">
        <v>76</v>
      </c>
      <c r="AG20" s="88"/>
      <c r="AH20" s="88"/>
      <c r="AI20" s="89"/>
      <c r="AJ20" s="87" t="s">
        <v>81</v>
      </c>
      <c r="AK20" s="88"/>
      <c r="AL20" s="88"/>
      <c r="AM20" s="89"/>
      <c r="AN20" s="87"/>
      <c r="AO20" s="88"/>
      <c r="AP20" s="88"/>
      <c r="AQ20" s="89"/>
      <c r="AR20" s="3"/>
    </row>
    <row r="21" ht="15.6" customHeight="1" spans="1:44" x14ac:dyDescent="0.25">
      <c r="A21" s="55"/>
      <c r="B21" s="55"/>
      <c r="C21" s="55"/>
      <c r="D21" s="56"/>
      <c r="E21" s="57"/>
      <c r="F21" s="55"/>
      <c r="G21" s="55"/>
      <c r="H21" s="56"/>
      <c r="I21" s="56"/>
      <c r="J21" s="55"/>
      <c r="K21" s="55"/>
      <c r="L21" s="56"/>
      <c r="M21" s="56"/>
      <c r="N21" s="55"/>
      <c r="O21" s="55"/>
      <c r="P21" s="56"/>
      <c r="Q21" s="56"/>
      <c r="R21" s="55"/>
      <c r="S21" s="55"/>
      <c r="T21" s="55"/>
      <c r="U21" s="55"/>
      <c r="V21" s="55"/>
      <c r="W21" s="3"/>
      <c r="X21" s="90" t="s">
        <v>82</v>
      </c>
      <c r="Y21" s="91"/>
      <c r="Z21" s="91" t="s">
        <v>83</v>
      </c>
      <c r="AA21" s="92"/>
      <c r="AB21" s="90" t="s">
        <v>82</v>
      </c>
      <c r="AC21" s="91"/>
      <c r="AD21" s="91" t="s">
        <v>83</v>
      </c>
      <c r="AE21" s="92"/>
      <c r="AF21" s="90" t="s">
        <v>82</v>
      </c>
      <c r="AG21" s="91"/>
      <c r="AH21" s="91" t="s">
        <v>83</v>
      </c>
      <c r="AI21" s="92"/>
      <c r="AJ21" s="90" t="s">
        <v>82</v>
      </c>
      <c r="AK21" s="91"/>
      <c r="AL21" s="91" t="s">
        <v>83</v>
      </c>
      <c r="AM21" s="92"/>
      <c r="AN21" s="90"/>
      <c r="AO21" s="91"/>
      <c r="AP21" s="91"/>
      <c r="AQ21" s="92"/>
      <c r="AR21" s="3"/>
    </row>
    <row r="22" ht="15.6" customHeight="1" spans="1:44" x14ac:dyDescent="0.25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14" t="str">
        <f>N2</f>
        <v>1.1</v>
      </c>
      <c r="O22" s="14"/>
      <c r="P22" s="4"/>
      <c r="Q22" s="4"/>
      <c r="R22" s="3"/>
      <c r="S22" s="3"/>
      <c r="T22" s="3"/>
      <c r="U22" s="3"/>
      <c r="V22" s="3"/>
      <c r="W22" s="3"/>
      <c r="X22" s="93" t="s">
        <v>71</v>
      </c>
      <c r="Y22" s="64"/>
      <c r="Z22" s="91">
        <v>1</v>
      </c>
      <c r="AA22" s="92"/>
      <c r="AB22" s="94" t="s">
        <v>73</v>
      </c>
      <c r="AC22" s="66"/>
      <c r="AD22" s="91">
        <v>1</v>
      </c>
      <c r="AE22" s="92"/>
      <c r="AF22" s="90"/>
      <c r="AG22" s="91"/>
      <c r="AH22" s="91"/>
      <c r="AI22" s="92"/>
      <c r="AJ22" s="90"/>
      <c r="AK22" s="91"/>
      <c r="AL22" s="91"/>
      <c r="AM22" s="92"/>
      <c r="AN22" s="90"/>
      <c r="AO22" s="91"/>
      <c r="AP22" s="91"/>
      <c r="AQ22" s="92"/>
      <c r="AR22" s="3"/>
    </row>
    <row r="23" ht="15.6" customHeight="1" spans="1:44" x14ac:dyDescent="0.25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5"/>
      <c r="K23" s="15"/>
      <c r="L23" s="16"/>
      <c r="M23" s="9" t="s">
        <v>5</v>
      </c>
      <c r="N23" s="18" t="str">
        <f>N3</f>
        <v>1.1.2</v>
      </c>
      <c r="O23" s="18"/>
      <c r="P23" s="4"/>
      <c r="Q23" s="4"/>
      <c r="R23" s="3"/>
      <c r="S23" s="3"/>
      <c r="T23" s="3"/>
      <c r="U23" s="3"/>
      <c r="V23" s="3"/>
      <c r="W23" s="3"/>
      <c r="X23" s="95"/>
      <c r="Y23" s="96"/>
      <c r="Z23" s="96"/>
      <c r="AA23" s="97"/>
      <c r="AB23" s="98" t="s">
        <v>73</v>
      </c>
      <c r="AC23" s="99"/>
      <c r="AD23" s="96">
        <v>2</v>
      </c>
      <c r="AE23" s="97"/>
      <c r="AF23" s="95"/>
      <c r="AG23" s="96"/>
      <c r="AH23" s="96"/>
      <c r="AI23" s="97"/>
      <c r="AJ23" s="95"/>
      <c r="AK23" s="96"/>
      <c r="AL23" s="96"/>
      <c r="AM23" s="97"/>
      <c r="AN23" s="95"/>
      <c r="AO23" s="96"/>
      <c r="AP23" s="96"/>
      <c r="AQ23" s="97"/>
      <c r="AR23" s="3"/>
    </row>
    <row r="24" ht="15.6" customHeight="1" spans="1:44" x14ac:dyDescent="0.25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9" t="s">
        <v>5</v>
      </c>
      <c r="N24" s="20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ht="15.6" customHeight="1" spans="1:44" x14ac:dyDescent="0.25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6"/>
      <c r="M25" s="19" t="s">
        <v>70</v>
      </c>
      <c r="N25" s="20" t="str">
        <f>IF(N5="-"&amp;N2&amp;".3",IF(N6=15,"-"&amp;N2&amp;".4","-"&amp;N2&amp;".3"),N5)</f>
        <v>-1.1.3</v>
      </c>
      <c r="O25" s="22"/>
      <c r="P25" s="4"/>
      <c r="Q25" s="4"/>
      <c r="R25" s="3"/>
      <c r="S25" s="3"/>
      <c r="T25" s="3"/>
      <c r="U25" s="3"/>
      <c r="V25" s="3"/>
      <c r="W25" s="55"/>
      <c r="X25" s="55"/>
      <c r="Y25" s="55"/>
      <c r="Z25" s="56"/>
      <c r="AA25" s="57"/>
      <c r="AB25" s="55"/>
      <c r="AC25" s="55"/>
      <c r="AD25" s="56"/>
      <c r="AE25" s="56"/>
      <c r="AF25" s="55"/>
      <c r="AG25" s="55"/>
      <c r="AH25" s="56"/>
      <c r="AI25" s="56"/>
      <c r="AJ25" s="55"/>
      <c r="AK25" s="55"/>
      <c r="AL25" s="56"/>
      <c r="AM25" s="56"/>
      <c r="AN25" s="55"/>
      <c r="AO25" s="55"/>
      <c r="AP25" s="55"/>
      <c r="AQ25" s="55"/>
      <c r="AR25" s="55"/>
    </row>
    <row r="26" ht="15.6" customHeight="1" spans="1:44" x14ac:dyDescent="0.25">
      <c r="A26" s="3"/>
      <c r="B26" s="3"/>
      <c r="C26" s="3"/>
      <c r="D26" s="4"/>
      <c r="E26" s="24" t="s">
        <v>10</v>
      </c>
      <c r="F26" s="3"/>
      <c r="G26" s="3"/>
      <c r="H26" s="4"/>
      <c r="I26" s="8"/>
      <c r="J26" s="7"/>
      <c r="K26" s="7"/>
      <c r="L26" s="8"/>
      <c r="M26" s="19" t="s">
        <v>5</v>
      </c>
      <c r="N26" s="20">
        <f>IF(N25="-"&amp;N2&amp;".3",N6+1,1)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ht="7.15" customHeight="1" spans="1:44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ht="15.6" customHeight="1" spans="1:44" x14ac:dyDescent="0.25">
      <c r="A28" s="27"/>
      <c r="B28" s="28"/>
      <c r="C28" s="28"/>
      <c r="D28" s="29"/>
      <c r="E28" s="29"/>
      <c r="F28" s="28"/>
      <c r="G28" s="28"/>
      <c r="H28" s="29"/>
      <c r="I28" s="29"/>
      <c r="J28" s="28"/>
      <c r="K28" s="28"/>
      <c r="L28" s="29"/>
      <c r="M28" s="29"/>
      <c r="N28" s="28"/>
      <c r="O28" s="28"/>
      <c r="P28" s="29"/>
      <c r="Q28" s="29"/>
      <c r="R28" s="28"/>
      <c r="S28" s="28"/>
      <c r="T28" s="28"/>
      <c r="U28" s="28"/>
      <c r="V28" s="59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ht="15.6" customHeight="1" spans="1:44" x14ac:dyDescent="0.25">
      <c r="A29" s="30"/>
      <c r="B29" s="31"/>
      <c r="C29" s="31"/>
      <c r="D29" s="32">
        <v>1</v>
      </c>
      <c r="E29" s="33"/>
      <c r="F29" s="31"/>
      <c r="G29" s="31"/>
      <c r="H29" s="32">
        <v>2</v>
      </c>
      <c r="I29" s="33"/>
      <c r="J29" s="31"/>
      <c r="K29" s="31"/>
      <c r="L29" s="32">
        <v>3</v>
      </c>
      <c r="M29" s="33"/>
      <c r="N29" s="31"/>
      <c r="O29" s="31"/>
      <c r="P29" s="32">
        <v>4</v>
      </c>
      <c r="Q29" s="33"/>
      <c r="R29" s="31"/>
      <c r="S29" s="31"/>
      <c r="T29" s="31"/>
      <c r="U29" s="31"/>
      <c r="V29" s="60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ht="15.6" customHeight="1" spans="1:44" x14ac:dyDescent="0.25">
      <c r="A30" s="30"/>
      <c r="B30" s="31" t="s">
        <v>11</v>
      </c>
      <c r="C30" s="31"/>
      <c r="D30" s="32" t="s">
        <v>12</v>
      </c>
      <c r="E30" s="33"/>
      <c r="F30" s="31" t="s">
        <v>11</v>
      </c>
      <c r="G30" s="31"/>
      <c r="H30" s="32" t="s">
        <v>12</v>
      </c>
      <c r="I30" s="33"/>
      <c r="J30" s="31" t="s">
        <v>11</v>
      </c>
      <c r="K30" s="31"/>
      <c r="L30" s="32" t="s">
        <v>12</v>
      </c>
      <c r="M30" s="33"/>
      <c r="N30" s="31" t="s">
        <v>11</v>
      </c>
      <c r="O30" s="31"/>
      <c r="P30" s="32" t="s">
        <v>12</v>
      </c>
      <c r="Q30" s="33"/>
      <c r="R30" s="31"/>
      <c r="S30" s="31"/>
      <c r="T30" s="31"/>
      <c r="U30" s="31"/>
      <c r="V30" s="65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ht="15.6" customHeight="1" spans="1:44" x14ac:dyDescent="0.25">
      <c r="A31" s="30"/>
      <c r="B31" s="35"/>
      <c r="C31" s="35"/>
      <c r="D31" s="5"/>
      <c r="E31" s="5"/>
      <c r="F31" s="35"/>
      <c r="G31" s="35"/>
      <c r="H31" s="5"/>
      <c r="I31" s="5"/>
      <c r="J31" s="35"/>
      <c r="K31" s="35"/>
      <c r="L31" s="5"/>
      <c r="M31" s="5"/>
      <c r="N31" s="35"/>
      <c r="O31" s="35"/>
      <c r="P31" s="5"/>
      <c r="Q31" s="5"/>
      <c r="R31" s="35"/>
      <c r="S31" s="35"/>
      <c r="T31" s="35"/>
      <c r="U31" s="35"/>
      <c r="V31" s="65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ht="15.6" customHeight="1" spans="1:44" x14ac:dyDescent="0.25">
      <c r="A32" s="30"/>
      <c r="B32" s="31">
        <v>0</v>
      </c>
      <c r="C32" s="31"/>
      <c r="D32" s="37">
        <v>1</v>
      </c>
      <c r="E32" s="37"/>
      <c r="F32" s="31">
        <v>2</v>
      </c>
      <c r="G32" s="31"/>
      <c r="H32" s="37">
        <v>3</v>
      </c>
      <c r="I32" s="37"/>
      <c r="J32" s="31">
        <v>4</v>
      </c>
      <c r="K32" s="31"/>
      <c r="L32" s="37">
        <v>5</v>
      </c>
      <c r="M32" s="37"/>
      <c r="N32" s="31">
        <v>6</v>
      </c>
      <c r="O32" s="31"/>
      <c r="P32" s="37">
        <v>7</v>
      </c>
      <c r="Q32" s="37"/>
      <c r="R32" s="31">
        <v>8</v>
      </c>
      <c r="S32" s="31"/>
      <c r="T32" s="31">
        <v>9</v>
      </c>
      <c r="U32" s="31"/>
      <c r="V32" s="67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ht="15.6" customHeight="1" spans="1:44" x14ac:dyDescent="0.25">
      <c r="A33" s="30"/>
      <c r="B33" s="31" t="s">
        <v>13</v>
      </c>
      <c r="C33" s="31" t="s">
        <v>14</v>
      </c>
      <c r="D33" s="37" t="s">
        <v>15</v>
      </c>
      <c r="E33" s="37" t="s">
        <v>16</v>
      </c>
      <c r="F33" s="31" t="s">
        <v>13</v>
      </c>
      <c r="G33" s="31" t="s">
        <v>14</v>
      </c>
      <c r="H33" s="37" t="s">
        <v>15</v>
      </c>
      <c r="I33" s="37" t="s">
        <v>16</v>
      </c>
      <c r="J33" s="31" t="s">
        <v>13</v>
      </c>
      <c r="K33" s="31" t="s">
        <v>14</v>
      </c>
      <c r="L33" s="37" t="s">
        <v>15</v>
      </c>
      <c r="M33" s="37" t="s">
        <v>16</v>
      </c>
      <c r="N33" s="31" t="s">
        <v>13</v>
      </c>
      <c r="O33" s="31" t="s">
        <v>14</v>
      </c>
      <c r="P33" s="37" t="s">
        <v>15</v>
      </c>
      <c r="Q33" s="37" t="s">
        <v>16</v>
      </c>
      <c r="R33" s="31" t="s">
        <v>13</v>
      </c>
      <c r="S33" s="31" t="s">
        <v>14</v>
      </c>
      <c r="T33" s="31" t="s">
        <v>15</v>
      </c>
      <c r="U33" s="31" t="s">
        <v>16</v>
      </c>
      <c r="V33" s="67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ht="15.6" customHeight="1" spans="1:44" x14ac:dyDescent="0.25">
      <c r="A34" s="39"/>
      <c r="B34" s="40"/>
      <c r="C34" s="40"/>
      <c r="D34" s="41"/>
      <c r="E34" s="42"/>
      <c r="F34" s="40"/>
      <c r="G34" s="40"/>
      <c r="H34" s="41"/>
      <c r="I34" s="42"/>
      <c r="J34" s="40"/>
      <c r="K34" s="40"/>
      <c r="L34" s="41"/>
      <c r="M34" s="42"/>
      <c r="N34" s="40"/>
      <c r="O34" s="40"/>
      <c r="P34" s="41"/>
      <c r="Q34" s="42"/>
      <c r="R34" s="40"/>
      <c r="S34" s="40"/>
      <c r="T34" s="40"/>
      <c r="U34" s="40"/>
      <c r="V34" s="68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ht="7.15" customHeight="1" spans="1:44" x14ac:dyDescent="0.25">
      <c r="A35" s="3"/>
      <c r="B35" s="35"/>
      <c r="C35" s="35"/>
      <c r="D35" s="72"/>
      <c r="E35" s="5"/>
      <c r="F35" s="35"/>
      <c r="G35" s="35"/>
      <c r="H35" s="72"/>
      <c r="I35" s="5"/>
      <c r="J35" s="35"/>
      <c r="K35" s="35"/>
      <c r="L35" s="72"/>
      <c r="M35" s="5"/>
      <c r="N35" s="35"/>
      <c r="O35" s="35"/>
      <c r="P35" s="72"/>
      <c r="Q35" s="5"/>
      <c r="R35" s="35"/>
      <c r="S35" s="35"/>
      <c r="T35" s="35"/>
      <c r="U35" s="35"/>
      <c r="V35" s="38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ht="15.6" customHeight="1" spans="1:44" x14ac:dyDescent="0.25">
      <c r="A36" s="3"/>
      <c r="B36" s="76"/>
      <c r="C36" s="77"/>
      <c r="D36" s="78"/>
      <c r="E36" s="79"/>
      <c r="F36" s="76"/>
      <c r="G36" s="77"/>
      <c r="H36" s="78"/>
      <c r="I36" s="79"/>
      <c r="J36" s="76"/>
      <c r="K36" s="77"/>
      <c r="L36" s="78"/>
      <c r="M36" s="79"/>
      <c r="N36" s="76"/>
      <c r="O36" s="77"/>
      <c r="P36" s="78"/>
      <c r="Q36" s="79"/>
      <c r="R36" s="35"/>
      <c r="S36" s="35"/>
      <c r="T36" s="35"/>
      <c r="U36" s="35"/>
      <c r="V36" s="38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ht="15.6" customHeight="1" spans="1:44" x14ac:dyDescent="0.25">
      <c r="A37" s="3"/>
      <c r="B37" s="50">
        <f>IF(D36&lt;1,"","пом.")</f>
      </c>
      <c r="C37" s="50"/>
      <c r="D37" s="52"/>
      <c r="E37" s="53"/>
      <c r="F37" s="50">
        <f>IF(H36&lt;1,"","пом.")</f>
      </c>
      <c r="G37" s="50"/>
      <c r="H37" s="52"/>
      <c r="I37" s="53"/>
      <c r="J37" s="50">
        <f>IF(L36&lt;1,"","пом.")</f>
      </c>
      <c r="K37" s="50"/>
      <c r="L37" s="52"/>
      <c r="M37" s="53"/>
      <c r="N37" s="50">
        <f>IF(P36&lt;1,"","пом.")</f>
      </c>
      <c r="O37" s="50"/>
      <c r="P37" s="52"/>
      <c r="Q37" s="53"/>
      <c r="R37" s="35"/>
      <c r="S37" s="35"/>
      <c r="T37" s="35"/>
      <c r="U37" s="35"/>
      <c r="V37" s="38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ht="4.9" customHeight="1" spans="1:44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ht="15.6" customHeight="1" spans="1:44" x14ac:dyDescent="0.25">
      <c r="A39" s="3"/>
      <c r="B39" s="3"/>
      <c r="C39" s="3"/>
      <c r="D39" s="4"/>
      <c r="E39" s="5" t="s">
        <v>26</v>
      </c>
      <c r="F39" s="54" t="s">
        <v>27</v>
      </c>
      <c r="G39" s="54"/>
      <c r="H39" s="54"/>
      <c r="I39" s="100" t="s">
        <v>28</v>
      </c>
      <c r="J39" s="100"/>
      <c r="K39" s="100"/>
      <c r="L39" s="4"/>
      <c r="M39" s="4"/>
      <c r="N39" s="3"/>
      <c r="O39" s="35" t="s">
        <v>29</v>
      </c>
      <c r="P39" s="54" t="s">
        <v>30</v>
      </c>
      <c r="Q39" s="54"/>
      <c r="R39" s="54"/>
      <c r="S39" s="3" t="s">
        <v>31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ht="15.6" customHeight="1" spans="1:44" x14ac:dyDescent="0.25">
      <c r="A40" s="3"/>
      <c r="B40" s="3"/>
      <c r="C40" s="3"/>
      <c r="D40" s="4"/>
      <c r="E40" s="5" t="s">
        <v>32</v>
      </c>
      <c r="F40" s="54" t="s">
        <v>33</v>
      </c>
      <c r="G40" s="54"/>
      <c r="H40" s="54"/>
      <c r="I40" s="100" t="s">
        <v>34</v>
      </c>
      <c r="J40" s="100"/>
      <c r="K40" s="100"/>
      <c r="L40" s="4"/>
      <c r="M40" s="4"/>
      <c r="N40" s="3"/>
      <c r="O40" s="35" t="s">
        <v>35</v>
      </c>
      <c r="P40" s="54" t="s">
        <v>30</v>
      </c>
      <c r="Q40" s="54"/>
      <c r="R40" s="54"/>
      <c r="S40" s="3" t="s">
        <v>80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ht="6.6" customHeight="1" spans="1:44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ht="15.6" customHeight="1" spans="1:44" x14ac:dyDescent="0.25">
      <c r="A42" s="55"/>
      <c r="B42" s="55"/>
      <c r="C42" s="55"/>
      <c r="D42" s="56"/>
      <c r="E42" s="57"/>
      <c r="F42" s="55"/>
      <c r="G42" s="55"/>
      <c r="H42" s="56"/>
      <c r="I42" s="56"/>
      <c r="J42" s="55"/>
      <c r="K42" s="55"/>
      <c r="L42" s="56"/>
      <c r="M42" s="56"/>
      <c r="N42" s="55"/>
      <c r="O42" s="55"/>
      <c r="P42" s="56"/>
      <c r="Q42" s="56"/>
      <c r="R42" s="55"/>
      <c r="S42" s="55"/>
      <c r="T42" s="55"/>
      <c r="U42" s="55"/>
      <c r="V42" s="55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ht="15.6" customHeight="1" spans="1:44" x14ac:dyDescent="0.25">
      <c r="A43" s="55"/>
      <c r="B43" s="55"/>
      <c r="C43" s="55"/>
      <c r="D43" s="56"/>
      <c r="E43" s="57"/>
      <c r="F43" s="55"/>
      <c r="G43" s="55"/>
      <c r="H43" s="56"/>
      <c r="I43" s="56"/>
      <c r="J43" s="55"/>
      <c r="K43" s="55"/>
      <c r="L43" s="56"/>
      <c r="M43" s="56"/>
      <c r="N43" s="55"/>
      <c r="O43" s="55"/>
      <c r="P43" s="56"/>
      <c r="Q43" s="56"/>
      <c r="R43" s="55"/>
      <c r="S43" s="55"/>
      <c r="T43" s="55"/>
      <c r="U43" s="55"/>
      <c r="V43" s="55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ht="15.6" customHeight="1" spans="1:44" x14ac:dyDescent="0.25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4" t="str">
        <f>N22</f>
        <v>1.1</v>
      </c>
      <c r="O44" s="14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ht="15.6" customHeight="1" spans="1:44" x14ac:dyDescent="0.25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5"/>
      <c r="K45" s="15"/>
      <c r="L45" s="16"/>
      <c r="M45" s="9" t="s">
        <v>5</v>
      </c>
      <c r="N45" s="18" t="str">
        <f>N44&amp;".2"</f>
        <v>1.1.2</v>
      </c>
      <c r="O45" s="18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ht="15.6" customHeight="1" spans="1:44" x14ac:dyDescent="0.25">
      <c r="A46" s="3"/>
      <c r="B46" s="3"/>
      <c r="C46" s="3"/>
      <c r="D46" s="4"/>
      <c r="E46" s="4" t="s">
        <v>7</v>
      </c>
      <c r="F46" s="3"/>
      <c r="G46" s="3"/>
      <c r="H46" s="8"/>
      <c r="I46" s="8"/>
      <c r="J46" s="7"/>
      <c r="K46" s="7"/>
      <c r="L46" s="8"/>
      <c r="M46" s="19" t="s">
        <v>5</v>
      </c>
      <c r="N46" s="20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ht="15.6" customHeight="1" spans="1:44" x14ac:dyDescent="0.25">
      <c r="A47" s="3"/>
      <c r="B47" s="3"/>
      <c r="C47" s="3"/>
      <c r="D47" s="4"/>
      <c r="E47" s="4" t="s">
        <v>8</v>
      </c>
      <c r="F47" s="3"/>
      <c r="G47" s="3"/>
      <c r="H47" s="4"/>
      <c r="I47" s="4"/>
      <c r="J47" s="3"/>
      <c r="K47" s="3"/>
      <c r="L47" s="16"/>
      <c r="M47" s="19" t="s">
        <v>70</v>
      </c>
      <c r="N47" s="20" t="str">
        <f>IF(N25="-"&amp;N2&amp;".3",IF(N26=15,"-"&amp;N2&amp;".4","-"&amp;N2&amp;".3"),N25)</f>
        <v>-1.1.3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ht="15.6" customHeight="1" spans="1:44" x14ac:dyDescent="0.25">
      <c r="A48" s="3"/>
      <c r="B48" s="3"/>
      <c r="C48" s="3"/>
      <c r="D48" s="4"/>
      <c r="E48" s="24" t="s">
        <v>10</v>
      </c>
      <c r="F48" s="3"/>
      <c r="G48" s="3"/>
      <c r="H48" s="4"/>
      <c r="I48" s="8"/>
      <c r="J48" s="7"/>
      <c r="K48" s="7"/>
      <c r="L48" s="8"/>
      <c r="M48" s="19" t="s">
        <v>5</v>
      </c>
      <c r="N48" s="20">
        <f>IF(N47="-"&amp;N2&amp;".3",N26+1,IF(N25="-"&amp;N2&amp;".3",1,N26+1))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ht="15.6" customHeight="1" spans="1:44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ht="15.6" customHeight="1" spans="1:44" x14ac:dyDescent="0.25">
      <c r="A50" s="27"/>
      <c r="B50" s="28"/>
      <c r="C50" s="28"/>
      <c r="D50" s="29"/>
      <c r="E50" s="29"/>
      <c r="F50" s="28"/>
      <c r="G50" s="28"/>
      <c r="H50" s="29"/>
      <c r="I50" s="29"/>
      <c r="J50" s="28"/>
      <c r="K50" s="28"/>
      <c r="L50" s="29"/>
      <c r="M50" s="29"/>
      <c r="N50" s="28"/>
      <c r="O50" s="28"/>
      <c r="P50" s="29"/>
      <c r="Q50" s="29"/>
      <c r="R50" s="28"/>
      <c r="S50" s="28"/>
      <c r="T50" s="28"/>
      <c r="U50" s="28"/>
      <c r="V50" s="59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ht="15.6" customHeight="1" spans="1:44" x14ac:dyDescent="0.25">
      <c r="A51" s="30"/>
      <c r="B51" s="31"/>
      <c r="C51" s="31"/>
      <c r="D51" s="32">
        <v>1</v>
      </c>
      <c r="E51" s="33"/>
      <c r="F51" s="31"/>
      <c r="G51" s="31"/>
      <c r="H51" s="32">
        <v>2</v>
      </c>
      <c r="I51" s="33"/>
      <c r="J51" s="31"/>
      <c r="K51" s="31"/>
      <c r="L51" s="32">
        <v>3</v>
      </c>
      <c r="M51" s="33"/>
      <c r="N51" s="31"/>
      <c r="O51" s="31"/>
      <c r="P51" s="32">
        <v>4</v>
      </c>
      <c r="Q51" s="33"/>
      <c r="R51" s="31"/>
      <c r="S51" s="31"/>
      <c r="T51" s="31"/>
      <c r="U51" s="31"/>
      <c r="V51" s="60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ht="15.6" customHeight="1" spans="1:44" x14ac:dyDescent="0.25">
      <c r="A52" s="30"/>
      <c r="B52" s="31" t="s">
        <v>11</v>
      </c>
      <c r="C52" s="31"/>
      <c r="D52" s="32" t="s">
        <v>12</v>
      </c>
      <c r="E52" s="33"/>
      <c r="F52" s="31" t="s">
        <v>11</v>
      </c>
      <c r="G52" s="31"/>
      <c r="H52" s="32" t="s">
        <v>12</v>
      </c>
      <c r="I52" s="33"/>
      <c r="J52" s="31" t="s">
        <v>11</v>
      </c>
      <c r="K52" s="31"/>
      <c r="L52" s="32" t="s">
        <v>12</v>
      </c>
      <c r="M52" s="33"/>
      <c r="N52" s="31" t="s">
        <v>11</v>
      </c>
      <c r="O52" s="31"/>
      <c r="P52" s="32" t="s">
        <v>12</v>
      </c>
      <c r="Q52" s="33"/>
      <c r="R52" s="31"/>
      <c r="S52" s="31"/>
      <c r="T52" s="31"/>
      <c r="U52" s="31"/>
      <c r="V52" s="65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ht="15.6" customHeight="1" spans="1:44" x14ac:dyDescent="0.25">
      <c r="A53" s="30"/>
      <c r="B53" s="35"/>
      <c r="C53" s="35"/>
      <c r="D53" s="5"/>
      <c r="E53" s="5"/>
      <c r="F53" s="35"/>
      <c r="G53" s="35"/>
      <c r="H53" s="5"/>
      <c r="I53" s="5"/>
      <c r="J53" s="35"/>
      <c r="K53" s="35"/>
      <c r="L53" s="5"/>
      <c r="M53" s="5"/>
      <c r="N53" s="35"/>
      <c r="O53" s="35"/>
      <c r="P53" s="5"/>
      <c r="Q53" s="5"/>
      <c r="R53" s="35"/>
      <c r="S53" s="35"/>
      <c r="T53" s="35"/>
      <c r="U53" s="35"/>
      <c r="V53" s="65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ht="15.6" customHeight="1" spans="1:44" x14ac:dyDescent="0.25">
      <c r="A54" s="30"/>
      <c r="B54" s="31">
        <v>0</v>
      </c>
      <c r="C54" s="31"/>
      <c r="D54" s="37">
        <v>1</v>
      </c>
      <c r="E54" s="37"/>
      <c r="F54" s="31">
        <v>2</v>
      </c>
      <c r="G54" s="31"/>
      <c r="H54" s="37">
        <v>3</v>
      </c>
      <c r="I54" s="37"/>
      <c r="J54" s="31">
        <v>4</v>
      </c>
      <c r="K54" s="31"/>
      <c r="L54" s="37">
        <v>5</v>
      </c>
      <c r="M54" s="37"/>
      <c r="N54" s="31">
        <v>6</v>
      </c>
      <c r="O54" s="31"/>
      <c r="P54" s="37">
        <v>7</v>
      </c>
      <c r="Q54" s="37"/>
      <c r="R54" s="31">
        <v>8</v>
      </c>
      <c r="S54" s="31"/>
      <c r="T54" s="31">
        <v>9</v>
      </c>
      <c r="U54" s="31"/>
      <c r="V54" s="67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ht="15.6" customHeight="1" spans="1:44" x14ac:dyDescent="0.25">
      <c r="A55" s="30"/>
      <c r="B55" s="31" t="s">
        <v>13</v>
      </c>
      <c r="C55" s="31" t="s">
        <v>14</v>
      </c>
      <c r="D55" s="37" t="s">
        <v>15</v>
      </c>
      <c r="E55" s="37" t="s">
        <v>16</v>
      </c>
      <c r="F55" s="31" t="s">
        <v>13</v>
      </c>
      <c r="G55" s="31" t="s">
        <v>14</v>
      </c>
      <c r="H55" s="37" t="s">
        <v>15</v>
      </c>
      <c r="I55" s="37" t="s">
        <v>16</v>
      </c>
      <c r="J55" s="31" t="s">
        <v>13</v>
      </c>
      <c r="K55" s="31" t="s">
        <v>14</v>
      </c>
      <c r="L55" s="37" t="s">
        <v>15</v>
      </c>
      <c r="M55" s="37" t="s">
        <v>16</v>
      </c>
      <c r="N55" s="31" t="s">
        <v>13</v>
      </c>
      <c r="O55" s="31" t="s">
        <v>14</v>
      </c>
      <c r="P55" s="37" t="s">
        <v>15</v>
      </c>
      <c r="Q55" s="37" t="s">
        <v>16</v>
      </c>
      <c r="R55" s="31" t="s">
        <v>13</v>
      </c>
      <c r="S55" s="31" t="s">
        <v>14</v>
      </c>
      <c r="T55" s="31" t="s">
        <v>15</v>
      </c>
      <c r="U55" s="31" t="s">
        <v>16</v>
      </c>
      <c r="V55" s="67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ht="15.6" customHeight="1" spans="1:44" x14ac:dyDescent="0.25">
      <c r="A56" s="39"/>
      <c r="B56" s="40"/>
      <c r="C56" s="40"/>
      <c r="D56" s="41"/>
      <c r="E56" s="42"/>
      <c r="F56" s="40"/>
      <c r="G56" s="40"/>
      <c r="H56" s="41"/>
      <c r="I56" s="42"/>
      <c r="J56" s="40"/>
      <c r="K56" s="40"/>
      <c r="L56" s="41"/>
      <c r="M56" s="42"/>
      <c r="N56" s="40"/>
      <c r="O56" s="40"/>
      <c r="P56" s="41"/>
      <c r="Q56" s="42"/>
      <c r="R56" s="40"/>
      <c r="S56" s="40"/>
      <c r="T56" s="40"/>
      <c r="U56" s="40"/>
      <c r="V56" s="68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ht="15.6" customHeight="1" spans="1:44" x14ac:dyDescent="0.25">
      <c r="A57" s="3"/>
      <c r="B57" s="35"/>
      <c r="C57" s="35"/>
      <c r="D57" s="72"/>
      <c r="E57" s="5"/>
      <c r="F57" s="35"/>
      <c r="G57" s="35"/>
      <c r="H57" s="72"/>
      <c r="I57" s="5"/>
      <c r="J57" s="35"/>
      <c r="K57" s="35"/>
      <c r="L57" s="72"/>
      <c r="M57" s="5"/>
      <c r="N57" s="35"/>
      <c r="O57" s="35"/>
      <c r="P57" s="72"/>
      <c r="Q57" s="5"/>
      <c r="R57" s="35"/>
      <c r="S57" s="35"/>
      <c r="T57" s="35"/>
      <c r="U57" s="35"/>
      <c r="V57" s="38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ht="15.6" customHeight="1" spans="1:44" x14ac:dyDescent="0.25">
      <c r="A58" s="3"/>
      <c r="B58" s="76"/>
      <c r="C58" s="77"/>
      <c r="D58" s="78"/>
      <c r="E58" s="79"/>
      <c r="F58" s="76"/>
      <c r="G58" s="77"/>
      <c r="H58" s="78"/>
      <c r="I58" s="79"/>
      <c r="J58" s="76"/>
      <c r="K58" s="77"/>
      <c r="L58" s="78"/>
      <c r="M58" s="79"/>
      <c r="N58" s="76"/>
      <c r="O58" s="77"/>
      <c r="P58" s="78"/>
      <c r="Q58" s="79"/>
      <c r="R58" s="35"/>
      <c r="S58" s="35"/>
      <c r="T58" s="35"/>
      <c r="U58" s="35"/>
      <c r="V58" s="38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ht="15.6" customHeight="1" spans="1:44" x14ac:dyDescent="0.25">
      <c r="A59" s="3"/>
      <c r="B59" s="50">
        <f>IF(D58&lt;1,"","пом.")</f>
      </c>
      <c r="C59" s="50"/>
      <c r="D59" s="52"/>
      <c r="E59" s="53"/>
      <c r="F59" s="50">
        <f>IF(H58&lt;1,"","пом.")</f>
      </c>
      <c r="G59" s="50"/>
      <c r="H59" s="52"/>
      <c r="I59" s="53"/>
      <c r="J59" s="50">
        <f>IF(L58&lt;1,"","пом.")</f>
      </c>
      <c r="K59" s="50"/>
      <c r="L59" s="52"/>
      <c r="M59" s="53"/>
      <c r="N59" s="50">
        <f>IF(P58&lt;1,"","пом.")</f>
      </c>
      <c r="O59" s="50"/>
      <c r="P59" s="52"/>
      <c r="Q59" s="53"/>
      <c r="R59" s="35"/>
      <c r="S59" s="35"/>
      <c r="T59" s="35"/>
      <c r="U59" s="35"/>
      <c r="V59" s="38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ht="15.6" customHeight="1" spans="1:44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ht="15.6" customHeight="1" spans="1:44" x14ac:dyDescent="0.25">
      <c r="A61" s="3"/>
      <c r="B61" s="3"/>
      <c r="C61" s="3"/>
      <c r="D61" s="4"/>
      <c r="E61" s="5" t="s">
        <v>26</v>
      </c>
      <c r="F61" s="54" t="s">
        <v>27</v>
      </c>
      <c r="G61" s="54"/>
      <c r="H61" s="54"/>
      <c r="I61" s="100" t="s">
        <v>28</v>
      </c>
      <c r="J61" s="100"/>
      <c r="K61" s="100"/>
      <c r="L61" s="4"/>
      <c r="M61" s="4"/>
      <c r="N61" s="3"/>
      <c r="O61" s="35" t="s">
        <v>29</v>
      </c>
      <c r="P61" s="54" t="s">
        <v>30</v>
      </c>
      <c r="Q61" s="54"/>
      <c r="R61" s="54"/>
      <c r="S61" s="3" t="s">
        <v>31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ht="15.6" customHeight="1" spans="1:44" x14ac:dyDescent="0.25">
      <c r="A62" s="3"/>
      <c r="B62" s="3"/>
      <c r="C62" s="3"/>
      <c r="D62" s="4"/>
      <c r="E62" s="5" t="s">
        <v>32</v>
      </c>
      <c r="F62" s="54" t="s">
        <v>33</v>
      </c>
      <c r="G62" s="54"/>
      <c r="H62" s="54"/>
      <c r="I62" s="100" t="s">
        <v>34</v>
      </c>
      <c r="J62" s="100"/>
      <c r="K62" s="100"/>
      <c r="L62" s="4"/>
      <c r="M62" s="4"/>
      <c r="N62" s="3"/>
      <c r="O62" s="35" t="s">
        <v>35</v>
      </c>
      <c r="P62" s="54" t="s">
        <v>30</v>
      </c>
      <c r="Q62" s="54"/>
      <c r="R62" s="54"/>
      <c r="S62" s="3" t="s">
        <v>80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ht="15.6" customHeight="1" spans="1:44" x14ac:dyDescent="0.25">
      <c r="A63" s="55"/>
      <c r="B63" s="55"/>
      <c r="C63" s="55"/>
      <c r="D63" s="56"/>
      <c r="E63" s="57"/>
      <c r="F63" s="55"/>
      <c r="G63" s="55"/>
      <c r="H63" s="56"/>
      <c r="I63" s="56"/>
      <c r="J63" s="55"/>
      <c r="K63" s="55"/>
      <c r="L63" s="56"/>
      <c r="M63" s="56"/>
      <c r="N63" s="55"/>
      <c r="O63" s="55"/>
      <c r="P63" s="56"/>
      <c r="Q63" s="56"/>
      <c r="R63" s="55"/>
      <c r="S63" s="55"/>
      <c r="T63" s="55"/>
      <c r="U63" s="55"/>
      <c r="V63" s="55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ht="15.6" customHeight="1" spans="1:44" x14ac:dyDescent="0.25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4" t="str">
        <f>N44</f>
        <v>1.1</v>
      </c>
      <c r="O64" s="14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ht="15.6" customHeight="1" spans="1:44" x14ac:dyDescent="0.25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5"/>
      <c r="K65" s="15"/>
      <c r="L65" s="16"/>
      <c r="M65" s="9" t="s">
        <v>5</v>
      </c>
      <c r="N65" s="18" t="str">
        <f>N45</f>
        <v>1.1.2</v>
      </c>
      <c r="O65" s="18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ht="15.6" customHeight="1" spans="1:44" x14ac:dyDescent="0.25">
      <c r="A66" s="3"/>
      <c r="B66" s="3"/>
      <c r="C66" s="3"/>
      <c r="D66" s="4"/>
      <c r="E66" s="4" t="s">
        <v>7</v>
      </c>
      <c r="F66" s="3"/>
      <c r="G66" s="3"/>
      <c r="H66" s="8"/>
      <c r="I66" s="8"/>
      <c r="J66" s="7"/>
      <c r="K66" s="7"/>
      <c r="L66" s="8"/>
      <c r="M66" s="19" t="s">
        <v>5</v>
      </c>
      <c r="N66" s="20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ht="15.6" customHeight="1" spans="1:44" x14ac:dyDescent="0.25">
      <c r="A67" s="3"/>
      <c r="B67" s="3"/>
      <c r="C67" s="3"/>
      <c r="D67" s="4"/>
      <c r="E67" s="4" t="s">
        <v>8</v>
      </c>
      <c r="F67" s="3"/>
      <c r="G67" s="3"/>
      <c r="H67" s="4"/>
      <c r="I67" s="4"/>
      <c r="J67" s="3"/>
      <c r="K67" s="3"/>
      <c r="L67" s="16"/>
      <c r="M67" s="19" t="s">
        <v>70</v>
      </c>
      <c r="N67" s="20" t="str">
        <f>IF(N47="-"&amp;N44&amp;".3",IF(N48=15,"-"&amp;N44&amp;".4","-"&amp;N44&amp;".3"),N47)</f>
        <v>-1.1.3</v>
      </c>
      <c r="O67" s="22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ht="15.6" customHeight="1" spans="1:44" x14ac:dyDescent="0.25">
      <c r="A68" s="3"/>
      <c r="B68" s="3"/>
      <c r="C68" s="3"/>
      <c r="D68" s="4"/>
      <c r="E68" s="24" t="s">
        <v>10</v>
      </c>
      <c r="F68" s="3"/>
      <c r="G68" s="3"/>
      <c r="H68" s="4"/>
      <c r="I68" s="8"/>
      <c r="J68" s="7"/>
      <c r="K68" s="7"/>
      <c r="L68" s="8"/>
      <c r="M68" s="19" t="s">
        <v>5</v>
      </c>
      <c r="N68" s="20">
        <f>IF(N67="-"&amp;N2&amp;".3",N48+1,IF(N47="-"&amp;N2&amp;".3",1,N48+1))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ht="6.6" customHeight="1" spans="1:44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ht="15.6" customHeight="1" spans="1:44" x14ac:dyDescent="0.25">
      <c r="A70" s="27"/>
      <c r="B70" s="28"/>
      <c r="C70" s="28"/>
      <c r="D70" s="29"/>
      <c r="E70" s="29"/>
      <c r="F70" s="28"/>
      <c r="G70" s="28"/>
      <c r="H70" s="29"/>
      <c r="I70" s="29"/>
      <c r="J70" s="28"/>
      <c r="K70" s="28"/>
      <c r="L70" s="29"/>
      <c r="M70" s="29"/>
      <c r="N70" s="28"/>
      <c r="O70" s="28"/>
      <c r="P70" s="29"/>
      <c r="Q70" s="29"/>
      <c r="R70" s="28"/>
      <c r="S70" s="28"/>
      <c r="T70" s="28"/>
      <c r="U70" s="28"/>
      <c r="V70" s="59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ht="15.6" customHeight="1" spans="1:44" x14ac:dyDescent="0.25">
      <c r="A71" s="30"/>
      <c r="B71" s="31"/>
      <c r="C71" s="31"/>
      <c r="D71" s="32">
        <v>1</v>
      </c>
      <c r="E71" s="33"/>
      <c r="F71" s="31"/>
      <c r="G71" s="31"/>
      <c r="H71" s="32">
        <v>2</v>
      </c>
      <c r="I71" s="33"/>
      <c r="J71" s="31"/>
      <c r="K71" s="31"/>
      <c r="L71" s="32">
        <v>3</v>
      </c>
      <c r="M71" s="33"/>
      <c r="N71" s="31"/>
      <c r="O71" s="31"/>
      <c r="P71" s="32">
        <v>4</v>
      </c>
      <c r="Q71" s="33"/>
      <c r="R71" s="31"/>
      <c r="S71" s="31"/>
      <c r="T71" s="31"/>
      <c r="U71" s="31"/>
      <c r="V71" s="60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ht="15.6" customHeight="1" spans="1:44" x14ac:dyDescent="0.25">
      <c r="A72" s="30"/>
      <c r="B72" s="31" t="s">
        <v>11</v>
      </c>
      <c r="C72" s="31"/>
      <c r="D72" s="32" t="s">
        <v>12</v>
      </c>
      <c r="E72" s="33"/>
      <c r="F72" s="31" t="s">
        <v>11</v>
      </c>
      <c r="G72" s="31"/>
      <c r="H72" s="32" t="s">
        <v>12</v>
      </c>
      <c r="I72" s="33"/>
      <c r="J72" s="31" t="s">
        <v>11</v>
      </c>
      <c r="K72" s="31"/>
      <c r="L72" s="32" t="s">
        <v>12</v>
      </c>
      <c r="M72" s="33"/>
      <c r="N72" s="31" t="s">
        <v>11</v>
      </c>
      <c r="O72" s="31"/>
      <c r="P72" s="32" t="s">
        <v>12</v>
      </c>
      <c r="Q72" s="33"/>
      <c r="R72" s="31"/>
      <c r="S72" s="31"/>
      <c r="T72" s="31"/>
      <c r="U72" s="31"/>
      <c r="V72" s="65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ht="15.6" customHeight="1" spans="1:44" x14ac:dyDescent="0.25">
      <c r="A73" s="30"/>
      <c r="B73" s="35"/>
      <c r="C73" s="35"/>
      <c r="D73" s="5"/>
      <c r="E73" s="5"/>
      <c r="F73" s="35"/>
      <c r="G73" s="35"/>
      <c r="H73" s="5"/>
      <c r="I73" s="5"/>
      <c r="J73" s="35"/>
      <c r="K73" s="35"/>
      <c r="L73" s="5"/>
      <c r="M73" s="5"/>
      <c r="N73" s="35"/>
      <c r="O73" s="35"/>
      <c r="P73" s="5"/>
      <c r="Q73" s="5"/>
      <c r="R73" s="35"/>
      <c r="S73" s="35"/>
      <c r="T73" s="35"/>
      <c r="U73" s="35"/>
      <c r="V73" s="65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ht="15.6" customHeight="1" spans="1:44" x14ac:dyDescent="0.25">
      <c r="A74" s="30"/>
      <c r="B74" s="31">
        <v>0</v>
      </c>
      <c r="C74" s="31"/>
      <c r="D74" s="37">
        <v>1</v>
      </c>
      <c r="E74" s="37"/>
      <c r="F74" s="31">
        <v>2</v>
      </c>
      <c r="G74" s="31"/>
      <c r="H74" s="37">
        <v>3</v>
      </c>
      <c r="I74" s="37"/>
      <c r="J74" s="31">
        <v>4</v>
      </c>
      <c r="K74" s="31"/>
      <c r="L74" s="37">
        <v>5</v>
      </c>
      <c r="M74" s="37"/>
      <c r="N74" s="31">
        <v>6</v>
      </c>
      <c r="O74" s="31"/>
      <c r="P74" s="37">
        <v>7</v>
      </c>
      <c r="Q74" s="37"/>
      <c r="R74" s="31">
        <v>8</v>
      </c>
      <c r="S74" s="31"/>
      <c r="T74" s="31">
        <v>9</v>
      </c>
      <c r="U74" s="31"/>
      <c r="V74" s="67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ht="15.6" customHeight="1" spans="1:44" x14ac:dyDescent="0.25">
      <c r="A75" s="30"/>
      <c r="B75" s="31" t="s">
        <v>13</v>
      </c>
      <c r="C75" s="31" t="s">
        <v>14</v>
      </c>
      <c r="D75" s="37" t="s">
        <v>15</v>
      </c>
      <c r="E75" s="37" t="s">
        <v>16</v>
      </c>
      <c r="F75" s="31" t="s">
        <v>13</v>
      </c>
      <c r="G75" s="31" t="s">
        <v>14</v>
      </c>
      <c r="H75" s="37" t="s">
        <v>15</v>
      </c>
      <c r="I75" s="37" t="s">
        <v>16</v>
      </c>
      <c r="J75" s="31" t="s">
        <v>13</v>
      </c>
      <c r="K75" s="31" t="s">
        <v>14</v>
      </c>
      <c r="L75" s="37" t="s">
        <v>15</v>
      </c>
      <c r="M75" s="37" t="s">
        <v>16</v>
      </c>
      <c r="N75" s="31" t="s">
        <v>13</v>
      </c>
      <c r="O75" s="31" t="s">
        <v>14</v>
      </c>
      <c r="P75" s="37" t="s">
        <v>15</v>
      </c>
      <c r="Q75" s="37" t="s">
        <v>16</v>
      </c>
      <c r="R75" s="31" t="s">
        <v>13</v>
      </c>
      <c r="S75" s="31" t="s">
        <v>14</v>
      </c>
      <c r="T75" s="31" t="s">
        <v>15</v>
      </c>
      <c r="U75" s="31" t="s">
        <v>16</v>
      </c>
      <c r="V75" s="67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ht="15.6" customHeight="1" spans="1:44" x14ac:dyDescent="0.25">
      <c r="A76" s="39"/>
      <c r="B76" s="40"/>
      <c r="C76" s="40"/>
      <c r="D76" s="41"/>
      <c r="E76" s="42"/>
      <c r="F76" s="40"/>
      <c r="G76" s="40"/>
      <c r="H76" s="41"/>
      <c r="I76" s="42"/>
      <c r="J76" s="40"/>
      <c r="K76" s="40"/>
      <c r="L76" s="41"/>
      <c r="M76" s="42"/>
      <c r="N76" s="40"/>
      <c r="O76" s="40"/>
      <c r="P76" s="41"/>
      <c r="Q76" s="42"/>
      <c r="R76" s="40"/>
      <c r="S76" s="40"/>
      <c r="T76" s="40"/>
      <c r="U76" s="40"/>
      <c r="V76" s="68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ht="6.6" customHeight="1" spans="1:44" x14ac:dyDescent="0.25">
      <c r="A77" s="3"/>
      <c r="B77" s="35"/>
      <c r="C77" s="35"/>
      <c r="D77" s="72"/>
      <c r="E77" s="5"/>
      <c r="F77" s="35"/>
      <c r="G77" s="35"/>
      <c r="H77" s="72"/>
      <c r="I77" s="5"/>
      <c r="J77" s="35"/>
      <c r="K77" s="35"/>
      <c r="L77" s="72"/>
      <c r="M77" s="5"/>
      <c r="N77" s="35"/>
      <c r="O77" s="35"/>
      <c r="P77" s="72"/>
      <c r="Q77" s="5"/>
      <c r="R77" s="35"/>
      <c r="S77" s="35"/>
      <c r="T77" s="35"/>
      <c r="U77" s="35"/>
      <c r="V77" s="38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ht="15.6" customHeight="1" spans="1:44" x14ac:dyDescent="0.25">
      <c r="A78" s="3"/>
      <c r="B78" s="76"/>
      <c r="C78" s="77"/>
      <c r="D78" s="78"/>
      <c r="E78" s="79"/>
      <c r="F78" s="76"/>
      <c r="G78" s="77"/>
      <c r="H78" s="78"/>
      <c r="I78" s="79"/>
      <c r="J78" s="76"/>
      <c r="K78" s="77"/>
      <c r="L78" s="78"/>
      <c r="M78" s="79"/>
      <c r="N78" s="76"/>
      <c r="O78" s="77"/>
      <c r="P78" s="78"/>
      <c r="Q78" s="79"/>
      <c r="R78" s="35"/>
      <c r="S78" s="35"/>
      <c r="T78" s="35"/>
      <c r="U78" s="35"/>
      <c r="V78" s="38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ht="15.6" customHeight="1" spans="1:44" x14ac:dyDescent="0.25">
      <c r="A79" s="3"/>
      <c r="B79" s="50">
        <f>IF(D78&lt;1,"","пом.")</f>
      </c>
      <c r="C79" s="50"/>
      <c r="D79" s="52"/>
      <c r="E79" s="53"/>
      <c r="F79" s="50">
        <f>IF(H78&lt;1,"","пом.")</f>
      </c>
      <c r="G79" s="50"/>
      <c r="H79" s="52"/>
      <c r="I79" s="53"/>
      <c r="J79" s="50">
        <f>IF(L78&lt;1,"","пом.")</f>
      </c>
      <c r="K79" s="50"/>
      <c r="L79" s="52"/>
      <c r="M79" s="53"/>
      <c r="N79" s="50">
        <f>IF(P78&lt;1,"","пом.")</f>
      </c>
      <c r="O79" s="50"/>
      <c r="P79" s="52"/>
      <c r="Q79" s="53"/>
      <c r="R79" s="35"/>
      <c r="S79" s="35"/>
      <c r="T79" s="35"/>
      <c r="U79" s="35"/>
      <c r="V79" s="38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ht="7.15" customHeight="1" spans="1:44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ht="15.6" customHeight="1" spans="1:44" x14ac:dyDescent="0.25">
      <c r="A81" s="3"/>
      <c r="B81" s="3"/>
      <c r="C81" s="3"/>
      <c r="D81" s="4"/>
      <c r="E81" s="5" t="s">
        <v>26</v>
      </c>
      <c r="F81" s="54" t="s">
        <v>27</v>
      </c>
      <c r="G81" s="54"/>
      <c r="H81" s="54"/>
      <c r="I81" s="100" t="s">
        <v>28</v>
      </c>
      <c r="J81" s="100"/>
      <c r="K81" s="100"/>
      <c r="L81" s="4"/>
      <c r="M81" s="4"/>
      <c r="N81" s="3"/>
      <c r="O81" s="35" t="s">
        <v>29</v>
      </c>
      <c r="P81" s="54" t="s">
        <v>30</v>
      </c>
      <c r="Q81" s="54"/>
      <c r="R81" s="54"/>
      <c r="S81" s="100" t="s">
        <v>31</v>
      </c>
      <c r="T81" s="100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ht="15.6" customHeight="1" spans="1:44" x14ac:dyDescent="0.25">
      <c r="A82" s="3"/>
      <c r="B82" s="3"/>
      <c r="C82" s="3"/>
      <c r="D82" s="4"/>
      <c r="E82" s="5" t="s">
        <v>32</v>
      </c>
      <c r="F82" s="54" t="s">
        <v>33</v>
      </c>
      <c r="G82" s="54"/>
      <c r="H82" s="54"/>
      <c r="I82" s="100" t="s">
        <v>34</v>
      </c>
      <c r="J82" s="100"/>
      <c r="K82" s="100"/>
      <c r="L82" s="4"/>
      <c r="M82" s="4"/>
      <c r="N82" s="3"/>
      <c r="O82" s="35" t="s">
        <v>35</v>
      </c>
      <c r="P82" s="54" t="s">
        <v>30</v>
      </c>
      <c r="Q82" s="54"/>
      <c r="R82" s="54"/>
      <c r="S82" s="101" t="s">
        <v>80</v>
      </c>
      <c r="T82" s="101"/>
      <c r="U82" s="101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ht="15.6" customHeight="1" spans="1:44" x14ac:dyDescent="0.25">
      <c r="A83" s="55"/>
      <c r="B83" s="55"/>
      <c r="C83" s="55"/>
      <c r="D83" s="56"/>
      <c r="E83" s="57"/>
      <c r="F83" s="55"/>
      <c r="G83" s="55"/>
      <c r="H83" s="56"/>
      <c r="I83" s="56"/>
      <c r="J83" s="55"/>
      <c r="K83" s="55"/>
      <c r="L83" s="56"/>
      <c r="M83" s="56"/>
      <c r="N83" s="55"/>
      <c r="O83" s="55"/>
      <c r="P83" s="56"/>
      <c r="Q83" s="56"/>
      <c r="R83" s="55"/>
      <c r="S83" s="55"/>
      <c r="T83" s="55"/>
      <c r="U83" s="55"/>
      <c r="V83" s="55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ht="15.6" customHeight="1" spans="1:44" x14ac:dyDescent="0.25">
      <c r="A84" s="55"/>
      <c r="B84" s="55"/>
      <c r="C84" s="55"/>
      <c r="D84" s="56"/>
      <c r="E84" s="57"/>
      <c r="F84" s="55"/>
      <c r="G84" s="55"/>
      <c r="H84" s="56"/>
      <c r="I84" s="56"/>
      <c r="J84" s="55"/>
      <c r="K84" s="55"/>
      <c r="L84" s="56"/>
      <c r="M84" s="56"/>
      <c r="N84" s="55"/>
      <c r="O84" s="55"/>
      <c r="P84" s="56"/>
      <c r="Q84" s="56"/>
      <c r="R84" s="55"/>
      <c r="S84" s="55"/>
      <c r="T84" s="55"/>
      <c r="U84" s="55"/>
      <c r="V84" s="55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ht="15.6" customHeight="1" hidden="1" spans="1:44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ht="15.6" customHeight="1" spans="1:44" x14ac:dyDescent="0.25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4" t="str">
        <f>N64</f>
        <v>1.1</v>
      </c>
      <c r="O86" s="14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ht="15.6" customHeight="1" spans="1:44" x14ac:dyDescent="0.25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5"/>
      <c r="K87" s="15"/>
      <c r="L87" s="16"/>
      <c r="M87" s="9" t="s">
        <v>5</v>
      </c>
      <c r="N87" s="18" t="str">
        <f>N86&amp;".2"</f>
        <v>1.1.2</v>
      </c>
      <c r="O87" s="18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ht="15.6" customHeight="1" spans="1:44" x14ac:dyDescent="0.25">
      <c r="A88" s="3"/>
      <c r="B88" s="3"/>
      <c r="C88" s="3"/>
      <c r="D88" s="4"/>
      <c r="E88" s="4" t="s">
        <v>7</v>
      </c>
      <c r="F88" s="3"/>
      <c r="G88" s="3"/>
      <c r="H88" s="8"/>
      <c r="I88" s="8"/>
      <c r="J88" s="7"/>
      <c r="K88" s="7"/>
      <c r="L88" s="8"/>
      <c r="M88" s="19" t="s">
        <v>5</v>
      </c>
      <c r="N88" s="20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ht="15.6" customHeight="1" spans="1:44" x14ac:dyDescent="0.25">
      <c r="A89" s="3"/>
      <c r="B89" s="3"/>
      <c r="C89" s="3"/>
      <c r="D89" s="4"/>
      <c r="E89" s="4" t="s">
        <v>8</v>
      </c>
      <c r="F89" s="3"/>
      <c r="G89" s="3"/>
      <c r="H89" s="4"/>
      <c r="I89" s="4"/>
      <c r="J89" s="3"/>
      <c r="K89" s="3"/>
      <c r="L89" s="16"/>
      <c r="M89" s="19" t="s">
        <v>70</v>
      </c>
      <c r="N89" s="20" t="str">
        <f>IF(N67="-"&amp;N44&amp;".3",IF(N68=15,"-"&amp;N44&amp;".4","-"&amp;N44&amp;".3"),N67)</f>
        <v>-1.1.3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ht="15.6" customHeight="1" spans="1:44" x14ac:dyDescent="0.25">
      <c r="A90" s="3"/>
      <c r="B90" s="3"/>
      <c r="C90" s="3"/>
      <c r="D90" s="4"/>
      <c r="E90" s="24" t="s">
        <v>10</v>
      </c>
      <c r="F90" s="3"/>
      <c r="G90" s="3"/>
      <c r="H90" s="4"/>
      <c r="I90" s="8"/>
      <c r="J90" s="7"/>
      <c r="K90" s="7"/>
      <c r="L90" s="8"/>
      <c r="M90" s="19" t="s">
        <v>5</v>
      </c>
      <c r="N90" s="20">
        <f>IF(N89="-"&amp;N44&amp;".3",N68+1,IF(N67="-"&amp;N44&amp;".3",1,N68+1))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ht="15.6" customHeight="1" spans="1:44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ht="15.6" customHeight="1" spans="1:44" x14ac:dyDescent="0.25">
      <c r="A92" s="27"/>
      <c r="B92" s="28"/>
      <c r="C92" s="28"/>
      <c r="D92" s="29"/>
      <c r="E92" s="29"/>
      <c r="F92" s="28"/>
      <c r="G92" s="28"/>
      <c r="H92" s="29"/>
      <c r="I92" s="29"/>
      <c r="J92" s="28"/>
      <c r="K92" s="28"/>
      <c r="L92" s="29"/>
      <c r="M92" s="29"/>
      <c r="N92" s="28"/>
      <c r="O92" s="28"/>
      <c r="P92" s="29"/>
      <c r="Q92" s="29"/>
      <c r="R92" s="28"/>
      <c r="S92" s="28"/>
      <c r="T92" s="28"/>
      <c r="U92" s="28"/>
      <c r="V92" s="59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ht="15.6" customHeight="1" spans="1:44" x14ac:dyDescent="0.25">
      <c r="A93" s="30"/>
      <c r="B93" s="31"/>
      <c r="C93" s="31"/>
      <c r="D93" s="32">
        <v>1</v>
      </c>
      <c r="E93" s="33"/>
      <c r="F93" s="31"/>
      <c r="G93" s="31"/>
      <c r="H93" s="32">
        <v>2</v>
      </c>
      <c r="I93" s="33"/>
      <c r="J93" s="31"/>
      <c r="K93" s="31"/>
      <c r="L93" s="32">
        <v>3</v>
      </c>
      <c r="M93" s="33"/>
      <c r="N93" s="31"/>
      <c r="O93" s="31"/>
      <c r="P93" s="32">
        <v>4</v>
      </c>
      <c r="Q93" s="33"/>
      <c r="R93" s="31"/>
      <c r="S93" s="31"/>
      <c r="T93" s="31"/>
      <c r="U93" s="31"/>
      <c r="V93" s="60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ht="15.6" customHeight="1" spans="1:44" x14ac:dyDescent="0.25">
      <c r="A94" s="30"/>
      <c r="B94" s="31" t="s">
        <v>11</v>
      </c>
      <c r="C94" s="31"/>
      <c r="D94" s="32" t="s">
        <v>12</v>
      </c>
      <c r="E94" s="33"/>
      <c r="F94" s="31" t="s">
        <v>11</v>
      </c>
      <c r="G94" s="31"/>
      <c r="H94" s="32" t="s">
        <v>12</v>
      </c>
      <c r="I94" s="33"/>
      <c r="J94" s="31" t="s">
        <v>11</v>
      </c>
      <c r="K94" s="31"/>
      <c r="L94" s="32" t="s">
        <v>12</v>
      </c>
      <c r="M94" s="33"/>
      <c r="N94" s="31" t="s">
        <v>11</v>
      </c>
      <c r="O94" s="31"/>
      <c r="P94" s="32" t="s">
        <v>12</v>
      </c>
      <c r="Q94" s="33"/>
      <c r="R94" s="31"/>
      <c r="S94" s="31"/>
      <c r="T94" s="31"/>
      <c r="U94" s="31"/>
      <c r="V94" s="65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ht="15.6" customHeight="1" spans="1:44" x14ac:dyDescent="0.25">
      <c r="A95" s="30"/>
      <c r="B95" s="35"/>
      <c r="C95" s="35"/>
      <c r="D95" s="5"/>
      <c r="E95" s="5"/>
      <c r="F95" s="35"/>
      <c r="G95" s="35"/>
      <c r="H95" s="5"/>
      <c r="I95" s="5"/>
      <c r="J95" s="35"/>
      <c r="K95" s="35"/>
      <c r="L95" s="5"/>
      <c r="M95" s="5"/>
      <c r="N95" s="35"/>
      <c r="O95" s="35"/>
      <c r="P95" s="5"/>
      <c r="Q95" s="5"/>
      <c r="R95" s="35"/>
      <c r="S95" s="35"/>
      <c r="T95" s="35"/>
      <c r="U95" s="35"/>
      <c r="V95" s="65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ht="15.6" customHeight="1" spans="1:44" x14ac:dyDescent="0.25">
      <c r="A96" s="30"/>
      <c r="B96" s="31">
        <v>0</v>
      </c>
      <c r="C96" s="31"/>
      <c r="D96" s="37">
        <v>1</v>
      </c>
      <c r="E96" s="37"/>
      <c r="F96" s="31">
        <v>2</v>
      </c>
      <c r="G96" s="31"/>
      <c r="H96" s="37">
        <v>3</v>
      </c>
      <c r="I96" s="37"/>
      <c r="J96" s="31">
        <v>4</v>
      </c>
      <c r="K96" s="31"/>
      <c r="L96" s="37">
        <v>5</v>
      </c>
      <c r="M96" s="37"/>
      <c r="N96" s="31">
        <v>6</v>
      </c>
      <c r="O96" s="31"/>
      <c r="P96" s="37">
        <v>7</v>
      </c>
      <c r="Q96" s="37"/>
      <c r="R96" s="31">
        <v>8</v>
      </c>
      <c r="S96" s="31"/>
      <c r="T96" s="31">
        <v>9</v>
      </c>
      <c r="U96" s="31"/>
      <c r="V96" s="67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ht="15.6" customHeight="1" spans="1:44" x14ac:dyDescent="0.25">
      <c r="A97" s="30"/>
      <c r="B97" s="31" t="s">
        <v>13</v>
      </c>
      <c r="C97" s="31" t="s">
        <v>14</v>
      </c>
      <c r="D97" s="37" t="s">
        <v>15</v>
      </c>
      <c r="E97" s="37" t="s">
        <v>16</v>
      </c>
      <c r="F97" s="31" t="s">
        <v>13</v>
      </c>
      <c r="G97" s="31" t="s">
        <v>14</v>
      </c>
      <c r="H97" s="37" t="s">
        <v>15</v>
      </c>
      <c r="I97" s="37" t="s">
        <v>16</v>
      </c>
      <c r="J97" s="31" t="s">
        <v>13</v>
      </c>
      <c r="K97" s="31" t="s">
        <v>14</v>
      </c>
      <c r="L97" s="37" t="s">
        <v>15</v>
      </c>
      <c r="M97" s="37" t="s">
        <v>16</v>
      </c>
      <c r="N97" s="31" t="s">
        <v>13</v>
      </c>
      <c r="O97" s="31" t="s">
        <v>14</v>
      </c>
      <c r="P97" s="37" t="s">
        <v>15</v>
      </c>
      <c r="Q97" s="37" t="s">
        <v>16</v>
      </c>
      <c r="R97" s="31" t="s">
        <v>13</v>
      </c>
      <c r="S97" s="31" t="s">
        <v>14</v>
      </c>
      <c r="T97" s="31" t="s">
        <v>15</v>
      </c>
      <c r="U97" s="31" t="s">
        <v>16</v>
      </c>
      <c r="V97" s="67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ht="15.6" customHeight="1" spans="1:44" x14ac:dyDescent="0.25">
      <c r="A98" s="39"/>
      <c r="B98" s="40"/>
      <c r="C98" s="40"/>
      <c r="D98" s="41"/>
      <c r="E98" s="42"/>
      <c r="F98" s="40"/>
      <c r="G98" s="40"/>
      <c r="H98" s="41"/>
      <c r="I98" s="42"/>
      <c r="J98" s="40"/>
      <c r="K98" s="40"/>
      <c r="L98" s="41"/>
      <c r="M98" s="42"/>
      <c r="N98" s="40"/>
      <c r="O98" s="40"/>
      <c r="P98" s="41"/>
      <c r="Q98" s="42"/>
      <c r="R98" s="40"/>
      <c r="S98" s="40"/>
      <c r="T98" s="40"/>
      <c r="U98" s="40"/>
      <c r="V98" s="6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ht="15.6" customHeight="1" spans="1:44" x14ac:dyDescent="0.25">
      <c r="A99" s="3"/>
      <c r="B99" s="35"/>
      <c r="C99" s="35"/>
      <c r="D99" s="72"/>
      <c r="E99" s="5"/>
      <c r="F99" s="35"/>
      <c r="G99" s="35"/>
      <c r="H99" s="72"/>
      <c r="I99" s="5"/>
      <c r="J99" s="35"/>
      <c r="K99" s="35"/>
      <c r="L99" s="72"/>
      <c r="M99" s="5"/>
      <c r="N99" s="35"/>
      <c r="O99" s="35"/>
      <c r="P99" s="72"/>
      <c r="Q99" s="5"/>
      <c r="R99" s="35"/>
      <c r="S99" s="35"/>
      <c r="T99" s="35"/>
      <c r="U99" s="35"/>
      <c r="V99" s="3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ht="15.6" customHeight="1" spans="1:44" x14ac:dyDescent="0.25">
      <c r="A100" s="3"/>
      <c r="B100" s="76"/>
      <c r="C100" s="77"/>
      <c r="D100" s="78"/>
      <c r="E100" s="79"/>
      <c r="F100" s="76"/>
      <c r="G100" s="77"/>
      <c r="H100" s="78"/>
      <c r="I100" s="79"/>
      <c r="J100" s="76"/>
      <c r="K100" s="77"/>
      <c r="L100" s="78"/>
      <c r="M100" s="79"/>
      <c r="N100" s="76"/>
      <c r="O100" s="77"/>
      <c r="P100" s="78"/>
      <c r="Q100" s="79"/>
      <c r="R100" s="35"/>
      <c r="S100" s="35"/>
      <c r="T100" s="35"/>
      <c r="U100" s="35"/>
      <c r="V100" s="3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ht="15.6" customHeight="1" spans="1:44" x14ac:dyDescent="0.25">
      <c r="A101" s="3"/>
      <c r="B101" s="50">
        <f>IF(D100&lt;1,"","пом.")</f>
      </c>
      <c r="C101" s="50"/>
      <c r="D101" s="52"/>
      <c r="E101" s="53"/>
      <c r="F101" s="50">
        <f>IF(H100&lt;1,"","пом.")</f>
      </c>
      <c r="G101" s="50"/>
      <c r="H101" s="52"/>
      <c r="I101" s="53"/>
      <c r="J101" s="50">
        <f>IF(L100&lt;1,"","пом.")</f>
      </c>
      <c r="K101" s="50"/>
      <c r="L101" s="52"/>
      <c r="M101" s="53"/>
      <c r="N101" s="50">
        <f>IF(P100&lt;1,"","пом.")</f>
      </c>
      <c r="O101" s="50"/>
      <c r="P101" s="52"/>
      <c r="Q101" s="53"/>
      <c r="R101" s="35"/>
      <c r="S101" s="35"/>
      <c r="T101" s="35"/>
      <c r="U101" s="35"/>
      <c r="V101" s="3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ht="15.6" customHeight="1" spans="1:44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ht="15.6" customHeight="1" spans="1:44" x14ac:dyDescent="0.25">
      <c r="A103" s="3"/>
      <c r="B103" s="3"/>
      <c r="C103" s="3"/>
      <c r="D103" s="4"/>
      <c r="E103" s="5" t="s">
        <v>26</v>
      </c>
      <c r="F103" s="54" t="s">
        <v>27</v>
      </c>
      <c r="G103" s="54"/>
      <c r="H103" s="54"/>
      <c r="I103" s="100" t="s">
        <v>28</v>
      </c>
      <c r="J103" s="100"/>
      <c r="K103" s="100"/>
      <c r="L103" s="4"/>
      <c r="M103" s="4"/>
      <c r="N103" s="3"/>
      <c r="O103" s="35" t="s">
        <v>29</v>
      </c>
      <c r="P103" s="54" t="s">
        <v>30</v>
      </c>
      <c r="Q103" s="54"/>
      <c r="R103" s="54"/>
      <c r="S103" s="100" t="s">
        <v>31</v>
      </c>
      <c r="T103" s="100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ht="15.6" customHeight="1" spans="1:44" x14ac:dyDescent="0.25">
      <c r="A104" s="3"/>
      <c r="B104" s="3"/>
      <c r="C104" s="3"/>
      <c r="D104" s="4"/>
      <c r="E104" s="5" t="s">
        <v>32</v>
      </c>
      <c r="F104" s="54" t="s">
        <v>33</v>
      </c>
      <c r="G104" s="54"/>
      <c r="H104" s="54"/>
      <c r="I104" s="100" t="s">
        <v>34</v>
      </c>
      <c r="J104" s="100"/>
      <c r="K104" s="100"/>
      <c r="L104" s="4"/>
      <c r="M104" s="4"/>
      <c r="N104" s="3"/>
      <c r="O104" s="35" t="s">
        <v>35</v>
      </c>
      <c r="P104" s="54" t="s">
        <v>30</v>
      </c>
      <c r="Q104" s="54"/>
      <c r="R104" s="54"/>
      <c r="S104" s="101" t="s">
        <v>80</v>
      </c>
      <c r="T104" s="101"/>
      <c r="U104" s="101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ht="15.6" customHeight="1" spans="1:44" x14ac:dyDescent="0.25">
      <c r="A105" s="55"/>
      <c r="B105" s="55"/>
      <c r="C105" s="55"/>
      <c r="D105" s="56"/>
      <c r="E105" s="57"/>
      <c r="F105" s="55"/>
      <c r="G105" s="55"/>
      <c r="H105" s="56"/>
      <c r="I105" s="56"/>
      <c r="J105" s="55"/>
      <c r="K105" s="55"/>
      <c r="L105" s="56"/>
      <c r="M105" s="56"/>
      <c r="N105" s="55"/>
      <c r="O105" s="55"/>
      <c r="P105" s="56"/>
      <c r="Q105" s="56"/>
      <c r="R105" s="55"/>
      <c r="S105" s="55"/>
      <c r="T105" s="55"/>
      <c r="U105" s="55"/>
      <c r="V105" s="55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ht="15.6" customHeight="1" spans="1:44" x14ac:dyDescent="0.25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4" t="str">
        <f>N86</f>
        <v>1.1</v>
      </c>
      <c r="O106" s="14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ht="15.6" customHeight="1" spans="1:44" x14ac:dyDescent="0.25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5"/>
      <c r="K107" s="15"/>
      <c r="L107" s="16"/>
      <c r="M107" s="9" t="s">
        <v>5</v>
      </c>
      <c r="N107" s="18" t="str">
        <f>N87</f>
        <v>1.1.2</v>
      </c>
      <c r="O107" s="18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ht="15.6" customHeight="1" spans="1:44" x14ac:dyDescent="0.25">
      <c r="A108" s="3"/>
      <c r="B108" s="3"/>
      <c r="C108" s="3"/>
      <c r="D108" s="4"/>
      <c r="E108" s="4" t="s">
        <v>7</v>
      </c>
      <c r="F108" s="3"/>
      <c r="G108" s="3"/>
      <c r="H108" s="8"/>
      <c r="I108" s="8"/>
      <c r="J108" s="7"/>
      <c r="K108" s="7"/>
      <c r="L108" s="8"/>
      <c r="M108" s="19" t="s">
        <v>5</v>
      </c>
      <c r="N108" s="20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ht="15.6" customHeight="1" spans="1:44" x14ac:dyDescent="0.25">
      <c r="A109" s="3"/>
      <c r="B109" s="3"/>
      <c r="C109" s="3"/>
      <c r="D109" s="4"/>
      <c r="E109" s="4" t="s">
        <v>8</v>
      </c>
      <c r="F109" s="3"/>
      <c r="G109" s="3"/>
      <c r="H109" s="4"/>
      <c r="I109" s="4"/>
      <c r="J109" s="3"/>
      <c r="K109" s="3"/>
      <c r="L109" s="16"/>
      <c r="M109" s="19" t="s">
        <v>70</v>
      </c>
      <c r="N109" s="20" t="str">
        <f>IF(N89="-"&amp;N86&amp;".3",IF(N90=15,"-"&amp;N86&amp;".4","-"&amp;N86&amp;".3"),N89)</f>
        <v>-1.1.3</v>
      </c>
      <c r="O109" s="22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ht="15.6" customHeight="1" spans="1:44" x14ac:dyDescent="0.25">
      <c r="A110" s="3"/>
      <c r="B110" s="3"/>
      <c r="C110" s="3"/>
      <c r="D110" s="4"/>
      <c r="E110" s="24" t="s">
        <v>10</v>
      </c>
      <c r="F110" s="3"/>
      <c r="G110" s="3"/>
      <c r="H110" s="4"/>
      <c r="I110" s="8"/>
      <c r="J110" s="7"/>
      <c r="K110" s="7"/>
      <c r="L110" s="8"/>
      <c r="M110" s="19" t="s">
        <v>5</v>
      </c>
      <c r="N110" s="20">
        <f>IF(N109="-"&amp;N44&amp;".3",N90+1,IF(N89="-"&amp;N44&amp;".3",1,N90+1))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ht="9" customHeight="1" spans="1:44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ht="15.6" customHeight="1" spans="1:44" x14ac:dyDescent="0.25">
      <c r="A112" s="27"/>
      <c r="B112" s="28"/>
      <c r="C112" s="28"/>
      <c r="D112" s="29"/>
      <c r="E112" s="29"/>
      <c r="F112" s="28"/>
      <c r="G112" s="28"/>
      <c r="H112" s="29"/>
      <c r="I112" s="29"/>
      <c r="J112" s="28"/>
      <c r="K112" s="28"/>
      <c r="L112" s="29"/>
      <c r="M112" s="29"/>
      <c r="N112" s="28"/>
      <c r="O112" s="28"/>
      <c r="P112" s="29"/>
      <c r="Q112" s="29"/>
      <c r="R112" s="28"/>
      <c r="S112" s="28"/>
      <c r="T112" s="28"/>
      <c r="U112" s="28"/>
      <c r="V112" s="59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ht="15.6" customHeight="1" spans="1:44" x14ac:dyDescent="0.25">
      <c r="A113" s="30"/>
      <c r="B113" s="31"/>
      <c r="C113" s="31"/>
      <c r="D113" s="32">
        <v>1</v>
      </c>
      <c r="E113" s="33"/>
      <c r="F113" s="31"/>
      <c r="G113" s="31"/>
      <c r="H113" s="32">
        <v>2</v>
      </c>
      <c r="I113" s="33"/>
      <c r="J113" s="31"/>
      <c r="K113" s="31"/>
      <c r="L113" s="32">
        <v>3</v>
      </c>
      <c r="M113" s="33"/>
      <c r="N113" s="31"/>
      <c r="O113" s="31"/>
      <c r="P113" s="32">
        <v>4</v>
      </c>
      <c r="Q113" s="33"/>
      <c r="R113" s="31"/>
      <c r="S113" s="31"/>
      <c r="T113" s="31"/>
      <c r="U113" s="31"/>
      <c r="V113" s="60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ht="15.6" customHeight="1" spans="1:44" x14ac:dyDescent="0.25">
      <c r="A114" s="30"/>
      <c r="B114" s="31" t="s">
        <v>11</v>
      </c>
      <c r="C114" s="31"/>
      <c r="D114" s="32" t="s">
        <v>12</v>
      </c>
      <c r="E114" s="33"/>
      <c r="F114" s="31" t="s">
        <v>11</v>
      </c>
      <c r="G114" s="31"/>
      <c r="H114" s="32" t="s">
        <v>12</v>
      </c>
      <c r="I114" s="33"/>
      <c r="J114" s="31" t="s">
        <v>11</v>
      </c>
      <c r="K114" s="31"/>
      <c r="L114" s="32" t="s">
        <v>12</v>
      </c>
      <c r="M114" s="33"/>
      <c r="N114" s="31" t="s">
        <v>11</v>
      </c>
      <c r="O114" s="31"/>
      <c r="P114" s="32" t="s">
        <v>12</v>
      </c>
      <c r="Q114" s="33"/>
      <c r="R114" s="31"/>
      <c r="S114" s="31"/>
      <c r="T114" s="31"/>
      <c r="U114" s="31"/>
      <c r="V114" s="65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ht="15.6" customHeight="1" spans="1:44" x14ac:dyDescent="0.25">
      <c r="A115" s="30"/>
      <c r="B115" s="35"/>
      <c r="C115" s="35"/>
      <c r="D115" s="5"/>
      <c r="E115" s="5"/>
      <c r="F115" s="35"/>
      <c r="G115" s="35"/>
      <c r="H115" s="5"/>
      <c r="I115" s="5"/>
      <c r="J115" s="35"/>
      <c r="K115" s="35"/>
      <c r="L115" s="5"/>
      <c r="M115" s="5"/>
      <c r="N115" s="35"/>
      <c r="O115" s="35"/>
      <c r="P115" s="5"/>
      <c r="Q115" s="5"/>
      <c r="R115" s="35"/>
      <c r="S115" s="35"/>
      <c r="T115" s="35"/>
      <c r="U115" s="35"/>
      <c r="V115" s="65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ht="15.6" customHeight="1" spans="1:44" x14ac:dyDescent="0.25">
      <c r="A116" s="30"/>
      <c r="B116" s="31">
        <v>0</v>
      </c>
      <c r="C116" s="31"/>
      <c r="D116" s="37">
        <v>1</v>
      </c>
      <c r="E116" s="37"/>
      <c r="F116" s="31">
        <v>2</v>
      </c>
      <c r="G116" s="31"/>
      <c r="H116" s="37">
        <v>3</v>
      </c>
      <c r="I116" s="37"/>
      <c r="J116" s="31">
        <v>4</v>
      </c>
      <c r="K116" s="31"/>
      <c r="L116" s="37">
        <v>5</v>
      </c>
      <c r="M116" s="37"/>
      <c r="N116" s="31">
        <v>6</v>
      </c>
      <c r="O116" s="31"/>
      <c r="P116" s="37">
        <v>7</v>
      </c>
      <c r="Q116" s="37"/>
      <c r="R116" s="31">
        <v>8</v>
      </c>
      <c r="S116" s="31"/>
      <c r="T116" s="31">
        <v>9</v>
      </c>
      <c r="U116" s="31"/>
      <c r="V116" s="67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ht="15.6" customHeight="1" spans="1:44" x14ac:dyDescent="0.25">
      <c r="A117" s="30"/>
      <c r="B117" s="31" t="s">
        <v>13</v>
      </c>
      <c r="C117" s="31" t="s">
        <v>14</v>
      </c>
      <c r="D117" s="37" t="s">
        <v>15</v>
      </c>
      <c r="E117" s="37" t="s">
        <v>16</v>
      </c>
      <c r="F117" s="31" t="s">
        <v>13</v>
      </c>
      <c r="G117" s="31" t="s">
        <v>14</v>
      </c>
      <c r="H117" s="37" t="s">
        <v>15</v>
      </c>
      <c r="I117" s="37" t="s">
        <v>16</v>
      </c>
      <c r="J117" s="31" t="s">
        <v>13</v>
      </c>
      <c r="K117" s="31" t="s">
        <v>14</v>
      </c>
      <c r="L117" s="37" t="s">
        <v>15</v>
      </c>
      <c r="M117" s="37" t="s">
        <v>16</v>
      </c>
      <c r="N117" s="31" t="s">
        <v>13</v>
      </c>
      <c r="O117" s="31" t="s">
        <v>14</v>
      </c>
      <c r="P117" s="37" t="s">
        <v>15</v>
      </c>
      <c r="Q117" s="37" t="s">
        <v>16</v>
      </c>
      <c r="R117" s="31" t="s">
        <v>13</v>
      </c>
      <c r="S117" s="31" t="s">
        <v>14</v>
      </c>
      <c r="T117" s="31" t="s">
        <v>15</v>
      </c>
      <c r="U117" s="31" t="s">
        <v>16</v>
      </c>
      <c r="V117" s="67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ht="15.6" customHeight="1" spans="1:44" x14ac:dyDescent="0.25">
      <c r="A118" s="39"/>
      <c r="B118" s="40"/>
      <c r="C118" s="40"/>
      <c r="D118" s="41"/>
      <c r="E118" s="42"/>
      <c r="F118" s="40"/>
      <c r="G118" s="40"/>
      <c r="H118" s="41"/>
      <c r="I118" s="42"/>
      <c r="J118" s="40"/>
      <c r="K118" s="40"/>
      <c r="L118" s="41"/>
      <c r="M118" s="42"/>
      <c r="N118" s="40"/>
      <c r="O118" s="40"/>
      <c r="P118" s="41"/>
      <c r="Q118" s="42"/>
      <c r="R118" s="40"/>
      <c r="S118" s="40"/>
      <c r="T118" s="40"/>
      <c r="U118" s="40"/>
      <c r="V118" s="68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ht="9" customHeight="1" spans="1:44" x14ac:dyDescent="0.25">
      <c r="A119" s="3"/>
      <c r="B119" s="35"/>
      <c r="C119" s="35"/>
      <c r="D119" s="72"/>
      <c r="E119" s="5"/>
      <c r="F119" s="35"/>
      <c r="G119" s="35"/>
      <c r="H119" s="72"/>
      <c r="I119" s="5"/>
      <c r="J119" s="35"/>
      <c r="K119" s="35"/>
      <c r="L119" s="72"/>
      <c r="M119" s="5"/>
      <c r="N119" s="35"/>
      <c r="O119" s="35"/>
      <c r="P119" s="72"/>
      <c r="Q119" s="5"/>
      <c r="R119" s="35"/>
      <c r="S119" s="35"/>
      <c r="T119" s="35"/>
      <c r="U119" s="35"/>
      <c r="V119" s="38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ht="15.6" customHeight="1" spans="1:44" x14ac:dyDescent="0.25">
      <c r="A120" s="3"/>
      <c r="B120" s="76"/>
      <c r="C120" s="77"/>
      <c r="D120" s="78"/>
      <c r="E120" s="79"/>
      <c r="F120" s="76"/>
      <c r="G120" s="77"/>
      <c r="H120" s="78"/>
      <c r="I120" s="79"/>
      <c r="J120" s="76"/>
      <c r="K120" s="77"/>
      <c r="L120" s="78"/>
      <c r="M120" s="79"/>
      <c r="N120" s="76"/>
      <c r="O120" s="77"/>
      <c r="P120" s="78"/>
      <c r="Q120" s="79"/>
      <c r="R120" s="35"/>
      <c r="S120" s="35"/>
      <c r="T120" s="35"/>
      <c r="U120" s="35"/>
      <c r="V120" s="38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ht="15.6" customHeight="1" spans="1:44" x14ac:dyDescent="0.25">
      <c r="A121" s="3"/>
      <c r="B121" s="50">
        <f>IF(D120&lt;1,"","пом.")</f>
      </c>
      <c r="C121" s="50"/>
      <c r="D121" s="52"/>
      <c r="E121" s="53"/>
      <c r="F121" s="50">
        <f>IF(H120&lt;1,"","пом.")</f>
      </c>
      <c r="G121" s="50"/>
      <c r="H121" s="52"/>
      <c r="I121" s="53"/>
      <c r="J121" s="50">
        <f>IF(L120&lt;1,"","пом.")</f>
      </c>
      <c r="K121" s="50"/>
      <c r="L121" s="52"/>
      <c r="M121" s="53"/>
      <c r="N121" s="50">
        <f>IF(P120&lt;1,"","пом.")</f>
      </c>
      <c r="O121" s="50"/>
      <c r="P121" s="52"/>
      <c r="Q121" s="53"/>
      <c r="R121" s="35"/>
      <c r="S121" s="35"/>
      <c r="T121" s="35"/>
      <c r="U121" s="35"/>
      <c r="V121" s="38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ht="7.15" customHeight="1" spans="1:44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ht="15.6" customHeight="1" spans="1:44" x14ac:dyDescent="0.25">
      <c r="A123" s="3"/>
      <c r="B123" s="3"/>
      <c r="C123" s="3"/>
      <c r="D123" s="4"/>
      <c r="E123" s="5" t="s">
        <v>26</v>
      </c>
      <c r="F123" s="54" t="s">
        <v>27</v>
      </c>
      <c r="G123" s="54"/>
      <c r="H123" s="54"/>
      <c r="I123" s="100" t="s">
        <v>28</v>
      </c>
      <c r="J123" s="100"/>
      <c r="K123" s="100"/>
      <c r="L123" s="4"/>
      <c r="M123" s="4"/>
      <c r="N123" s="3"/>
      <c r="O123" s="35" t="s">
        <v>29</v>
      </c>
      <c r="P123" s="54" t="s">
        <v>30</v>
      </c>
      <c r="Q123" s="54"/>
      <c r="R123" s="54"/>
      <c r="S123" s="100" t="s">
        <v>31</v>
      </c>
      <c r="T123" s="100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ht="15.6" customHeight="1" spans="1:44" x14ac:dyDescent="0.25">
      <c r="A124" s="3"/>
      <c r="B124" s="3"/>
      <c r="C124" s="3"/>
      <c r="D124" s="4"/>
      <c r="E124" s="5" t="s">
        <v>32</v>
      </c>
      <c r="F124" s="54" t="s">
        <v>33</v>
      </c>
      <c r="G124" s="54"/>
      <c r="H124" s="54"/>
      <c r="I124" s="100" t="s">
        <v>34</v>
      </c>
      <c r="J124" s="100"/>
      <c r="K124" s="100"/>
      <c r="L124" s="4"/>
      <c r="M124" s="4"/>
      <c r="N124" s="3"/>
      <c r="O124" s="35" t="s">
        <v>35</v>
      </c>
      <c r="P124" s="54" t="s">
        <v>30</v>
      </c>
      <c r="Q124" s="54"/>
      <c r="R124" s="54"/>
      <c r="S124" s="101" t="s">
        <v>80</v>
      </c>
      <c r="T124" s="101"/>
      <c r="U124" s="101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ht="15.6" customHeight="1" spans="1:44" x14ac:dyDescent="0.25">
      <c r="A125" s="55"/>
      <c r="B125" s="55"/>
      <c r="C125" s="55"/>
      <c r="D125" s="56"/>
      <c r="E125" s="57"/>
      <c r="F125" s="55"/>
      <c r="G125" s="55"/>
      <c r="H125" s="56"/>
      <c r="I125" s="56"/>
      <c r="J125" s="55"/>
      <c r="K125" s="55"/>
      <c r="L125" s="56"/>
      <c r="M125" s="56"/>
      <c r="N125" s="55"/>
      <c r="O125" s="55"/>
      <c r="P125" s="56"/>
      <c r="Q125" s="56"/>
      <c r="R125" s="55"/>
      <c r="S125" s="55"/>
      <c r="T125" s="55"/>
      <c r="U125" s="55"/>
      <c r="V125" s="55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ht="15.6" customHeight="1" spans="1:44" x14ac:dyDescent="0.25">
      <c r="A126" s="55"/>
      <c r="B126" s="55"/>
      <c r="C126" s="55"/>
      <c r="D126" s="56"/>
      <c r="E126" s="57"/>
      <c r="F126" s="55"/>
      <c r="G126" s="55"/>
      <c r="H126" s="56"/>
      <c r="I126" s="56"/>
      <c r="J126" s="55"/>
      <c r="K126" s="55"/>
      <c r="L126" s="56"/>
      <c r="M126" s="56"/>
      <c r="N126" s="55"/>
      <c r="O126" s="55"/>
      <c r="P126" s="56"/>
      <c r="Q126" s="56"/>
      <c r="R126" s="55"/>
      <c r="S126" s="55"/>
      <c r="T126" s="55"/>
      <c r="U126" s="55"/>
      <c r="V126" s="55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ht="15.6" customHeight="1" hidden="1" spans="1:44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ht="15.6" customHeight="1" spans="1:44" x14ac:dyDescent="0.25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4" t="str">
        <f>N106</f>
        <v>1.1</v>
      </c>
      <c r="O128" s="14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ht="15.6" customHeight="1" spans="1:44" x14ac:dyDescent="0.25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5"/>
      <c r="K129" s="15"/>
      <c r="L129" s="16"/>
      <c r="M129" s="9" t="s">
        <v>5</v>
      </c>
      <c r="N129" s="18" t="str">
        <f>N128&amp;".2"</f>
        <v>1.1.2</v>
      </c>
      <c r="O129" s="18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ht="15.6" customHeight="1" spans="1:44" x14ac:dyDescent="0.25">
      <c r="A130" s="3"/>
      <c r="B130" s="3"/>
      <c r="C130" s="3"/>
      <c r="D130" s="4"/>
      <c r="E130" s="4" t="s">
        <v>7</v>
      </c>
      <c r="F130" s="3"/>
      <c r="G130" s="3"/>
      <c r="H130" s="8"/>
      <c r="I130" s="8"/>
      <c r="J130" s="7"/>
      <c r="K130" s="7"/>
      <c r="L130" s="8"/>
      <c r="M130" s="19" t="s">
        <v>5</v>
      </c>
      <c r="N130" s="20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ht="15.6" customHeight="1" spans="1:44" x14ac:dyDescent="0.25">
      <c r="A131" s="3"/>
      <c r="B131" s="3"/>
      <c r="C131" s="3"/>
      <c r="D131" s="4"/>
      <c r="E131" s="4" t="s">
        <v>8</v>
      </c>
      <c r="F131" s="3"/>
      <c r="G131" s="3"/>
      <c r="H131" s="4"/>
      <c r="I131" s="4"/>
      <c r="J131" s="3"/>
      <c r="K131" s="3"/>
      <c r="L131" s="16"/>
      <c r="M131" s="19" t="s">
        <v>70</v>
      </c>
      <c r="N131" s="20" t="str">
        <f>IF(N109="-"&amp;N86&amp;".3",IF(N110=15,"-"&amp;N86&amp;".4","-"&amp;N86&amp;".3"),N109)</f>
        <v>-1.1.3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ht="15.6" customHeight="1" spans="1:44" x14ac:dyDescent="0.25">
      <c r="A132" s="3"/>
      <c r="B132" s="3"/>
      <c r="C132" s="3"/>
      <c r="D132" s="4"/>
      <c r="E132" s="24" t="s">
        <v>10</v>
      </c>
      <c r="F132" s="3"/>
      <c r="G132" s="3"/>
      <c r="H132" s="4"/>
      <c r="I132" s="8"/>
      <c r="J132" s="7"/>
      <c r="K132" s="7"/>
      <c r="L132" s="8"/>
      <c r="M132" s="19" t="s">
        <v>5</v>
      </c>
      <c r="N132" s="20">
        <f>IF(N131="-"&amp;N86&amp;".3",N110+1,IF(N109="-"&amp;N86&amp;".3",1,N110+1))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ht="15.6" customHeight="1" spans="1:44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ht="15.6" customHeight="1" spans="1:44" x14ac:dyDescent="0.25">
      <c r="A134" s="27"/>
      <c r="B134" s="28"/>
      <c r="C134" s="28"/>
      <c r="D134" s="29"/>
      <c r="E134" s="29"/>
      <c r="F134" s="28"/>
      <c r="G134" s="28"/>
      <c r="H134" s="29"/>
      <c r="I134" s="29"/>
      <c r="J134" s="28"/>
      <c r="K134" s="28"/>
      <c r="L134" s="29"/>
      <c r="M134" s="29"/>
      <c r="N134" s="28"/>
      <c r="O134" s="28"/>
      <c r="P134" s="29"/>
      <c r="Q134" s="29"/>
      <c r="R134" s="28"/>
      <c r="S134" s="28"/>
      <c r="T134" s="28"/>
      <c r="U134" s="28"/>
      <c r="V134" s="59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ht="15.6" customHeight="1" spans="1:44" x14ac:dyDescent="0.25">
      <c r="A135" s="30"/>
      <c r="B135" s="31"/>
      <c r="C135" s="31"/>
      <c r="D135" s="32">
        <v>1</v>
      </c>
      <c r="E135" s="33"/>
      <c r="F135" s="31"/>
      <c r="G135" s="31"/>
      <c r="H135" s="32">
        <v>2</v>
      </c>
      <c r="I135" s="33"/>
      <c r="J135" s="31"/>
      <c r="K135" s="31"/>
      <c r="L135" s="32">
        <v>3</v>
      </c>
      <c r="M135" s="33"/>
      <c r="N135" s="31"/>
      <c r="O135" s="31"/>
      <c r="P135" s="32">
        <v>4</v>
      </c>
      <c r="Q135" s="33"/>
      <c r="R135" s="31"/>
      <c r="S135" s="31"/>
      <c r="T135" s="31"/>
      <c r="U135" s="31"/>
      <c r="V135" s="60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ht="15.6" customHeight="1" spans="1:44" x14ac:dyDescent="0.25">
      <c r="A136" s="30"/>
      <c r="B136" s="31" t="s">
        <v>11</v>
      </c>
      <c r="C136" s="31"/>
      <c r="D136" s="32" t="s">
        <v>12</v>
      </c>
      <c r="E136" s="33"/>
      <c r="F136" s="31" t="s">
        <v>11</v>
      </c>
      <c r="G136" s="31"/>
      <c r="H136" s="32" t="s">
        <v>12</v>
      </c>
      <c r="I136" s="33"/>
      <c r="J136" s="31" t="s">
        <v>11</v>
      </c>
      <c r="K136" s="31"/>
      <c r="L136" s="32" t="s">
        <v>12</v>
      </c>
      <c r="M136" s="33"/>
      <c r="N136" s="31" t="s">
        <v>11</v>
      </c>
      <c r="O136" s="31"/>
      <c r="P136" s="32" t="s">
        <v>12</v>
      </c>
      <c r="Q136" s="33"/>
      <c r="R136" s="31"/>
      <c r="S136" s="31"/>
      <c r="T136" s="31"/>
      <c r="U136" s="31"/>
      <c r="V136" s="65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ht="15.6" customHeight="1" spans="1:44" x14ac:dyDescent="0.25">
      <c r="A137" s="30"/>
      <c r="B137" s="35"/>
      <c r="C137" s="35"/>
      <c r="D137" s="5"/>
      <c r="E137" s="5"/>
      <c r="F137" s="35"/>
      <c r="G137" s="35"/>
      <c r="H137" s="5"/>
      <c r="I137" s="5"/>
      <c r="J137" s="35"/>
      <c r="K137" s="35"/>
      <c r="L137" s="5"/>
      <c r="M137" s="5"/>
      <c r="N137" s="35"/>
      <c r="O137" s="35"/>
      <c r="P137" s="5"/>
      <c r="Q137" s="5"/>
      <c r="R137" s="35"/>
      <c r="S137" s="35"/>
      <c r="T137" s="35"/>
      <c r="U137" s="35"/>
      <c r="V137" s="65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ht="15.6" customHeight="1" spans="1:44" x14ac:dyDescent="0.25">
      <c r="A138" s="30"/>
      <c r="B138" s="31">
        <v>0</v>
      </c>
      <c r="C138" s="31"/>
      <c r="D138" s="37">
        <v>1</v>
      </c>
      <c r="E138" s="37"/>
      <c r="F138" s="31">
        <v>2</v>
      </c>
      <c r="G138" s="31"/>
      <c r="H138" s="37">
        <v>3</v>
      </c>
      <c r="I138" s="37"/>
      <c r="J138" s="31">
        <v>4</v>
      </c>
      <c r="K138" s="31"/>
      <c r="L138" s="37">
        <v>5</v>
      </c>
      <c r="M138" s="37"/>
      <c r="N138" s="31">
        <v>6</v>
      </c>
      <c r="O138" s="31"/>
      <c r="P138" s="37">
        <v>7</v>
      </c>
      <c r="Q138" s="37"/>
      <c r="R138" s="31">
        <v>8</v>
      </c>
      <c r="S138" s="31"/>
      <c r="T138" s="31">
        <v>9</v>
      </c>
      <c r="U138" s="31"/>
      <c r="V138" s="67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ht="15.6" customHeight="1" spans="1:44" x14ac:dyDescent="0.25">
      <c r="A139" s="30"/>
      <c r="B139" s="31" t="s">
        <v>13</v>
      </c>
      <c r="C139" s="31" t="s">
        <v>14</v>
      </c>
      <c r="D139" s="37" t="s">
        <v>15</v>
      </c>
      <c r="E139" s="37" t="s">
        <v>16</v>
      </c>
      <c r="F139" s="31" t="s">
        <v>13</v>
      </c>
      <c r="G139" s="31" t="s">
        <v>14</v>
      </c>
      <c r="H139" s="37" t="s">
        <v>15</v>
      </c>
      <c r="I139" s="37" t="s">
        <v>16</v>
      </c>
      <c r="J139" s="31" t="s">
        <v>13</v>
      </c>
      <c r="K139" s="31" t="s">
        <v>14</v>
      </c>
      <c r="L139" s="37" t="s">
        <v>15</v>
      </c>
      <c r="M139" s="37" t="s">
        <v>16</v>
      </c>
      <c r="N139" s="31" t="s">
        <v>13</v>
      </c>
      <c r="O139" s="31" t="s">
        <v>14</v>
      </c>
      <c r="P139" s="37" t="s">
        <v>15</v>
      </c>
      <c r="Q139" s="37" t="s">
        <v>16</v>
      </c>
      <c r="R139" s="31" t="s">
        <v>13</v>
      </c>
      <c r="S139" s="31" t="s">
        <v>14</v>
      </c>
      <c r="T139" s="31" t="s">
        <v>15</v>
      </c>
      <c r="U139" s="31" t="s">
        <v>16</v>
      </c>
      <c r="V139" s="67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ht="15.6" customHeight="1" spans="1:44" x14ac:dyDescent="0.25">
      <c r="A140" s="39"/>
      <c r="B140" s="40"/>
      <c r="C140" s="40"/>
      <c r="D140" s="41"/>
      <c r="E140" s="42"/>
      <c r="F140" s="40"/>
      <c r="G140" s="40"/>
      <c r="H140" s="41"/>
      <c r="I140" s="42"/>
      <c r="J140" s="40"/>
      <c r="K140" s="40"/>
      <c r="L140" s="41"/>
      <c r="M140" s="42"/>
      <c r="N140" s="40"/>
      <c r="O140" s="40"/>
      <c r="P140" s="41"/>
      <c r="Q140" s="42"/>
      <c r="R140" s="40"/>
      <c r="S140" s="40"/>
      <c r="T140" s="40"/>
      <c r="U140" s="40"/>
      <c r="V140" s="68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ht="15.6" customHeight="1" spans="1:44" x14ac:dyDescent="0.25">
      <c r="A141" s="3"/>
      <c r="B141" s="35"/>
      <c r="C141" s="35"/>
      <c r="D141" s="72"/>
      <c r="E141" s="5"/>
      <c r="F141" s="35"/>
      <c r="G141" s="35"/>
      <c r="H141" s="72"/>
      <c r="I141" s="5"/>
      <c r="J141" s="35"/>
      <c r="K141" s="35"/>
      <c r="L141" s="72"/>
      <c r="M141" s="5"/>
      <c r="N141" s="35"/>
      <c r="O141" s="35"/>
      <c r="P141" s="72"/>
      <c r="Q141" s="5"/>
      <c r="R141" s="35"/>
      <c r="S141" s="35"/>
      <c r="T141" s="35"/>
      <c r="U141" s="35"/>
      <c r="V141" s="38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ht="15.6" customHeight="1" spans="1:44" x14ac:dyDescent="0.25">
      <c r="A142" s="3"/>
      <c r="B142" s="76"/>
      <c r="C142" s="77"/>
      <c r="D142" s="78"/>
      <c r="E142" s="79"/>
      <c r="F142" s="76"/>
      <c r="G142" s="77"/>
      <c r="H142" s="78"/>
      <c r="I142" s="79"/>
      <c r="J142" s="76"/>
      <c r="K142" s="77"/>
      <c r="L142" s="78"/>
      <c r="M142" s="79"/>
      <c r="N142" s="76"/>
      <c r="O142" s="77"/>
      <c r="P142" s="78"/>
      <c r="Q142" s="79"/>
      <c r="R142" s="35"/>
      <c r="S142" s="35"/>
      <c r="T142" s="35"/>
      <c r="U142" s="35"/>
      <c r="V142" s="38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ht="15.6" customHeight="1" spans="1:44" x14ac:dyDescent="0.25">
      <c r="A143" s="3"/>
      <c r="B143" s="50">
        <f>IF(D142&lt;1,"","пом.")</f>
      </c>
      <c r="C143" s="50"/>
      <c r="D143" s="52"/>
      <c r="E143" s="53"/>
      <c r="F143" s="50">
        <f>IF(H142&lt;1,"","пом.")</f>
      </c>
      <c r="G143" s="50"/>
      <c r="H143" s="52"/>
      <c r="I143" s="53"/>
      <c r="J143" s="50">
        <f>IF(L142&lt;1,"","пом.")</f>
      </c>
      <c r="K143" s="50"/>
      <c r="L143" s="52"/>
      <c r="M143" s="53"/>
      <c r="N143" s="50">
        <f>IF(P142&lt;1,"","пом.")</f>
      </c>
      <c r="O143" s="50"/>
      <c r="P143" s="52"/>
      <c r="Q143" s="53"/>
      <c r="R143" s="35"/>
      <c r="S143" s="35"/>
      <c r="T143" s="35"/>
      <c r="U143" s="35"/>
      <c r="V143" s="38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ht="15.6" customHeight="1" spans="1:44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ht="15.6" customHeight="1" spans="1:44" x14ac:dyDescent="0.25">
      <c r="A145" s="3"/>
      <c r="B145" s="3"/>
      <c r="C145" s="3"/>
      <c r="D145" s="4"/>
      <c r="E145" s="5" t="s">
        <v>26</v>
      </c>
      <c r="F145" s="54" t="s">
        <v>27</v>
      </c>
      <c r="G145" s="54"/>
      <c r="H145" s="54"/>
      <c r="I145" s="100" t="s">
        <v>28</v>
      </c>
      <c r="J145" s="100"/>
      <c r="K145" s="100"/>
      <c r="L145" s="4"/>
      <c r="M145" s="4"/>
      <c r="N145" s="3"/>
      <c r="O145" s="35" t="s">
        <v>29</v>
      </c>
      <c r="P145" s="54" t="s">
        <v>30</v>
      </c>
      <c r="Q145" s="54"/>
      <c r="R145" s="54"/>
      <c r="S145" s="100" t="s">
        <v>31</v>
      </c>
      <c r="T145" s="100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ht="15.6" customHeight="1" spans="1:44" x14ac:dyDescent="0.25">
      <c r="A146" s="3"/>
      <c r="B146" s="3"/>
      <c r="C146" s="3"/>
      <c r="D146" s="4"/>
      <c r="E146" s="5" t="s">
        <v>32</v>
      </c>
      <c r="F146" s="54" t="s">
        <v>33</v>
      </c>
      <c r="G146" s="54"/>
      <c r="H146" s="54"/>
      <c r="I146" s="100" t="s">
        <v>34</v>
      </c>
      <c r="J146" s="100"/>
      <c r="K146" s="100"/>
      <c r="L146" s="4"/>
      <c r="M146" s="4"/>
      <c r="N146" s="3"/>
      <c r="O146" s="35" t="s">
        <v>35</v>
      </c>
      <c r="P146" s="54" t="s">
        <v>30</v>
      </c>
      <c r="Q146" s="54"/>
      <c r="R146" s="54"/>
      <c r="S146" s="101" t="s">
        <v>80</v>
      </c>
      <c r="T146" s="101"/>
      <c r="U146" s="101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ht="15.6" customHeight="1" spans="1:44" x14ac:dyDescent="0.25">
      <c r="A147" s="55"/>
      <c r="B147" s="55"/>
      <c r="C147" s="55"/>
      <c r="D147" s="56"/>
      <c r="E147" s="57"/>
      <c r="F147" s="55"/>
      <c r="G147" s="55"/>
      <c r="H147" s="56"/>
      <c r="I147" s="56"/>
      <c r="J147" s="55"/>
      <c r="K147" s="55"/>
      <c r="L147" s="56"/>
      <c r="M147" s="56"/>
      <c r="N147" s="55"/>
      <c r="O147" s="55"/>
      <c r="P147" s="56"/>
      <c r="Q147" s="56"/>
      <c r="R147" s="55"/>
      <c r="S147" s="55"/>
      <c r="T147" s="55"/>
      <c r="U147" s="55"/>
      <c r="V147" s="55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ht="15.6" customHeight="1" spans="1:44" x14ac:dyDescent="0.25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4" t="str">
        <f>N128</f>
        <v>1.1</v>
      </c>
      <c r="O148" s="14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ht="15.6" customHeight="1" spans="1:44" x14ac:dyDescent="0.25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5"/>
      <c r="K149" s="15"/>
      <c r="L149" s="16"/>
      <c r="M149" s="9" t="s">
        <v>5</v>
      </c>
      <c r="N149" s="18" t="str">
        <f>N129</f>
        <v>1.1.2</v>
      </c>
      <c r="O149" s="18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ht="15.6" customHeight="1" spans="1:44" x14ac:dyDescent="0.25">
      <c r="A150" s="3"/>
      <c r="B150" s="3"/>
      <c r="C150" s="3"/>
      <c r="D150" s="4"/>
      <c r="E150" s="4" t="s">
        <v>7</v>
      </c>
      <c r="F150" s="3"/>
      <c r="G150" s="3"/>
      <c r="H150" s="8"/>
      <c r="I150" s="8"/>
      <c r="J150" s="7"/>
      <c r="K150" s="7"/>
      <c r="L150" s="8"/>
      <c r="M150" s="19" t="s">
        <v>5</v>
      </c>
      <c r="N150" s="20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ht="15.6" customHeight="1" spans="1:44" x14ac:dyDescent="0.25">
      <c r="A151" s="3"/>
      <c r="B151" s="3"/>
      <c r="C151" s="3"/>
      <c r="D151" s="4"/>
      <c r="E151" s="4" t="s">
        <v>8</v>
      </c>
      <c r="F151" s="3"/>
      <c r="G151" s="3"/>
      <c r="H151" s="4"/>
      <c r="I151" s="4"/>
      <c r="J151" s="3"/>
      <c r="K151" s="3"/>
      <c r="L151" s="16"/>
      <c r="M151" s="19" t="s">
        <v>70</v>
      </c>
      <c r="N151" s="20" t="str">
        <f>IF(N131="-"&amp;N128&amp;".3",IF(N132=15,"-"&amp;N128&amp;".4","-"&amp;N128&amp;".3"),N131)</f>
        <v>-1.1.3</v>
      </c>
      <c r="O151" s="22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ht="15.6" customHeight="1" spans="1:44" x14ac:dyDescent="0.25">
      <c r="A152" s="3"/>
      <c r="B152" s="3"/>
      <c r="C152" s="3"/>
      <c r="D152" s="4"/>
      <c r="E152" s="24" t="s">
        <v>10</v>
      </c>
      <c r="F152" s="3"/>
      <c r="G152" s="3"/>
      <c r="H152" s="4"/>
      <c r="I152" s="8"/>
      <c r="J152" s="7"/>
      <c r="K152" s="7"/>
      <c r="L152" s="8"/>
      <c r="M152" s="19" t="s">
        <v>5</v>
      </c>
      <c r="N152" s="20">
        <f>IF(N151="-"&amp;N86&amp;".3",N132+1,IF(N131="-"&amp;N86&amp;".3",1,N132+1))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ht="7.9" customHeight="1" spans="1:44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ht="15.6" customHeight="1" spans="1:44" x14ac:dyDescent="0.25">
      <c r="A154" s="27"/>
      <c r="B154" s="28"/>
      <c r="C154" s="28"/>
      <c r="D154" s="29"/>
      <c r="E154" s="29"/>
      <c r="F154" s="28"/>
      <c r="G154" s="28"/>
      <c r="H154" s="29"/>
      <c r="I154" s="29"/>
      <c r="J154" s="28"/>
      <c r="K154" s="28"/>
      <c r="L154" s="29"/>
      <c r="M154" s="29"/>
      <c r="N154" s="28"/>
      <c r="O154" s="28"/>
      <c r="P154" s="29"/>
      <c r="Q154" s="29"/>
      <c r="R154" s="28"/>
      <c r="S154" s="28"/>
      <c r="T154" s="28"/>
      <c r="U154" s="28"/>
      <c r="V154" s="59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ht="15.6" customHeight="1" spans="1:44" x14ac:dyDescent="0.25">
      <c r="A155" s="30"/>
      <c r="B155" s="31"/>
      <c r="C155" s="31"/>
      <c r="D155" s="32">
        <v>1</v>
      </c>
      <c r="E155" s="33"/>
      <c r="F155" s="31"/>
      <c r="G155" s="31"/>
      <c r="H155" s="32">
        <v>2</v>
      </c>
      <c r="I155" s="33"/>
      <c r="J155" s="31"/>
      <c r="K155" s="31"/>
      <c r="L155" s="32">
        <v>3</v>
      </c>
      <c r="M155" s="33"/>
      <c r="N155" s="31"/>
      <c r="O155" s="31"/>
      <c r="P155" s="32">
        <v>4</v>
      </c>
      <c r="Q155" s="33"/>
      <c r="R155" s="31"/>
      <c r="S155" s="31"/>
      <c r="T155" s="31"/>
      <c r="U155" s="31"/>
      <c r="V155" s="60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ht="15.6" customHeight="1" spans="1:44" x14ac:dyDescent="0.25">
      <c r="A156" s="30"/>
      <c r="B156" s="31" t="s">
        <v>11</v>
      </c>
      <c r="C156" s="31"/>
      <c r="D156" s="32" t="s">
        <v>12</v>
      </c>
      <c r="E156" s="33"/>
      <c r="F156" s="31" t="s">
        <v>11</v>
      </c>
      <c r="G156" s="31"/>
      <c r="H156" s="32" t="s">
        <v>12</v>
      </c>
      <c r="I156" s="33"/>
      <c r="J156" s="31" t="s">
        <v>11</v>
      </c>
      <c r="K156" s="31"/>
      <c r="L156" s="32" t="s">
        <v>12</v>
      </c>
      <c r="M156" s="33"/>
      <c r="N156" s="31" t="s">
        <v>11</v>
      </c>
      <c r="O156" s="31"/>
      <c r="P156" s="32" t="s">
        <v>12</v>
      </c>
      <c r="Q156" s="33"/>
      <c r="R156" s="31"/>
      <c r="S156" s="31"/>
      <c r="T156" s="31"/>
      <c r="U156" s="31"/>
      <c r="V156" s="65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ht="15.6" customHeight="1" spans="1:44" x14ac:dyDescent="0.25">
      <c r="A157" s="30"/>
      <c r="B157" s="35"/>
      <c r="C157" s="35"/>
      <c r="D157" s="5"/>
      <c r="E157" s="5"/>
      <c r="F157" s="35"/>
      <c r="G157" s="35"/>
      <c r="H157" s="5"/>
      <c r="I157" s="5"/>
      <c r="J157" s="35"/>
      <c r="K157" s="35"/>
      <c r="L157" s="5"/>
      <c r="M157" s="5"/>
      <c r="N157" s="35"/>
      <c r="O157" s="35"/>
      <c r="P157" s="5"/>
      <c r="Q157" s="5"/>
      <c r="R157" s="35"/>
      <c r="S157" s="35"/>
      <c r="T157" s="35"/>
      <c r="U157" s="35"/>
      <c r="V157" s="65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ht="15.6" customHeight="1" spans="1:44" x14ac:dyDescent="0.25">
      <c r="A158" s="30"/>
      <c r="B158" s="31">
        <v>0</v>
      </c>
      <c r="C158" s="31"/>
      <c r="D158" s="37">
        <v>1</v>
      </c>
      <c r="E158" s="37"/>
      <c r="F158" s="31">
        <v>2</v>
      </c>
      <c r="G158" s="31"/>
      <c r="H158" s="37">
        <v>3</v>
      </c>
      <c r="I158" s="37"/>
      <c r="J158" s="31">
        <v>4</v>
      </c>
      <c r="K158" s="31"/>
      <c r="L158" s="37">
        <v>5</v>
      </c>
      <c r="M158" s="37"/>
      <c r="N158" s="31">
        <v>6</v>
      </c>
      <c r="O158" s="31"/>
      <c r="P158" s="37">
        <v>7</v>
      </c>
      <c r="Q158" s="37"/>
      <c r="R158" s="31">
        <v>8</v>
      </c>
      <c r="S158" s="31"/>
      <c r="T158" s="31">
        <v>9</v>
      </c>
      <c r="U158" s="31"/>
      <c r="V158" s="67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ht="15.6" customHeight="1" spans="1:44" x14ac:dyDescent="0.25">
      <c r="A159" s="30"/>
      <c r="B159" s="31" t="s">
        <v>13</v>
      </c>
      <c r="C159" s="31" t="s">
        <v>14</v>
      </c>
      <c r="D159" s="37" t="s">
        <v>15</v>
      </c>
      <c r="E159" s="37" t="s">
        <v>16</v>
      </c>
      <c r="F159" s="31" t="s">
        <v>13</v>
      </c>
      <c r="G159" s="31" t="s">
        <v>14</v>
      </c>
      <c r="H159" s="37" t="s">
        <v>15</v>
      </c>
      <c r="I159" s="37" t="s">
        <v>16</v>
      </c>
      <c r="J159" s="31" t="s">
        <v>13</v>
      </c>
      <c r="K159" s="31" t="s">
        <v>14</v>
      </c>
      <c r="L159" s="37" t="s">
        <v>15</v>
      </c>
      <c r="M159" s="37" t="s">
        <v>16</v>
      </c>
      <c r="N159" s="31" t="s">
        <v>13</v>
      </c>
      <c r="O159" s="31" t="s">
        <v>14</v>
      </c>
      <c r="P159" s="37" t="s">
        <v>15</v>
      </c>
      <c r="Q159" s="37" t="s">
        <v>16</v>
      </c>
      <c r="R159" s="31" t="s">
        <v>13</v>
      </c>
      <c r="S159" s="31" t="s">
        <v>14</v>
      </c>
      <c r="T159" s="31" t="s">
        <v>15</v>
      </c>
      <c r="U159" s="31" t="s">
        <v>16</v>
      </c>
      <c r="V159" s="67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ht="15.6" customHeight="1" spans="1:44" x14ac:dyDescent="0.25">
      <c r="A160" s="39"/>
      <c r="B160" s="40"/>
      <c r="C160" s="40"/>
      <c r="D160" s="41"/>
      <c r="E160" s="42"/>
      <c r="F160" s="40"/>
      <c r="G160" s="40"/>
      <c r="H160" s="41"/>
      <c r="I160" s="42"/>
      <c r="J160" s="40"/>
      <c r="K160" s="40"/>
      <c r="L160" s="41"/>
      <c r="M160" s="42"/>
      <c r="N160" s="40"/>
      <c r="O160" s="40"/>
      <c r="P160" s="41"/>
      <c r="Q160" s="42"/>
      <c r="R160" s="40"/>
      <c r="S160" s="40"/>
      <c r="T160" s="40"/>
      <c r="U160" s="40"/>
      <c r="V160" s="68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ht="6" customHeight="1" spans="1:44" x14ac:dyDescent="0.25">
      <c r="A161" s="3"/>
      <c r="B161" s="35"/>
      <c r="C161" s="35"/>
      <c r="D161" s="72"/>
      <c r="E161" s="5"/>
      <c r="F161" s="35"/>
      <c r="G161" s="35"/>
      <c r="H161" s="72"/>
      <c r="I161" s="5"/>
      <c r="J161" s="35"/>
      <c r="K161" s="35"/>
      <c r="L161" s="72"/>
      <c r="M161" s="5"/>
      <c r="N161" s="35"/>
      <c r="O161" s="35"/>
      <c r="P161" s="72"/>
      <c r="Q161" s="5"/>
      <c r="R161" s="35"/>
      <c r="S161" s="35"/>
      <c r="T161" s="35"/>
      <c r="U161" s="35"/>
      <c r="V161" s="38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ht="15.6" customHeight="1" spans="1:44" x14ac:dyDescent="0.25">
      <c r="A162" s="3"/>
      <c r="B162" s="76"/>
      <c r="C162" s="77"/>
      <c r="D162" s="78"/>
      <c r="E162" s="79"/>
      <c r="F162" s="76"/>
      <c r="G162" s="77"/>
      <c r="H162" s="78"/>
      <c r="I162" s="79"/>
      <c r="J162" s="76"/>
      <c r="K162" s="77"/>
      <c r="L162" s="78"/>
      <c r="M162" s="79"/>
      <c r="N162" s="76"/>
      <c r="O162" s="77"/>
      <c r="P162" s="78"/>
      <c r="Q162" s="79"/>
      <c r="R162" s="35"/>
      <c r="S162" s="35"/>
      <c r="T162" s="35"/>
      <c r="U162" s="35"/>
      <c r="V162" s="38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ht="15.6" customHeight="1" spans="1:44" x14ac:dyDescent="0.25">
      <c r="A163" s="3"/>
      <c r="B163" s="50">
        <f>IF(D162&lt;1,"","пом.")</f>
      </c>
      <c r="C163" s="50"/>
      <c r="D163" s="52"/>
      <c r="E163" s="53"/>
      <c r="F163" s="50">
        <f>IF(H162&lt;1,"","пом.")</f>
      </c>
      <c r="G163" s="50"/>
      <c r="H163" s="52"/>
      <c r="I163" s="53"/>
      <c r="J163" s="50">
        <f>IF(L162&lt;1,"","пом.")</f>
      </c>
      <c r="K163" s="50"/>
      <c r="L163" s="52"/>
      <c r="M163" s="53"/>
      <c r="N163" s="50">
        <f>IF(P162&lt;1,"","пом.")</f>
      </c>
      <c r="O163" s="50"/>
      <c r="P163" s="52"/>
      <c r="Q163" s="53"/>
      <c r="R163" s="35"/>
      <c r="S163" s="35"/>
      <c r="T163" s="35"/>
      <c r="U163" s="35"/>
      <c r="V163" s="38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ht="9" customHeight="1" spans="1:44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ht="15.6" customHeight="1" spans="1:44" x14ac:dyDescent="0.25">
      <c r="A165" s="3"/>
      <c r="B165" s="3"/>
      <c r="C165" s="3"/>
      <c r="D165" s="4"/>
      <c r="E165" s="5" t="s">
        <v>26</v>
      </c>
      <c r="F165" s="54" t="s">
        <v>27</v>
      </c>
      <c r="G165" s="54"/>
      <c r="H165" s="54"/>
      <c r="I165" s="100" t="s">
        <v>28</v>
      </c>
      <c r="J165" s="100"/>
      <c r="K165" s="100"/>
      <c r="L165" s="4"/>
      <c r="M165" s="4"/>
      <c r="N165" s="3"/>
      <c r="O165" s="35" t="s">
        <v>29</v>
      </c>
      <c r="P165" s="54" t="s">
        <v>30</v>
      </c>
      <c r="Q165" s="54"/>
      <c r="R165" s="54"/>
      <c r="S165" s="100" t="s">
        <v>31</v>
      </c>
      <c r="T165" s="100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ht="15.6" customHeight="1" spans="1:44" x14ac:dyDescent="0.25">
      <c r="A166" s="3"/>
      <c r="B166" s="3"/>
      <c r="C166" s="3"/>
      <c r="D166" s="4"/>
      <c r="E166" s="5" t="s">
        <v>32</v>
      </c>
      <c r="F166" s="54" t="s">
        <v>33</v>
      </c>
      <c r="G166" s="54"/>
      <c r="H166" s="54"/>
      <c r="I166" s="100" t="s">
        <v>34</v>
      </c>
      <c r="J166" s="100"/>
      <c r="K166" s="100"/>
      <c r="L166" s="4"/>
      <c r="M166" s="4"/>
      <c r="N166" s="3"/>
      <c r="O166" s="35" t="s">
        <v>35</v>
      </c>
      <c r="P166" s="54" t="s">
        <v>30</v>
      </c>
      <c r="Q166" s="54"/>
      <c r="R166" s="54"/>
      <c r="S166" s="101" t="s">
        <v>80</v>
      </c>
      <c r="T166" s="101"/>
      <c r="U166" s="101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ht="15.6" customHeight="1" spans="1:44" x14ac:dyDescent="0.25">
      <c r="A167" s="55"/>
      <c r="B167" s="55"/>
      <c r="C167" s="55"/>
      <c r="D167" s="56"/>
      <c r="E167" s="57"/>
      <c r="F167" s="55"/>
      <c r="G167" s="55"/>
      <c r="H167" s="56"/>
      <c r="I167" s="56"/>
      <c r="J167" s="55"/>
      <c r="K167" s="55"/>
      <c r="L167" s="56"/>
      <c r="M167" s="56"/>
      <c r="N167" s="55"/>
      <c r="O167" s="55"/>
      <c r="P167" s="56"/>
      <c r="Q167" s="56"/>
      <c r="R167" s="55"/>
      <c r="S167" s="55"/>
      <c r="T167" s="55"/>
      <c r="U167" s="55"/>
      <c r="V167" s="55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ht="15.6" customHeight="1" spans="1:44" x14ac:dyDescent="0.25">
      <c r="A168" s="55"/>
      <c r="B168" s="55"/>
      <c r="C168" s="55"/>
      <c r="D168" s="56"/>
      <c r="E168" s="57"/>
      <c r="F168" s="55"/>
      <c r="G168" s="55"/>
      <c r="H168" s="56"/>
      <c r="I168" s="56"/>
      <c r="J168" s="55"/>
      <c r="K168" s="55"/>
      <c r="L168" s="56"/>
      <c r="M168" s="56"/>
      <c r="N168" s="55"/>
      <c r="O168" s="55"/>
      <c r="P168" s="56"/>
      <c r="Q168" s="56"/>
      <c r="R168" s="55"/>
      <c r="S168" s="55"/>
      <c r="T168" s="55"/>
      <c r="U168" s="55"/>
      <c r="V168" s="55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ht="15.6" customHeight="1" hidden="1" spans="1:44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ht="15.6" customHeight="1" spans="1:44" x14ac:dyDescent="0.25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4" t="str">
        <f>N148</f>
        <v>1.1</v>
      </c>
      <c r="O170" s="14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ht="15.6" customHeight="1" spans="1:44" x14ac:dyDescent="0.25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5"/>
      <c r="K171" s="15"/>
      <c r="L171" s="16"/>
      <c r="M171" s="9" t="s">
        <v>5</v>
      </c>
      <c r="N171" s="18" t="str">
        <f>N170&amp;".2"</f>
        <v>1.1.2</v>
      </c>
      <c r="O171" s="18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ht="15.6" customHeight="1" spans="1:44" x14ac:dyDescent="0.25">
      <c r="A172" s="3"/>
      <c r="B172" s="3"/>
      <c r="C172" s="3"/>
      <c r="D172" s="4"/>
      <c r="E172" s="4" t="s">
        <v>7</v>
      </c>
      <c r="F172" s="3"/>
      <c r="G172" s="3"/>
      <c r="H172" s="8"/>
      <c r="I172" s="8"/>
      <c r="J172" s="7"/>
      <c r="K172" s="7"/>
      <c r="L172" s="8"/>
      <c r="M172" s="19" t="s">
        <v>5</v>
      </c>
      <c r="N172" s="20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ht="15.6" customHeight="1" spans="1:44" x14ac:dyDescent="0.25">
      <c r="A173" s="3"/>
      <c r="B173" s="3"/>
      <c r="C173" s="3"/>
      <c r="D173" s="4"/>
      <c r="E173" s="4" t="s">
        <v>8</v>
      </c>
      <c r="F173" s="3"/>
      <c r="G173" s="3"/>
      <c r="H173" s="4"/>
      <c r="I173" s="4"/>
      <c r="J173" s="3"/>
      <c r="K173" s="3"/>
      <c r="L173" s="16"/>
      <c r="M173" s="19" t="s">
        <v>70</v>
      </c>
      <c r="N173" s="20" t="str">
        <f>IF(N151="-"&amp;N128&amp;".3",IF(N152=15,"-"&amp;N128&amp;".4","-"&amp;N128&amp;".3"),N151)</f>
        <v>-1.1.3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ht="15.6" customHeight="1" spans="1:44" x14ac:dyDescent="0.25">
      <c r="A174" s="3"/>
      <c r="B174" s="3"/>
      <c r="C174" s="3"/>
      <c r="D174" s="4"/>
      <c r="E174" s="24" t="s">
        <v>10</v>
      </c>
      <c r="F174" s="3"/>
      <c r="G174" s="3"/>
      <c r="H174" s="4"/>
      <c r="I174" s="8"/>
      <c r="J174" s="7"/>
      <c r="K174" s="7"/>
      <c r="L174" s="8"/>
      <c r="M174" s="19" t="s">
        <v>5</v>
      </c>
      <c r="N174" s="20">
        <f>IF(N173="-"&amp;N128&amp;".3",N152+1,IF(N151="-"&amp;N128&amp;".3",1,N152+1))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ht="15.6" customHeight="1" spans="1:44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ht="15.6" customHeight="1" spans="1:44" x14ac:dyDescent="0.25">
      <c r="A176" s="27"/>
      <c r="B176" s="28"/>
      <c r="C176" s="28"/>
      <c r="D176" s="29"/>
      <c r="E176" s="29"/>
      <c r="F176" s="28"/>
      <c r="G176" s="28"/>
      <c r="H176" s="29"/>
      <c r="I176" s="29"/>
      <c r="J176" s="28"/>
      <c r="K176" s="28"/>
      <c r="L176" s="29"/>
      <c r="M176" s="29"/>
      <c r="N176" s="28"/>
      <c r="O176" s="28"/>
      <c r="P176" s="29"/>
      <c r="Q176" s="29"/>
      <c r="R176" s="28"/>
      <c r="S176" s="28"/>
      <c r="T176" s="28"/>
      <c r="U176" s="28"/>
      <c r="V176" s="59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ht="15.6" customHeight="1" spans="1:44" x14ac:dyDescent="0.25">
      <c r="A177" s="30"/>
      <c r="B177" s="31"/>
      <c r="C177" s="31"/>
      <c r="D177" s="32">
        <v>1</v>
      </c>
      <c r="E177" s="33"/>
      <c r="F177" s="31"/>
      <c r="G177" s="31"/>
      <c r="H177" s="32">
        <v>2</v>
      </c>
      <c r="I177" s="33"/>
      <c r="J177" s="31"/>
      <c r="K177" s="31"/>
      <c r="L177" s="32">
        <v>3</v>
      </c>
      <c r="M177" s="33"/>
      <c r="N177" s="31"/>
      <c r="O177" s="31"/>
      <c r="P177" s="32">
        <v>4</v>
      </c>
      <c r="Q177" s="33"/>
      <c r="R177" s="31"/>
      <c r="S177" s="31"/>
      <c r="T177" s="31"/>
      <c r="U177" s="31"/>
      <c r="V177" s="60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ht="15.6" customHeight="1" spans="1:44" x14ac:dyDescent="0.25">
      <c r="A178" s="30"/>
      <c r="B178" s="31" t="s">
        <v>11</v>
      </c>
      <c r="C178" s="31"/>
      <c r="D178" s="32" t="s">
        <v>12</v>
      </c>
      <c r="E178" s="33"/>
      <c r="F178" s="31" t="s">
        <v>11</v>
      </c>
      <c r="G178" s="31"/>
      <c r="H178" s="32" t="s">
        <v>12</v>
      </c>
      <c r="I178" s="33"/>
      <c r="J178" s="31" t="s">
        <v>11</v>
      </c>
      <c r="K178" s="31"/>
      <c r="L178" s="32" t="s">
        <v>12</v>
      </c>
      <c r="M178" s="33"/>
      <c r="N178" s="31" t="s">
        <v>11</v>
      </c>
      <c r="O178" s="31"/>
      <c r="P178" s="32" t="s">
        <v>12</v>
      </c>
      <c r="Q178" s="33"/>
      <c r="R178" s="31"/>
      <c r="S178" s="31"/>
      <c r="T178" s="31"/>
      <c r="U178" s="31"/>
      <c r="V178" s="65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ht="15.6" customHeight="1" spans="1:44" x14ac:dyDescent="0.25">
      <c r="A179" s="30"/>
      <c r="B179" s="35"/>
      <c r="C179" s="35"/>
      <c r="D179" s="5"/>
      <c r="E179" s="5"/>
      <c r="F179" s="35"/>
      <c r="G179" s="35"/>
      <c r="H179" s="5"/>
      <c r="I179" s="5"/>
      <c r="J179" s="35"/>
      <c r="K179" s="35"/>
      <c r="L179" s="5"/>
      <c r="M179" s="5"/>
      <c r="N179" s="35"/>
      <c r="O179" s="35"/>
      <c r="P179" s="5"/>
      <c r="Q179" s="5"/>
      <c r="R179" s="35"/>
      <c r="S179" s="35"/>
      <c r="T179" s="35"/>
      <c r="U179" s="35"/>
      <c r="V179" s="65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ht="15.6" customHeight="1" spans="1:44" x14ac:dyDescent="0.25">
      <c r="A180" s="30"/>
      <c r="B180" s="31">
        <v>0</v>
      </c>
      <c r="C180" s="31"/>
      <c r="D180" s="37">
        <v>1</v>
      </c>
      <c r="E180" s="37"/>
      <c r="F180" s="31">
        <v>2</v>
      </c>
      <c r="G180" s="31"/>
      <c r="H180" s="37">
        <v>3</v>
      </c>
      <c r="I180" s="37"/>
      <c r="J180" s="31">
        <v>4</v>
      </c>
      <c r="K180" s="31"/>
      <c r="L180" s="37">
        <v>5</v>
      </c>
      <c r="M180" s="37"/>
      <c r="N180" s="31">
        <v>6</v>
      </c>
      <c r="O180" s="31"/>
      <c r="P180" s="37">
        <v>7</v>
      </c>
      <c r="Q180" s="37"/>
      <c r="R180" s="31">
        <v>8</v>
      </c>
      <c r="S180" s="31"/>
      <c r="T180" s="31">
        <v>9</v>
      </c>
      <c r="U180" s="31"/>
      <c r="V180" s="67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ht="15.6" customHeight="1" spans="1:44" x14ac:dyDescent="0.25">
      <c r="A181" s="30"/>
      <c r="B181" s="31" t="s">
        <v>13</v>
      </c>
      <c r="C181" s="31" t="s">
        <v>14</v>
      </c>
      <c r="D181" s="37" t="s">
        <v>15</v>
      </c>
      <c r="E181" s="37" t="s">
        <v>16</v>
      </c>
      <c r="F181" s="31" t="s">
        <v>13</v>
      </c>
      <c r="G181" s="31" t="s">
        <v>14</v>
      </c>
      <c r="H181" s="37" t="s">
        <v>15</v>
      </c>
      <c r="I181" s="37" t="s">
        <v>16</v>
      </c>
      <c r="J181" s="31" t="s">
        <v>13</v>
      </c>
      <c r="K181" s="31" t="s">
        <v>14</v>
      </c>
      <c r="L181" s="37" t="s">
        <v>15</v>
      </c>
      <c r="M181" s="37" t="s">
        <v>16</v>
      </c>
      <c r="N181" s="31" t="s">
        <v>13</v>
      </c>
      <c r="O181" s="31" t="s">
        <v>14</v>
      </c>
      <c r="P181" s="37" t="s">
        <v>15</v>
      </c>
      <c r="Q181" s="37" t="s">
        <v>16</v>
      </c>
      <c r="R181" s="31" t="s">
        <v>13</v>
      </c>
      <c r="S181" s="31" t="s">
        <v>14</v>
      </c>
      <c r="T181" s="31" t="s">
        <v>15</v>
      </c>
      <c r="U181" s="31" t="s">
        <v>16</v>
      </c>
      <c r="V181" s="67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ht="15.6" customHeight="1" spans="1:44" x14ac:dyDescent="0.25">
      <c r="A182" s="39"/>
      <c r="B182" s="40"/>
      <c r="C182" s="40"/>
      <c r="D182" s="41"/>
      <c r="E182" s="42"/>
      <c r="F182" s="40"/>
      <c r="G182" s="40"/>
      <c r="H182" s="41"/>
      <c r="I182" s="42"/>
      <c r="J182" s="40"/>
      <c r="K182" s="40"/>
      <c r="L182" s="41"/>
      <c r="M182" s="42"/>
      <c r="N182" s="40"/>
      <c r="O182" s="40"/>
      <c r="P182" s="41"/>
      <c r="Q182" s="42"/>
      <c r="R182" s="40"/>
      <c r="S182" s="40"/>
      <c r="T182" s="40"/>
      <c r="U182" s="40"/>
      <c r="V182" s="68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ht="15.6" customHeight="1" spans="1:44" x14ac:dyDescent="0.25">
      <c r="A183" s="3"/>
      <c r="B183" s="35"/>
      <c r="C183" s="35"/>
      <c r="D183" s="72"/>
      <c r="E183" s="5"/>
      <c r="F183" s="35"/>
      <c r="G183" s="35"/>
      <c r="H183" s="72"/>
      <c r="I183" s="5"/>
      <c r="J183" s="35"/>
      <c r="K183" s="35"/>
      <c r="L183" s="72"/>
      <c r="M183" s="5"/>
      <c r="N183" s="35"/>
      <c r="O183" s="35"/>
      <c r="P183" s="72"/>
      <c r="Q183" s="5"/>
      <c r="R183" s="35"/>
      <c r="S183" s="35"/>
      <c r="T183" s="35"/>
      <c r="U183" s="35"/>
      <c r="V183" s="38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ht="15.6" customHeight="1" spans="1:44" x14ac:dyDescent="0.25">
      <c r="A184" s="3"/>
      <c r="B184" s="76"/>
      <c r="C184" s="77"/>
      <c r="D184" s="78"/>
      <c r="E184" s="79"/>
      <c r="F184" s="76"/>
      <c r="G184" s="77"/>
      <c r="H184" s="78"/>
      <c r="I184" s="79"/>
      <c r="J184" s="76"/>
      <c r="K184" s="77"/>
      <c r="L184" s="78"/>
      <c r="M184" s="79"/>
      <c r="N184" s="76"/>
      <c r="O184" s="77"/>
      <c r="P184" s="78"/>
      <c r="Q184" s="79"/>
      <c r="R184" s="35"/>
      <c r="S184" s="35"/>
      <c r="T184" s="35"/>
      <c r="U184" s="35"/>
      <c r="V184" s="38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ht="15.6" customHeight="1" spans="1:44" x14ac:dyDescent="0.25">
      <c r="A185" s="3"/>
      <c r="B185" s="50">
        <f>IF(D184&lt;1,"","пом.")</f>
      </c>
      <c r="C185" s="50"/>
      <c r="D185" s="52"/>
      <c r="E185" s="53"/>
      <c r="F185" s="50">
        <f>IF(H184&lt;1,"","пом.")</f>
      </c>
      <c r="G185" s="50"/>
      <c r="H185" s="52"/>
      <c r="I185" s="53"/>
      <c r="J185" s="50">
        <f>IF(L184&lt;1,"","пом.")</f>
      </c>
      <c r="K185" s="50"/>
      <c r="L185" s="52"/>
      <c r="M185" s="53"/>
      <c r="N185" s="50">
        <f>IF(P184&lt;1,"","пом.")</f>
      </c>
      <c r="O185" s="50"/>
      <c r="P185" s="52"/>
      <c r="Q185" s="53"/>
      <c r="R185" s="35"/>
      <c r="S185" s="35"/>
      <c r="T185" s="35"/>
      <c r="U185" s="35"/>
      <c r="V185" s="38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ht="15.6" customHeight="1" spans="1:44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ht="15.6" customHeight="1" spans="1:44" x14ac:dyDescent="0.25">
      <c r="A187" s="3"/>
      <c r="B187" s="3"/>
      <c r="C187" s="3"/>
      <c r="D187" s="4"/>
      <c r="E187" s="5" t="s">
        <v>26</v>
      </c>
      <c r="F187" s="54" t="s">
        <v>27</v>
      </c>
      <c r="G187" s="54"/>
      <c r="H187" s="54"/>
      <c r="I187" s="100" t="s">
        <v>28</v>
      </c>
      <c r="J187" s="100"/>
      <c r="K187" s="100"/>
      <c r="L187" s="4"/>
      <c r="M187" s="4"/>
      <c r="N187" s="3"/>
      <c r="O187" s="35" t="s">
        <v>29</v>
      </c>
      <c r="P187" s="54" t="s">
        <v>30</v>
      </c>
      <c r="Q187" s="54"/>
      <c r="R187" s="54"/>
      <c r="S187" s="100" t="s">
        <v>31</v>
      </c>
      <c r="T187" s="100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ht="15.6" customHeight="1" spans="1:44" x14ac:dyDescent="0.25">
      <c r="A188" s="3"/>
      <c r="B188" s="3"/>
      <c r="C188" s="3"/>
      <c r="D188" s="4"/>
      <c r="E188" s="5" t="s">
        <v>32</v>
      </c>
      <c r="F188" s="54" t="s">
        <v>33</v>
      </c>
      <c r="G188" s="54"/>
      <c r="H188" s="54"/>
      <c r="I188" s="100" t="s">
        <v>34</v>
      </c>
      <c r="J188" s="100"/>
      <c r="K188" s="100"/>
      <c r="L188" s="4"/>
      <c r="M188" s="4"/>
      <c r="N188" s="3"/>
      <c r="O188" s="35" t="s">
        <v>35</v>
      </c>
      <c r="P188" s="54" t="s">
        <v>30</v>
      </c>
      <c r="Q188" s="54"/>
      <c r="R188" s="54"/>
      <c r="S188" s="101" t="s">
        <v>80</v>
      </c>
      <c r="T188" s="101"/>
      <c r="U188" s="101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ht="15.6" customHeight="1" spans="1:44" x14ac:dyDescent="0.25">
      <c r="A189" s="55"/>
      <c r="B189" s="55"/>
      <c r="C189" s="55"/>
      <c r="D189" s="56"/>
      <c r="E189" s="57"/>
      <c r="F189" s="55"/>
      <c r="G189" s="55"/>
      <c r="H189" s="56"/>
      <c r="I189" s="56"/>
      <c r="J189" s="55"/>
      <c r="K189" s="55"/>
      <c r="L189" s="56"/>
      <c r="M189" s="56"/>
      <c r="N189" s="55"/>
      <c r="O189" s="55"/>
      <c r="P189" s="56"/>
      <c r="Q189" s="56"/>
      <c r="R189" s="55"/>
      <c r="S189" s="55"/>
      <c r="T189" s="55"/>
      <c r="U189" s="55"/>
      <c r="V189" s="55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ht="15.6" customHeight="1" spans="1:44" x14ac:dyDescent="0.25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4" t="str">
        <f>N170</f>
        <v>1.1</v>
      </c>
      <c r="O190" s="14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ht="15.6" customHeight="1" spans="1:44" x14ac:dyDescent="0.25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5"/>
      <c r="K191" s="15"/>
      <c r="L191" s="16"/>
      <c r="M191" s="9" t="s">
        <v>5</v>
      </c>
      <c r="N191" s="18" t="str">
        <f>N171</f>
        <v>1.1.2</v>
      </c>
      <c r="O191" s="18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ht="15.6" customHeight="1" spans="1:44" x14ac:dyDescent="0.25">
      <c r="A192" s="3"/>
      <c r="B192" s="3"/>
      <c r="C192" s="3"/>
      <c r="D192" s="4"/>
      <c r="E192" s="4" t="s">
        <v>7</v>
      </c>
      <c r="F192" s="3"/>
      <c r="G192" s="3"/>
      <c r="H192" s="8"/>
      <c r="I192" s="8"/>
      <c r="J192" s="7"/>
      <c r="K192" s="7"/>
      <c r="L192" s="8"/>
      <c r="M192" s="19" t="s">
        <v>5</v>
      </c>
      <c r="N192" s="20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ht="15.6" customHeight="1" spans="1:44" x14ac:dyDescent="0.25">
      <c r="A193" s="3"/>
      <c r="B193" s="3"/>
      <c r="C193" s="3"/>
      <c r="D193" s="4"/>
      <c r="E193" s="4" t="s">
        <v>8</v>
      </c>
      <c r="F193" s="3"/>
      <c r="G193" s="3"/>
      <c r="H193" s="4"/>
      <c r="I193" s="4"/>
      <c r="J193" s="3"/>
      <c r="K193" s="3"/>
      <c r="L193" s="16"/>
      <c r="M193" s="19" t="s">
        <v>70</v>
      </c>
      <c r="N193" s="20" t="str">
        <f>IF(N173="-"&amp;N170&amp;".3",IF(N174=15,"-"&amp;N170&amp;".4","-"&amp;N170&amp;".3"),N173)</f>
        <v>-1.1.3</v>
      </c>
      <c r="O193" s="22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ht="15.6" customHeight="1" spans="1:44" x14ac:dyDescent="0.25">
      <c r="A194" s="3"/>
      <c r="B194" s="3"/>
      <c r="C194" s="3"/>
      <c r="D194" s="4"/>
      <c r="E194" s="24" t="s">
        <v>10</v>
      </c>
      <c r="F194" s="3"/>
      <c r="G194" s="3"/>
      <c r="H194" s="4"/>
      <c r="I194" s="8"/>
      <c r="J194" s="7"/>
      <c r="K194" s="7"/>
      <c r="L194" s="8"/>
      <c r="M194" s="19" t="s">
        <v>5</v>
      </c>
      <c r="N194" s="20">
        <f>IF(N193="-"&amp;N128&amp;".3",N174+1,IF(N173="-"&amp;N128&amp;".3",1,N174+1))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ht="9.6" customHeight="1" spans="1:44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ht="15.6" customHeight="1" spans="1:44" x14ac:dyDescent="0.25">
      <c r="A196" s="27"/>
      <c r="B196" s="28"/>
      <c r="C196" s="28"/>
      <c r="D196" s="29"/>
      <c r="E196" s="29"/>
      <c r="F196" s="28"/>
      <c r="G196" s="28"/>
      <c r="H196" s="29"/>
      <c r="I196" s="29"/>
      <c r="J196" s="28"/>
      <c r="K196" s="28"/>
      <c r="L196" s="29"/>
      <c r="M196" s="29"/>
      <c r="N196" s="28"/>
      <c r="O196" s="28"/>
      <c r="P196" s="29"/>
      <c r="Q196" s="29"/>
      <c r="R196" s="28"/>
      <c r="S196" s="28"/>
      <c r="T196" s="28"/>
      <c r="U196" s="28"/>
      <c r="V196" s="59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ht="15.6" customHeight="1" spans="1:44" x14ac:dyDescent="0.25">
      <c r="A197" s="30"/>
      <c r="B197" s="31"/>
      <c r="C197" s="31"/>
      <c r="D197" s="32">
        <v>1</v>
      </c>
      <c r="E197" s="33"/>
      <c r="F197" s="31"/>
      <c r="G197" s="31"/>
      <c r="H197" s="32">
        <v>2</v>
      </c>
      <c r="I197" s="33"/>
      <c r="J197" s="31"/>
      <c r="K197" s="31"/>
      <c r="L197" s="32">
        <v>3</v>
      </c>
      <c r="M197" s="33"/>
      <c r="N197" s="31"/>
      <c r="O197" s="31"/>
      <c r="P197" s="32">
        <v>4</v>
      </c>
      <c r="Q197" s="33"/>
      <c r="R197" s="31"/>
      <c r="S197" s="31"/>
      <c r="T197" s="31"/>
      <c r="U197" s="31"/>
      <c r="V197" s="60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ht="15.6" customHeight="1" spans="1:44" x14ac:dyDescent="0.25">
      <c r="A198" s="30"/>
      <c r="B198" s="31" t="s">
        <v>11</v>
      </c>
      <c r="C198" s="31"/>
      <c r="D198" s="32" t="s">
        <v>12</v>
      </c>
      <c r="E198" s="33"/>
      <c r="F198" s="31" t="s">
        <v>11</v>
      </c>
      <c r="G198" s="31"/>
      <c r="H198" s="32" t="s">
        <v>12</v>
      </c>
      <c r="I198" s="33"/>
      <c r="J198" s="31" t="s">
        <v>11</v>
      </c>
      <c r="K198" s="31"/>
      <c r="L198" s="32" t="s">
        <v>12</v>
      </c>
      <c r="M198" s="33"/>
      <c r="N198" s="31" t="s">
        <v>11</v>
      </c>
      <c r="O198" s="31"/>
      <c r="P198" s="32" t="s">
        <v>12</v>
      </c>
      <c r="Q198" s="33"/>
      <c r="R198" s="31"/>
      <c r="S198" s="31"/>
      <c r="T198" s="31"/>
      <c r="U198" s="31"/>
      <c r="V198" s="65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ht="15.6" customHeight="1" spans="1:44" x14ac:dyDescent="0.25">
      <c r="A199" s="30"/>
      <c r="B199" s="35"/>
      <c r="C199" s="35"/>
      <c r="D199" s="5"/>
      <c r="E199" s="5"/>
      <c r="F199" s="35"/>
      <c r="G199" s="35"/>
      <c r="H199" s="5"/>
      <c r="I199" s="5"/>
      <c r="J199" s="35"/>
      <c r="K199" s="35"/>
      <c r="L199" s="5"/>
      <c r="M199" s="5"/>
      <c r="N199" s="35"/>
      <c r="O199" s="35"/>
      <c r="P199" s="5"/>
      <c r="Q199" s="5"/>
      <c r="R199" s="35"/>
      <c r="S199" s="35"/>
      <c r="T199" s="35"/>
      <c r="U199" s="35"/>
      <c r="V199" s="65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ht="15.6" customHeight="1" spans="1:44" x14ac:dyDescent="0.25">
      <c r="A200" s="30"/>
      <c r="B200" s="31">
        <v>0</v>
      </c>
      <c r="C200" s="31"/>
      <c r="D200" s="37">
        <v>1</v>
      </c>
      <c r="E200" s="37"/>
      <c r="F200" s="31">
        <v>2</v>
      </c>
      <c r="G200" s="31"/>
      <c r="H200" s="37">
        <v>3</v>
      </c>
      <c r="I200" s="37"/>
      <c r="J200" s="31">
        <v>4</v>
      </c>
      <c r="K200" s="31"/>
      <c r="L200" s="37">
        <v>5</v>
      </c>
      <c r="M200" s="37"/>
      <c r="N200" s="31">
        <v>6</v>
      </c>
      <c r="O200" s="31"/>
      <c r="P200" s="37">
        <v>7</v>
      </c>
      <c r="Q200" s="37"/>
      <c r="R200" s="31">
        <v>8</v>
      </c>
      <c r="S200" s="31"/>
      <c r="T200" s="31">
        <v>9</v>
      </c>
      <c r="U200" s="31"/>
      <c r="V200" s="67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ht="15.6" customHeight="1" spans="1:44" x14ac:dyDescent="0.25">
      <c r="A201" s="30"/>
      <c r="B201" s="31" t="s">
        <v>13</v>
      </c>
      <c r="C201" s="31" t="s">
        <v>14</v>
      </c>
      <c r="D201" s="37" t="s">
        <v>15</v>
      </c>
      <c r="E201" s="37" t="s">
        <v>16</v>
      </c>
      <c r="F201" s="31" t="s">
        <v>13</v>
      </c>
      <c r="G201" s="31" t="s">
        <v>14</v>
      </c>
      <c r="H201" s="37" t="s">
        <v>15</v>
      </c>
      <c r="I201" s="37" t="s">
        <v>16</v>
      </c>
      <c r="J201" s="31" t="s">
        <v>13</v>
      </c>
      <c r="K201" s="31" t="s">
        <v>14</v>
      </c>
      <c r="L201" s="37" t="s">
        <v>15</v>
      </c>
      <c r="M201" s="37" t="s">
        <v>16</v>
      </c>
      <c r="N201" s="31" t="s">
        <v>13</v>
      </c>
      <c r="O201" s="31" t="s">
        <v>14</v>
      </c>
      <c r="P201" s="37" t="s">
        <v>15</v>
      </c>
      <c r="Q201" s="37" t="s">
        <v>16</v>
      </c>
      <c r="R201" s="31" t="s">
        <v>13</v>
      </c>
      <c r="S201" s="31" t="s">
        <v>14</v>
      </c>
      <c r="T201" s="31" t="s">
        <v>15</v>
      </c>
      <c r="U201" s="31" t="s">
        <v>16</v>
      </c>
      <c r="V201" s="67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ht="15.6" customHeight="1" spans="1:44" x14ac:dyDescent="0.25">
      <c r="A202" s="39"/>
      <c r="B202" s="40"/>
      <c r="C202" s="40"/>
      <c r="D202" s="41"/>
      <c r="E202" s="42"/>
      <c r="F202" s="40"/>
      <c r="G202" s="40"/>
      <c r="H202" s="41"/>
      <c r="I202" s="42"/>
      <c r="J202" s="40"/>
      <c r="K202" s="40"/>
      <c r="L202" s="41"/>
      <c r="M202" s="42"/>
      <c r="N202" s="40"/>
      <c r="O202" s="40"/>
      <c r="P202" s="41"/>
      <c r="Q202" s="42"/>
      <c r="R202" s="40"/>
      <c r="S202" s="40"/>
      <c r="T202" s="40"/>
      <c r="U202" s="40"/>
      <c r="V202" s="68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ht="6" customHeight="1" spans="1:44" x14ac:dyDescent="0.25">
      <c r="A203" s="3"/>
      <c r="B203" s="35"/>
      <c r="C203" s="35"/>
      <c r="D203" s="72"/>
      <c r="E203" s="5"/>
      <c r="F203" s="35"/>
      <c r="G203" s="35"/>
      <c r="H203" s="72"/>
      <c r="I203" s="5"/>
      <c r="J203" s="35"/>
      <c r="K203" s="35"/>
      <c r="L203" s="72"/>
      <c r="M203" s="5"/>
      <c r="N203" s="35"/>
      <c r="O203" s="35"/>
      <c r="P203" s="72"/>
      <c r="Q203" s="5"/>
      <c r="R203" s="35"/>
      <c r="S203" s="35"/>
      <c r="T203" s="35"/>
      <c r="U203" s="35"/>
      <c r="V203" s="38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ht="15.6" customHeight="1" spans="1:44" x14ac:dyDescent="0.25">
      <c r="A204" s="3"/>
      <c r="B204" s="76"/>
      <c r="C204" s="77"/>
      <c r="D204" s="78"/>
      <c r="E204" s="79"/>
      <c r="F204" s="76"/>
      <c r="G204" s="77"/>
      <c r="H204" s="78"/>
      <c r="I204" s="79"/>
      <c r="J204" s="76"/>
      <c r="K204" s="77"/>
      <c r="L204" s="78"/>
      <c r="M204" s="79"/>
      <c r="N204" s="76"/>
      <c r="O204" s="77"/>
      <c r="P204" s="78"/>
      <c r="Q204" s="79"/>
      <c r="R204" s="35"/>
      <c r="S204" s="35"/>
      <c r="T204" s="35"/>
      <c r="U204" s="35"/>
      <c r="V204" s="38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ht="15.6" customHeight="1" spans="1:44" x14ac:dyDescent="0.25">
      <c r="A205" s="3"/>
      <c r="B205" s="50">
        <f>IF(D204&lt;1,"","пом.")</f>
      </c>
      <c r="C205" s="50"/>
      <c r="D205" s="52"/>
      <c r="E205" s="53"/>
      <c r="F205" s="50">
        <f>IF(H204&lt;1,"","пом.")</f>
      </c>
      <c r="G205" s="50"/>
      <c r="H205" s="52"/>
      <c r="I205" s="53"/>
      <c r="J205" s="50">
        <f>IF(L204&lt;1,"","пом.")</f>
      </c>
      <c r="K205" s="50"/>
      <c r="L205" s="52"/>
      <c r="M205" s="53"/>
      <c r="N205" s="50">
        <f>IF(P204&lt;1,"","пом.")</f>
      </c>
      <c r="O205" s="50"/>
      <c r="P205" s="52"/>
      <c r="Q205" s="53"/>
      <c r="R205" s="35"/>
      <c r="S205" s="35"/>
      <c r="T205" s="35"/>
      <c r="U205" s="35"/>
      <c r="V205" s="38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ht="6.6" customHeight="1" spans="1:44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ht="15.6" customHeight="1" spans="1:44" x14ac:dyDescent="0.25">
      <c r="A207" s="3"/>
      <c r="B207" s="3"/>
      <c r="C207" s="3"/>
      <c r="D207" s="4"/>
      <c r="E207" s="5" t="s">
        <v>26</v>
      </c>
      <c r="F207" s="54" t="s">
        <v>27</v>
      </c>
      <c r="G207" s="54"/>
      <c r="H207" s="54"/>
      <c r="I207" s="100" t="s">
        <v>28</v>
      </c>
      <c r="J207" s="100"/>
      <c r="K207" s="100"/>
      <c r="L207" s="4"/>
      <c r="M207" s="4"/>
      <c r="N207" s="3"/>
      <c r="O207" s="35" t="s">
        <v>29</v>
      </c>
      <c r="P207" s="54" t="s">
        <v>30</v>
      </c>
      <c r="Q207" s="54"/>
      <c r="R207" s="54"/>
      <c r="S207" s="100" t="s">
        <v>31</v>
      </c>
      <c r="T207" s="100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ht="15.6" customHeight="1" spans="1:44" x14ac:dyDescent="0.25">
      <c r="A208" s="3"/>
      <c r="B208" s="3"/>
      <c r="C208" s="3"/>
      <c r="D208" s="4"/>
      <c r="E208" s="5" t="s">
        <v>32</v>
      </c>
      <c r="F208" s="54" t="s">
        <v>33</v>
      </c>
      <c r="G208" s="54"/>
      <c r="H208" s="54"/>
      <c r="I208" s="100" t="s">
        <v>34</v>
      </c>
      <c r="J208" s="100"/>
      <c r="K208" s="100"/>
      <c r="L208" s="4"/>
      <c r="M208" s="4"/>
      <c r="N208" s="3"/>
      <c r="O208" s="35" t="s">
        <v>35</v>
      </c>
      <c r="P208" s="54" t="s">
        <v>30</v>
      </c>
      <c r="Q208" s="54"/>
      <c r="R208" s="54"/>
      <c r="S208" s="101" t="s">
        <v>80</v>
      </c>
      <c r="T208" s="101"/>
      <c r="U208" s="101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ht="15.6" customHeight="1" spans="1:44" x14ac:dyDescent="0.25">
      <c r="A209" s="55"/>
      <c r="B209" s="55"/>
      <c r="C209" s="55"/>
      <c r="D209" s="56"/>
      <c r="E209" s="57"/>
      <c r="F209" s="55"/>
      <c r="G209" s="55"/>
      <c r="H209" s="56"/>
      <c r="I209" s="56"/>
      <c r="J209" s="55"/>
      <c r="K209" s="55"/>
      <c r="L209" s="56"/>
      <c r="M209" s="56"/>
      <c r="N209" s="55"/>
      <c r="O209" s="55"/>
      <c r="P209" s="56"/>
      <c r="Q209" s="56"/>
      <c r="R209" s="55"/>
      <c r="S209" s="55"/>
      <c r="T209" s="55"/>
      <c r="U209" s="55"/>
      <c r="V209" s="55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ht="15.6" customHeight="1" spans="1:44" x14ac:dyDescent="0.25">
      <c r="A210" s="55"/>
      <c r="B210" s="55"/>
      <c r="C210" s="55"/>
      <c r="D210" s="56"/>
      <c r="E210" s="57"/>
      <c r="F210" s="55"/>
      <c r="G210" s="55"/>
      <c r="H210" s="56"/>
      <c r="I210" s="56"/>
      <c r="J210" s="55"/>
      <c r="K210" s="55"/>
      <c r="L210" s="56"/>
      <c r="M210" s="56"/>
      <c r="N210" s="55"/>
      <c r="O210" s="55"/>
      <c r="P210" s="56"/>
      <c r="Q210" s="56"/>
      <c r="R210" s="55"/>
      <c r="S210" s="55"/>
      <c r="T210" s="55"/>
      <c r="U210" s="55"/>
      <c r="V210" s="55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ht="15.6" customHeight="1" hidden="1" spans="1:44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ht="15.6" customHeight="1" spans="1:44" x14ac:dyDescent="0.25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4" t="str">
        <f>N190</f>
        <v>1.1</v>
      </c>
      <c r="O212" s="14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ht="15.6" customHeight="1" spans="1:44" x14ac:dyDescent="0.25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5"/>
      <c r="K213" s="15"/>
      <c r="L213" s="16"/>
      <c r="M213" s="9" t="s">
        <v>5</v>
      </c>
      <c r="N213" s="18" t="str">
        <f>N212&amp;".2"</f>
        <v>1.1.2</v>
      </c>
      <c r="O213" s="18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ht="15.6" customHeight="1" spans="1:44" x14ac:dyDescent="0.25">
      <c r="A214" s="3"/>
      <c r="B214" s="3"/>
      <c r="C214" s="3"/>
      <c r="D214" s="4"/>
      <c r="E214" s="4" t="s">
        <v>7</v>
      </c>
      <c r="F214" s="3"/>
      <c r="G214" s="3"/>
      <c r="H214" s="8"/>
      <c r="I214" s="8"/>
      <c r="J214" s="7"/>
      <c r="K214" s="7"/>
      <c r="L214" s="8"/>
      <c r="M214" s="19" t="s">
        <v>5</v>
      </c>
      <c r="N214" s="20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ht="15.6" customHeight="1" spans="1:44" x14ac:dyDescent="0.25">
      <c r="A215" s="3"/>
      <c r="B215" s="3"/>
      <c r="C215" s="3"/>
      <c r="D215" s="4"/>
      <c r="E215" s="4" t="s">
        <v>8</v>
      </c>
      <c r="F215" s="3"/>
      <c r="G215" s="3"/>
      <c r="H215" s="4"/>
      <c r="I215" s="4"/>
      <c r="J215" s="3"/>
      <c r="K215" s="3"/>
      <c r="L215" s="16"/>
      <c r="M215" s="19" t="s">
        <v>70</v>
      </c>
      <c r="N215" s="20" t="str">
        <f>IF(N193="-"&amp;N170&amp;".3",IF(N194=15,"-"&amp;N170&amp;".4","-"&amp;N170&amp;".3"),N193)</f>
        <v>-1.1.3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ht="15.6" customHeight="1" spans="1:44" x14ac:dyDescent="0.25">
      <c r="A216" s="3"/>
      <c r="B216" s="3"/>
      <c r="C216" s="3"/>
      <c r="D216" s="4"/>
      <c r="E216" s="24" t="s">
        <v>10</v>
      </c>
      <c r="F216" s="3"/>
      <c r="G216" s="3"/>
      <c r="H216" s="4"/>
      <c r="I216" s="8"/>
      <c r="J216" s="7"/>
      <c r="K216" s="7"/>
      <c r="L216" s="8"/>
      <c r="M216" s="19" t="s">
        <v>5</v>
      </c>
      <c r="N216" s="20">
        <f>IF(N215="-"&amp;N170&amp;".3",N194+1,IF(N193="-"&amp;N170&amp;".3",1,N194+1))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ht="15.6" customHeight="1" spans="1:44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ht="15.6" customHeight="1" spans="1:44" x14ac:dyDescent="0.25">
      <c r="A218" s="27"/>
      <c r="B218" s="28"/>
      <c r="C218" s="28"/>
      <c r="D218" s="29"/>
      <c r="E218" s="29"/>
      <c r="F218" s="28"/>
      <c r="G218" s="28"/>
      <c r="H218" s="29"/>
      <c r="I218" s="29"/>
      <c r="J218" s="28"/>
      <c r="K218" s="28"/>
      <c r="L218" s="29"/>
      <c r="M218" s="29"/>
      <c r="N218" s="28"/>
      <c r="O218" s="28"/>
      <c r="P218" s="29"/>
      <c r="Q218" s="29"/>
      <c r="R218" s="28"/>
      <c r="S218" s="28"/>
      <c r="T218" s="28"/>
      <c r="U218" s="28"/>
      <c r="V218" s="59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ht="15.6" customHeight="1" spans="1:44" x14ac:dyDescent="0.25">
      <c r="A219" s="30"/>
      <c r="B219" s="31"/>
      <c r="C219" s="31"/>
      <c r="D219" s="32">
        <v>1</v>
      </c>
      <c r="E219" s="33"/>
      <c r="F219" s="31"/>
      <c r="G219" s="31"/>
      <c r="H219" s="32">
        <v>2</v>
      </c>
      <c r="I219" s="33"/>
      <c r="J219" s="31"/>
      <c r="K219" s="31"/>
      <c r="L219" s="32">
        <v>3</v>
      </c>
      <c r="M219" s="33"/>
      <c r="N219" s="31"/>
      <c r="O219" s="31"/>
      <c r="P219" s="32">
        <v>4</v>
      </c>
      <c r="Q219" s="33"/>
      <c r="R219" s="31"/>
      <c r="S219" s="31"/>
      <c r="T219" s="31"/>
      <c r="U219" s="31"/>
      <c r="V219" s="60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ht="15.6" customHeight="1" spans="1:44" x14ac:dyDescent="0.25">
      <c r="A220" s="30"/>
      <c r="B220" s="31" t="s">
        <v>11</v>
      </c>
      <c r="C220" s="31"/>
      <c r="D220" s="32" t="s">
        <v>12</v>
      </c>
      <c r="E220" s="33"/>
      <c r="F220" s="31" t="s">
        <v>11</v>
      </c>
      <c r="G220" s="31"/>
      <c r="H220" s="32" t="s">
        <v>12</v>
      </c>
      <c r="I220" s="33"/>
      <c r="J220" s="31" t="s">
        <v>11</v>
      </c>
      <c r="K220" s="31"/>
      <c r="L220" s="32" t="s">
        <v>12</v>
      </c>
      <c r="M220" s="33"/>
      <c r="N220" s="31" t="s">
        <v>11</v>
      </c>
      <c r="O220" s="31"/>
      <c r="P220" s="32" t="s">
        <v>12</v>
      </c>
      <c r="Q220" s="33"/>
      <c r="R220" s="31"/>
      <c r="S220" s="31"/>
      <c r="T220" s="31"/>
      <c r="U220" s="31"/>
      <c r="V220" s="65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ht="15.6" customHeight="1" spans="1:44" x14ac:dyDescent="0.25">
      <c r="A221" s="30"/>
      <c r="B221" s="35"/>
      <c r="C221" s="35"/>
      <c r="D221" s="5"/>
      <c r="E221" s="5"/>
      <c r="F221" s="35"/>
      <c r="G221" s="35"/>
      <c r="H221" s="5"/>
      <c r="I221" s="5"/>
      <c r="J221" s="35"/>
      <c r="K221" s="35"/>
      <c r="L221" s="5"/>
      <c r="M221" s="5"/>
      <c r="N221" s="35"/>
      <c r="O221" s="35"/>
      <c r="P221" s="5"/>
      <c r="Q221" s="5"/>
      <c r="R221" s="35"/>
      <c r="S221" s="35"/>
      <c r="T221" s="35"/>
      <c r="U221" s="35"/>
      <c r="V221" s="65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ht="15.6" customHeight="1" spans="1:44" x14ac:dyDescent="0.25">
      <c r="A222" s="30"/>
      <c r="B222" s="31">
        <v>0</v>
      </c>
      <c r="C222" s="31"/>
      <c r="D222" s="37">
        <v>1</v>
      </c>
      <c r="E222" s="37"/>
      <c r="F222" s="31">
        <v>2</v>
      </c>
      <c r="G222" s="31"/>
      <c r="H222" s="37">
        <v>3</v>
      </c>
      <c r="I222" s="37"/>
      <c r="J222" s="31">
        <v>4</v>
      </c>
      <c r="K222" s="31"/>
      <c r="L222" s="37">
        <v>5</v>
      </c>
      <c r="M222" s="37"/>
      <c r="N222" s="31">
        <v>6</v>
      </c>
      <c r="O222" s="31"/>
      <c r="P222" s="37">
        <v>7</v>
      </c>
      <c r="Q222" s="37"/>
      <c r="R222" s="31">
        <v>8</v>
      </c>
      <c r="S222" s="31"/>
      <c r="T222" s="31">
        <v>9</v>
      </c>
      <c r="U222" s="31"/>
      <c r="V222" s="67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ht="15.6" customHeight="1" spans="1:44" x14ac:dyDescent="0.25">
      <c r="A223" s="30"/>
      <c r="B223" s="31" t="s">
        <v>13</v>
      </c>
      <c r="C223" s="31" t="s">
        <v>14</v>
      </c>
      <c r="D223" s="37" t="s">
        <v>15</v>
      </c>
      <c r="E223" s="37" t="s">
        <v>16</v>
      </c>
      <c r="F223" s="31" t="s">
        <v>13</v>
      </c>
      <c r="G223" s="31" t="s">
        <v>14</v>
      </c>
      <c r="H223" s="37" t="s">
        <v>15</v>
      </c>
      <c r="I223" s="37" t="s">
        <v>16</v>
      </c>
      <c r="J223" s="31" t="s">
        <v>13</v>
      </c>
      <c r="K223" s="31" t="s">
        <v>14</v>
      </c>
      <c r="L223" s="37" t="s">
        <v>15</v>
      </c>
      <c r="M223" s="37" t="s">
        <v>16</v>
      </c>
      <c r="N223" s="31" t="s">
        <v>13</v>
      </c>
      <c r="O223" s="31" t="s">
        <v>14</v>
      </c>
      <c r="P223" s="37" t="s">
        <v>15</v>
      </c>
      <c r="Q223" s="37" t="s">
        <v>16</v>
      </c>
      <c r="R223" s="31" t="s">
        <v>13</v>
      </c>
      <c r="S223" s="31" t="s">
        <v>14</v>
      </c>
      <c r="T223" s="31" t="s">
        <v>15</v>
      </c>
      <c r="U223" s="31" t="s">
        <v>16</v>
      </c>
      <c r="V223" s="67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ht="15.6" customHeight="1" spans="1:44" x14ac:dyDescent="0.25">
      <c r="A224" s="39"/>
      <c r="B224" s="40"/>
      <c r="C224" s="40"/>
      <c r="D224" s="41"/>
      <c r="E224" s="42"/>
      <c r="F224" s="40"/>
      <c r="G224" s="40"/>
      <c r="H224" s="41"/>
      <c r="I224" s="42"/>
      <c r="J224" s="40"/>
      <c r="K224" s="40"/>
      <c r="L224" s="41"/>
      <c r="M224" s="42"/>
      <c r="N224" s="40"/>
      <c r="O224" s="40"/>
      <c r="P224" s="41"/>
      <c r="Q224" s="42"/>
      <c r="R224" s="40"/>
      <c r="S224" s="40"/>
      <c r="T224" s="40"/>
      <c r="U224" s="40"/>
      <c r="V224" s="68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ht="15.6" customHeight="1" spans="1:44" x14ac:dyDescent="0.25">
      <c r="A225" s="3"/>
      <c r="B225" s="35"/>
      <c r="C225" s="35"/>
      <c r="D225" s="72"/>
      <c r="E225" s="5"/>
      <c r="F225" s="35"/>
      <c r="G225" s="35"/>
      <c r="H225" s="72"/>
      <c r="I225" s="5"/>
      <c r="J225" s="35"/>
      <c r="K225" s="35"/>
      <c r="L225" s="72"/>
      <c r="M225" s="5"/>
      <c r="N225" s="35"/>
      <c r="O225" s="35"/>
      <c r="P225" s="72"/>
      <c r="Q225" s="5"/>
      <c r="R225" s="35"/>
      <c r="S225" s="35"/>
      <c r="T225" s="35"/>
      <c r="U225" s="35"/>
      <c r="V225" s="38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ht="15.6" customHeight="1" spans="1:44" x14ac:dyDescent="0.25">
      <c r="A226" s="3"/>
      <c r="B226" s="76"/>
      <c r="C226" s="77"/>
      <c r="D226" s="78"/>
      <c r="E226" s="79"/>
      <c r="F226" s="76"/>
      <c r="G226" s="77"/>
      <c r="H226" s="78"/>
      <c r="I226" s="79"/>
      <c r="J226" s="76"/>
      <c r="K226" s="77"/>
      <c r="L226" s="78"/>
      <c r="M226" s="79"/>
      <c r="N226" s="76"/>
      <c r="O226" s="77"/>
      <c r="P226" s="78"/>
      <c r="Q226" s="79"/>
      <c r="R226" s="35"/>
      <c r="S226" s="35"/>
      <c r="T226" s="35"/>
      <c r="U226" s="35"/>
      <c r="V226" s="38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ht="15.6" customHeight="1" spans="1:44" x14ac:dyDescent="0.25">
      <c r="A227" s="3"/>
      <c r="B227" s="50">
        <f>IF(D226&lt;1,"","пом.")</f>
      </c>
      <c r="C227" s="50"/>
      <c r="D227" s="52"/>
      <c r="E227" s="53"/>
      <c r="F227" s="50">
        <f>IF(H226&lt;1,"","пом.")</f>
      </c>
      <c r="G227" s="50"/>
      <c r="H227" s="52"/>
      <c r="I227" s="53"/>
      <c r="J227" s="50">
        <f>IF(L226&lt;1,"","пом.")</f>
      </c>
      <c r="K227" s="50"/>
      <c r="L227" s="52"/>
      <c r="M227" s="53"/>
      <c r="N227" s="50">
        <f>IF(P226&lt;1,"","пом.")</f>
      </c>
      <c r="O227" s="50"/>
      <c r="P227" s="52"/>
      <c r="Q227" s="53"/>
      <c r="R227" s="35"/>
      <c r="S227" s="35"/>
      <c r="T227" s="35"/>
      <c r="U227" s="35"/>
      <c r="V227" s="38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ht="15.6" customHeight="1" spans="1:44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ht="15.6" customHeight="1" spans="1:44" x14ac:dyDescent="0.25">
      <c r="A229" s="3"/>
      <c r="B229" s="3"/>
      <c r="C229" s="3"/>
      <c r="D229" s="4"/>
      <c r="E229" s="5" t="s">
        <v>26</v>
      </c>
      <c r="F229" s="54" t="s">
        <v>27</v>
      </c>
      <c r="G229" s="54"/>
      <c r="H229" s="54"/>
      <c r="I229" s="100" t="s">
        <v>28</v>
      </c>
      <c r="J229" s="100"/>
      <c r="K229" s="100"/>
      <c r="L229" s="4"/>
      <c r="M229" s="4"/>
      <c r="N229" s="3"/>
      <c r="O229" s="35" t="s">
        <v>29</v>
      </c>
      <c r="P229" s="54" t="s">
        <v>30</v>
      </c>
      <c r="Q229" s="54"/>
      <c r="R229" s="54"/>
      <c r="S229" s="100" t="s">
        <v>31</v>
      </c>
      <c r="T229" s="100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ht="15.6" customHeight="1" spans="1:44" x14ac:dyDescent="0.25">
      <c r="A230" s="3"/>
      <c r="B230" s="3"/>
      <c r="C230" s="3"/>
      <c r="D230" s="4"/>
      <c r="E230" s="5" t="s">
        <v>32</v>
      </c>
      <c r="F230" s="54" t="s">
        <v>33</v>
      </c>
      <c r="G230" s="54"/>
      <c r="H230" s="54"/>
      <c r="I230" s="100" t="s">
        <v>34</v>
      </c>
      <c r="J230" s="100"/>
      <c r="K230" s="100"/>
      <c r="L230" s="4"/>
      <c r="M230" s="4"/>
      <c r="N230" s="3"/>
      <c r="O230" s="35" t="s">
        <v>35</v>
      </c>
      <c r="P230" s="54" t="s">
        <v>30</v>
      </c>
      <c r="Q230" s="54"/>
      <c r="R230" s="54"/>
      <c r="S230" s="101" t="s">
        <v>80</v>
      </c>
      <c r="T230" s="101"/>
      <c r="U230" s="101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ht="15.6" customHeight="1" spans="1:44" x14ac:dyDescent="0.25">
      <c r="A231" s="55"/>
      <c r="B231" s="55"/>
      <c r="C231" s="55"/>
      <c r="D231" s="56"/>
      <c r="E231" s="57"/>
      <c r="F231" s="55"/>
      <c r="G231" s="55"/>
      <c r="H231" s="56"/>
      <c r="I231" s="56"/>
      <c r="J231" s="55"/>
      <c r="K231" s="55"/>
      <c r="L231" s="56"/>
      <c r="M231" s="56"/>
      <c r="N231" s="55"/>
      <c r="O231" s="55"/>
      <c r="P231" s="56"/>
      <c r="Q231" s="56"/>
      <c r="R231" s="55"/>
      <c r="S231" s="55"/>
      <c r="T231" s="55"/>
      <c r="U231" s="55"/>
      <c r="V231" s="55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ht="15.6" customHeight="1" spans="1:44" x14ac:dyDescent="0.25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4" t="str">
        <f>N212</f>
        <v>1.1</v>
      </c>
      <c r="O232" s="14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ht="15.6" customHeight="1" spans="1:44" x14ac:dyDescent="0.25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5"/>
      <c r="K233" s="15"/>
      <c r="L233" s="16"/>
      <c r="M233" s="9" t="s">
        <v>5</v>
      </c>
      <c r="N233" s="18" t="str">
        <f>N213</f>
        <v>1.1.2</v>
      </c>
      <c r="O233" s="18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ht="15.6" customHeight="1" spans="1:44" x14ac:dyDescent="0.25">
      <c r="A234" s="3"/>
      <c r="B234" s="3"/>
      <c r="C234" s="3"/>
      <c r="D234" s="4"/>
      <c r="E234" s="4" t="s">
        <v>7</v>
      </c>
      <c r="F234" s="3"/>
      <c r="G234" s="3"/>
      <c r="H234" s="8"/>
      <c r="I234" s="8"/>
      <c r="J234" s="7"/>
      <c r="K234" s="7"/>
      <c r="L234" s="8"/>
      <c r="M234" s="19" t="s">
        <v>5</v>
      </c>
      <c r="N234" s="20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ht="15.6" customHeight="1" spans="1:44" x14ac:dyDescent="0.25">
      <c r="A235" s="3"/>
      <c r="B235" s="3"/>
      <c r="C235" s="3"/>
      <c r="D235" s="4"/>
      <c r="E235" s="4" t="s">
        <v>8</v>
      </c>
      <c r="F235" s="3"/>
      <c r="G235" s="3"/>
      <c r="H235" s="4"/>
      <c r="I235" s="4"/>
      <c r="J235" s="3"/>
      <c r="K235" s="3"/>
      <c r="L235" s="16"/>
      <c r="M235" s="19" t="s">
        <v>70</v>
      </c>
      <c r="N235" s="20" t="str">
        <f>IF(N215="-"&amp;N212&amp;".3",IF(N216=15,"-"&amp;N212&amp;".4","-"&amp;N212&amp;".3"),N215)</f>
        <v>-1.1.3</v>
      </c>
      <c r="O235" s="22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ht="15.6" customHeight="1" spans="1:44" x14ac:dyDescent="0.25">
      <c r="A236" s="3"/>
      <c r="B236" s="3"/>
      <c r="C236" s="3"/>
      <c r="D236" s="4"/>
      <c r="E236" s="24" t="s">
        <v>10</v>
      </c>
      <c r="F236" s="3"/>
      <c r="G236" s="3"/>
      <c r="H236" s="4"/>
      <c r="I236" s="8"/>
      <c r="J236" s="7"/>
      <c r="K236" s="7"/>
      <c r="L236" s="8"/>
      <c r="M236" s="19" t="s">
        <v>5</v>
      </c>
      <c r="N236" s="20">
        <f>IF(N235="-"&amp;N170&amp;".3",N216+1,IF(N215="-"&amp;N170&amp;".3",1,N216+1))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ht="7.9" customHeight="1" spans="1:44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ht="15.6" customHeight="1" spans="1:44" x14ac:dyDescent="0.25">
      <c r="A238" s="27"/>
      <c r="B238" s="28"/>
      <c r="C238" s="28"/>
      <c r="D238" s="29"/>
      <c r="E238" s="29"/>
      <c r="F238" s="28"/>
      <c r="G238" s="28"/>
      <c r="H238" s="29"/>
      <c r="I238" s="29"/>
      <c r="J238" s="28"/>
      <c r="K238" s="28"/>
      <c r="L238" s="29"/>
      <c r="M238" s="29"/>
      <c r="N238" s="28"/>
      <c r="O238" s="28"/>
      <c r="P238" s="29"/>
      <c r="Q238" s="29"/>
      <c r="R238" s="28"/>
      <c r="S238" s="28"/>
      <c r="T238" s="28"/>
      <c r="U238" s="28"/>
      <c r="V238" s="59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ht="15.6" customHeight="1" spans="1:44" x14ac:dyDescent="0.25">
      <c r="A239" s="30"/>
      <c r="B239" s="31"/>
      <c r="C239" s="31"/>
      <c r="D239" s="32">
        <v>1</v>
      </c>
      <c r="E239" s="33"/>
      <c r="F239" s="31"/>
      <c r="G239" s="31"/>
      <c r="H239" s="32">
        <v>2</v>
      </c>
      <c r="I239" s="33"/>
      <c r="J239" s="31"/>
      <c r="K239" s="31"/>
      <c r="L239" s="32">
        <v>3</v>
      </c>
      <c r="M239" s="33"/>
      <c r="N239" s="31"/>
      <c r="O239" s="31"/>
      <c r="P239" s="32">
        <v>4</v>
      </c>
      <c r="Q239" s="33"/>
      <c r="R239" s="31"/>
      <c r="S239" s="31"/>
      <c r="T239" s="31"/>
      <c r="U239" s="31"/>
      <c r="V239" s="60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ht="15.6" customHeight="1" spans="1:44" x14ac:dyDescent="0.25">
      <c r="A240" s="30"/>
      <c r="B240" s="31" t="s">
        <v>11</v>
      </c>
      <c r="C240" s="31"/>
      <c r="D240" s="32" t="s">
        <v>12</v>
      </c>
      <c r="E240" s="33"/>
      <c r="F240" s="31" t="s">
        <v>11</v>
      </c>
      <c r="G240" s="31"/>
      <c r="H240" s="32" t="s">
        <v>12</v>
      </c>
      <c r="I240" s="33"/>
      <c r="J240" s="31" t="s">
        <v>11</v>
      </c>
      <c r="K240" s="31"/>
      <c r="L240" s="32" t="s">
        <v>12</v>
      </c>
      <c r="M240" s="33"/>
      <c r="N240" s="31" t="s">
        <v>11</v>
      </c>
      <c r="O240" s="31"/>
      <c r="P240" s="32" t="s">
        <v>12</v>
      </c>
      <c r="Q240" s="33"/>
      <c r="R240" s="31"/>
      <c r="S240" s="31"/>
      <c r="T240" s="31"/>
      <c r="U240" s="31"/>
      <c r="V240" s="65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ht="15.6" customHeight="1" spans="1:44" x14ac:dyDescent="0.25">
      <c r="A241" s="30"/>
      <c r="B241" s="35"/>
      <c r="C241" s="35"/>
      <c r="D241" s="5"/>
      <c r="E241" s="5"/>
      <c r="F241" s="35"/>
      <c r="G241" s="35"/>
      <c r="H241" s="5"/>
      <c r="I241" s="5"/>
      <c r="J241" s="35"/>
      <c r="K241" s="35"/>
      <c r="L241" s="5"/>
      <c r="M241" s="5"/>
      <c r="N241" s="35"/>
      <c r="O241" s="35"/>
      <c r="P241" s="5"/>
      <c r="Q241" s="5"/>
      <c r="R241" s="35"/>
      <c r="S241" s="35"/>
      <c r="T241" s="35"/>
      <c r="U241" s="35"/>
      <c r="V241" s="65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ht="15.6" customHeight="1" spans="1:44" x14ac:dyDescent="0.25">
      <c r="A242" s="30"/>
      <c r="B242" s="31">
        <v>0</v>
      </c>
      <c r="C242" s="31"/>
      <c r="D242" s="37">
        <v>1</v>
      </c>
      <c r="E242" s="37"/>
      <c r="F242" s="31">
        <v>2</v>
      </c>
      <c r="G242" s="31"/>
      <c r="H242" s="37">
        <v>3</v>
      </c>
      <c r="I242" s="37"/>
      <c r="J242" s="31">
        <v>4</v>
      </c>
      <c r="K242" s="31"/>
      <c r="L242" s="37">
        <v>5</v>
      </c>
      <c r="M242" s="37"/>
      <c r="N242" s="31">
        <v>6</v>
      </c>
      <c r="O242" s="31"/>
      <c r="P242" s="37">
        <v>7</v>
      </c>
      <c r="Q242" s="37"/>
      <c r="R242" s="31">
        <v>8</v>
      </c>
      <c r="S242" s="31"/>
      <c r="T242" s="31">
        <v>9</v>
      </c>
      <c r="U242" s="31"/>
      <c r="V242" s="67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ht="15.6" customHeight="1" spans="1:44" x14ac:dyDescent="0.25">
      <c r="A243" s="30"/>
      <c r="B243" s="31" t="s">
        <v>13</v>
      </c>
      <c r="C243" s="31" t="s">
        <v>14</v>
      </c>
      <c r="D243" s="37" t="s">
        <v>15</v>
      </c>
      <c r="E243" s="37" t="s">
        <v>16</v>
      </c>
      <c r="F243" s="31" t="s">
        <v>13</v>
      </c>
      <c r="G243" s="31" t="s">
        <v>14</v>
      </c>
      <c r="H243" s="37" t="s">
        <v>15</v>
      </c>
      <c r="I243" s="37" t="s">
        <v>16</v>
      </c>
      <c r="J243" s="31" t="s">
        <v>13</v>
      </c>
      <c r="K243" s="31" t="s">
        <v>14</v>
      </c>
      <c r="L243" s="37" t="s">
        <v>15</v>
      </c>
      <c r="M243" s="37" t="s">
        <v>16</v>
      </c>
      <c r="N243" s="31" t="s">
        <v>13</v>
      </c>
      <c r="O243" s="31" t="s">
        <v>14</v>
      </c>
      <c r="P243" s="37" t="s">
        <v>15</v>
      </c>
      <c r="Q243" s="37" t="s">
        <v>16</v>
      </c>
      <c r="R243" s="31" t="s">
        <v>13</v>
      </c>
      <c r="S243" s="31" t="s">
        <v>14</v>
      </c>
      <c r="T243" s="31" t="s">
        <v>15</v>
      </c>
      <c r="U243" s="31" t="s">
        <v>16</v>
      </c>
      <c r="V243" s="67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ht="15.6" customHeight="1" spans="1:44" x14ac:dyDescent="0.25">
      <c r="A244" s="39"/>
      <c r="B244" s="40"/>
      <c r="C244" s="40"/>
      <c r="D244" s="41"/>
      <c r="E244" s="42"/>
      <c r="F244" s="40"/>
      <c r="G244" s="40"/>
      <c r="H244" s="41"/>
      <c r="I244" s="42"/>
      <c r="J244" s="40"/>
      <c r="K244" s="40"/>
      <c r="L244" s="41"/>
      <c r="M244" s="42"/>
      <c r="N244" s="40"/>
      <c r="O244" s="40"/>
      <c r="P244" s="41"/>
      <c r="Q244" s="42"/>
      <c r="R244" s="40"/>
      <c r="S244" s="40"/>
      <c r="T244" s="40"/>
      <c r="U244" s="40"/>
      <c r="V244" s="68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ht="9" customHeight="1" spans="1:44" x14ac:dyDescent="0.25">
      <c r="A245" s="3"/>
      <c r="B245" s="35"/>
      <c r="C245" s="35"/>
      <c r="D245" s="72"/>
      <c r="E245" s="5"/>
      <c r="F245" s="35"/>
      <c r="G245" s="35"/>
      <c r="H245" s="72"/>
      <c r="I245" s="5"/>
      <c r="J245" s="35"/>
      <c r="K245" s="35"/>
      <c r="L245" s="72"/>
      <c r="M245" s="5"/>
      <c r="N245" s="35"/>
      <c r="O245" s="35"/>
      <c r="P245" s="72"/>
      <c r="Q245" s="5"/>
      <c r="R245" s="35"/>
      <c r="S245" s="35"/>
      <c r="T245" s="35"/>
      <c r="U245" s="35"/>
      <c r="V245" s="38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ht="15.6" customHeight="1" spans="1:44" x14ac:dyDescent="0.25">
      <c r="A246" s="3"/>
      <c r="B246" s="76"/>
      <c r="C246" s="77"/>
      <c r="D246" s="78"/>
      <c r="E246" s="79"/>
      <c r="F246" s="76"/>
      <c r="G246" s="77"/>
      <c r="H246" s="78"/>
      <c r="I246" s="79"/>
      <c r="J246" s="76"/>
      <c r="K246" s="77"/>
      <c r="L246" s="78"/>
      <c r="M246" s="79"/>
      <c r="N246" s="76"/>
      <c r="O246" s="77"/>
      <c r="P246" s="78"/>
      <c r="Q246" s="79"/>
      <c r="R246" s="35"/>
      <c r="S246" s="35"/>
      <c r="T246" s="35"/>
      <c r="U246" s="35"/>
      <c r="V246" s="38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ht="15.6" customHeight="1" spans="1:44" x14ac:dyDescent="0.25">
      <c r="A247" s="3"/>
      <c r="B247" s="50">
        <f>IF(D246&lt;1,"","пом.")</f>
      </c>
      <c r="C247" s="50"/>
      <c r="D247" s="52"/>
      <c r="E247" s="53"/>
      <c r="F247" s="50">
        <f>IF(H246&lt;1,"","пом.")</f>
      </c>
      <c r="G247" s="50"/>
      <c r="H247" s="52"/>
      <c r="I247" s="53"/>
      <c r="J247" s="50">
        <f>IF(L246&lt;1,"","пом.")</f>
      </c>
      <c r="K247" s="50"/>
      <c r="L247" s="52"/>
      <c r="M247" s="53"/>
      <c r="N247" s="50">
        <f>IF(P246&lt;1,"","пом.")</f>
      </c>
      <c r="O247" s="50"/>
      <c r="P247" s="52"/>
      <c r="Q247" s="53"/>
      <c r="R247" s="35"/>
      <c r="S247" s="35"/>
      <c r="T247" s="35"/>
      <c r="U247" s="35"/>
      <c r="V247" s="38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ht="6.6" customHeight="1" spans="1:44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ht="15.6" customHeight="1" spans="1:44" x14ac:dyDescent="0.25">
      <c r="A249" s="3"/>
      <c r="B249" s="3"/>
      <c r="C249" s="3"/>
      <c r="D249" s="4"/>
      <c r="E249" s="5" t="s">
        <v>26</v>
      </c>
      <c r="F249" s="54" t="s">
        <v>27</v>
      </c>
      <c r="G249" s="54"/>
      <c r="H249" s="54"/>
      <c r="I249" s="100" t="s">
        <v>28</v>
      </c>
      <c r="J249" s="100"/>
      <c r="K249" s="100"/>
      <c r="L249" s="4"/>
      <c r="M249" s="4"/>
      <c r="N249" s="3"/>
      <c r="O249" s="35" t="s">
        <v>29</v>
      </c>
      <c r="P249" s="54" t="s">
        <v>30</v>
      </c>
      <c r="Q249" s="54"/>
      <c r="R249" s="54"/>
      <c r="S249" s="100" t="s">
        <v>31</v>
      </c>
      <c r="T249" s="100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ht="15.6" customHeight="1" spans="1:44" x14ac:dyDescent="0.25">
      <c r="A250" s="3"/>
      <c r="B250" s="3"/>
      <c r="C250" s="3"/>
      <c r="D250" s="4"/>
      <c r="E250" s="5" t="s">
        <v>32</v>
      </c>
      <c r="F250" s="54" t="s">
        <v>33</v>
      </c>
      <c r="G250" s="54"/>
      <c r="H250" s="54"/>
      <c r="I250" s="100" t="s">
        <v>34</v>
      </c>
      <c r="J250" s="100"/>
      <c r="K250" s="100"/>
      <c r="L250" s="4"/>
      <c r="M250" s="4"/>
      <c r="N250" s="3"/>
      <c r="O250" s="35" t="s">
        <v>35</v>
      </c>
      <c r="P250" s="54" t="s">
        <v>30</v>
      </c>
      <c r="Q250" s="54"/>
      <c r="R250" s="54"/>
      <c r="S250" s="101" t="s">
        <v>80</v>
      </c>
      <c r="T250" s="101"/>
      <c r="U250" s="101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ht="15.6" customHeight="1" spans="1:44" x14ac:dyDescent="0.25">
      <c r="A251" s="55"/>
      <c r="B251" s="55"/>
      <c r="C251" s="55"/>
      <c r="D251" s="56"/>
      <c r="E251" s="57"/>
      <c r="F251" s="55"/>
      <c r="G251" s="55"/>
      <c r="H251" s="56"/>
      <c r="I251" s="56"/>
      <c r="J251" s="55"/>
      <c r="K251" s="55"/>
      <c r="L251" s="56"/>
      <c r="M251" s="56"/>
      <c r="N251" s="55"/>
      <c r="O251" s="55"/>
      <c r="P251" s="56"/>
      <c r="Q251" s="56"/>
      <c r="R251" s="55"/>
      <c r="S251" s="55"/>
      <c r="T251" s="55"/>
      <c r="U251" s="55"/>
      <c r="V251" s="55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ht="15.6" customHeight="1" spans="1:44" x14ac:dyDescent="0.25">
      <c r="A252" s="55"/>
      <c r="B252" s="55"/>
      <c r="C252" s="55"/>
      <c r="D252" s="56"/>
      <c r="E252" s="57"/>
      <c r="F252" s="55"/>
      <c r="G252" s="55"/>
      <c r="H252" s="56"/>
      <c r="I252" s="56"/>
      <c r="J252" s="55"/>
      <c r="K252" s="55"/>
      <c r="L252" s="56"/>
      <c r="M252" s="56"/>
      <c r="N252" s="55"/>
      <c r="O252" s="55"/>
      <c r="P252" s="56"/>
      <c r="Q252" s="56"/>
      <c r="R252" s="55"/>
      <c r="S252" s="55"/>
      <c r="T252" s="55"/>
      <c r="U252" s="55"/>
      <c r="V252" s="55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ht="15.6" customHeight="1" hidden="1" spans="1:44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ht="15.6" customHeight="1" spans="1:44" x14ac:dyDescent="0.25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4" t="str">
        <f>N232</f>
        <v>1.1</v>
      </c>
      <c r="O254" s="14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ht="15.6" customHeight="1" spans="1:44" x14ac:dyDescent="0.25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5"/>
      <c r="K255" s="15"/>
      <c r="L255" s="16"/>
      <c r="M255" s="9" t="s">
        <v>5</v>
      </c>
      <c r="N255" s="18" t="str">
        <f>N254&amp;".2"</f>
        <v>1.1.2</v>
      </c>
      <c r="O255" s="18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ht="15.6" customHeight="1" spans="1:44" x14ac:dyDescent="0.25">
      <c r="A256" s="3"/>
      <c r="B256" s="3"/>
      <c r="C256" s="3"/>
      <c r="D256" s="4"/>
      <c r="E256" s="4" t="s">
        <v>7</v>
      </c>
      <c r="F256" s="3"/>
      <c r="G256" s="3"/>
      <c r="H256" s="8"/>
      <c r="I256" s="8"/>
      <c r="J256" s="7"/>
      <c r="K256" s="7"/>
      <c r="L256" s="8"/>
      <c r="M256" s="19" t="s">
        <v>5</v>
      </c>
      <c r="N256" s="20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ht="15.6" customHeight="1" spans="1:44" x14ac:dyDescent="0.25">
      <c r="A257" s="3"/>
      <c r="B257" s="3"/>
      <c r="C257" s="3"/>
      <c r="D257" s="4"/>
      <c r="E257" s="4" t="s">
        <v>8</v>
      </c>
      <c r="F257" s="3"/>
      <c r="G257" s="3"/>
      <c r="H257" s="4"/>
      <c r="I257" s="4"/>
      <c r="J257" s="3"/>
      <c r="K257" s="3"/>
      <c r="L257" s="16"/>
      <c r="M257" s="19" t="s">
        <v>70</v>
      </c>
      <c r="N257" s="20" t="str">
        <f>IF(N235="-"&amp;N212&amp;".3",IF(N236=15,"-"&amp;N212&amp;".4","-"&amp;N212&amp;".3"),N235)</f>
        <v>-1.1.3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ht="15.6" customHeight="1" spans="1:44" x14ac:dyDescent="0.25">
      <c r="A258" s="3"/>
      <c r="B258" s="3"/>
      <c r="C258" s="3"/>
      <c r="D258" s="4"/>
      <c r="E258" s="24" t="s">
        <v>10</v>
      </c>
      <c r="F258" s="3"/>
      <c r="G258" s="3"/>
      <c r="H258" s="4"/>
      <c r="I258" s="8"/>
      <c r="J258" s="7"/>
      <c r="K258" s="7"/>
      <c r="L258" s="8"/>
      <c r="M258" s="19" t="s">
        <v>5</v>
      </c>
      <c r="N258" s="20">
        <f>IF(N257="-"&amp;N212&amp;".3",N236+1,IF(N235="-"&amp;N212&amp;".3",1,N236+1))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ht="15.6" customHeight="1" spans="1:44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ht="15.6" customHeight="1" spans="1:44" x14ac:dyDescent="0.25">
      <c r="A260" s="27"/>
      <c r="B260" s="28"/>
      <c r="C260" s="28"/>
      <c r="D260" s="29"/>
      <c r="E260" s="29"/>
      <c r="F260" s="28"/>
      <c r="G260" s="28"/>
      <c r="H260" s="29"/>
      <c r="I260" s="29"/>
      <c r="J260" s="28"/>
      <c r="K260" s="28"/>
      <c r="L260" s="29"/>
      <c r="M260" s="29"/>
      <c r="N260" s="28"/>
      <c r="O260" s="28"/>
      <c r="P260" s="29"/>
      <c r="Q260" s="29"/>
      <c r="R260" s="28"/>
      <c r="S260" s="28"/>
      <c r="T260" s="28"/>
      <c r="U260" s="28"/>
      <c r="V260" s="59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ht="15.6" customHeight="1" spans="1:44" x14ac:dyDescent="0.25">
      <c r="A261" s="30"/>
      <c r="B261" s="31"/>
      <c r="C261" s="31"/>
      <c r="D261" s="32">
        <v>1</v>
      </c>
      <c r="E261" s="33"/>
      <c r="F261" s="31"/>
      <c r="G261" s="31"/>
      <c r="H261" s="32">
        <v>2</v>
      </c>
      <c r="I261" s="33"/>
      <c r="J261" s="31"/>
      <c r="K261" s="31"/>
      <c r="L261" s="32">
        <v>3</v>
      </c>
      <c r="M261" s="33"/>
      <c r="N261" s="31"/>
      <c r="O261" s="31"/>
      <c r="P261" s="32">
        <v>4</v>
      </c>
      <c r="Q261" s="33"/>
      <c r="R261" s="31"/>
      <c r="S261" s="31"/>
      <c r="T261" s="31"/>
      <c r="U261" s="31"/>
      <c r="V261" s="60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ht="15.6" customHeight="1" spans="1:44" x14ac:dyDescent="0.25">
      <c r="A262" s="30"/>
      <c r="B262" s="31" t="s">
        <v>11</v>
      </c>
      <c r="C262" s="31"/>
      <c r="D262" s="32" t="s">
        <v>12</v>
      </c>
      <c r="E262" s="33"/>
      <c r="F262" s="31" t="s">
        <v>11</v>
      </c>
      <c r="G262" s="31"/>
      <c r="H262" s="32" t="s">
        <v>12</v>
      </c>
      <c r="I262" s="33"/>
      <c r="J262" s="31" t="s">
        <v>11</v>
      </c>
      <c r="K262" s="31"/>
      <c r="L262" s="32" t="s">
        <v>12</v>
      </c>
      <c r="M262" s="33"/>
      <c r="N262" s="31" t="s">
        <v>11</v>
      </c>
      <c r="O262" s="31"/>
      <c r="P262" s="32" t="s">
        <v>12</v>
      </c>
      <c r="Q262" s="33"/>
      <c r="R262" s="31"/>
      <c r="S262" s="31"/>
      <c r="T262" s="31"/>
      <c r="U262" s="31"/>
      <c r="V262" s="65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ht="15.6" customHeight="1" spans="1:44" x14ac:dyDescent="0.25">
      <c r="A263" s="30"/>
      <c r="B263" s="35"/>
      <c r="C263" s="35"/>
      <c r="D263" s="5"/>
      <c r="E263" s="5"/>
      <c r="F263" s="35"/>
      <c r="G263" s="35"/>
      <c r="H263" s="5"/>
      <c r="I263" s="5"/>
      <c r="J263" s="35"/>
      <c r="K263" s="35"/>
      <c r="L263" s="5"/>
      <c r="M263" s="5"/>
      <c r="N263" s="35"/>
      <c r="O263" s="35"/>
      <c r="P263" s="5"/>
      <c r="Q263" s="5"/>
      <c r="R263" s="35"/>
      <c r="S263" s="35"/>
      <c r="T263" s="35"/>
      <c r="U263" s="35"/>
      <c r="V263" s="65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ht="15.6" customHeight="1" spans="1:44" x14ac:dyDescent="0.25">
      <c r="A264" s="30"/>
      <c r="B264" s="31">
        <v>0</v>
      </c>
      <c r="C264" s="31"/>
      <c r="D264" s="37">
        <v>1</v>
      </c>
      <c r="E264" s="37"/>
      <c r="F264" s="31">
        <v>2</v>
      </c>
      <c r="G264" s="31"/>
      <c r="H264" s="37">
        <v>3</v>
      </c>
      <c r="I264" s="37"/>
      <c r="J264" s="31">
        <v>4</v>
      </c>
      <c r="K264" s="31"/>
      <c r="L264" s="37">
        <v>5</v>
      </c>
      <c r="M264" s="37"/>
      <c r="N264" s="31">
        <v>6</v>
      </c>
      <c r="O264" s="31"/>
      <c r="P264" s="37">
        <v>7</v>
      </c>
      <c r="Q264" s="37"/>
      <c r="R264" s="31">
        <v>8</v>
      </c>
      <c r="S264" s="31"/>
      <c r="T264" s="31">
        <v>9</v>
      </c>
      <c r="U264" s="31"/>
      <c r="V264" s="67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ht="15.6" customHeight="1" spans="1:44" x14ac:dyDescent="0.25">
      <c r="A265" s="30"/>
      <c r="B265" s="31" t="s">
        <v>13</v>
      </c>
      <c r="C265" s="31" t="s">
        <v>14</v>
      </c>
      <c r="D265" s="37" t="s">
        <v>15</v>
      </c>
      <c r="E265" s="37" t="s">
        <v>16</v>
      </c>
      <c r="F265" s="31" t="s">
        <v>13</v>
      </c>
      <c r="G265" s="31" t="s">
        <v>14</v>
      </c>
      <c r="H265" s="37" t="s">
        <v>15</v>
      </c>
      <c r="I265" s="37" t="s">
        <v>16</v>
      </c>
      <c r="J265" s="31" t="s">
        <v>13</v>
      </c>
      <c r="K265" s="31" t="s">
        <v>14</v>
      </c>
      <c r="L265" s="37" t="s">
        <v>15</v>
      </c>
      <c r="M265" s="37" t="s">
        <v>16</v>
      </c>
      <c r="N265" s="31" t="s">
        <v>13</v>
      </c>
      <c r="O265" s="31" t="s">
        <v>14</v>
      </c>
      <c r="P265" s="37" t="s">
        <v>15</v>
      </c>
      <c r="Q265" s="37" t="s">
        <v>16</v>
      </c>
      <c r="R265" s="31" t="s">
        <v>13</v>
      </c>
      <c r="S265" s="31" t="s">
        <v>14</v>
      </c>
      <c r="T265" s="31" t="s">
        <v>15</v>
      </c>
      <c r="U265" s="31" t="s">
        <v>16</v>
      </c>
      <c r="V265" s="67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ht="15.6" customHeight="1" spans="1:44" x14ac:dyDescent="0.25">
      <c r="A266" s="39"/>
      <c r="B266" s="40"/>
      <c r="C266" s="40"/>
      <c r="D266" s="41"/>
      <c r="E266" s="42"/>
      <c r="F266" s="40"/>
      <c r="G266" s="40"/>
      <c r="H266" s="41"/>
      <c r="I266" s="42"/>
      <c r="J266" s="40"/>
      <c r="K266" s="40"/>
      <c r="L266" s="41"/>
      <c r="M266" s="42"/>
      <c r="N266" s="40"/>
      <c r="O266" s="40"/>
      <c r="P266" s="41"/>
      <c r="Q266" s="42"/>
      <c r="R266" s="40"/>
      <c r="S266" s="40"/>
      <c r="T266" s="40"/>
      <c r="U266" s="40"/>
      <c r="V266" s="68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ht="15.6" customHeight="1" spans="1:44" x14ac:dyDescent="0.25">
      <c r="A267" s="3"/>
      <c r="B267" s="35"/>
      <c r="C267" s="35"/>
      <c r="D267" s="72"/>
      <c r="E267" s="5"/>
      <c r="F267" s="35"/>
      <c r="G267" s="35"/>
      <c r="H267" s="72"/>
      <c r="I267" s="5"/>
      <c r="J267" s="35"/>
      <c r="K267" s="35"/>
      <c r="L267" s="72"/>
      <c r="M267" s="5"/>
      <c r="N267" s="35"/>
      <c r="O267" s="35"/>
      <c r="P267" s="72"/>
      <c r="Q267" s="5"/>
      <c r="R267" s="35"/>
      <c r="S267" s="35"/>
      <c r="T267" s="35"/>
      <c r="U267" s="35"/>
      <c r="V267" s="38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ht="15.6" customHeight="1" spans="1:44" x14ac:dyDescent="0.25">
      <c r="A268" s="3"/>
      <c r="B268" s="76"/>
      <c r="C268" s="77"/>
      <c r="D268" s="78"/>
      <c r="E268" s="79"/>
      <c r="F268" s="76"/>
      <c r="G268" s="77"/>
      <c r="H268" s="78"/>
      <c r="I268" s="79"/>
      <c r="J268" s="76"/>
      <c r="K268" s="77"/>
      <c r="L268" s="78"/>
      <c r="M268" s="79"/>
      <c r="N268" s="76"/>
      <c r="O268" s="77"/>
      <c r="P268" s="78"/>
      <c r="Q268" s="79"/>
      <c r="R268" s="35"/>
      <c r="S268" s="35"/>
      <c r="T268" s="35"/>
      <c r="U268" s="35"/>
      <c r="V268" s="38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ht="15.6" customHeight="1" spans="1:44" x14ac:dyDescent="0.25">
      <c r="A269" s="3"/>
      <c r="B269" s="50">
        <f>IF(D268&lt;1,"","пом.")</f>
      </c>
      <c r="C269" s="50"/>
      <c r="D269" s="52"/>
      <c r="E269" s="53"/>
      <c r="F269" s="50">
        <f>IF(H268&lt;1,"","пом.")</f>
      </c>
      <c r="G269" s="50"/>
      <c r="H269" s="52"/>
      <c r="I269" s="53"/>
      <c r="J269" s="50">
        <f>IF(L268&lt;1,"","пом.")</f>
      </c>
      <c r="K269" s="50"/>
      <c r="L269" s="52"/>
      <c r="M269" s="53"/>
      <c r="N269" s="50">
        <f>IF(P268&lt;1,"","пом.")</f>
      </c>
      <c r="O269" s="50"/>
      <c r="P269" s="52"/>
      <c r="Q269" s="53"/>
      <c r="R269" s="35"/>
      <c r="S269" s="35"/>
      <c r="T269" s="35"/>
      <c r="U269" s="35"/>
      <c r="V269" s="38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ht="15.6" customHeight="1" spans="1:44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ht="15.6" customHeight="1" spans="1:44" x14ac:dyDescent="0.25">
      <c r="A271" s="3"/>
      <c r="B271" s="3"/>
      <c r="C271" s="3"/>
      <c r="D271" s="4"/>
      <c r="E271" s="5" t="s">
        <v>26</v>
      </c>
      <c r="F271" s="54" t="s">
        <v>27</v>
      </c>
      <c r="G271" s="54"/>
      <c r="H271" s="54"/>
      <c r="I271" s="100" t="s">
        <v>28</v>
      </c>
      <c r="J271" s="100"/>
      <c r="K271" s="100"/>
      <c r="L271" s="4"/>
      <c r="M271" s="4"/>
      <c r="N271" s="3"/>
      <c r="O271" s="35" t="s">
        <v>29</v>
      </c>
      <c r="P271" s="54" t="s">
        <v>30</v>
      </c>
      <c r="Q271" s="54"/>
      <c r="R271" s="54"/>
      <c r="S271" s="100" t="s">
        <v>31</v>
      </c>
      <c r="T271" s="100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ht="15.6" customHeight="1" spans="1:44" x14ac:dyDescent="0.25">
      <c r="A272" s="3"/>
      <c r="B272" s="3"/>
      <c r="C272" s="3"/>
      <c r="D272" s="4"/>
      <c r="E272" s="5" t="s">
        <v>32</v>
      </c>
      <c r="F272" s="54" t="s">
        <v>33</v>
      </c>
      <c r="G272" s="54"/>
      <c r="H272" s="54"/>
      <c r="I272" s="100" t="s">
        <v>34</v>
      </c>
      <c r="J272" s="100"/>
      <c r="K272" s="100"/>
      <c r="L272" s="4"/>
      <c r="M272" s="4"/>
      <c r="N272" s="3"/>
      <c r="O272" s="35" t="s">
        <v>35</v>
      </c>
      <c r="P272" s="54" t="s">
        <v>30</v>
      </c>
      <c r="Q272" s="54"/>
      <c r="R272" s="54"/>
      <c r="S272" s="101" t="s">
        <v>80</v>
      </c>
      <c r="T272" s="101"/>
      <c r="U272" s="101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ht="15.6" customHeight="1" spans="1:44" x14ac:dyDescent="0.25">
      <c r="A273" s="55"/>
      <c r="B273" s="55"/>
      <c r="C273" s="55"/>
      <c r="D273" s="56"/>
      <c r="E273" s="57"/>
      <c r="F273" s="55"/>
      <c r="G273" s="55"/>
      <c r="H273" s="56"/>
      <c r="I273" s="56"/>
      <c r="J273" s="55"/>
      <c r="K273" s="55"/>
      <c r="L273" s="56"/>
      <c r="M273" s="56"/>
      <c r="N273" s="55"/>
      <c r="O273" s="55"/>
      <c r="P273" s="56"/>
      <c r="Q273" s="56"/>
      <c r="R273" s="55"/>
      <c r="S273" s="55"/>
      <c r="T273" s="55"/>
      <c r="U273" s="55"/>
      <c r="V273" s="55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ht="15.6" customHeight="1" spans="1:44" x14ac:dyDescent="0.25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4" t="str">
        <f>N254</f>
        <v>1.1</v>
      </c>
      <c r="O274" s="14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ht="15.6" customHeight="1" spans="1:44" x14ac:dyDescent="0.25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5"/>
      <c r="K275" s="15"/>
      <c r="L275" s="16"/>
      <c r="M275" s="9" t="s">
        <v>5</v>
      </c>
      <c r="N275" s="18" t="str">
        <f>N255</f>
        <v>1.1.2</v>
      </c>
      <c r="O275" s="18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ht="15.6" customHeight="1" spans="1:44" x14ac:dyDescent="0.25">
      <c r="A276" s="3"/>
      <c r="B276" s="3"/>
      <c r="C276" s="3"/>
      <c r="D276" s="4"/>
      <c r="E276" s="4" t="s">
        <v>7</v>
      </c>
      <c r="F276" s="3"/>
      <c r="G276" s="3"/>
      <c r="H276" s="8"/>
      <c r="I276" s="8"/>
      <c r="J276" s="7"/>
      <c r="K276" s="7"/>
      <c r="L276" s="8"/>
      <c r="M276" s="19" t="s">
        <v>5</v>
      </c>
      <c r="N276" s="20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ht="15.6" customHeight="1" spans="1:44" x14ac:dyDescent="0.25">
      <c r="A277" s="3"/>
      <c r="B277" s="3"/>
      <c r="C277" s="3"/>
      <c r="D277" s="4"/>
      <c r="E277" s="4" t="s">
        <v>8</v>
      </c>
      <c r="F277" s="3"/>
      <c r="G277" s="3"/>
      <c r="H277" s="4"/>
      <c r="I277" s="4"/>
      <c r="J277" s="3"/>
      <c r="K277" s="3"/>
      <c r="L277" s="16"/>
      <c r="M277" s="19" t="s">
        <v>70</v>
      </c>
      <c r="N277" s="20" t="str">
        <f>IF(N257="-"&amp;N254&amp;".3",IF(N258=15,"-"&amp;N254&amp;".4","-"&amp;N254&amp;".3"),N257)</f>
        <v>-1.1.3</v>
      </c>
      <c r="O277" s="22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ht="15.6" customHeight="1" spans="1:44" x14ac:dyDescent="0.25">
      <c r="A278" s="3"/>
      <c r="B278" s="3"/>
      <c r="C278" s="3"/>
      <c r="D278" s="4"/>
      <c r="E278" s="24" t="s">
        <v>10</v>
      </c>
      <c r="F278" s="3"/>
      <c r="G278" s="3"/>
      <c r="H278" s="4"/>
      <c r="I278" s="8"/>
      <c r="J278" s="7"/>
      <c r="K278" s="7"/>
      <c r="L278" s="8"/>
      <c r="M278" s="19" t="s">
        <v>5</v>
      </c>
      <c r="N278" s="20">
        <f>IF(N277="-"&amp;N212&amp;".3",N258+1,IF(N257="-"&amp;N212&amp;".3",1,N258+1))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ht="7.9" customHeight="1" spans="1:44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ht="15.6" customHeight="1" spans="1:44" x14ac:dyDescent="0.25">
      <c r="A280" s="27"/>
      <c r="B280" s="28"/>
      <c r="C280" s="28"/>
      <c r="D280" s="29"/>
      <c r="E280" s="29"/>
      <c r="F280" s="28"/>
      <c r="G280" s="28"/>
      <c r="H280" s="29"/>
      <c r="I280" s="29"/>
      <c r="J280" s="28"/>
      <c r="K280" s="28"/>
      <c r="L280" s="29"/>
      <c r="M280" s="29"/>
      <c r="N280" s="28"/>
      <c r="O280" s="28"/>
      <c r="P280" s="29"/>
      <c r="Q280" s="29"/>
      <c r="R280" s="28"/>
      <c r="S280" s="28"/>
      <c r="T280" s="28"/>
      <c r="U280" s="28"/>
      <c r="V280" s="59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ht="15.6" customHeight="1" spans="1:44" x14ac:dyDescent="0.25">
      <c r="A281" s="30"/>
      <c r="B281" s="31"/>
      <c r="C281" s="31"/>
      <c r="D281" s="32">
        <v>1</v>
      </c>
      <c r="E281" s="33"/>
      <c r="F281" s="31"/>
      <c r="G281" s="31"/>
      <c r="H281" s="32">
        <v>2</v>
      </c>
      <c r="I281" s="33"/>
      <c r="J281" s="31"/>
      <c r="K281" s="31"/>
      <c r="L281" s="32">
        <v>3</v>
      </c>
      <c r="M281" s="33"/>
      <c r="N281" s="31"/>
      <c r="O281" s="31"/>
      <c r="P281" s="32">
        <v>4</v>
      </c>
      <c r="Q281" s="33"/>
      <c r="R281" s="31"/>
      <c r="S281" s="31"/>
      <c r="T281" s="31"/>
      <c r="U281" s="31"/>
      <c r="V281" s="60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ht="15.6" customHeight="1" spans="1:44" x14ac:dyDescent="0.25">
      <c r="A282" s="30"/>
      <c r="B282" s="31" t="s">
        <v>11</v>
      </c>
      <c r="C282" s="31"/>
      <c r="D282" s="32" t="s">
        <v>12</v>
      </c>
      <c r="E282" s="33"/>
      <c r="F282" s="31" t="s">
        <v>11</v>
      </c>
      <c r="G282" s="31"/>
      <c r="H282" s="32" t="s">
        <v>12</v>
      </c>
      <c r="I282" s="33"/>
      <c r="J282" s="31" t="s">
        <v>11</v>
      </c>
      <c r="K282" s="31"/>
      <c r="L282" s="32" t="s">
        <v>12</v>
      </c>
      <c r="M282" s="33"/>
      <c r="N282" s="31" t="s">
        <v>11</v>
      </c>
      <c r="O282" s="31"/>
      <c r="P282" s="32" t="s">
        <v>12</v>
      </c>
      <c r="Q282" s="33"/>
      <c r="R282" s="31"/>
      <c r="S282" s="31"/>
      <c r="T282" s="31"/>
      <c r="U282" s="31"/>
      <c r="V282" s="65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ht="15.6" customHeight="1" spans="1:44" x14ac:dyDescent="0.25">
      <c r="A283" s="30"/>
      <c r="B283" s="35"/>
      <c r="C283" s="35"/>
      <c r="D283" s="5"/>
      <c r="E283" s="5"/>
      <c r="F283" s="35"/>
      <c r="G283" s="35"/>
      <c r="H283" s="5"/>
      <c r="I283" s="5"/>
      <c r="J283" s="35"/>
      <c r="K283" s="35"/>
      <c r="L283" s="5"/>
      <c r="M283" s="5"/>
      <c r="N283" s="35"/>
      <c r="O283" s="35"/>
      <c r="P283" s="5"/>
      <c r="Q283" s="5"/>
      <c r="R283" s="35"/>
      <c r="S283" s="35"/>
      <c r="T283" s="35"/>
      <c r="U283" s="35"/>
      <c r="V283" s="65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ht="15.6" customHeight="1" spans="1:44" x14ac:dyDescent="0.25">
      <c r="A284" s="30"/>
      <c r="B284" s="31">
        <v>0</v>
      </c>
      <c r="C284" s="31"/>
      <c r="D284" s="37">
        <v>1</v>
      </c>
      <c r="E284" s="37"/>
      <c r="F284" s="31">
        <v>2</v>
      </c>
      <c r="G284" s="31"/>
      <c r="H284" s="37">
        <v>3</v>
      </c>
      <c r="I284" s="37"/>
      <c r="J284" s="31">
        <v>4</v>
      </c>
      <c r="K284" s="31"/>
      <c r="L284" s="37">
        <v>5</v>
      </c>
      <c r="M284" s="37"/>
      <c r="N284" s="31">
        <v>6</v>
      </c>
      <c r="O284" s="31"/>
      <c r="P284" s="37">
        <v>7</v>
      </c>
      <c r="Q284" s="37"/>
      <c r="R284" s="31">
        <v>8</v>
      </c>
      <c r="S284" s="31"/>
      <c r="T284" s="31">
        <v>9</v>
      </c>
      <c r="U284" s="31"/>
      <c r="V284" s="67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ht="15.6" customHeight="1" spans="1:44" x14ac:dyDescent="0.25">
      <c r="A285" s="30"/>
      <c r="B285" s="31" t="s">
        <v>13</v>
      </c>
      <c r="C285" s="31" t="s">
        <v>14</v>
      </c>
      <c r="D285" s="37" t="s">
        <v>15</v>
      </c>
      <c r="E285" s="37" t="s">
        <v>16</v>
      </c>
      <c r="F285" s="31" t="s">
        <v>13</v>
      </c>
      <c r="G285" s="31" t="s">
        <v>14</v>
      </c>
      <c r="H285" s="37" t="s">
        <v>15</v>
      </c>
      <c r="I285" s="37" t="s">
        <v>16</v>
      </c>
      <c r="J285" s="31" t="s">
        <v>13</v>
      </c>
      <c r="K285" s="31" t="s">
        <v>14</v>
      </c>
      <c r="L285" s="37" t="s">
        <v>15</v>
      </c>
      <c r="M285" s="37" t="s">
        <v>16</v>
      </c>
      <c r="N285" s="31" t="s">
        <v>13</v>
      </c>
      <c r="O285" s="31" t="s">
        <v>14</v>
      </c>
      <c r="P285" s="37" t="s">
        <v>15</v>
      </c>
      <c r="Q285" s="37" t="s">
        <v>16</v>
      </c>
      <c r="R285" s="31" t="s">
        <v>13</v>
      </c>
      <c r="S285" s="31" t="s">
        <v>14</v>
      </c>
      <c r="T285" s="31" t="s">
        <v>15</v>
      </c>
      <c r="U285" s="31" t="s">
        <v>16</v>
      </c>
      <c r="V285" s="67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ht="15.6" customHeight="1" spans="1:44" x14ac:dyDescent="0.25">
      <c r="A286" s="39"/>
      <c r="B286" s="40"/>
      <c r="C286" s="40"/>
      <c r="D286" s="41"/>
      <c r="E286" s="42"/>
      <c r="F286" s="40"/>
      <c r="G286" s="40"/>
      <c r="H286" s="41"/>
      <c r="I286" s="42"/>
      <c r="J286" s="40"/>
      <c r="K286" s="40"/>
      <c r="L286" s="41"/>
      <c r="M286" s="42"/>
      <c r="N286" s="40"/>
      <c r="O286" s="40"/>
      <c r="P286" s="41"/>
      <c r="Q286" s="42"/>
      <c r="R286" s="40"/>
      <c r="S286" s="40"/>
      <c r="T286" s="40"/>
      <c r="U286" s="40"/>
      <c r="V286" s="68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ht="6.6" customHeight="1" spans="1:44" x14ac:dyDescent="0.25">
      <c r="A287" s="3"/>
      <c r="B287" s="35"/>
      <c r="C287" s="35"/>
      <c r="D287" s="72"/>
      <c r="E287" s="5"/>
      <c r="F287" s="35"/>
      <c r="G287" s="35"/>
      <c r="H287" s="72"/>
      <c r="I287" s="5"/>
      <c r="J287" s="35"/>
      <c r="K287" s="35"/>
      <c r="L287" s="72"/>
      <c r="M287" s="5"/>
      <c r="N287" s="35"/>
      <c r="O287" s="35"/>
      <c r="P287" s="72"/>
      <c r="Q287" s="5"/>
      <c r="R287" s="35"/>
      <c r="S287" s="35"/>
      <c r="T287" s="35"/>
      <c r="U287" s="35"/>
      <c r="V287" s="38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ht="15.6" customHeight="1" spans="1:44" x14ac:dyDescent="0.25">
      <c r="A288" s="3"/>
      <c r="B288" s="76"/>
      <c r="C288" s="77"/>
      <c r="D288" s="78"/>
      <c r="E288" s="79"/>
      <c r="F288" s="76"/>
      <c r="G288" s="77"/>
      <c r="H288" s="78"/>
      <c r="I288" s="79"/>
      <c r="J288" s="76"/>
      <c r="K288" s="77"/>
      <c r="L288" s="78"/>
      <c r="M288" s="79"/>
      <c r="N288" s="76"/>
      <c r="O288" s="77"/>
      <c r="P288" s="78"/>
      <c r="Q288" s="79"/>
      <c r="R288" s="35"/>
      <c r="S288" s="35"/>
      <c r="T288" s="35"/>
      <c r="U288" s="35"/>
      <c r="V288" s="38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ht="15.6" customHeight="1" spans="1:44" x14ac:dyDescent="0.25">
      <c r="A289" s="3"/>
      <c r="B289" s="50">
        <f>IF(D288&lt;1,"","пом.")</f>
      </c>
      <c r="C289" s="50"/>
      <c r="D289" s="52"/>
      <c r="E289" s="53"/>
      <c r="F289" s="50">
        <f>IF(H288&lt;1,"","пом.")</f>
      </c>
      <c r="G289" s="50"/>
      <c r="H289" s="52"/>
      <c r="I289" s="53"/>
      <c r="J289" s="50">
        <f>IF(L288&lt;1,"","пом.")</f>
      </c>
      <c r="K289" s="50"/>
      <c r="L289" s="52"/>
      <c r="M289" s="53"/>
      <c r="N289" s="50">
        <f>IF(P288&lt;1,"","пом.")</f>
      </c>
      <c r="O289" s="50"/>
      <c r="P289" s="52"/>
      <c r="Q289" s="53"/>
      <c r="R289" s="35"/>
      <c r="S289" s="35"/>
      <c r="T289" s="35"/>
      <c r="U289" s="35"/>
      <c r="V289" s="38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ht="6.6" customHeight="1" spans="1:44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ht="15.6" customHeight="1" spans="1:44" x14ac:dyDescent="0.25">
      <c r="A291" s="3"/>
      <c r="B291" s="3"/>
      <c r="C291" s="3"/>
      <c r="D291" s="4"/>
      <c r="E291" s="5" t="s">
        <v>26</v>
      </c>
      <c r="F291" s="54" t="s">
        <v>27</v>
      </c>
      <c r="G291" s="54"/>
      <c r="H291" s="54"/>
      <c r="I291" s="100" t="s">
        <v>28</v>
      </c>
      <c r="J291" s="100"/>
      <c r="K291" s="100"/>
      <c r="L291" s="4"/>
      <c r="M291" s="4"/>
      <c r="N291" s="3"/>
      <c r="O291" s="35" t="s">
        <v>29</v>
      </c>
      <c r="P291" s="54" t="s">
        <v>30</v>
      </c>
      <c r="Q291" s="54"/>
      <c r="R291" s="54"/>
      <c r="S291" s="100" t="s">
        <v>31</v>
      </c>
      <c r="T291" s="100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ht="15.6" customHeight="1" spans="1:44" x14ac:dyDescent="0.25">
      <c r="A292" s="3"/>
      <c r="B292" s="3"/>
      <c r="C292" s="3"/>
      <c r="D292" s="4"/>
      <c r="E292" s="5" t="s">
        <v>32</v>
      </c>
      <c r="F292" s="54" t="s">
        <v>33</v>
      </c>
      <c r="G292" s="54"/>
      <c r="H292" s="54"/>
      <c r="I292" s="100" t="s">
        <v>34</v>
      </c>
      <c r="J292" s="100"/>
      <c r="K292" s="100"/>
      <c r="L292" s="4"/>
      <c r="M292" s="4"/>
      <c r="N292" s="3"/>
      <c r="O292" s="35" t="s">
        <v>35</v>
      </c>
      <c r="P292" s="54" t="s">
        <v>30</v>
      </c>
      <c r="Q292" s="54"/>
      <c r="R292" s="54"/>
      <c r="S292" s="101" t="s">
        <v>80</v>
      </c>
      <c r="T292" s="101"/>
      <c r="U292" s="101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ht="15.6" customHeight="1" spans="1:44" x14ac:dyDescent="0.25">
      <c r="A293" s="55"/>
      <c r="B293" s="55"/>
      <c r="C293" s="55"/>
      <c r="D293" s="56"/>
      <c r="E293" s="57"/>
      <c r="F293" s="55"/>
      <c r="G293" s="55"/>
      <c r="H293" s="56"/>
      <c r="I293" s="56"/>
      <c r="J293" s="55"/>
      <c r="K293" s="55"/>
      <c r="L293" s="56"/>
      <c r="M293" s="56"/>
      <c r="N293" s="55"/>
      <c r="O293" s="55"/>
      <c r="P293" s="56"/>
      <c r="Q293" s="56"/>
      <c r="R293" s="55"/>
      <c r="S293" s="55"/>
      <c r="T293" s="55"/>
      <c r="U293" s="55"/>
      <c r="V293" s="55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ht="15.6" customHeight="1" spans="1:44" x14ac:dyDescent="0.25">
      <c r="A294" s="55"/>
      <c r="B294" s="55"/>
      <c r="C294" s="55"/>
      <c r="D294" s="56"/>
      <c r="E294" s="57"/>
      <c r="F294" s="55"/>
      <c r="G294" s="55"/>
      <c r="H294" s="56"/>
      <c r="I294" s="56"/>
      <c r="J294" s="55"/>
      <c r="K294" s="55"/>
      <c r="L294" s="56"/>
      <c r="M294" s="56"/>
      <c r="N294" s="55"/>
      <c r="O294" s="55"/>
      <c r="P294" s="56"/>
      <c r="Q294" s="56"/>
      <c r="R294" s="55"/>
      <c r="S294" s="55"/>
      <c r="T294" s="55"/>
      <c r="U294" s="55"/>
      <c r="V294" s="55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ht="15.6" customHeight="1" hidden="1" spans="1:44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ht="15.6" customHeight="1" spans="1:44" x14ac:dyDescent="0.25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4" t="str">
        <f>N274</f>
        <v>1.1</v>
      </c>
      <c r="O296" s="14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ht="15.6" customHeight="1" spans="1:44" x14ac:dyDescent="0.25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5"/>
      <c r="K297" s="15"/>
      <c r="L297" s="16"/>
      <c r="M297" s="9" t="s">
        <v>5</v>
      </c>
      <c r="N297" s="18" t="str">
        <f>N296&amp;".2"</f>
        <v>1.1.2</v>
      </c>
      <c r="O297" s="18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ht="15.6" customHeight="1" spans="1:44" x14ac:dyDescent="0.25">
      <c r="A298" s="3"/>
      <c r="B298" s="3"/>
      <c r="C298" s="3"/>
      <c r="D298" s="4"/>
      <c r="E298" s="4" t="s">
        <v>7</v>
      </c>
      <c r="F298" s="3"/>
      <c r="G298" s="3"/>
      <c r="H298" s="8"/>
      <c r="I298" s="8"/>
      <c r="J298" s="7"/>
      <c r="K298" s="7"/>
      <c r="L298" s="8"/>
      <c r="M298" s="19" t="s">
        <v>5</v>
      </c>
      <c r="N298" s="20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ht="15.6" customHeight="1" spans="1:44" x14ac:dyDescent="0.25">
      <c r="A299" s="3"/>
      <c r="B299" s="3"/>
      <c r="C299" s="3"/>
      <c r="D299" s="4"/>
      <c r="E299" s="4" t="s">
        <v>8</v>
      </c>
      <c r="F299" s="3"/>
      <c r="G299" s="3"/>
      <c r="H299" s="4"/>
      <c r="I299" s="4"/>
      <c r="J299" s="3"/>
      <c r="K299" s="3"/>
      <c r="L299" s="16"/>
      <c r="M299" s="19" t="s">
        <v>70</v>
      </c>
      <c r="N299" s="20" t="str">
        <f>IF(N277="-"&amp;N254&amp;".3",IF(N278=15,"-"&amp;N254&amp;".4","-"&amp;N254&amp;".3"),N277)</f>
        <v>-1.1.3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ht="15.6" customHeight="1" spans="1:44" x14ac:dyDescent="0.25">
      <c r="A300" s="3"/>
      <c r="B300" s="3"/>
      <c r="C300" s="3"/>
      <c r="D300" s="4"/>
      <c r="E300" s="24" t="s">
        <v>10</v>
      </c>
      <c r="F300" s="3"/>
      <c r="G300" s="3"/>
      <c r="H300" s="4"/>
      <c r="I300" s="8"/>
      <c r="J300" s="7"/>
      <c r="K300" s="7"/>
      <c r="L300" s="8"/>
      <c r="M300" s="19" t="s">
        <v>5</v>
      </c>
      <c r="N300" s="20">
        <f>IF(N299="-"&amp;N254&amp;".3",N278+1,IF(N277="-"&amp;N254&amp;".3",1,N278+1))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ht="15.6" customHeight="1" spans="1:44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ht="15.6" customHeight="1" spans="1:44" x14ac:dyDescent="0.25">
      <c r="A302" s="27"/>
      <c r="B302" s="28"/>
      <c r="C302" s="28"/>
      <c r="D302" s="29"/>
      <c r="E302" s="29"/>
      <c r="F302" s="28"/>
      <c r="G302" s="28"/>
      <c r="H302" s="29"/>
      <c r="I302" s="29"/>
      <c r="J302" s="28"/>
      <c r="K302" s="28"/>
      <c r="L302" s="29"/>
      <c r="M302" s="29"/>
      <c r="N302" s="28"/>
      <c r="O302" s="28"/>
      <c r="P302" s="29"/>
      <c r="Q302" s="29"/>
      <c r="R302" s="28"/>
      <c r="S302" s="28"/>
      <c r="T302" s="28"/>
      <c r="U302" s="28"/>
      <c r="V302" s="59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ht="15.6" customHeight="1" spans="1:44" x14ac:dyDescent="0.25">
      <c r="A303" s="30"/>
      <c r="B303" s="31"/>
      <c r="C303" s="31"/>
      <c r="D303" s="32">
        <v>1</v>
      </c>
      <c r="E303" s="33"/>
      <c r="F303" s="31"/>
      <c r="G303" s="31"/>
      <c r="H303" s="32">
        <v>2</v>
      </c>
      <c r="I303" s="33"/>
      <c r="J303" s="31"/>
      <c r="K303" s="31"/>
      <c r="L303" s="32">
        <v>3</v>
      </c>
      <c r="M303" s="33"/>
      <c r="N303" s="31"/>
      <c r="O303" s="31"/>
      <c r="P303" s="32">
        <v>4</v>
      </c>
      <c r="Q303" s="33"/>
      <c r="R303" s="31"/>
      <c r="S303" s="31"/>
      <c r="T303" s="31"/>
      <c r="U303" s="31"/>
      <c r="V303" s="60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ht="15.6" customHeight="1" spans="1:44" x14ac:dyDescent="0.25">
      <c r="A304" s="30"/>
      <c r="B304" s="31" t="s">
        <v>11</v>
      </c>
      <c r="C304" s="31"/>
      <c r="D304" s="32" t="s">
        <v>12</v>
      </c>
      <c r="E304" s="33"/>
      <c r="F304" s="31" t="s">
        <v>11</v>
      </c>
      <c r="G304" s="31"/>
      <c r="H304" s="32" t="s">
        <v>12</v>
      </c>
      <c r="I304" s="33"/>
      <c r="J304" s="31" t="s">
        <v>11</v>
      </c>
      <c r="K304" s="31"/>
      <c r="L304" s="32" t="s">
        <v>12</v>
      </c>
      <c r="M304" s="33"/>
      <c r="N304" s="31" t="s">
        <v>11</v>
      </c>
      <c r="O304" s="31"/>
      <c r="P304" s="32" t="s">
        <v>12</v>
      </c>
      <c r="Q304" s="33"/>
      <c r="R304" s="31"/>
      <c r="S304" s="31"/>
      <c r="T304" s="31"/>
      <c r="U304" s="31"/>
      <c r="V304" s="65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ht="15.6" customHeight="1" spans="1:44" x14ac:dyDescent="0.25">
      <c r="A305" s="30"/>
      <c r="B305" s="35"/>
      <c r="C305" s="35"/>
      <c r="D305" s="5"/>
      <c r="E305" s="5"/>
      <c r="F305" s="35"/>
      <c r="G305" s="35"/>
      <c r="H305" s="5"/>
      <c r="I305" s="5"/>
      <c r="J305" s="35"/>
      <c r="K305" s="35"/>
      <c r="L305" s="5"/>
      <c r="M305" s="5"/>
      <c r="N305" s="35"/>
      <c r="O305" s="35"/>
      <c r="P305" s="5"/>
      <c r="Q305" s="5"/>
      <c r="R305" s="35"/>
      <c r="S305" s="35"/>
      <c r="T305" s="35"/>
      <c r="U305" s="35"/>
      <c r="V305" s="65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ht="15.6" customHeight="1" spans="1:44" x14ac:dyDescent="0.25">
      <c r="A306" s="30"/>
      <c r="B306" s="31">
        <v>0</v>
      </c>
      <c r="C306" s="31"/>
      <c r="D306" s="37">
        <v>1</v>
      </c>
      <c r="E306" s="37"/>
      <c r="F306" s="31">
        <v>2</v>
      </c>
      <c r="G306" s="31"/>
      <c r="H306" s="37">
        <v>3</v>
      </c>
      <c r="I306" s="37"/>
      <c r="J306" s="31">
        <v>4</v>
      </c>
      <c r="K306" s="31"/>
      <c r="L306" s="37">
        <v>5</v>
      </c>
      <c r="M306" s="37"/>
      <c r="N306" s="31">
        <v>6</v>
      </c>
      <c r="O306" s="31"/>
      <c r="P306" s="37">
        <v>7</v>
      </c>
      <c r="Q306" s="37"/>
      <c r="R306" s="31">
        <v>8</v>
      </c>
      <c r="S306" s="31"/>
      <c r="T306" s="31">
        <v>9</v>
      </c>
      <c r="U306" s="31"/>
      <c r="V306" s="67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ht="15.6" customHeight="1" spans="1:44" x14ac:dyDescent="0.25">
      <c r="A307" s="30"/>
      <c r="B307" s="31" t="s">
        <v>13</v>
      </c>
      <c r="C307" s="31" t="s">
        <v>14</v>
      </c>
      <c r="D307" s="37" t="s">
        <v>15</v>
      </c>
      <c r="E307" s="37" t="s">
        <v>16</v>
      </c>
      <c r="F307" s="31" t="s">
        <v>13</v>
      </c>
      <c r="G307" s="31" t="s">
        <v>14</v>
      </c>
      <c r="H307" s="37" t="s">
        <v>15</v>
      </c>
      <c r="I307" s="37" t="s">
        <v>16</v>
      </c>
      <c r="J307" s="31" t="s">
        <v>13</v>
      </c>
      <c r="K307" s="31" t="s">
        <v>14</v>
      </c>
      <c r="L307" s="37" t="s">
        <v>15</v>
      </c>
      <c r="M307" s="37" t="s">
        <v>16</v>
      </c>
      <c r="N307" s="31" t="s">
        <v>13</v>
      </c>
      <c r="O307" s="31" t="s">
        <v>14</v>
      </c>
      <c r="P307" s="37" t="s">
        <v>15</v>
      </c>
      <c r="Q307" s="37" t="s">
        <v>16</v>
      </c>
      <c r="R307" s="31" t="s">
        <v>13</v>
      </c>
      <c r="S307" s="31" t="s">
        <v>14</v>
      </c>
      <c r="T307" s="31" t="s">
        <v>15</v>
      </c>
      <c r="U307" s="31" t="s">
        <v>16</v>
      </c>
      <c r="V307" s="67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ht="15.6" customHeight="1" spans="1:44" x14ac:dyDescent="0.25">
      <c r="A308" s="39"/>
      <c r="B308" s="40"/>
      <c r="C308" s="40"/>
      <c r="D308" s="41"/>
      <c r="E308" s="42"/>
      <c r="F308" s="40"/>
      <c r="G308" s="40"/>
      <c r="H308" s="41"/>
      <c r="I308" s="42"/>
      <c r="J308" s="40"/>
      <c r="K308" s="40"/>
      <c r="L308" s="41"/>
      <c r="M308" s="42"/>
      <c r="N308" s="40"/>
      <c r="O308" s="40"/>
      <c r="P308" s="41"/>
      <c r="Q308" s="42"/>
      <c r="R308" s="40"/>
      <c r="S308" s="40"/>
      <c r="T308" s="40"/>
      <c r="U308" s="40"/>
      <c r="V308" s="68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ht="15.6" customHeight="1" spans="1:44" x14ac:dyDescent="0.25">
      <c r="A309" s="3"/>
      <c r="B309" s="35"/>
      <c r="C309" s="35"/>
      <c r="D309" s="72"/>
      <c r="E309" s="5"/>
      <c r="F309" s="35"/>
      <c r="G309" s="35"/>
      <c r="H309" s="72"/>
      <c r="I309" s="5"/>
      <c r="J309" s="35"/>
      <c r="K309" s="35"/>
      <c r="L309" s="72"/>
      <c r="M309" s="5"/>
      <c r="N309" s="35"/>
      <c r="O309" s="35"/>
      <c r="P309" s="72"/>
      <c r="Q309" s="5"/>
      <c r="R309" s="35"/>
      <c r="S309" s="35"/>
      <c r="T309" s="35"/>
      <c r="U309" s="35"/>
      <c r="V309" s="38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ht="15.6" customHeight="1" spans="1:44" x14ac:dyDescent="0.25">
      <c r="A310" s="3"/>
      <c r="B310" s="76"/>
      <c r="C310" s="77"/>
      <c r="D310" s="78"/>
      <c r="E310" s="79"/>
      <c r="F310" s="76"/>
      <c r="G310" s="77"/>
      <c r="H310" s="78"/>
      <c r="I310" s="79"/>
      <c r="J310" s="76"/>
      <c r="K310" s="77"/>
      <c r="L310" s="78"/>
      <c r="M310" s="79"/>
      <c r="N310" s="76"/>
      <c r="O310" s="77"/>
      <c r="P310" s="78"/>
      <c r="Q310" s="79"/>
      <c r="R310" s="35"/>
      <c r="S310" s="35"/>
      <c r="T310" s="35"/>
      <c r="U310" s="35"/>
      <c r="V310" s="38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ht="15.6" customHeight="1" spans="1:44" x14ac:dyDescent="0.25">
      <c r="A311" s="3"/>
      <c r="B311" s="50">
        <f>IF(D310&lt;1,"","пом.")</f>
      </c>
      <c r="C311" s="50"/>
      <c r="D311" s="52"/>
      <c r="E311" s="53"/>
      <c r="F311" s="50">
        <f>IF(H310&lt;1,"","пом.")</f>
      </c>
      <c r="G311" s="50"/>
      <c r="H311" s="52"/>
      <c r="I311" s="53"/>
      <c r="J311" s="50">
        <f>IF(L310&lt;1,"","пом.")</f>
      </c>
      <c r="K311" s="50"/>
      <c r="L311" s="52"/>
      <c r="M311" s="53"/>
      <c r="N311" s="50">
        <f>IF(P310&lt;1,"","пом.")</f>
      </c>
      <c r="O311" s="50"/>
      <c r="P311" s="52"/>
      <c r="Q311" s="53"/>
      <c r="R311" s="35"/>
      <c r="S311" s="35"/>
      <c r="T311" s="35"/>
      <c r="U311" s="35"/>
      <c r="V311" s="38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ht="15.6" customHeight="1" spans="1:44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ht="15.6" customHeight="1" spans="1:44" x14ac:dyDescent="0.25">
      <c r="A313" s="3"/>
      <c r="B313" s="3"/>
      <c r="C313" s="3"/>
      <c r="D313" s="4"/>
      <c r="E313" s="5" t="s">
        <v>26</v>
      </c>
      <c r="F313" s="54" t="s">
        <v>27</v>
      </c>
      <c r="G313" s="54"/>
      <c r="H313" s="54"/>
      <c r="I313" s="100" t="s">
        <v>28</v>
      </c>
      <c r="J313" s="100"/>
      <c r="K313" s="100"/>
      <c r="L313" s="4"/>
      <c r="M313" s="4"/>
      <c r="N313" s="3"/>
      <c r="O313" s="35" t="s">
        <v>29</v>
      </c>
      <c r="P313" s="54" t="s">
        <v>30</v>
      </c>
      <c r="Q313" s="54"/>
      <c r="R313" s="54"/>
      <c r="S313" s="100" t="s">
        <v>31</v>
      </c>
      <c r="T313" s="100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ht="15.6" customHeight="1" spans="1:44" x14ac:dyDescent="0.25">
      <c r="A314" s="3"/>
      <c r="B314" s="3"/>
      <c r="C314" s="3"/>
      <c r="D314" s="4"/>
      <c r="E314" s="5" t="s">
        <v>32</v>
      </c>
      <c r="F314" s="54" t="s">
        <v>33</v>
      </c>
      <c r="G314" s="54"/>
      <c r="H314" s="54"/>
      <c r="I314" s="100" t="s">
        <v>34</v>
      </c>
      <c r="J314" s="100"/>
      <c r="K314" s="100"/>
      <c r="L314" s="4"/>
      <c r="M314" s="4"/>
      <c r="N314" s="3"/>
      <c r="O314" s="35" t="s">
        <v>35</v>
      </c>
      <c r="P314" s="54" t="s">
        <v>30</v>
      </c>
      <c r="Q314" s="54"/>
      <c r="R314" s="54"/>
      <c r="S314" s="101" t="s">
        <v>80</v>
      </c>
      <c r="T314" s="101"/>
      <c r="U314" s="101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ht="15.6" customHeight="1" spans="1:44" x14ac:dyDescent="0.25">
      <c r="A315" s="55"/>
      <c r="B315" s="55"/>
      <c r="C315" s="55"/>
      <c r="D315" s="56"/>
      <c r="E315" s="57"/>
      <c r="F315" s="55"/>
      <c r="G315" s="55"/>
      <c r="H315" s="56"/>
      <c r="I315" s="56"/>
      <c r="J315" s="55"/>
      <c r="K315" s="55"/>
      <c r="L315" s="56"/>
      <c r="M315" s="56"/>
      <c r="N315" s="55"/>
      <c r="O315" s="55"/>
      <c r="P315" s="56"/>
      <c r="Q315" s="56"/>
      <c r="R315" s="55"/>
      <c r="S315" s="55"/>
      <c r="T315" s="55"/>
      <c r="U315" s="55"/>
      <c r="V315" s="55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ht="15.6" customHeight="1" spans="1:44" x14ac:dyDescent="0.25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4" t="str">
        <f>N296</f>
        <v>1.1</v>
      </c>
      <c r="O316" s="14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ht="15.6" customHeight="1" spans="1:44" x14ac:dyDescent="0.25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5"/>
      <c r="K317" s="15"/>
      <c r="L317" s="16"/>
      <c r="M317" s="9" t="s">
        <v>5</v>
      </c>
      <c r="N317" s="18" t="str">
        <f>N297</f>
        <v>1.1.2</v>
      </c>
      <c r="O317" s="18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ht="15.6" customHeight="1" spans="1:44" x14ac:dyDescent="0.25">
      <c r="A318" s="3"/>
      <c r="B318" s="3"/>
      <c r="C318" s="3"/>
      <c r="D318" s="4"/>
      <c r="E318" s="4" t="s">
        <v>7</v>
      </c>
      <c r="F318" s="3"/>
      <c r="G318" s="3"/>
      <c r="H318" s="8"/>
      <c r="I318" s="8"/>
      <c r="J318" s="7"/>
      <c r="K318" s="7"/>
      <c r="L318" s="8"/>
      <c r="M318" s="19" t="s">
        <v>5</v>
      </c>
      <c r="N318" s="20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ht="15.6" customHeight="1" spans="1:44" x14ac:dyDescent="0.25">
      <c r="A319" s="3"/>
      <c r="B319" s="3"/>
      <c r="C319" s="3"/>
      <c r="D319" s="4"/>
      <c r="E319" s="4" t="s">
        <v>8</v>
      </c>
      <c r="F319" s="3"/>
      <c r="G319" s="3"/>
      <c r="H319" s="4"/>
      <c r="I319" s="4"/>
      <c r="J319" s="3"/>
      <c r="K319" s="3"/>
      <c r="L319" s="16"/>
      <c r="M319" s="19" t="s">
        <v>70</v>
      </c>
      <c r="N319" s="20" t="str">
        <f>IF(N299="-"&amp;N296&amp;".3",IF(N300=15,"-"&amp;N296&amp;".4","-"&amp;N296&amp;".3"),N299)</f>
        <v>-1.1.4</v>
      </c>
      <c r="O319" s="22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ht="15.6" customHeight="1" spans="1:44" x14ac:dyDescent="0.25">
      <c r="A320" s="3"/>
      <c r="B320" s="3"/>
      <c r="C320" s="3"/>
      <c r="D320" s="4"/>
      <c r="E320" s="24" t="s">
        <v>10</v>
      </c>
      <c r="F320" s="3"/>
      <c r="G320" s="3"/>
      <c r="H320" s="4"/>
      <c r="I320" s="8"/>
      <c r="J320" s="7"/>
      <c r="K320" s="7"/>
      <c r="L320" s="8"/>
      <c r="M320" s="19" t="s">
        <v>5</v>
      </c>
      <c r="N320" s="20">
        <f>IF(N319="-"&amp;N254&amp;".3",N300+1,IF(N299="-"&amp;N254&amp;".3",1,N300+1))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ht="6.6" customHeight="1" spans="1:44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ht="15.6" customHeight="1" spans="1:44" x14ac:dyDescent="0.25">
      <c r="A322" s="27"/>
      <c r="B322" s="28"/>
      <c r="C322" s="28"/>
      <c r="D322" s="29"/>
      <c r="E322" s="29"/>
      <c r="F322" s="28"/>
      <c r="G322" s="28"/>
      <c r="H322" s="29"/>
      <c r="I322" s="29"/>
      <c r="J322" s="28"/>
      <c r="K322" s="28"/>
      <c r="L322" s="29"/>
      <c r="M322" s="29"/>
      <c r="N322" s="28"/>
      <c r="O322" s="28"/>
      <c r="P322" s="29"/>
      <c r="Q322" s="29"/>
      <c r="R322" s="28"/>
      <c r="S322" s="28"/>
      <c r="T322" s="28"/>
      <c r="U322" s="28"/>
      <c r="V322" s="59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ht="15.6" customHeight="1" spans="1:44" x14ac:dyDescent="0.25">
      <c r="A323" s="30"/>
      <c r="B323" s="31"/>
      <c r="C323" s="31"/>
      <c r="D323" s="32">
        <v>1</v>
      </c>
      <c r="E323" s="33"/>
      <c r="F323" s="31"/>
      <c r="G323" s="31"/>
      <c r="H323" s="32">
        <v>2</v>
      </c>
      <c r="I323" s="33"/>
      <c r="J323" s="31"/>
      <c r="K323" s="31"/>
      <c r="L323" s="32">
        <v>3</v>
      </c>
      <c r="M323" s="33"/>
      <c r="N323" s="31"/>
      <c r="O323" s="31"/>
      <c r="P323" s="32">
        <v>4</v>
      </c>
      <c r="Q323" s="33"/>
      <c r="R323" s="31"/>
      <c r="S323" s="31"/>
      <c r="T323" s="31"/>
      <c r="U323" s="31"/>
      <c r="V323" s="60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ht="15.6" customHeight="1" spans="1:44" x14ac:dyDescent="0.25">
      <c r="A324" s="30"/>
      <c r="B324" s="31" t="s">
        <v>11</v>
      </c>
      <c r="C324" s="31"/>
      <c r="D324" s="32" t="s">
        <v>12</v>
      </c>
      <c r="E324" s="33"/>
      <c r="F324" s="31" t="s">
        <v>11</v>
      </c>
      <c r="G324" s="31"/>
      <c r="H324" s="32" t="s">
        <v>12</v>
      </c>
      <c r="I324" s="33"/>
      <c r="J324" s="31" t="s">
        <v>11</v>
      </c>
      <c r="K324" s="31"/>
      <c r="L324" s="32" t="s">
        <v>12</v>
      </c>
      <c r="M324" s="33"/>
      <c r="N324" s="31" t="s">
        <v>11</v>
      </c>
      <c r="O324" s="31"/>
      <c r="P324" s="32" t="s">
        <v>12</v>
      </c>
      <c r="Q324" s="33"/>
      <c r="R324" s="31"/>
      <c r="S324" s="31"/>
      <c r="T324" s="31"/>
      <c r="U324" s="31"/>
      <c r="V324" s="65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ht="15.6" customHeight="1" spans="1:44" x14ac:dyDescent="0.25">
      <c r="A325" s="30"/>
      <c r="B325" s="35"/>
      <c r="C325" s="35"/>
      <c r="D325" s="5"/>
      <c r="E325" s="5"/>
      <c r="F325" s="35"/>
      <c r="G325" s="35"/>
      <c r="H325" s="5"/>
      <c r="I325" s="5"/>
      <c r="J325" s="35"/>
      <c r="K325" s="35"/>
      <c r="L325" s="5"/>
      <c r="M325" s="5"/>
      <c r="N325" s="35"/>
      <c r="O325" s="35"/>
      <c r="P325" s="5"/>
      <c r="Q325" s="5"/>
      <c r="R325" s="35"/>
      <c r="S325" s="35"/>
      <c r="T325" s="35"/>
      <c r="U325" s="35"/>
      <c r="V325" s="65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ht="15.6" customHeight="1" spans="1:44" x14ac:dyDescent="0.25">
      <c r="A326" s="30"/>
      <c r="B326" s="31">
        <v>0</v>
      </c>
      <c r="C326" s="31"/>
      <c r="D326" s="37">
        <v>1</v>
      </c>
      <c r="E326" s="37"/>
      <c r="F326" s="31">
        <v>2</v>
      </c>
      <c r="G326" s="31"/>
      <c r="H326" s="37">
        <v>3</v>
      </c>
      <c r="I326" s="37"/>
      <c r="J326" s="31">
        <v>4</v>
      </c>
      <c r="K326" s="31"/>
      <c r="L326" s="37">
        <v>5</v>
      </c>
      <c r="M326" s="37"/>
      <c r="N326" s="31">
        <v>6</v>
      </c>
      <c r="O326" s="31"/>
      <c r="P326" s="37">
        <v>7</v>
      </c>
      <c r="Q326" s="37"/>
      <c r="R326" s="31">
        <v>8</v>
      </c>
      <c r="S326" s="31"/>
      <c r="T326" s="31">
        <v>9</v>
      </c>
      <c r="U326" s="31"/>
      <c r="V326" s="67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ht="15.6" customHeight="1" spans="1:44" x14ac:dyDescent="0.25">
      <c r="A327" s="30"/>
      <c r="B327" s="31" t="s">
        <v>13</v>
      </c>
      <c r="C327" s="31" t="s">
        <v>14</v>
      </c>
      <c r="D327" s="37" t="s">
        <v>15</v>
      </c>
      <c r="E327" s="37" t="s">
        <v>16</v>
      </c>
      <c r="F327" s="31" t="s">
        <v>13</v>
      </c>
      <c r="G327" s="31" t="s">
        <v>14</v>
      </c>
      <c r="H327" s="37" t="s">
        <v>15</v>
      </c>
      <c r="I327" s="37" t="s">
        <v>16</v>
      </c>
      <c r="J327" s="31" t="s">
        <v>13</v>
      </c>
      <c r="K327" s="31" t="s">
        <v>14</v>
      </c>
      <c r="L327" s="37" t="s">
        <v>15</v>
      </c>
      <c r="M327" s="37" t="s">
        <v>16</v>
      </c>
      <c r="N327" s="31" t="s">
        <v>13</v>
      </c>
      <c r="O327" s="31" t="s">
        <v>14</v>
      </c>
      <c r="P327" s="37" t="s">
        <v>15</v>
      </c>
      <c r="Q327" s="37" t="s">
        <v>16</v>
      </c>
      <c r="R327" s="31" t="s">
        <v>13</v>
      </c>
      <c r="S327" s="31" t="s">
        <v>14</v>
      </c>
      <c r="T327" s="31" t="s">
        <v>15</v>
      </c>
      <c r="U327" s="31" t="s">
        <v>16</v>
      </c>
      <c r="V327" s="67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ht="15.6" customHeight="1" spans="1:44" x14ac:dyDescent="0.25">
      <c r="A328" s="39"/>
      <c r="B328" s="40"/>
      <c r="C328" s="40"/>
      <c r="D328" s="41"/>
      <c r="E328" s="42"/>
      <c r="F328" s="40"/>
      <c r="G328" s="40"/>
      <c r="H328" s="41"/>
      <c r="I328" s="42"/>
      <c r="J328" s="40"/>
      <c r="K328" s="40"/>
      <c r="L328" s="41"/>
      <c r="M328" s="42"/>
      <c r="N328" s="40"/>
      <c r="O328" s="40"/>
      <c r="P328" s="41"/>
      <c r="Q328" s="42"/>
      <c r="R328" s="40"/>
      <c r="S328" s="40"/>
      <c r="T328" s="40"/>
      <c r="U328" s="40"/>
      <c r="V328" s="68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ht="6.6" customHeight="1" spans="1:44" x14ac:dyDescent="0.25">
      <c r="A329" s="3"/>
      <c r="B329" s="35"/>
      <c r="C329" s="35"/>
      <c r="D329" s="72"/>
      <c r="E329" s="5"/>
      <c r="F329" s="35"/>
      <c r="G329" s="35"/>
      <c r="H329" s="72"/>
      <c r="I329" s="5"/>
      <c r="J329" s="35"/>
      <c r="K329" s="35"/>
      <c r="L329" s="72"/>
      <c r="M329" s="5"/>
      <c r="N329" s="35"/>
      <c r="O329" s="35"/>
      <c r="P329" s="72"/>
      <c r="Q329" s="5"/>
      <c r="R329" s="35"/>
      <c r="S329" s="35"/>
      <c r="T329" s="35"/>
      <c r="U329" s="35"/>
      <c r="V329" s="38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ht="15.6" customHeight="1" spans="1:44" x14ac:dyDescent="0.25">
      <c r="A330" s="3"/>
      <c r="B330" s="76"/>
      <c r="C330" s="77"/>
      <c r="D330" s="78"/>
      <c r="E330" s="79"/>
      <c r="F330" s="76"/>
      <c r="G330" s="77"/>
      <c r="H330" s="78"/>
      <c r="I330" s="79"/>
      <c r="J330" s="76"/>
      <c r="K330" s="77"/>
      <c r="L330" s="78"/>
      <c r="M330" s="79"/>
      <c r="N330" s="76"/>
      <c r="O330" s="77"/>
      <c r="P330" s="78"/>
      <c r="Q330" s="79"/>
      <c r="R330" s="35"/>
      <c r="S330" s="35"/>
      <c r="T330" s="35"/>
      <c r="U330" s="35"/>
      <c r="V330" s="38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ht="15.6" customHeight="1" spans="1:44" x14ac:dyDescent="0.25">
      <c r="A331" s="3"/>
      <c r="B331" s="50">
        <f>IF(D330&lt;1,"","пом.")</f>
      </c>
      <c r="C331" s="50"/>
      <c r="D331" s="52"/>
      <c r="E331" s="53"/>
      <c r="F331" s="50">
        <f>IF(H330&lt;1,"","пом.")</f>
      </c>
      <c r="G331" s="50"/>
      <c r="H331" s="52"/>
      <c r="I331" s="53"/>
      <c r="J331" s="50">
        <f>IF(L330&lt;1,"","пом.")</f>
      </c>
      <c r="K331" s="50"/>
      <c r="L331" s="52"/>
      <c r="M331" s="53"/>
      <c r="N331" s="50">
        <f>IF(P330&lt;1,"","пом.")</f>
      </c>
      <c r="O331" s="50"/>
      <c r="P331" s="52"/>
      <c r="Q331" s="53"/>
      <c r="R331" s="35"/>
      <c r="S331" s="35"/>
      <c r="T331" s="35"/>
      <c r="U331" s="35"/>
      <c r="V331" s="38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ht="7.9" customHeight="1" spans="1:44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ht="15.6" customHeight="1" spans="1:44" x14ac:dyDescent="0.25">
      <c r="A333" s="3"/>
      <c r="B333" s="3"/>
      <c r="C333" s="3"/>
      <c r="D333" s="4"/>
      <c r="E333" s="5" t="s">
        <v>26</v>
      </c>
      <c r="F333" s="54" t="s">
        <v>27</v>
      </c>
      <c r="G333" s="54"/>
      <c r="H333" s="54"/>
      <c r="I333" s="100" t="s">
        <v>28</v>
      </c>
      <c r="J333" s="100"/>
      <c r="K333" s="100"/>
      <c r="L333" s="4"/>
      <c r="M333" s="4"/>
      <c r="N333" s="3"/>
      <c r="O333" s="35" t="s">
        <v>29</v>
      </c>
      <c r="P333" s="54" t="s">
        <v>30</v>
      </c>
      <c r="Q333" s="54"/>
      <c r="R333" s="54"/>
      <c r="S333" s="100" t="s">
        <v>31</v>
      </c>
      <c r="T333" s="100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ht="15.6" customHeight="1" spans="1:44" x14ac:dyDescent="0.25">
      <c r="A334" s="3"/>
      <c r="B334" s="3"/>
      <c r="C334" s="3"/>
      <c r="D334" s="4"/>
      <c r="E334" s="5" t="s">
        <v>32</v>
      </c>
      <c r="F334" s="54" t="s">
        <v>33</v>
      </c>
      <c r="G334" s="54"/>
      <c r="H334" s="54"/>
      <c r="I334" s="100" t="s">
        <v>34</v>
      </c>
      <c r="J334" s="100"/>
      <c r="K334" s="100"/>
      <c r="L334" s="4"/>
      <c r="M334" s="4"/>
      <c r="N334" s="3"/>
      <c r="O334" s="35" t="s">
        <v>35</v>
      </c>
      <c r="P334" s="54" t="s">
        <v>30</v>
      </c>
      <c r="Q334" s="54"/>
      <c r="R334" s="54"/>
      <c r="S334" s="101" t="s">
        <v>80</v>
      </c>
      <c r="T334" s="101"/>
      <c r="U334" s="101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ht="15.6" customHeight="1" spans="1:44" x14ac:dyDescent="0.25">
      <c r="A335" s="55"/>
      <c r="B335" s="55"/>
      <c r="C335" s="55"/>
      <c r="D335" s="56"/>
      <c r="E335" s="57"/>
      <c r="F335" s="55"/>
      <c r="G335" s="55"/>
      <c r="H335" s="56"/>
      <c r="I335" s="56"/>
      <c r="J335" s="55"/>
      <c r="K335" s="55"/>
      <c r="L335" s="56"/>
      <c r="M335" s="56"/>
      <c r="N335" s="55"/>
      <c r="O335" s="55"/>
      <c r="P335" s="56"/>
      <c r="Q335" s="56"/>
      <c r="R335" s="55"/>
      <c r="S335" s="55"/>
      <c r="T335" s="55"/>
      <c r="U335" s="55"/>
      <c r="V335" s="55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ht="15.6" customHeight="1" spans="1:44" x14ac:dyDescent="0.25">
      <c r="A336" s="55"/>
      <c r="B336" s="55"/>
      <c r="C336" s="55"/>
      <c r="D336" s="56"/>
      <c r="E336" s="57"/>
      <c r="F336" s="55"/>
      <c r="G336" s="55"/>
      <c r="H336" s="56"/>
      <c r="I336" s="56"/>
      <c r="J336" s="55"/>
      <c r="K336" s="55"/>
      <c r="L336" s="56"/>
      <c r="M336" s="56"/>
      <c r="N336" s="55"/>
      <c r="O336" s="55"/>
      <c r="P336" s="56"/>
      <c r="Q336" s="56"/>
      <c r="R336" s="55"/>
      <c r="S336" s="55"/>
      <c r="T336" s="55"/>
      <c r="U336" s="55"/>
      <c r="V336" s="55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ht="15.6" customHeight="1" hidden="1" spans="1:44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ht="15.6" customHeight="1" spans="1:44" x14ac:dyDescent="0.25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4" t="str">
        <f>N316</f>
        <v>1.1</v>
      </c>
      <c r="O338" s="14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ht="15.6" customHeight="1" spans="1:44" x14ac:dyDescent="0.25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5"/>
      <c r="K339" s="15"/>
      <c r="L339" s="16"/>
      <c r="M339" s="9" t="s">
        <v>5</v>
      </c>
      <c r="N339" s="18" t="str">
        <f>N338&amp;".2"</f>
        <v>1.1.2</v>
      </c>
      <c r="O339" s="18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ht="15.6" customHeight="1" spans="1:44" x14ac:dyDescent="0.25">
      <c r="A340" s="3"/>
      <c r="B340" s="3"/>
      <c r="C340" s="3"/>
      <c r="D340" s="4"/>
      <c r="E340" s="4" t="s">
        <v>7</v>
      </c>
      <c r="F340" s="3"/>
      <c r="G340" s="3"/>
      <c r="H340" s="8"/>
      <c r="I340" s="8"/>
      <c r="J340" s="7"/>
      <c r="K340" s="7"/>
      <c r="L340" s="8"/>
      <c r="M340" s="19" t="s">
        <v>5</v>
      </c>
      <c r="N340" s="20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ht="15.6" customHeight="1" spans="1:44" x14ac:dyDescent="0.25">
      <c r="A341" s="3"/>
      <c r="B341" s="3"/>
      <c r="C341" s="3"/>
      <c r="D341" s="4"/>
      <c r="E341" s="4" t="s">
        <v>8</v>
      </c>
      <c r="F341" s="3"/>
      <c r="G341" s="3"/>
      <c r="H341" s="4"/>
      <c r="I341" s="4"/>
      <c r="J341" s="3"/>
      <c r="K341" s="3"/>
      <c r="L341" s="16"/>
      <c r="M341" s="19" t="s">
        <v>70</v>
      </c>
      <c r="N341" s="20" t="str">
        <f>IF(N319="-"&amp;N296&amp;".3",IF(N320=15,"-"&amp;N296&amp;".4","-"&amp;N296&amp;".3"),N319)</f>
        <v>-1.1.4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ht="15.6" customHeight="1" spans="1:44" x14ac:dyDescent="0.25">
      <c r="A342" s="3"/>
      <c r="B342" s="3"/>
      <c r="C342" s="3"/>
      <c r="D342" s="4"/>
      <c r="E342" s="24" t="s">
        <v>10</v>
      </c>
      <c r="F342" s="3"/>
      <c r="G342" s="3"/>
      <c r="H342" s="4"/>
      <c r="I342" s="8"/>
      <c r="J342" s="7"/>
      <c r="K342" s="7"/>
      <c r="L342" s="8"/>
      <c r="M342" s="19" t="s">
        <v>5</v>
      </c>
      <c r="N342" s="20">
        <f>IF(N341="-"&amp;N296&amp;".3",N320+1,IF(N319="-"&amp;N296&amp;".3",1,N320+1))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ht="15.6" customHeight="1" spans="1:44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ht="15.6" customHeight="1" spans="1:44" x14ac:dyDescent="0.25">
      <c r="A344" s="27"/>
      <c r="B344" s="28"/>
      <c r="C344" s="28"/>
      <c r="D344" s="29"/>
      <c r="E344" s="29"/>
      <c r="F344" s="28"/>
      <c r="G344" s="28"/>
      <c r="H344" s="29"/>
      <c r="I344" s="29"/>
      <c r="J344" s="28"/>
      <c r="K344" s="28"/>
      <c r="L344" s="29"/>
      <c r="M344" s="29"/>
      <c r="N344" s="28"/>
      <c r="O344" s="28"/>
      <c r="P344" s="29"/>
      <c r="Q344" s="29"/>
      <c r="R344" s="28"/>
      <c r="S344" s="28"/>
      <c r="T344" s="28"/>
      <c r="U344" s="28"/>
      <c r="V344" s="59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ht="15.6" customHeight="1" spans="1:44" x14ac:dyDescent="0.25">
      <c r="A345" s="30"/>
      <c r="B345" s="31"/>
      <c r="C345" s="31"/>
      <c r="D345" s="32">
        <v>1</v>
      </c>
      <c r="E345" s="33"/>
      <c r="F345" s="31"/>
      <c r="G345" s="31"/>
      <c r="H345" s="32">
        <v>2</v>
      </c>
      <c r="I345" s="33"/>
      <c r="J345" s="31"/>
      <c r="K345" s="31"/>
      <c r="L345" s="32">
        <v>3</v>
      </c>
      <c r="M345" s="33"/>
      <c r="N345" s="31"/>
      <c r="O345" s="31"/>
      <c r="P345" s="32">
        <v>4</v>
      </c>
      <c r="Q345" s="33"/>
      <c r="R345" s="31"/>
      <c r="S345" s="31"/>
      <c r="T345" s="31"/>
      <c r="U345" s="31"/>
      <c r="V345" s="60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ht="15.6" customHeight="1" spans="1:44" x14ac:dyDescent="0.25">
      <c r="A346" s="30"/>
      <c r="B346" s="31" t="s">
        <v>11</v>
      </c>
      <c r="C346" s="31"/>
      <c r="D346" s="32" t="s">
        <v>12</v>
      </c>
      <c r="E346" s="33"/>
      <c r="F346" s="31" t="s">
        <v>11</v>
      </c>
      <c r="G346" s="31"/>
      <c r="H346" s="32" t="s">
        <v>12</v>
      </c>
      <c r="I346" s="33"/>
      <c r="J346" s="31" t="s">
        <v>11</v>
      </c>
      <c r="K346" s="31"/>
      <c r="L346" s="32" t="s">
        <v>12</v>
      </c>
      <c r="M346" s="33"/>
      <c r="N346" s="31" t="s">
        <v>11</v>
      </c>
      <c r="O346" s="31"/>
      <c r="P346" s="32" t="s">
        <v>12</v>
      </c>
      <c r="Q346" s="33"/>
      <c r="R346" s="31"/>
      <c r="S346" s="31"/>
      <c r="T346" s="31"/>
      <c r="U346" s="31"/>
      <c r="V346" s="65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ht="15.6" customHeight="1" spans="1:44" x14ac:dyDescent="0.25">
      <c r="A347" s="30"/>
      <c r="B347" s="35"/>
      <c r="C347" s="35"/>
      <c r="D347" s="5"/>
      <c r="E347" s="5"/>
      <c r="F347" s="35"/>
      <c r="G347" s="35"/>
      <c r="H347" s="5"/>
      <c r="I347" s="5"/>
      <c r="J347" s="35"/>
      <c r="K347" s="35"/>
      <c r="L347" s="5"/>
      <c r="M347" s="5"/>
      <c r="N347" s="35"/>
      <c r="O347" s="35"/>
      <c r="P347" s="5"/>
      <c r="Q347" s="5"/>
      <c r="R347" s="35"/>
      <c r="S347" s="35"/>
      <c r="T347" s="35"/>
      <c r="U347" s="35"/>
      <c r="V347" s="65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ht="15.6" customHeight="1" spans="1:44" x14ac:dyDescent="0.25">
      <c r="A348" s="30"/>
      <c r="B348" s="31">
        <v>0</v>
      </c>
      <c r="C348" s="31"/>
      <c r="D348" s="37">
        <v>1</v>
      </c>
      <c r="E348" s="37"/>
      <c r="F348" s="31">
        <v>2</v>
      </c>
      <c r="G348" s="31"/>
      <c r="H348" s="37">
        <v>3</v>
      </c>
      <c r="I348" s="37"/>
      <c r="J348" s="31">
        <v>4</v>
      </c>
      <c r="K348" s="31"/>
      <c r="L348" s="37">
        <v>5</v>
      </c>
      <c r="M348" s="37"/>
      <c r="N348" s="31">
        <v>6</v>
      </c>
      <c r="O348" s="31"/>
      <c r="P348" s="37">
        <v>7</v>
      </c>
      <c r="Q348" s="37"/>
      <c r="R348" s="31">
        <v>8</v>
      </c>
      <c r="S348" s="31"/>
      <c r="T348" s="31">
        <v>9</v>
      </c>
      <c r="U348" s="31"/>
      <c r="V348" s="67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ht="15.6" customHeight="1" spans="1:44" x14ac:dyDescent="0.25">
      <c r="A349" s="30"/>
      <c r="B349" s="31" t="s">
        <v>13</v>
      </c>
      <c r="C349" s="31" t="s">
        <v>14</v>
      </c>
      <c r="D349" s="37" t="s">
        <v>15</v>
      </c>
      <c r="E349" s="37" t="s">
        <v>16</v>
      </c>
      <c r="F349" s="31" t="s">
        <v>13</v>
      </c>
      <c r="G349" s="31" t="s">
        <v>14</v>
      </c>
      <c r="H349" s="37" t="s">
        <v>15</v>
      </c>
      <c r="I349" s="37" t="s">
        <v>16</v>
      </c>
      <c r="J349" s="31" t="s">
        <v>13</v>
      </c>
      <c r="K349" s="31" t="s">
        <v>14</v>
      </c>
      <c r="L349" s="37" t="s">
        <v>15</v>
      </c>
      <c r="M349" s="37" t="s">
        <v>16</v>
      </c>
      <c r="N349" s="31" t="s">
        <v>13</v>
      </c>
      <c r="O349" s="31" t="s">
        <v>14</v>
      </c>
      <c r="P349" s="37" t="s">
        <v>15</v>
      </c>
      <c r="Q349" s="37" t="s">
        <v>16</v>
      </c>
      <c r="R349" s="31" t="s">
        <v>13</v>
      </c>
      <c r="S349" s="31" t="s">
        <v>14</v>
      </c>
      <c r="T349" s="31" t="s">
        <v>15</v>
      </c>
      <c r="U349" s="31" t="s">
        <v>16</v>
      </c>
      <c r="V349" s="67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ht="15.6" customHeight="1" spans="1:44" x14ac:dyDescent="0.25">
      <c r="A350" s="39"/>
      <c r="B350" s="40"/>
      <c r="C350" s="40"/>
      <c r="D350" s="41"/>
      <c r="E350" s="42"/>
      <c r="F350" s="40"/>
      <c r="G350" s="40"/>
      <c r="H350" s="41"/>
      <c r="I350" s="42"/>
      <c r="J350" s="40"/>
      <c r="K350" s="40"/>
      <c r="L350" s="41"/>
      <c r="M350" s="42"/>
      <c r="N350" s="40"/>
      <c r="O350" s="40"/>
      <c r="P350" s="41"/>
      <c r="Q350" s="42"/>
      <c r="R350" s="40"/>
      <c r="S350" s="40"/>
      <c r="T350" s="40"/>
      <c r="U350" s="40"/>
      <c r="V350" s="68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ht="15.6" customHeight="1" spans="1:44" x14ac:dyDescent="0.25">
      <c r="A351" s="3"/>
      <c r="B351" s="35"/>
      <c r="C351" s="35"/>
      <c r="D351" s="72"/>
      <c r="E351" s="5"/>
      <c r="F351" s="35"/>
      <c r="G351" s="35"/>
      <c r="H351" s="72"/>
      <c r="I351" s="5"/>
      <c r="J351" s="35"/>
      <c r="K351" s="35"/>
      <c r="L351" s="72"/>
      <c r="M351" s="5"/>
      <c r="N351" s="35"/>
      <c r="O351" s="35"/>
      <c r="P351" s="72"/>
      <c r="Q351" s="5"/>
      <c r="R351" s="35"/>
      <c r="S351" s="35"/>
      <c r="T351" s="35"/>
      <c r="U351" s="35"/>
      <c r="V351" s="38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ht="15.6" customHeight="1" spans="1:44" x14ac:dyDescent="0.25">
      <c r="A352" s="3"/>
      <c r="B352" s="76"/>
      <c r="C352" s="77"/>
      <c r="D352" s="78"/>
      <c r="E352" s="79"/>
      <c r="F352" s="76"/>
      <c r="G352" s="77"/>
      <c r="H352" s="78"/>
      <c r="I352" s="79"/>
      <c r="J352" s="76"/>
      <c r="K352" s="77"/>
      <c r="L352" s="78"/>
      <c r="M352" s="79"/>
      <c r="N352" s="76"/>
      <c r="O352" s="77"/>
      <c r="P352" s="78"/>
      <c r="Q352" s="79"/>
      <c r="R352" s="35"/>
      <c r="S352" s="35"/>
      <c r="T352" s="35"/>
      <c r="U352" s="35"/>
      <c r="V352" s="38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ht="15.6" customHeight="1" spans="1:44" x14ac:dyDescent="0.25">
      <c r="A353" s="3"/>
      <c r="B353" s="50">
        <f>IF(D352&lt;1,"","пом.")</f>
      </c>
      <c r="C353" s="50"/>
      <c r="D353" s="52"/>
      <c r="E353" s="53"/>
      <c r="F353" s="50">
        <f>IF(H352&lt;1,"","пом.")</f>
      </c>
      <c r="G353" s="50"/>
      <c r="H353" s="52"/>
      <c r="I353" s="53"/>
      <c r="J353" s="50">
        <f>IF(L352&lt;1,"","пом.")</f>
      </c>
      <c r="K353" s="50"/>
      <c r="L353" s="52"/>
      <c r="M353" s="53"/>
      <c r="N353" s="50">
        <f>IF(P352&lt;1,"","пом.")</f>
      </c>
      <c r="O353" s="50"/>
      <c r="P353" s="52"/>
      <c r="Q353" s="53"/>
      <c r="R353" s="35"/>
      <c r="S353" s="35"/>
      <c r="T353" s="35"/>
      <c r="U353" s="35"/>
      <c r="V353" s="38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ht="15.6" customHeight="1" spans="1:44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ht="15.6" customHeight="1" spans="1:44" x14ac:dyDescent="0.25">
      <c r="A355" s="3"/>
      <c r="B355" s="3"/>
      <c r="C355" s="3"/>
      <c r="D355" s="4"/>
      <c r="E355" s="5" t="s">
        <v>26</v>
      </c>
      <c r="F355" s="54" t="s">
        <v>27</v>
      </c>
      <c r="G355" s="54"/>
      <c r="H355" s="54"/>
      <c r="I355" s="100" t="s">
        <v>28</v>
      </c>
      <c r="J355" s="100"/>
      <c r="K355" s="100"/>
      <c r="L355" s="4"/>
      <c r="M355" s="4"/>
      <c r="N355" s="3"/>
      <c r="O355" s="35" t="s">
        <v>29</v>
      </c>
      <c r="P355" s="54" t="s">
        <v>30</v>
      </c>
      <c r="Q355" s="54"/>
      <c r="R355" s="54"/>
      <c r="S355" s="100" t="s">
        <v>31</v>
      </c>
      <c r="T355" s="100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ht="15.6" customHeight="1" spans="1:44" x14ac:dyDescent="0.25">
      <c r="A356" s="3"/>
      <c r="B356" s="3"/>
      <c r="C356" s="3"/>
      <c r="D356" s="4"/>
      <c r="E356" s="5" t="s">
        <v>32</v>
      </c>
      <c r="F356" s="54" t="s">
        <v>33</v>
      </c>
      <c r="G356" s="54"/>
      <c r="H356" s="54"/>
      <c r="I356" s="100" t="s">
        <v>34</v>
      </c>
      <c r="J356" s="100"/>
      <c r="K356" s="100"/>
      <c r="L356" s="4"/>
      <c r="M356" s="4"/>
      <c r="N356" s="3"/>
      <c r="O356" s="35" t="s">
        <v>35</v>
      </c>
      <c r="P356" s="54" t="s">
        <v>30</v>
      </c>
      <c r="Q356" s="54"/>
      <c r="R356" s="54"/>
      <c r="S356" s="101" t="s">
        <v>80</v>
      </c>
      <c r="T356" s="101"/>
      <c r="U356" s="101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ht="15.6" customHeight="1" spans="1:44" x14ac:dyDescent="0.25">
      <c r="A357" s="55"/>
      <c r="B357" s="55"/>
      <c r="C357" s="55"/>
      <c r="D357" s="56"/>
      <c r="E357" s="57"/>
      <c r="F357" s="55"/>
      <c r="G357" s="55"/>
      <c r="H357" s="56"/>
      <c r="I357" s="56"/>
      <c r="J357" s="55"/>
      <c r="K357" s="55"/>
      <c r="L357" s="56"/>
      <c r="M357" s="56"/>
      <c r="N357" s="55"/>
      <c r="O357" s="55"/>
      <c r="P357" s="56"/>
      <c r="Q357" s="56"/>
      <c r="R357" s="55"/>
      <c r="S357" s="55"/>
      <c r="T357" s="55"/>
      <c r="U357" s="55"/>
      <c r="V357" s="55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ht="15.6" customHeight="1" spans="1:44" x14ac:dyDescent="0.25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4" t="str">
        <f>N338</f>
        <v>1.1</v>
      </c>
      <c r="O358" s="14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ht="15.6" customHeight="1" spans="1:44" x14ac:dyDescent="0.25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5"/>
      <c r="K359" s="15"/>
      <c r="L359" s="16"/>
      <c r="M359" s="9" t="s">
        <v>5</v>
      </c>
      <c r="N359" s="18" t="str">
        <f>N339</f>
        <v>1.1.2</v>
      </c>
      <c r="O359" s="18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ht="15.6" customHeight="1" spans="1:44" x14ac:dyDescent="0.25">
      <c r="A360" s="3"/>
      <c r="B360" s="3"/>
      <c r="C360" s="3"/>
      <c r="D360" s="4"/>
      <c r="E360" s="4" t="s">
        <v>7</v>
      </c>
      <c r="F360" s="3"/>
      <c r="G360" s="3"/>
      <c r="H360" s="8"/>
      <c r="I360" s="8"/>
      <c r="J360" s="7"/>
      <c r="K360" s="7"/>
      <c r="L360" s="8"/>
      <c r="M360" s="19" t="s">
        <v>5</v>
      </c>
      <c r="N360" s="20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ht="15.6" customHeight="1" spans="1:44" x14ac:dyDescent="0.25">
      <c r="A361" s="3"/>
      <c r="B361" s="3"/>
      <c r="C361" s="3"/>
      <c r="D361" s="4"/>
      <c r="E361" s="4" t="s">
        <v>8</v>
      </c>
      <c r="F361" s="3"/>
      <c r="G361" s="3"/>
      <c r="H361" s="4"/>
      <c r="I361" s="4"/>
      <c r="J361" s="3"/>
      <c r="K361" s="3"/>
      <c r="L361" s="16"/>
      <c r="M361" s="19" t="s">
        <v>70</v>
      </c>
      <c r="N361" s="20" t="str">
        <f>IF(N341="-"&amp;N338&amp;".3",IF(N342=15,"-"&amp;N338&amp;".4","-"&amp;N338&amp;".3"),N341)</f>
        <v>-1.1.4</v>
      </c>
      <c r="O361" s="22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ht="15.6" customHeight="1" spans="1:44" x14ac:dyDescent="0.25">
      <c r="A362" s="3"/>
      <c r="B362" s="3"/>
      <c r="C362" s="3"/>
      <c r="D362" s="4"/>
      <c r="E362" s="24" t="s">
        <v>10</v>
      </c>
      <c r="F362" s="3"/>
      <c r="G362" s="3"/>
      <c r="H362" s="4"/>
      <c r="I362" s="8"/>
      <c r="J362" s="7"/>
      <c r="K362" s="7"/>
      <c r="L362" s="8"/>
      <c r="M362" s="19" t="s">
        <v>5</v>
      </c>
      <c r="N362" s="20">
        <f>IF(N361="-"&amp;N296&amp;".3",N342+1,IF(N341="-"&amp;N296&amp;".3",1,N342+1))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ht="7.9" customHeight="1" spans="1:44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ht="15.6" customHeight="1" spans="1:44" x14ac:dyDescent="0.25">
      <c r="A364" s="27"/>
      <c r="B364" s="28"/>
      <c r="C364" s="28"/>
      <c r="D364" s="29"/>
      <c r="E364" s="29"/>
      <c r="F364" s="28"/>
      <c r="G364" s="28"/>
      <c r="H364" s="29"/>
      <c r="I364" s="29"/>
      <c r="J364" s="28"/>
      <c r="K364" s="28"/>
      <c r="L364" s="29"/>
      <c r="M364" s="29"/>
      <c r="N364" s="28"/>
      <c r="O364" s="28"/>
      <c r="P364" s="29"/>
      <c r="Q364" s="29"/>
      <c r="R364" s="28"/>
      <c r="S364" s="28"/>
      <c r="T364" s="28"/>
      <c r="U364" s="28"/>
      <c r="V364" s="59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ht="15.6" customHeight="1" spans="1:44" x14ac:dyDescent="0.25">
      <c r="A365" s="30"/>
      <c r="B365" s="31"/>
      <c r="C365" s="31"/>
      <c r="D365" s="32">
        <v>1</v>
      </c>
      <c r="E365" s="33"/>
      <c r="F365" s="31"/>
      <c r="G365" s="31"/>
      <c r="H365" s="32">
        <v>2</v>
      </c>
      <c r="I365" s="33"/>
      <c r="J365" s="31"/>
      <c r="K365" s="31"/>
      <c r="L365" s="32">
        <v>3</v>
      </c>
      <c r="M365" s="33"/>
      <c r="N365" s="31"/>
      <c r="O365" s="31"/>
      <c r="P365" s="32">
        <v>4</v>
      </c>
      <c r="Q365" s="33"/>
      <c r="R365" s="31"/>
      <c r="S365" s="31"/>
      <c r="T365" s="31"/>
      <c r="U365" s="31"/>
      <c r="V365" s="60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ht="15.6" customHeight="1" spans="1:44" x14ac:dyDescent="0.25">
      <c r="A366" s="30"/>
      <c r="B366" s="31" t="s">
        <v>11</v>
      </c>
      <c r="C366" s="31"/>
      <c r="D366" s="32" t="s">
        <v>12</v>
      </c>
      <c r="E366" s="33"/>
      <c r="F366" s="31" t="s">
        <v>11</v>
      </c>
      <c r="G366" s="31"/>
      <c r="H366" s="32" t="s">
        <v>12</v>
      </c>
      <c r="I366" s="33"/>
      <c r="J366" s="31" t="s">
        <v>11</v>
      </c>
      <c r="K366" s="31"/>
      <c r="L366" s="32" t="s">
        <v>12</v>
      </c>
      <c r="M366" s="33"/>
      <c r="N366" s="31" t="s">
        <v>11</v>
      </c>
      <c r="O366" s="31"/>
      <c r="P366" s="32" t="s">
        <v>12</v>
      </c>
      <c r="Q366" s="33"/>
      <c r="R366" s="31"/>
      <c r="S366" s="31"/>
      <c r="T366" s="31"/>
      <c r="U366" s="31"/>
      <c r="V366" s="65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ht="15.6" customHeight="1" spans="1:44" x14ac:dyDescent="0.25">
      <c r="A367" s="30"/>
      <c r="B367" s="35"/>
      <c r="C367" s="35"/>
      <c r="D367" s="5"/>
      <c r="E367" s="5"/>
      <c r="F367" s="35"/>
      <c r="G367" s="35"/>
      <c r="H367" s="5"/>
      <c r="I367" s="5"/>
      <c r="J367" s="35"/>
      <c r="K367" s="35"/>
      <c r="L367" s="5"/>
      <c r="M367" s="5"/>
      <c r="N367" s="35"/>
      <c r="O367" s="35"/>
      <c r="P367" s="5"/>
      <c r="Q367" s="5"/>
      <c r="R367" s="35"/>
      <c r="S367" s="35"/>
      <c r="T367" s="35"/>
      <c r="U367" s="35"/>
      <c r="V367" s="65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ht="15.6" customHeight="1" spans="1:44" x14ac:dyDescent="0.25">
      <c r="A368" s="30"/>
      <c r="B368" s="31">
        <v>0</v>
      </c>
      <c r="C368" s="31"/>
      <c r="D368" s="37">
        <v>1</v>
      </c>
      <c r="E368" s="37"/>
      <c r="F368" s="31">
        <v>2</v>
      </c>
      <c r="G368" s="31"/>
      <c r="H368" s="37">
        <v>3</v>
      </c>
      <c r="I368" s="37"/>
      <c r="J368" s="31">
        <v>4</v>
      </c>
      <c r="K368" s="31"/>
      <c r="L368" s="37">
        <v>5</v>
      </c>
      <c r="M368" s="37"/>
      <c r="N368" s="31">
        <v>6</v>
      </c>
      <c r="O368" s="31"/>
      <c r="P368" s="37">
        <v>7</v>
      </c>
      <c r="Q368" s="37"/>
      <c r="R368" s="31">
        <v>8</v>
      </c>
      <c r="S368" s="31"/>
      <c r="T368" s="31">
        <v>9</v>
      </c>
      <c r="U368" s="31"/>
      <c r="V368" s="67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ht="15.6" customHeight="1" spans="1:44" x14ac:dyDescent="0.25">
      <c r="A369" s="30"/>
      <c r="B369" s="31" t="s">
        <v>13</v>
      </c>
      <c r="C369" s="31" t="s">
        <v>14</v>
      </c>
      <c r="D369" s="37" t="s">
        <v>15</v>
      </c>
      <c r="E369" s="37" t="s">
        <v>16</v>
      </c>
      <c r="F369" s="31" t="s">
        <v>13</v>
      </c>
      <c r="G369" s="31" t="s">
        <v>14</v>
      </c>
      <c r="H369" s="37" t="s">
        <v>15</v>
      </c>
      <c r="I369" s="37" t="s">
        <v>16</v>
      </c>
      <c r="J369" s="31" t="s">
        <v>13</v>
      </c>
      <c r="K369" s="31" t="s">
        <v>14</v>
      </c>
      <c r="L369" s="37" t="s">
        <v>15</v>
      </c>
      <c r="M369" s="37" t="s">
        <v>16</v>
      </c>
      <c r="N369" s="31" t="s">
        <v>13</v>
      </c>
      <c r="O369" s="31" t="s">
        <v>14</v>
      </c>
      <c r="P369" s="37" t="s">
        <v>15</v>
      </c>
      <c r="Q369" s="37" t="s">
        <v>16</v>
      </c>
      <c r="R369" s="31" t="s">
        <v>13</v>
      </c>
      <c r="S369" s="31" t="s">
        <v>14</v>
      </c>
      <c r="T369" s="31" t="s">
        <v>15</v>
      </c>
      <c r="U369" s="31" t="s">
        <v>16</v>
      </c>
      <c r="V369" s="67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ht="15.6" customHeight="1" spans="1:44" x14ac:dyDescent="0.25">
      <c r="A370" s="39"/>
      <c r="B370" s="40"/>
      <c r="C370" s="40"/>
      <c r="D370" s="41"/>
      <c r="E370" s="42"/>
      <c r="F370" s="40"/>
      <c r="G370" s="40"/>
      <c r="H370" s="41"/>
      <c r="I370" s="42"/>
      <c r="J370" s="40"/>
      <c r="K370" s="40"/>
      <c r="L370" s="41"/>
      <c r="M370" s="42"/>
      <c r="N370" s="40"/>
      <c r="O370" s="40"/>
      <c r="P370" s="41"/>
      <c r="Q370" s="42"/>
      <c r="R370" s="40"/>
      <c r="S370" s="40"/>
      <c r="T370" s="40"/>
      <c r="U370" s="40"/>
      <c r="V370" s="68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ht="7.15" customHeight="1" spans="1:44" x14ac:dyDescent="0.25">
      <c r="A371" s="3"/>
      <c r="B371" s="35"/>
      <c r="C371" s="35"/>
      <c r="D371" s="72"/>
      <c r="E371" s="5"/>
      <c r="F371" s="35"/>
      <c r="G371" s="35"/>
      <c r="H371" s="72"/>
      <c r="I371" s="5"/>
      <c r="J371" s="35"/>
      <c r="K371" s="35"/>
      <c r="L371" s="72"/>
      <c r="M371" s="5"/>
      <c r="N371" s="35"/>
      <c r="O371" s="35"/>
      <c r="P371" s="72"/>
      <c r="Q371" s="5"/>
      <c r="R371" s="35"/>
      <c r="S371" s="35"/>
      <c r="T371" s="35"/>
      <c r="U371" s="35"/>
      <c r="V371" s="38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ht="15.6" customHeight="1" spans="1:44" x14ac:dyDescent="0.25">
      <c r="A372" s="3"/>
      <c r="B372" s="76"/>
      <c r="C372" s="77"/>
      <c r="D372" s="78"/>
      <c r="E372" s="79"/>
      <c r="F372" s="76"/>
      <c r="G372" s="77"/>
      <c r="H372" s="78"/>
      <c r="I372" s="79"/>
      <c r="J372" s="76"/>
      <c r="K372" s="77"/>
      <c r="L372" s="78"/>
      <c r="M372" s="79"/>
      <c r="N372" s="76"/>
      <c r="O372" s="77"/>
      <c r="P372" s="78"/>
      <c r="Q372" s="79"/>
      <c r="R372" s="35"/>
      <c r="S372" s="35"/>
      <c r="T372" s="35"/>
      <c r="U372" s="35"/>
      <c r="V372" s="38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ht="15.6" customHeight="1" spans="1:44" x14ac:dyDescent="0.25">
      <c r="A373" s="3"/>
      <c r="B373" s="50">
        <f>IF(D372&lt;1,"","пом.")</f>
      </c>
      <c r="C373" s="50"/>
      <c r="D373" s="52"/>
      <c r="E373" s="53"/>
      <c r="F373" s="50">
        <f>IF(H372&lt;1,"","пом.")</f>
      </c>
      <c r="G373" s="50"/>
      <c r="H373" s="52"/>
      <c r="I373" s="53"/>
      <c r="J373" s="50">
        <f>IF(L372&lt;1,"","пом.")</f>
      </c>
      <c r="K373" s="50"/>
      <c r="L373" s="52"/>
      <c r="M373" s="53"/>
      <c r="N373" s="50">
        <f>IF(P372&lt;1,"","пом.")</f>
      </c>
      <c r="O373" s="50"/>
      <c r="P373" s="52"/>
      <c r="Q373" s="53"/>
      <c r="R373" s="35"/>
      <c r="S373" s="35"/>
      <c r="T373" s="35"/>
      <c r="U373" s="35"/>
      <c r="V373" s="38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ht="7.9" customHeight="1" spans="1:44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ht="15.6" customHeight="1" spans="1:44" x14ac:dyDescent="0.25">
      <c r="A375" s="3"/>
      <c r="B375" s="3"/>
      <c r="C375" s="3"/>
      <c r="D375" s="4"/>
      <c r="E375" s="5" t="s">
        <v>26</v>
      </c>
      <c r="F375" s="54" t="s">
        <v>27</v>
      </c>
      <c r="G375" s="54"/>
      <c r="H375" s="54"/>
      <c r="I375" s="100" t="s">
        <v>28</v>
      </c>
      <c r="J375" s="100"/>
      <c r="K375" s="100"/>
      <c r="L375" s="4"/>
      <c r="M375" s="4"/>
      <c r="N375" s="3"/>
      <c r="O375" s="35" t="s">
        <v>29</v>
      </c>
      <c r="P375" s="54" t="s">
        <v>30</v>
      </c>
      <c r="Q375" s="54"/>
      <c r="R375" s="54"/>
      <c r="S375" s="100" t="s">
        <v>31</v>
      </c>
      <c r="T375" s="100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ht="15.6" customHeight="1" spans="1:44" x14ac:dyDescent="0.25">
      <c r="A376" s="3"/>
      <c r="B376" s="3"/>
      <c r="C376" s="3"/>
      <c r="D376" s="4"/>
      <c r="E376" s="5" t="s">
        <v>32</v>
      </c>
      <c r="F376" s="54" t="s">
        <v>33</v>
      </c>
      <c r="G376" s="54"/>
      <c r="H376" s="54"/>
      <c r="I376" s="100" t="s">
        <v>34</v>
      </c>
      <c r="J376" s="100"/>
      <c r="K376" s="100"/>
      <c r="L376" s="4"/>
      <c r="M376" s="4"/>
      <c r="N376" s="3"/>
      <c r="O376" s="35" t="s">
        <v>35</v>
      </c>
      <c r="P376" s="54" t="s">
        <v>30</v>
      </c>
      <c r="Q376" s="54"/>
      <c r="R376" s="54"/>
      <c r="S376" s="101" t="s">
        <v>80</v>
      </c>
      <c r="T376" s="101"/>
      <c r="U376" s="101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ht="15.6" customHeight="1" spans="1:44" x14ac:dyDescent="0.25">
      <c r="A377" s="55"/>
      <c r="B377" s="55"/>
      <c r="C377" s="55"/>
      <c r="D377" s="56"/>
      <c r="E377" s="57"/>
      <c r="F377" s="55"/>
      <c r="G377" s="55"/>
      <c r="H377" s="56"/>
      <c r="I377" s="56"/>
      <c r="J377" s="55"/>
      <c r="K377" s="55"/>
      <c r="L377" s="56"/>
      <c r="M377" s="56"/>
      <c r="N377" s="55"/>
      <c r="O377" s="55"/>
      <c r="P377" s="56"/>
      <c r="Q377" s="56"/>
      <c r="R377" s="55"/>
      <c r="S377" s="55"/>
      <c r="T377" s="55"/>
      <c r="U377" s="55"/>
      <c r="V377" s="55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ht="15.6" customHeight="1" spans="1:44" x14ac:dyDescent="0.25">
      <c r="A378" s="55"/>
      <c r="B378" s="55"/>
      <c r="C378" s="55"/>
      <c r="D378" s="56"/>
      <c r="E378" s="57"/>
      <c r="F378" s="55"/>
      <c r="G378" s="55"/>
      <c r="H378" s="56"/>
      <c r="I378" s="56"/>
      <c r="J378" s="55"/>
      <c r="K378" s="55"/>
      <c r="L378" s="56"/>
      <c r="M378" s="56"/>
      <c r="N378" s="55"/>
      <c r="O378" s="55"/>
      <c r="P378" s="56"/>
      <c r="Q378" s="56"/>
      <c r="R378" s="55"/>
      <c r="S378" s="55"/>
      <c r="T378" s="55"/>
      <c r="U378" s="55"/>
      <c r="V378" s="55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ht="15.6" customHeight="1" hidden="1" spans="1:44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ht="15.6" customHeight="1" spans="1:44" x14ac:dyDescent="0.25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4" t="str">
        <f>N358</f>
        <v>1.1</v>
      </c>
      <c r="O380" s="14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ht="15.6" customHeight="1" spans="1:44" x14ac:dyDescent="0.25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5"/>
      <c r="K381" s="15"/>
      <c r="L381" s="16"/>
      <c r="M381" s="9" t="s">
        <v>5</v>
      </c>
      <c r="N381" s="18" t="str">
        <f>N380&amp;".2"</f>
        <v>1.1.2</v>
      </c>
      <c r="O381" s="18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ht="15.6" customHeight="1" spans="1:44" x14ac:dyDescent="0.25">
      <c r="A382" s="3"/>
      <c r="B382" s="3"/>
      <c r="C382" s="3"/>
      <c r="D382" s="4"/>
      <c r="E382" s="4" t="s">
        <v>7</v>
      </c>
      <c r="F382" s="3"/>
      <c r="G382" s="3"/>
      <c r="H382" s="8"/>
      <c r="I382" s="8"/>
      <c r="J382" s="7"/>
      <c r="K382" s="7"/>
      <c r="L382" s="8"/>
      <c r="M382" s="19" t="s">
        <v>5</v>
      </c>
      <c r="N382" s="20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ht="15.6" customHeight="1" spans="1:44" x14ac:dyDescent="0.25">
      <c r="A383" s="3"/>
      <c r="B383" s="3"/>
      <c r="C383" s="3"/>
      <c r="D383" s="4"/>
      <c r="E383" s="4" t="s">
        <v>8</v>
      </c>
      <c r="F383" s="3"/>
      <c r="G383" s="3"/>
      <c r="H383" s="4"/>
      <c r="I383" s="4"/>
      <c r="J383" s="3"/>
      <c r="K383" s="3"/>
      <c r="L383" s="16"/>
      <c r="M383" s="19" t="s">
        <v>70</v>
      </c>
      <c r="N383" s="20" t="str">
        <f>IF(N361="-"&amp;N338&amp;".3",IF(N362=15,"-"&amp;N338&amp;".4","-"&amp;N338&amp;".3"),N361)</f>
        <v>-1.1.4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ht="15.6" customHeight="1" spans="1:44" x14ac:dyDescent="0.25">
      <c r="A384" s="3"/>
      <c r="B384" s="3"/>
      <c r="C384" s="3"/>
      <c r="D384" s="4"/>
      <c r="E384" s="24" t="s">
        <v>10</v>
      </c>
      <c r="F384" s="3"/>
      <c r="G384" s="3"/>
      <c r="H384" s="4"/>
      <c r="I384" s="8"/>
      <c r="J384" s="7"/>
      <c r="K384" s="7"/>
      <c r="L384" s="8"/>
      <c r="M384" s="19" t="s">
        <v>5</v>
      </c>
      <c r="N384" s="20">
        <f>IF(N383="-"&amp;N338&amp;".3",N362+1,IF(N361="-"&amp;N338&amp;".3",1,N362+1))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ht="15.6" customHeight="1" spans="1:44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ht="15.6" customHeight="1" spans="1:44" x14ac:dyDescent="0.25">
      <c r="A386" s="27"/>
      <c r="B386" s="28"/>
      <c r="C386" s="28"/>
      <c r="D386" s="29"/>
      <c r="E386" s="29"/>
      <c r="F386" s="28"/>
      <c r="G386" s="28"/>
      <c r="H386" s="29"/>
      <c r="I386" s="29"/>
      <c r="J386" s="28"/>
      <c r="K386" s="28"/>
      <c r="L386" s="29"/>
      <c r="M386" s="29"/>
      <c r="N386" s="28"/>
      <c r="O386" s="28"/>
      <c r="P386" s="29"/>
      <c r="Q386" s="29"/>
      <c r="R386" s="28"/>
      <c r="S386" s="28"/>
      <c r="T386" s="28"/>
      <c r="U386" s="28"/>
      <c r="V386" s="59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ht="15.6" customHeight="1" spans="1:44" x14ac:dyDescent="0.25">
      <c r="A387" s="30"/>
      <c r="B387" s="31"/>
      <c r="C387" s="31"/>
      <c r="D387" s="32">
        <v>1</v>
      </c>
      <c r="E387" s="33"/>
      <c r="F387" s="31"/>
      <c r="G387" s="31"/>
      <c r="H387" s="32">
        <v>2</v>
      </c>
      <c r="I387" s="33"/>
      <c r="J387" s="31"/>
      <c r="K387" s="31"/>
      <c r="L387" s="32">
        <v>3</v>
      </c>
      <c r="M387" s="33"/>
      <c r="N387" s="31"/>
      <c r="O387" s="31"/>
      <c r="P387" s="32">
        <v>4</v>
      </c>
      <c r="Q387" s="33"/>
      <c r="R387" s="31"/>
      <c r="S387" s="31"/>
      <c r="T387" s="31"/>
      <c r="U387" s="31"/>
      <c r="V387" s="60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ht="15.6" customHeight="1" spans="1:44" x14ac:dyDescent="0.25">
      <c r="A388" s="30"/>
      <c r="B388" s="31" t="s">
        <v>11</v>
      </c>
      <c r="C388" s="31"/>
      <c r="D388" s="32" t="s">
        <v>12</v>
      </c>
      <c r="E388" s="33"/>
      <c r="F388" s="31" t="s">
        <v>11</v>
      </c>
      <c r="G388" s="31"/>
      <c r="H388" s="32" t="s">
        <v>12</v>
      </c>
      <c r="I388" s="33"/>
      <c r="J388" s="31" t="s">
        <v>11</v>
      </c>
      <c r="K388" s="31"/>
      <c r="L388" s="32" t="s">
        <v>12</v>
      </c>
      <c r="M388" s="33"/>
      <c r="N388" s="31" t="s">
        <v>11</v>
      </c>
      <c r="O388" s="31"/>
      <c r="P388" s="32" t="s">
        <v>12</v>
      </c>
      <c r="Q388" s="33"/>
      <c r="R388" s="31"/>
      <c r="S388" s="31"/>
      <c r="T388" s="31"/>
      <c r="U388" s="31"/>
      <c r="V388" s="65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ht="15.6" customHeight="1" spans="1:44" x14ac:dyDescent="0.25">
      <c r="A389" s="30"/>
      <c r="B389" s="35"/>
      <c r="C389" s="35"/>
      <c r="D389" s="5"/>
      <c r="E389" s="5"/>
      <c r="F389" s="35"/>
      <c r="G389" s="35"/>
      <c r="H389" s="5"/>
      <c r="I389" s="5"/>
      <c r="J389" s="35"/>
      <c r="K389" s="35"/>
      <c r="L389" s="5"/>
      <c r="M389" s="5"/>
      <c r="N389" s="35"/>
      <c r="O389" s="35"/>
      <c r="P389" s="5"/>
      <c r="Q389" s="5"/>
      <c r="R389" s="35"/>
      <c r="S389" s="35"/>
      <c r="T389" s="35"/>
      <c r="U389" s="35"/>
      <c r="V389" s="65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ht="15.6" customHeight="1" spans="1:44" x14ac:dyDescent="0.25">
      <c r="A390" s="30"/>
      <c r="B390" s="31">
        <v>0</v>
      </c>
      <c r="C390" s="31"/>
      <c r="D390" s="37">
        <v>1</v>
      </c>
      <c r="E390" s="37"/>
      <c r="F390" s="31">
        <v>2</v>
      </c>
      <c r="G390" s="31"/>
      <c r="H390" s="37">
        <v>3</v>
      </c>
      <c r="I390" s="37"/>
      <c r="J390" s="31">
        <v>4</v>
      </c>
      <c r="K390" s="31"/>
      <c r="L390" s="37">
        <v>5</v>
      </c>
      <c r="M390" s="37"/>
      <c r="N390" s="31">
        <v>6</v>
      </c>
      <c r="O390" s="31"/>
      <c r="P390" s="37">
        <v>7</v>
      </c>
      <c r="Q390" s="37"/>
      <c r="R390" s="31">
        <v>8</v>
      </c>
      <c r="S390" s="31"/>
      <c r="T390" s="31">
        <v>9</v>
      </c>
      <c r="U390" s="31"/>
      <c r="V390" s="67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ht="15.6" customHeight="1" spans="1:44" x14ac:dyDescent="0.25">
      <c r="A391" s="30"/>
      <c r="B391" s="31" t="s">
        <v>13</v>
      </c>
      <c r="C391" s="31" t="s">
        <v>14</v>
      </c>
      <c r="D391" s="37" t="s">
        <v>15</v>
      </c>
      <c r="E391" s="37" t="s">
        <v>16</v>
      </c>
      <c r="F391" s="31" t="s">
        <v>13</v>
      </c>
      <c r="G391" s="31" t="s">
        <v>14</v>
      </c>
      <c r="H391" s="37" t="s">
        <v>15</v>
      </c>
      <c r="I391" s="37" t="s">
        <v>16</v>
      </c>
      <c r="J391" s="31" t="s">
        <v>13</v>
      </c>
      <c r="K391" s="31" t="s">
        <v>14</v>
      </c>
      <c r="L391" s="37" t="s">
        <v>15</v>
      </c>
      <c r="M391" s="37" t="s">
        <v>16</v>
      </c>
      <c r="N391" s="31" t="s">
        <v>13</v>
      </c>
      <c r="O391" s="31" t="s">
        <v>14</v>
      </c>
      <c r="P391" s="37" t="s">
        <v>15</v>
      </c>
      <c r="Q391" s="37" t="s">
        <v>16</v>
      </c>
      <c r="R391" s="31" t="s">
        <v>13</v>
      </c>
      <c r="S391" s="31" t="s">
        <v>14</v>
      </c>
      <c r="T391" s="31" t="s">
        <v>15</v>
      </c>
      <c r="U391" s="31" t="s">
        <v>16</v>
      </c>
      <c r="V391" s="67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ht="15.6" customHeight="1" spans="1:44" x14ac:dyDescent="0.25">
      <c r="A392" s="39"/>
      <c r="B392" s="40"/>
      <c r="C392" s="40"/>
      <c r="D392" s="41"/>
      <c r="E392" s="42"/>
      <c r="F392" s="40"/>
      <c r="G392" s="40"/>
      <c r="H392" s="41"/>
      <c r="I392" s="42"/>
      <c r="J392" s="40"/>
      <c r="K392" s="40"/>
      <c r="L392" s="41"/>
      <c r="M392" s="42"/>
      <c r="N392" s="40"/>
      <c r="O392" s="40"/>
      <c r="P392" s="41"/>
      <c r="Q392" s="42"/>
      <c r="R392" s="40"/>
      <c r="S392" s="40"/>
      <c r="T392" s="40"/>
      <c r="U392" s="40"/>
      <c r="V392" s="68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ht="15.6" customHeight="1" spans="1:44" x14ac:dyDescent="0.25">
      <c r="A393" s="3"/>
      <c r="B393" s="35"/>
      <c r="C393" s="35"/>
      <c r="D393" s="72"/>
      <c r="E393" s="5"/>
      <c r="F393" s="35"/>
      <c r="G393" s="35"/>
      <c r="H393" s="72"/>
      <c r="I393" s="5"/>
      <c r="J393" s="35"/>
      <c r="K393" s="35"/>
      <c r="L393" s="72"/>
      <c r="M393" s="5"/>
      <c r="N393" s="35"/>
      <c r="O393" s="35"/>
      <c r="P393" s="72"/>
      <c r="Q393" s="5"/>
      <c r="R393" s="35"/>
      <c r="S393" s="35"/>
      <c r="T393" s="35"/>
      <c r="U393" s="35"/>
      <c r="V393" s="38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ht="15.6" customHeight="1" spans="1:44" x14ac:dyDescent="0.25">
      <c r="A394" s="3"/>
      <c r="B394" s="76"/>
      <c r="C394" s="77"/>
      <c r="D394" s="78"/>
      <c r="E394" s="79"/>
      <c r="F394" s="76"/>
      <c r="G394" s="77"/>
      <c r="H394" s="78"/>
      <c r="I394" s="79"/>
      <c r="J394" s="76"/>
      <c r="K394" s="77"/>
      <c r="L394" s="78"/>
      <c r="M394" s="79"/>
      <c r="N394" s="76"/>
      <c r="O394" s="77"/>
      <c r="P394" s="78"/>
      <c r="Q394" s="79"/>
      <c r="R394" s="35"/>
      <c r="S394" s="35"/>
      <c r="T394" s="35"/>
      <c r="U394" s="35"/>
      <c r="V394" s="38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ht="15.6" customHeight="1" spans="1:44" x14ac:dyDescent="0.25">
      <c r="A395" s="3"/>
      <c r="B395" s="50">
        <f>IF(D394&lt;1,"","пом.")</f>
      </c>
      <c r="C395" s="50"/>
      <c r="D395" s="52"/>
      <c r="E395" s="53"/>
      <c r="F395" s="50">
        <f>IF(H394&lt;1,"","пом.")</f>
      </c>
      <c r="G395" s="50"/>
      <c r="H395" s="52"/>
      <c r="I395" s="53"/>
      <c r="J395" s="50">
        <f>IF(L394&lt;1,"","пом.")</f>
      </c>
      <c r="K395" s="50"/>
      <c r="L395" s="52"/>
      <c r="M395" s="53"/>
      <c r="N395" s="50">
        <f>IF(P394&lt;1,"","пом.")</f>
      </c>
      <c r="O395" s="50"/>
      <c r="P395" s="52"/>
      <c r="Q395" s="53"/>
      <c r="R395" s="35"/>
      <c r="S395" s="35"/>
      <c r="T395" s="35"/>
      <c r="U395" s="35"/>
      <c r="V395" s="38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ht="15.6" customHeight="1" spans="1:44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ht="15.6" customHeight="1" spans="1:44" x14ac:dyDescent="0.25">
      <c r="A397" s="3"/>
      <c r="B397" s="3"/>
      <c r="C397" s="3"/>
      <c r="D397" s="4"/>
      <c r="E397" s="5" t="s">
        <v>26</v>
      </c>
      <c r="F397" s="54" t="s">
        <v>27</v>
      </c>
      <c r="G397" s="54"/>
      <c r="H397" s="54"/>
      <c r="I397" s="100" t="s">
        <v>28</v>
      </c>
      <c r="J397" s="100"/>
      <c r="K397" s="100"/>
      <c r="L397" s="4"/>
      <c r="M397" s="4"/>
      <c r="N397" s="3"/>
      <c r="O397" s="35" t="s">
        <v>29</v>
      </c>
      <c r="P397" s="54" t="s">
        <v>30</v>
      </c>
      <c r="Q397" s="54"/>
      <c r="R397" s="54"/>
      <c r="S397" s="100" t="s">
        <v>31</v>
      </c>
      <c r="T397" s="100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ht="15.6" customHeight="1" spans="1:44" x14ac:dyDescent="0.25">
      <c r="A398" s="3"/>
      <c r="B398" s="3"/>
      <c r="C398" s="3"/>
      <c r="D398" s="4"/>
      <c r="E398" s="5" t="s">
        <v>32</v>
      </c>
      <c r="F398" s="54" t="s">
        <v>33</v>
      </c>
      <c r="G398" s="54"/>
      <c r="H398" s="54"/>
      <c r="I398" s="100" t="s">
        <v>34</v>
      </c>
      <c r="J398" s="100"/>
      <c r="K398" s="100"/>
      <c r="L398" s="4"/>
      <c r="M398" s="4"/>
      <c r="N398" s="3"/>
      <c r="O398" s="35" t="s">
        <v>35</v>
      </c>
      <c r="P398" s="54" t="s">
        <v>30</v>
      </c>
      <c r="Q398" s="54"/>
      <c r="R398" s="54"/>
      <c r="S398" s="101" t="s">
        <v>80</v>
      </c>
      <c r="T398" s="101"/>
      <c r="U398" s="101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ht="15.6" customHeight="1" spans="1:44" x14ac:dyDescent="0.25">
      <c r="A399" s="55"/>
      <c r="B399" s="55"/>
      <c r="C399" s="55"/>
      <c r="D399" s="56"/>
      <c r="E399" s="57"/>
      <c r="F399" s="55"/>
      <c r="G399" s="55"/>
      <c r="H399" s="56"/>
      <c r="I399" s="56"/>
      <c r="J399" s="55"/>
      <c r="K399" s="55"/>
      <c r="L399" s="56"/>
      <c r="M399" s="56"/>
      <c r="N399" s="55"/>
      <c r="O399" s="55"/>
      <c r="P399" s="56"/>
      <c r="Q399" s="56"/>
      <c r="R399" s="55"/>
      <c r="S399" s="55"/>
      <c r="T399" s="55"/>
      <c r="U399" s="55"/>
      <c r="V399" s="55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ht="15.6" customHeight="1" spans="1:44" x14ac:dyDescent="0.25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4" t="str">
        <f>N380</f>
        <v>1.1</v>
      </c>
      <c r="O400" s="14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ht="15.6" customHeight="1" spans="1:44" x14ac:dyDescent="0.25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5"/>
      <c r="K401" s="15"/>
      <c r="L401" s="16"/>
      <c r="M401" s="9" t="s">
        <v>5</v>
      </c>
      <c r="N401" s="18" t="str">
        <f>N381</f>
        <v>1.1.2</v>
      </c>
      <c r="O401" s="18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ht="15.6" customHeight="1" spans="1:44" x14ac:dyDescent="0.25">
      <c r="A402" s="3"/>
      <c r="B402" s="3"/>
      <c r="C402" s="3"/>
      <c r="D402" s="4"/>
      <c r="E402" s="4" t="s">
        <v>7</v>
      </c>
      <c r="F402" s="3"/>
      <c r="G402" s="3"/>
      <c r="H402" s="8"/>
      <c r="I402" s="8"/>
      <c r="J402" s="7"/>
      <c r="K402" s="7"/>
      <c r="L402" s="8"/>
      <c r="M402" s="19" t="s">
        <v>5</v>
      </c>
      <c r="N402" s="20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ht="15.6" customHeight="1" spans="1:44" x14ac:dyDescent="0.25">
      <c r="A403" s="3"/>
      <c r="B403" s="3"/>
      <c r="C403" s="3"/>
      <c r="D403" s="4"/>
      <c r="E403" s="4" t="s">
        <v>8</v>
      </c>
      <c r="F403" s="3"/>
      <c r="G403" s="3"/>
      <c r="H403" s="4"/>
      <c r="I403" s="4"/>
      <c r="J403" s="3"/>
      <c r="K403" s="3"/>
      <c r="L403" s="16"/>
      <c r="M403" s="19" t="s">
        <v>70</v>
      </c>
      <c r="N403" s="20" t="str">
        <f>IF(N383="-"&amp;N380&amp;".3",IF(N384=15,"-"&amp;N380&amp;".4","-"&amp;N380&amp;".3"),N383)</f>
        <v>-1.1.4</v>
      </c>
      <c r="O403" s="22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ht="15.6" customHeight="1" spans="1:44" x14ac:dyDescent="0.25">
      <c r="A404" s="3"/>
      <c r="B404" s="3"/>
      <c r="C404" s="3"/>
      <c r="D404" s="4"/>
      <c r="E404" s="24" t="s">
        <v>10</v>
      </c>
      <c r="F404" s="3"/>
      <c r="G404" s="3"/>
      <c r="H404" s="4"/>
      <c r="I404" s="8"/>
      <c r="J404" s="7"/>
      <c r="K404" s="7"/>
      <c r="L404" s="8"/>
      <c r="M404" s="19" t="s">
        <v>5</v>
      </c>
      <c r="N404" s="20">
        <f>IF(N403="-"&amp;N338&amp;".3",N384+1,IF(N383="-"&amp;N338&amp;".3",1,N384+1))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ht="6.6" customHeight="1" spans="1:44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ht="15.6" customHeight="1" spans="1:44" x14ac:dyDescent="0.25">
      <c r="A406" s="27"/>
      <c r="B406" s="28"/>
      <c r="C406" s="28"/>
      <c r="D406" s="29"/>
      <c r="E406" s="29"/>
      <c r="F406" s="28"/>
      <c r="G406" s="28"/>
      <c r="H406" s="29"/>
      <c r="I406" s="29"/>
      <c r="J406" s="28"/>
      <c r="K406" s="28"/>
      <c r="L406" s="29"/>
      <c r="M406" s="29"/>
      <c r="N406" s="28"/>
      <c r="O406" s="28"/>
      <c r="P406" s="29"/>
      <c r="Q406" s="29"/>
      <c r="R406" s="28"/>
      <c r="S406" s="28"/>
      <c r="T406" s="28"/>
      <c r="U406" s="28"/>
      <c r="V406" s="59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ht="15.6" customHeight="1" spans="1:44" x14ac:dyDescent="0.25">
      <c r="A407" s="30"/>
      <c r="B407" s="31"/>
      <c r="C407" s="31"/>
      <c r="D407" s="32">
        <v>1</v>
      </c>
      <c r="E407" s="33"/>
      <c r="F407" s="31"/>
      <c r="G407" s="31"/>
      <c r="H407" s="32">
        <v>2</v>
      </c>
      <c r="I407" s="33"/>
      <c r="J407" s="31"/>
      <c r="K407" s="31"/>
      <c r="L407" s="32">
        <v>3</v>
      </c>
      <c r="M407" s="33"/>
      <c r="N407" s="31"/>
      <c r="O407" s="31"/>
      <c r="P407" s="32">
        <v>4</v>
      </c>
      <c r="Q407" s="33"/>
      <c r="R407" s="31"/>
      <c r="S407" s="31"/>
      <c r="T407" s="31"/>
      <c r="U407" s="31"/>
      <c r="V407" s="60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ht="15.6" customHeight="1" spans="1:44" x14ac:dyDescent="0.25">
      <c r="A408" s="30"/>
      <c r="B408" s="31" t="s">
        <v>11</v>
      </c>
      <c r="C408" s="31"/>
      <c r="D408" s="32" t="s">
        <v>12</v>
      </c>
      <c r="E408" s="33"/>
      <c r="F408" s="31" t="s">
        <v>11</v>
      </c>
      <c r="G408" s="31"/>
      <c r="H408" s="32" t="s">
        <v>12</v>
      </c>
      <c r="I408" s="33"/>
      <c r="J408" s="31" t="s">
        <v>11</v>
      </c>
      <c r="K408" s="31"/>
      <c r="L408" s="32" t="s">
        <v>12</v>
      </c>
      <c r="M408" s="33"/>
      <c r="N408" s="31" t="s">
        <v>11</v>
      </c>
      <c r="O408" s="31"/>
      <c r="P408" s="32" t="s">
        <v>12</v>
      </c>
      <c r="Q408" s="33"/>
      <c r="R408" s="31"/>
      <c r="S408" s="31"/>
      <c r="T408" s="31"/>
      <c r="U408" s="31"/>
      <c r="V408" s="65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ht="15.6" customHeight="1" spans="1:44" x14ac:dyDescent="0.25">
      <c r="A409" s="30"/>
      <c r="B409" s="35"/>
      <c r="C409" s="35"/>
      <c r="D409" s="5"/>
      <c r="E409" s="5"/>
      <c r="F409" s="35"/>
      <c r="G409" s="35"/>
      <c r="H409" s="5"/>
      <c r="I409" s="5"/>
      <c r="J409" s="35"/>
      <c r="K409" s="35"/>
      <c r="L409" s="5"/>
      <c r="M409" s="5"/>
      <c r="N409" s="35"/>
      <c r="O409" s="35"/>
      <c r="P409" s="5"/>
      <c r="Q409" s="5"/>
      <c r="R409" s="35"/>
      <c r="S409" s="35"/>
      <c r="T409" s="35"/>
      <c r="U409" s="35"/>
      <c r="V409" s="65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ht="15.6" customHeight="1" spans="1:44" x14ac:dyDescent="0.25">
      <c r="A410" s="30"/>
      <c r="B410" s="31">
        <v>0</v>
      </c>
      <c r="C410" s="31"/>
      <c r="D410" s="37">
        <v>1</v>
      </c>
      <c r="E410" s="37"/>
      <c r="F410" s="31">
        <v>2</v>
      </c>
      <c r="G410" s="31"/>
      <c r="H410" s="37">
        <v>3</v>
      </c>
      <c r="I410" s="37"/>
      <c r="J410" s="31">
        <v>4</v>
      </c>
      <c r="K410" s="31"/>
      <c r="L410" s="37">
        <v>5</v>
      </c>
      <c r="M410" s="37"/>
      <c r="N410" s="31">
        <v>6</v>
      </c>
      <c r="O410" s="31"/>
      <c r="P410" s="37">
        <v>7</v>
      </c>
      <c r="Q410" s="37"/>
      <c r="R410" s="31">
        <v>8</v>
      </c>
      <c r="S410" s="31"/>
      <c r="T410" s="31">
        <v>9</v>
      </c>
      <c r="U410" s="31"/>
      <c r="V410" s="67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ht="15.6" customHeight="1" spans="1:44" x14ac:dyDescent="0.25">
      <c r="A411" s="30"/>
      <c r="B411" s="31" t="s">
        <v>13</v>
      </c>
      <c r="C411" s="31" t="s">
        <v>14</v>
      </c>
      <c r="D411" s="37" t="s">
        <v>15</v>
      </c>
      <c r="E411" s="37" t="s">
        <v>16</v>
      </c>
      <c r="F411" s="31" t="s">
        <v>13</v>
      </c>
      <c r="G411" s="31" t="s">
        <v>14</v>
      </c>
      <c r="H411" s="37" t="s">
        <v>15</v>
      </c>
      <c r="I411" s="37" t="s">
        <v>16</v>
      </c>
      <c r="J411" s="31" t="s">
        <v>13</v>
      </c>
      <c r="K411" s="31" t="s">
        <v>14</v>
      </c>
      <c r="L411" s="37" t="s">
        <v>15</v>
      </c>
      <c r="M411" s="37" t="s">
        <v>16</v>
      </c>
      <c r="N411" s="31" t="s">
        <v>13</v>
      </c>
      <c r="O411" s="31" t="s">
        <v>14</v>
      </c>
      <c r="P411" s="37" t="s">
        <v>15</v>
      </c>
      <c r="Q411" s="37" t="s">
        <v>16</v>
      </c>
      <c r="R411" s="31" t="s">
        <v>13</v>
      </c>
      <c r="S411" s="31" t="s">
        <v>14</v>
      </c>
      <c r="T411" s="31" t="s">
        <v>15</v>
      </c>
      <c r="U411" s="31" t="s">
        <v>16</v>
      </c>
      <c r="V411" s="67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ht="15.6" customHeight="1" spans="1:44" x14ac:dyDescent="0.25">
      <c r="A412" s="39"/>
      <c r="B412" s="40"/>
      <c r="C412" s="40"/>
      <c r="D412" s="41"/>
      <c r="E412" s="42"/>
      <c r="F412" s="40"/>
      <c r="G412" s="40"/>
      <c r="H412" s="41"/>
      <c r="I412" s="42"/>
      <c r="J412" s="40"/>
      <c r="K412" s="40"/>
      <c r="L412" s="41"/>
      <c r="M412" s="42"/>
      <c r="N412" s="40"/>
      <c r="O412" s="40"/>
      <c r="P412" s="41"/>
      <c r="Q412" s="42"/>
      <c r="R412" s="40"/>
      <c r="S412" s="40"/>
      <c r="T412" s="40"/>
      <c r="U412" s="40"/>
      <c r="V412" s="68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ht="6" customHeight="1" spans="1:44" x14ac:dyDescent="0.25">
      <c r="A413" s="3"/>
      <c r="B413" s="35"/>
      <c r="C413" s="35"/>
      <c r="D413" s="72"/>
      <c r="E413" s="5"/>
      <c r="F413" s="35"/>
      <c r="G413" s="35"/>
      <c r="H413" s="72"/>
      <c r="I413" s="5"/>
      <c r="J413" s="35"/>
      <c r="K413" s="35"/>
      <c r="L413" s="72"/>
      <c r="M413" s="5"/>
      <c r="N413" s="35"/>
      <c r="O413" s="35"/>
      <c r="P413" s="72"/>
      <c r="Q413" s="5"/>
      <c r="R413" s="35"/>
      <c r="S413" s="35"/>
      <c r="T413" s="35"/>
      <c r="U413" s="35"/>
      <c r="V413" s="38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ht="15.6" customHeight="1" spans="1:44" x14ac:dyDescent="0.25">
      <c r="A414" s="3"/>
      <c r="B414" s="76"/>
      <c r="C414" s="77"/>
      <c r="D414" s="78"/>
      <c r="E414" s="79"/>
      <c r="F414" s="76"/>
      <c r="G414" s="77"/>
      <c r="H414" s="78"/>
      <c r="I414" s="79"/>
      <c r="J414" s="76"/>
      <c r="K414" s="77"/>
      <c r="L414" s="78"/>
      <c r="M414" s="79"/>
      <c r="N414" s="76"/>
      <c r="O414" s="77"/>
      <c r="P414" s="78"/>
      <c r="Q414" s="79"/>
      <c r="R414" s="35"/>
      <c r="S414" s="35"/>
      <c r="T414" s="35"/>
      <c r="U414" s="35"/>
      <c r="V414" s="38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ht="15.6" customHeight="1" spans="1:44" x14ac:dyDescent="0.25">
      <c r="A415" s="3"/>
      <c r="B415" s="50">
        <f>IF(D414&lt;1,"","пом.")</f>
      </c>
      <c r="C415" s="50"/>
      <c r="D415" s="52"/>
      <c r="E415" s="53"/>
      <c r="F415" s="50">
        <f>IF(H414&lt;1,"","пом.")</f>
      </c>
      <c r="G415" s="50"/>
      <c r="H415" s="52"/>
      <c r="I415" s="53"/>
      <c r="J415" s="50">
        <f>IF(L414&lt;1,"","пом.")</f>
      </c>
      <c r="K415" s="50"/>
      <c r="L415" s="52"/>
      <c r="M415" s="53"/>
      <c r="N415" s="50">
        <f>IF(P414&lt;1,"","пом.")</f>
      </c>
      <c r="O415" s="50"/>
      <c r="P415" s="52"/>
      <c r="Q415" s="53"/>
      <c r="R415" s="35"/>
      <c r="S415" s="35"/>
      <c r="T415" s="35"/>
      <c r="U415" s="35"/>
      <c r="V415" s="38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ht="15.6" customHeight="1" spans="1:44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ht="15.6" customHeight="1" spans="1:44" x14ac:dyDescent="0.25">
      <c r="A417" s="3"/>
      <c r="B417" s="3"/>
      <c r="C417" s="3"/>
      <c r="D417" s="4"/>
      <c r="E417" s="5" t="s">
        <v>26</v>
      </c>
      <c r="F417" s="54" t="s">
        <v>27</v>
      </c>
      <c r="G417" s="54"/>
      <c r="H417" s="54"/>
      <c r="I417" s="100" t="s">
        <v>28</v>
      </c>
      <c r="J417" s="100"/>
      <c r="K417" s="100"/>
      <c r="L417" s="4"/>
      <c r="M417" s="4"/>
      <c r="N417" s="3"/>
      <c r="O417" s="35" t="s">
        <v>29</v>
      </c>
      <c r="P417" s="54" t="s">
        <v>30</v>
      </c>
      <c r="Q417" s="54"/>
      <c r="R417" s="54"/>
      <c r="S417" s="100" t="s">
        <v>31</v>
      </c>
      <c r="T417" s="100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ht="15.6" customHeight="1" spans="1:44" x14ac:dyDescent="0.25">
      <c r="A418" s="3"/>
      <c r="B418" s="3"/>
      <c r="C418" s="3"/>
      <c r="D418" s="4"/>
      <c r="E418" s="5" t="s">
        <v>32</v>
      </c>
      <c r="F418" s="54" t="s">
        <v>33</v>
      </c>
      <c r="G418" s="54"/>
      <c r="H418" s="54"/>
      <c r="I418" s="100" t="s">
        <v>34</v>
      </c>
      <c r="J418" s="100"/>
      <c r="K418" s="100"/>
      <c r="L418" s="4"/>
      <c r="M418" s="4"/>
      <c r="N418" s="3"/>
      <c r="O418" s="35" t="s">
        <v>35</v>
      </c>
      <c r="P418" s="54" t="s">
        <v>30</v>
      </c>
      <c r="Q418" s="54"/>
      <c r="R418" s="54"/>
      <c r="S418" s="101" t="s">
        <v>80</v>
      </c>
      <c r="T418" s="101"/>
      <c r="U418" s="101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ht="15.6" customHeight="1" spans="1:44" x14ac:dyDescent="0.25">
      <c r="A419" s="55"/>
      <c r="B419" s="55"/>
      <c r="C419" s="55"/>
      <c r="D419" s="56"/>
      <c r="E419" s="57"/>
      <c r="F419" s="55"/>
      <c r="G419" s="55"/>
      <c r="H419" s="56"/>
      <c r="I419" s="56"/>
      <c r="J419" s="55"/>
      <c r="K419" s="55"/>
      <c r="L419" s="56"/>
      <c r="M419" s="56"/>
      <c r="N419" s="55"/>
      <c r="O419" s="55"/>
      <c r="P419" s="56"/>
      <c r="Q419" s="56"/>
      <c r="R419" s="55"/>
      <c r="S419" s="55"/>
      <c r="T419" s="55"/>
      <c r="U419" s="55"/>
      <c r="V419" s="55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ht="15.6" customHeight="1" spans="1:44" x14ac:dyDescent="0.25">
      <c r="A420" s="55"/>
      <c r="B420" s="55"/>
      <c r="C420" s="55"/>
      <c r="D420" s="56"/>
      <c r="E420" s="57"/>
      <c r="F420" s="55"/>
      <c r="G420" s="55"/>
      <c r="H420" s="56"/>
      <c r="I420" s="56"/>
      <c r="J420" s="55"/>
      <c r="K420" s="55"/>
      <c r="L420" s="56"/>
      <c r="M420" s="56"/>
      <c r="N420" s="55"/>
      <c r="O420" s="55"/>
      <c r="P420" s="56"/>
      <c r="Q420" s="56"/>
      <c r="R420" s="55"/>
      <c r="S420" s="55"/>
      <c r="T420" s="55"/>
      <c r="U420" s="55"/>
      <c r="V420" s="55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ht="15.6" customHeight="1" hidden="1" spans="1:44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ht="15.6" customHeight="1" spans="1:44" x14ac:dyDescent="0.25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4" t="str">
        <f>N400</f>
        <v>1.1</v>
      </c>
      <c r="O422" s="14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ht="15.6" customHeight="1" spans="1:44" x14ac:dyDescent="0.25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5"/>
      <c r="K423" s="15"/>
      <c r="L423" s="16"/>
      <c r="M423" s="9" t="s">
        <v>5</v>
      </c>
      <c r="N423" s="18" t="str">
        <f>N422&amp;".2"</f>
        <v>1.1.2</v>
      </c>
      <c r="O423" s="18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ht="15.6" customHeight="1" spans="1:44" x14ac:dyDescent="0.25">
      <c r="A424" s="3"/>
      <c r="B424" s="3"/>
      <c r="C424" s="3"/>
      <c r="D424" s="4"/>
      <c r="E424" s="4" t="s">
        <v>7</v>
      </c>
      <c r="F424" s="3"/>
      <c r="G424" s="3"/>
      <c r="H424" s="8"/>
      <c r="I424" s="8"/>
      <c r="J424" s="7"/>
      <c r="K424" s="7"/>
      <c r="L424" s="8"/>
      <c r="M424" s="19" t="s">
        <v>5</v>
      </c>
      <c r="N424" s="20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ht="15.6" customHeight="1" spans="1:44" x14ac:dyDescent="0.25">
      <c r="A425" s="3"/>
      <c r="B425" s="3"/>
      <c r="C425" s="3"/>
      <c r="D425" s="4"/>
      <c r="E425" s="4" t="s">
        <v>8</v>
      </c>
      <c r="F425" s="3"/>
      <c r="G425" s="3"/>
      <c r="H425" s="4"/>
      <c r="I425" s="4"/>
      <c r="J425" s="3"/>
      <c r="K425" s="3"/>
      <c r="L425" s="16"/>
      <c r="M425" s="19" t="s">
        <v>70</v>
      </c>
      <c r="N425" s="20" t="str">
        <f>IF(N403="-"&amp;N380&amp;".3",IF(N404=15,"-"&amp;N380&amp;".4","-"&amp;N380&amp;".3"),N403)</f>
        <v>-1.1.4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ht="15.6" customHeight="1" spans="1:44" x14ac:dyDescent="0.25">
      <c r="A426" s="3"/>
      <c r="B426" s="3"/>
      <c r="C426" s="3"/>
      <c r="D426" s="4"/>
      <c r="E426" s="24" t="s">
        <v>10</v>
      </c>
      <c r="F426" s="3"/>
      <c r="G426" s="3"/>
      <c r="H426" s="4"/>
      <c r="I426" s="8"/>
      <c r="J426" s="7"/>
      <c r="K426" s="7"/>
      <c r="L426" s="8"/>
      <c r="M426" s="19" t="s">
        <v>5</v>
      </c>
      <c r="N426" s="20">
        <f>IF(N425="-"&amp;N380&amp;".3",N404+1,IF(N403="-"&amp;N380&amp;".3",1,N404+1))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ht="15.6" customHeight="1" spans="1:44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ht="15.6" customHeight="1" spans="1:44" x14ac:dyDescent="0.25">
      <c r="A428" s="27"/>
      <c r="B428" s="28"/>
      <c r="C428" s="28"/>
      <c r="D428" s="29"/>
      <c r="E428" s="29"/>
      <c r="F428" s="28"/>
      <c r="G428" s="28"/>
      <c r="H428" s="29"/>
      <c r="I428" s="29"/>
      <c r="J428" s="28"/>
      <c r="K428" s="28"/>
      <c r="L428" s="29"/>
      <c r="M428" s="29"/>
      <c r="N428" s="28"/>
      <c r="O428" s="28"/>
      <c r="P428" s="29"/>
      <c r="Q428" s="29"/>
      <c r="R428" s="28"/>
      <c r="S428" s="28"/>
      <c r="T428" s="28"/>
      <c r="U428" s="28"/>
      <c r="V428" s="59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ht="15.6" customHeight="1" spans="1:44" x14ac:dyDescent="0.25">
      <c r="A429" s="30"/>
      <c r="B429" s="31"/>
      <c r="C429" s="31"/>
      <c r="D429" s="32">
        <v>1</v>
      </c>
      <c r="E429" s="33"/>
      <c r="F429" s="31"/>
      <c r="G429" s="31"/>
      <c r="H429" s="32">
        <v>2</v>
      </c>
      <c r="I429" s="33"/>
      <c r="J429" s="31"/>
      <c r="K429" s="31"/>
      <c r="L429" s="32">
        <v>3</v>
      </c>
      <c r="M429" s="33"/>
      <c r="N429" s="31"/>
      <c r="O429" s="31"/>
      <c r="P429" s="32">
        <v>4</v>
      </c>
      <c r="Q429" s="33"/>
      <c r="R429" s="31"/>
      <c r="S429" s="31"/>
      <c r="T429" s="31"/>
      <c r="U429" s="31"/>
      <c r="V429" s="60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ht="15.6" customHeight="1" spans="1:44" x14ac:dyDescent="0.25">
      <c r="A430" s="30"/>
      <c r="B430" s="31" t="s">
        <v>11</v>
      </c>
      <c r="C430" s="31"/>
      <c r="D430" s="32" t="s">
        <v>12</v>
      </c>
      <c r="E430" s="33"/>
      <c r="F430" s="31" t="s">
        <v>11</v>
      </c>
      <c r="G430" s="31"/>
      <c r="H430" s="32" t="s">
        <v>12</v>
      </c>
      <c r="I430" s="33"/>
      <c r="J430" s="31" t="s">
        <v>11</v>
      </c>
      <c r="K430" s="31"/>
      <c r="L430" s="32" t="s">
        <v>12</v>
      </c>
      <c r="M430" s="33"/>
      <c r="N430" s="31" t="s">
        <v>11</v>
      </c>
      <c r="O430" s="31"/>
      <c r="P430" s="32" t="s">
        <v>12</v>
      </c>
      <c r="Q430" s="33"/>
      <c r="R430" s="31"/>
      <c r="S430" s="31"/>
      <c r="T430" s="31"/>
      <c r="U430" s="31"/>
      <c r="V430" s="65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ht="15.6" customHeight="1" spans="1:44" x14ac:dyDescent="0.25">
      <c r="A431" s="30"/>
      <c r="B431" s="35"/>
      <c r="C431" s="35"/>
      <c r="D431" s="5"/>
      <c r="E431" s="5"/>
      <c r="F431" s="35"/>
      <c r="G431" s="35"/>
      <c r="H431" s="5"/>
      <c r="I431" s="5"/>
      <c r="J431" s="35"/>
      <c r="K431" s="35"/>
      <c r="L431" s="5"/>
      <c r="M431" s="5"/>
      <c r="N431" s="35"/>
      <c r="O431" s="35"/>
      <c r="P431" s="5"/>
      <c r="Q431" s="5"/>
      <c r="R431" s="35"/>
      <c r="S431" s="35"/>
      <c r="T431" s="35"/>
      <c r="U431" s="35"/>
      <c r="V431" s="65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ht="15.6" customHeight="1" spans="1:44" x14ac:dyDescent="0.25">
      <c r="A432" s="30"/>
      <c r="B432" s="31">
        <v>0</v>
      </c>
      <c r="C432" s="31"/>
      <c r="D432" s="37">
        <v>1</v>
      </c>
      <c r="E432" s="37"/>
      <c r="F432" s="31">
        <v>2</v>
      </c>
      <c r="G432" s="31"/>
      <c r="H432" s="37">
        <v>3</v>
      </c>
      <c r="I432" s="37"/>
      <c r="J432" s="31">
        <v>4</v>
      </c>
      <c r="K432" s="31"/>
      <c r="L432" s="37">
        <v>5</v>
      </c>
      <c r="M432" s="37"/>
      <c r="N432" s="31">
        <v>6</v>
      </c>
      <c r="O432" s="31"/>
      <c r="P432" s="37">
        <v>7</v>
      </c>
      <c r="Q432" s="37"/>
      <c r="R432" s="31">
        <v>8</v>
      </c>
      <c r="S432" s="31"/>
      <c r="T432" s="31">
        <v>9</v>
      </c>
      <c r="U432" s="31"/>
      <c r="V432" s="67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ht="15.6" customHeight="1" spans="1:44" x14ac:dyDescent="0.25">
      <c r="A433" s="30"/>
      <c r="B433" s="31" t="s">
        <v>13</v>
      </c>
      <c r="C433" s="31" t="s">
        <v>14</v>
      </c>
      <c r="D433" s="37" t="s">
        <v>15</v>
      </c>
      <c r="E433" s="37" t="s">
        <v>16</v>
      </c>
      <c r="F433" s="31" t="s">
        <v>13</v>
      </c>
      <c r="G433" s="31" t="s">
        <v>14</v>
      </c>
      <c r="H433" s="37" t="s">
        <v>15</v>
      </c>
      <c r="I433" s="37" t="s">
        <v>16</v>
      </c>
      <c r="J433" s="31" t="s">
        <v>13</v>
      </c>
      <c r="K433" s="31" t="s">
        <v>14</v>
      </c>
      <c r="L433" s="37" t="s">
        <v>15</v>
      </c>
      <c r="M433" s="37" t="s">
        <v>16</v>
      </c>
      <c r="N433" s="31" t="s">
        <v>13</v>
      </c>
      <c r="O433" s="31" t="s">
        <v>14</v>
      </c>
      <c r="P433" s="37" t="s">
        <v>15</v>
      </c>
      <c r="Q433" s="37" t="s">
        <v>16</v>
      </c>
      <c r="R433" s="31" t="s">
        <v>13</v>
      </c>
      <c r="S433" s="31" t="s">
        <v>14</v>
      </c>
      <c r="T433" s="31" t="s">
        <v>15</v>
      </c>
      <c r="U433" s="31" t="s">
        <v>16</v>
      </c>
      <c r="V433" s="67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ht="15.6" customHeight="1" spans="1:44" x14ac:dyDescent="0.25">
      <c r="A434" s="39"/>
      <c r="B434" s="40"/>
      <c r="C434" s="40"/>
      <c r="D434" s="41"/>
      <c r="E434" s="42"/>
      <c r="F434" s="40"/>
      <c r="G434" s="40"/>
      <c r="H434" s="41"/>
      <c r="I434" s="42"/>
      <c r="J434" s="40"/>
      <c r="K434" s="40"/>
      <c r="L434" s="41"/>
      <c r="M434" s="42"/>
      <c r="N434" s="40"/>
      <c r="O434" s="40"/>
      <c r="P434" s="41"/>
      <c r="Q434" s="42"/>
      <c r="R434" s="40"/>
      <c r="S434" s="40"/>
      <c r="T434" s="40"/>
      <c r="U434" s="40"/>
      <c r="V434" s="68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ht="15.6" customHeight="1" spans="1:44" x14ac:dyDescent="0.25">
      <c r="A435" s="3"/>
      <c r="B435" s="35"/>
      <c r="C435" s="35"/>
      <c r="D435" s="72"/>
      <c r="E435" s="5"/>
      <c r="F435" s="35"/>
      <c r="G435" s="35"/>
      <c r="H435" s="72"/>
      <c r="I435" s="5"/>
      <c r="J435" s="35"/>
      <c r="K435" s="35"/>
      <c r="L435" s="72"/>
      <c r="M435" s="5"/>
      <c r="N435" s="35"/>
      <c r="O435" s="35"/>
      <c r="P435" s="72"/>
      <c r="Q435" s="5"/>
      <c r="R435" s="35"/>
      <c r="S435" s="35"/>
      <c r="T435" s="35"/>
      <c r="U435" s="35"/>
      <c r="V435" s="38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ht="15.6" customHeight="1" spans="1:44" x14ac:dyDescent="0.25">
      <c r="A436" s="3"/>
      <c r="B436" s="76"/>
      <c r="C436" s="77"/>
      <c r="D436" s="78"/>
      <c r="E436" s="79"/>
      <c r="F436" s="76"/>
      <c r="G436" s="77"/>
      <c r="H436" s="78"/>
      <c r="I436" s="79"/>
      <c r="J436" s="76"/>
      <c r="K436" s="77"/>
      <c r="L436" s="78"/>
      <c r="M436" s="79"/>
      <c r="N436" s="76"/>
      <c r="O436" s="77"/>
      <c r="P436" s="78"/>
      <c r="Q436" s="79"/>
      <c r="R436" s="35"/>
      <c r="S436" s="35"/>
      <c r="T436" s="35"/>
      <c r="U436" s="35"/>
      <c r="V436" s="38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ht="15.6" customHeight="1" spans="1:44" x14ac:dyDescent="0.25">
      <c r="A437" s="3"/>
      <c r="B437" s="50">
        <f>IF(D436&lt;1,"","пом.")</f>
      </c>
      <c r="C437" s="50"/>
      <c r="D437" s="52"/>
      <c r="E437" s="53"/>
      <c r="F437" s="50">
        <f>IF(H436&lt;1,"","пом.")</f>
      </c>
      <c r="G437" s="50"/>
      <c r="H437" s="52"/>
      <c r="I437" s="53"/>
      <c r="J437" s="50">
        <f>IF(L436&lt;1,"","пом.")</f>
      </c>
      <c r="K437" s="50"/>
      <c r="L437" s="52"/>
      <c r="M437" s="53"/>
      <c r="N437" s="50">
        <f>IF(P436&lt;1,"","пом.")</f>
      </c>
      <c r="O437" s="50"/>
      <c r="P437" s="52"/>
      <c r="Q437" s="53"/>
      <c r="R437" s="35"/>
      <c r="S437" s="35"/>
      <c r="T437" s="35"/>
      <c r="U437" s="35"/>
      <c r="V437" s="38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ht="15.6" customHeight="1" spans="1:44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ht="15.6" customHeight="1" spans="1:44" x14ac:dyDescent="0.25">
      <c r="A439" s="3"/>
      <c r="B439" s="3"/>
      <c r="C439" s="3"/>
      <c r="D439" s="4"/>
      <c r="E439" s="5" t="s">
        <v>26</v>
      </c>
      <c r="F439" s="54" t="s">
        <v>27</v>
      </c>
      <c r="G439" s="54"/>
      <c r="H439" s="54"/>
      <c r="I439" s="100" t="s">
        <v>28</v>
      </c>
      <c r="J439" s="100"/>
      <c r="K439" s="100"/>
      <c r="L439" s="4"/>
      <c r="M439" s="4"/>
      <c r="N439" s="3"/>
      <c r="O439" s="35" t="s">
        <v>29</v>
      </c>
      <c r="P439" s="54" t="s">
        <v>30</v>
      </c>
      <c r="Q439" s="54"/>
      <c r="R439" s="54"/>
      <c r="S439" s="100" t="s">
        <v>31</v>
      </c>
      <c r="T439" s="100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ht="15.6" customHeight="1" spans="1:44" x14ac:dyDescent="0.25">
      <c r="A440" s="3"/>
      <c r="B440" s="3"/>
      <c r="C440" s="3"/>
      <c r="D440" s="4"/>
      <c r="E440" s="5" t="s">
        <v>32</v>
      </c>
      <c r="F440" s="54" t="s">
        <v>33</v>
      </c>
      <c r="G440" s="54"/>
      <c r="H440" s="54"/>
      <c r="I440" s="100" t="s">
        <v>34</v>
      </c>
      <c r="J440" s="100"/>
      <c r="K440" s="100"/>
      <c r="L440" s="4"/>
      <c r="M440" s="4"/>
      <c r="N440" s="3"/>
      <c r="O440" s="35" t="s">
        <v>35</v>
      </c>
      <c r="P440" s="54" t="s">
        <v>30</v>
      </c>
      <c r="Q440" s="54"/>
      <c r="R440" s="54"/>
      <c r="S440" s="101" t="s">
        <v>80</v>
      </c>
      <c r="T440" s="101"/>
      <c r="U440" s="101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ht="15.6" customHeight="1" spans="1:44" x14ac:dyDescent="0.25">
      <c r="A441" s="55"/>
      <c r="B441" s="55"/>
      <c r="C441" s="55"/>
      <c r="D441" s="56"/>
      <c r="E441" s="57"/>
      <c r="F441" s="55"/>
      <c r="G441" s="55"/>
      <c r="H441" s="56"/>
      <c r="I441" s="56"/>
      <c r="J441" s="55"/>
      <c r="K441" s="55"/>
      <c r="L441" s="56"/>
      <c r="M441" s="56"/>
      <c r="N441" s="55"/>
      <c r="O441" s="55"/>
      <c r="P441" s="56"/>
      <c r="Q441" s="56"/>
      <c r="R441" s="55"/>
      <c r="S441" s="55"/>
      <c r="T441" s="55"/>
      <c r="U441" s="55"/>
      <c r="V441" s="55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ht="15.6" customHeight="1" spans="1:44" x14ac:dyDescent="0.25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4" t="str">
        <f>N422</f>
        <v>1.1</v>
      </c>
      <c r="O442" s="14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ht="15.6" customHeight="1" spans="1:44" x14ac:dyDescent="0.25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5"/>
      <c r="K443" s="15"/>
      <c r="L443" s="16"/>
      <c r="M443" s="9" t="s">
        <v>5</v>
      </c>
      <c r="N443" s="18" t="str">
        <f>N423</f>
        <v>1.1.2</v>
      </c>
      <c r="O443" s="18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ht="15.6" customHeight="1" spans="1:44" x14ac:dyDescent="0.25">
      <c r="A444" s="3"/>
      <c r="B444" s="3"/>
      <c r="C444" s="3"/>
      <c r="D444" s="4"/>
      <c r="E444" s="4" t="s">
        <v>7</v>
      </c>
      <c r="F444" s="3"/>
      <c r="G444" s="3"/>
      <c r="H444" s="8"/>
      <c r="I444" s="8"/>
      <c r="J444" s="7"/>
      <c r="K444" s="7"/>
      <c r="L444" s="8"/>
      <c r="M444" s="19" t="s">
        <v>5</v>
      </c>
      <c r="N444" s="20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ht="15.6" customHeight="1" spans="1:44" x14ac:dyDescent="0.25">
      <c r="A445" s="3"/>
      <c r="B445" s="3"/>
      <c r="C445" s="3"/>
      <c r="D445" s="4"/>
      <c r="E445" s="4" t="s">
        <v>8</v>
      </c>
      <c r="F445" s="3"/>
      <c r="G445" s="3"/>
      <c r="H445" s="4"/>
      <c r="I445" s="4"/>
      <c r="J445" s="3"/>
      <c r="K445" s="3"/>
      <c r="L445" s="16"/>
      <c r="M445" s="19" t="s">
        <v>70</v>
      </c>
      <c r="N445" s="20" t="str">
        <f>IF(N425="-"&amp;N422&amp;".3",IF(N426=15,"-"&amp;N422&amp;".4","-"&amp;N422&amp;".3"),N425)</f>
        <v>-1.1.4</v>
      </c>
      <c r="O445" s="22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ht="15.6" customHeight="1" spans="1:44" x14ac:dyDescent="0.25">
      <c r="A446" s="3"/>
      <c r="B446" s="3"/>
      <c r="C446" s="3"/>
      <c r="D446" s="4"/>
      <c r="E446" s="24" t="s">
        <v>10</v>
      </c>
      <c r="F446" s="3"/>
      <c r="G446" s="3"/>
      <c r="H446" s="4"/>
      <c r="I446" s="8"/>
      <c r="J446" s="7"/>
      <c r="K446" s="7"/>
      <c r="L446" s="8"/>
      <c r="M446" s="19" t="s">
        <v>5</v>
      </c>
      <c r="N446" s="20">
        <f>IF(N445="-"&amp;N380&amp;".3",N426+1,IF(N425="-"&amp;N380&amp;".3",1,N426+1))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ht="15.6" customHeight="1" spans="1:44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ht="15.6" customHeight="1" spans="1:44" x14ac:dyDescent="0.25">
      <c r="A448" s="27"/>
      <c r="B448" s="28"/>
      <c r="C448" s="28"/>
      <c r="D448" s="29"/>
      <c r="E448" s="29"/>
      <c r="F448" s="28"/>
      <c r="G448" s="28"/>
      <c r="H448" s="29"/>
      <c r="I448" s="29"/>
      <c r="J448" s="28"/>
      <c r="K448" s="28"/>
      <c r="L448" s="29"/>
      <c r="M448" s="29"/>
      <c r="N448" s="28"/>
      <c r="O448" s="28"/>
      <c r="P448" s="29"/>
      <c r="Q448" s="29"/>
      <c r="R448" s="28"/>
      <c r="S448" s="28"/>
      <c r="T448" s="28"/>
      <c r="U448" s="28"/>
      <c r="V448" s="59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ht="15.6" customHeight="1" spans="1:44" x14ac:dyDescent="0.25">
      <c r="A449" s="30"/>
      <c r="B449" s="31"/>
      <c r="C449" s="31"/>
      <c r="D449" s="32">
        <v>1</v>
      </c>
      <c r="E449" s="33"/>
      <c r="F449" s="31"/>
      <c r="G449" s="31"/>
      <c r="H449" s="32">
        <v>2</v>
      </c>
      <c r="I449" s="33"/>
      <c r="J449" s="31"/>
      <c r="K449" s="31"/>
      <c r="L449" s="32">
        <v>3</v>
      </c>
      <c r="M449" s="33"/>
      <c r="N449" s="31"/>
      <c r="O449" s="31"/>
      <c r="P449" s="32">
        <v>4</v>
      </c>
      <c r="Q449" s="33"/>
      <c r="R449" s="31"/>
      <c r="S449" s="31"/>
      <c r="T449" s="31"/>
      <c r="U449" s="31"/>
      <c r="V449" s="60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ht="15.6" customHeight="1" spans="1:44" x14ac:dyDescent="0.25">
      <c r="A450" s="30"/>
      <c r="B450" s="31" t="s">
        <v>11</v>
      </c>
      <c r="C450" s="31"/>
      <c r="D450" s="32" t="s">
        <v>12</v>
      </c>
      <c r="E450" s="33"/>
      <c r="F450" s="31" t="s">
        <v>11</v>
      </c>
      <c r="G450" s="31"/>
      <c r="H450" s="32" t="s">
        <v>12</v>
      </c>
      <c r="I450" s="33"/>
      <c r="J450" s="31" t="s">
        <v>11</v>
      </c>
      <c r="K450" s="31"/>
      <c r="L450" s="32" t="s">
        <v>12</v>
      </c>
      <c r="M450" s="33"/>
      <c r="N450" s="31" t="s">
        <v>11</v>
      </c>
      <c r="O450" s="31"/>
      <c r="P450" s="32" t="s">
        <v>12</v>
      </c>
      <c r="Q450" s="33"/>
      <c r="R450" s="31"/>
      <c r="S450" s="31"/>
      <c r="T450" s="31"/>
      <c r="U450" s="31"/>
      <c r="V450" s="65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ht="15.6" customHeight="1" spans="1:44" x14ac:dyDescent="0.25">
      <c r="A451" s="30"/>
      <c r="B451" s="35"/>
      <c r="C451" s="35"/>
      <c r="D451" s="5"/>
      <c r="E451" s="5"/>
      <c r="F451" s="35"/>
      <c r="G451" s="35"/>
      <c r="H451" s="5"/>
      <c r="I451" s="5"/>
      <c r="J451" s="35"/>
      <c r="K451" s="35"/>
      <c r="L451" s="5"/>
      <c r="M451" s="5"/>
      <c r="N451" s="35"/>
      <c r="O451" s="35"/>
      <c r="P451" s="5"/>
      <c r="Q451" s="5"/>
      <c r="R451" s="35"/>
      <c r="S451" s="35"/>
      <c r="T451" s="35"/>
      <c r="U451" s="35"/>
      <c r="V451" s="65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ht="15.6" customHeight="1" spans="1:44" x14ac:dyDescent="0.25">
      <c r="A452" s="30"/>
      <c r="B452" s="31">
        <v>0</v>
      </c>
      <c r="C452" s="31"/>
      <c r="D452" s="37">
        <v>1</v>
      </c>
      <c r="E452" s="37"/>
      <c r="F452" s="31">
        <v>2</v>
      </c>
      <c r="G452" s="31"/>
      <c r="H452" s="37">
        <v>3</v>
      </c>
      <c r="I452" s="37"/>
      <c r="J452" s="31">
        <v>4</v>
      </c>
      <c r="K452" s="31"/>
      <c r="L452" s="37">
        <v>5</v>
      </c>
      <c r="M452" s="37"/>
      <c r="N452" s="31">
        <v>6</v>
      </c>
      <c r="O452" s="31"/>
      <c r="P452" s="37">
        <v>7</v>
      </c>
      <c r="Q452" s="37"/>
      <c r="R452" s="31">
        <v>8</v>
      </c>
      <c r="S452" s="31"/>
      <c r="T452" s="31">
        <v>9</v>
      </c>
      <c r="U452" s="31"/>
      <c r="V452" s="67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ht="15.6" customHeight="1" spans="1:44" x14ac:dyDescent="0.25">
      <c r="A453" s="30"/>
      <c r="B453" s="31" t="s">
        <v>13</v>
      </c>
      <c r="C453" s="31" t="s">
        <v>14</v>
      </c>
      <c r="D453" s="37" t="s">
        <v>15</v>
      </c>
      <c r="E453" s="37" t="s">
        <v>16</v>
      </c>
      <c r="F453" s="31" t="s">
        <v>13</v>
      </c>
      <c r="G453" s="31" t="s">
        <v>14</v>
      </c>
      <c r="H453" s="37" t="s">
        <v>15</v>
      </c>
      <c r="I453" s="37" t="s">
        <v>16</v>
      </c>
      <c r="J453" s="31" t="s">
        <v>13</v>
      </c>
      <c r="K453" s="31" t="s">
        <v>14</v>
      </c>
      <c r="L453" s="37" t="s">
        <v>15</v>
      </c>
      <c r="M453" s="37" t="s">
        <v>16</v>
      </c>
      <c r="N453" s="31" t="s">
        <v>13</v>
      </c>
      <c r="O453" s="31" t="s">
        <v>14</v>
      </c>
      <c r="P453" s="37" t="s">
        <v>15</v>
      </c>
      <c r="Q453" s="37" t="s">
        <v>16</v>
      </c>
      <c r="R453" s="31" t="s">
        <v>13</v>
      </c>
      <c r="S453" s="31" t="s">
        <v>14</v>
      </c>
      <c r="T453" s="31" t="s">
        <v>15</v>
      </c>
      <c r="U453" s="31" t="s">
        <v>16</v>
      </c>
      <c r="V453" s="67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ht="15.6" customHeight="1" spans="1:44" x14ac:dyDescent="0.25">
      <c r="A454" s="39"/>
      <c r="B454" s="40"/>
      <c r="C454" s="40"/>
      <c r="D454" s="41"/>
      <c r="E454" s="42"/>
      <c r="F454" s="40"/>
      <c r="G454" s="40"/>
      <c r="H454" s="41"/>
      <c r="I454" s="42"/>
      <c r="J454" s="40"/>
      <c r="K454" s="40"/>
      <c r="L454" s="41"/>
      <c r="M454" s="42"/>
      <c r="N454" s="40"/>
      <c r="O454" s="40"/>
      <c r="P454" s="41"/>
      <c r="Q454" s="42"/>
      <c r="R454" s="40"/>
      <c r="S454" s="40"/>
      <c r="T454" s="40"/>
      <c r="U454" s="40"/>
      <c r="V454" s="68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ht="7.9" customHeight="1" spans="1:44" x14ac:dyDescent="0.25">
      <c r="A455" s="3"/>
      <c r="B455" s="35"/>
      <c r="C455" s="35"/>
      <c r="D455" s="72"/>
      <c r="E455" s="5"/>
      <c r="F455" s="35"/>
      <c r="G455" s="35"/>
      <c r="H455" s="72"/>
      <c r="I455" s="5"/>
      <c r="J455" s="35"/>
      <c r="K455" s="35"/>
      <c r="L455" s="72"/>
      <c r="M455" s="5"/>
      <c r="N455" s="35"/>
      <c r="O455" s="35"/>
      <c r="P455" s="72"/>
      <c r="Q455" s="5"/>
      <c r="R455" s="35"/>
      <c r="S455" s="35"/>
      <c r="T455" s="35"/>
      <c r="U455" s="35"/>
      <c r="V455" s="38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ht="15.6" customHeight="1" spans="1:44" x14ac:dyDescent="0.25">
      <c r="A456" s="3"/>
      <c r="B456" s="76"/>
      <c r="C456" s="77"/>
      <c r="D456" s="78"/>
      <c r="E456" s="79"/>
      <c r="F456" s="76"/>
      <c r="G456" s="77"/>
      <c r="H456" s="78"/>
      <c r="I456" s="79"/>
      <c r="J456" s="76"/>
      <c r="K456" s="77"/>
      <c r="L456" s="78"/>
      <c r="M456" s="79"/>
      <c r="N456" s="76"/>
      <c r="O456" s="77"/>
      <c r="P456" s="78"/>
      <c r="Q456" s="79"/>
      <c r="R456" s="35"/>
      <c r="S456" s="35"/>
      <c r="T456" s="35"/>
      <c r="U456" s="35"/>
      <c r="V456" s="38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ht="15.6" customHeight="1" spans="1:44" x14ac:dyDescent="0.25">
      <c r="A457" s="3"/>
      <c r="B457" s="50">
        <f>IF(D456&lt;1,"","пом.")</f>
      </c>
      <c r="C457" s="50"/>
      <c r="D457" s="52"/>
      <c r="E457" s="53"/>
      <c r="F457" s="50">
        <f>IF(H456&lt;1,"","пом.")</f>
      </c>
      <c r="G457" s="50"/>
      <c r="H457" s="52"/>
      <c r="I457" s="53"/>
      <c r="J457" s="50">
        <f>IF(L456&lt;1,"","пом.")</f>
      </c>
      <c r="K457" s="50"/>
      <c r="L457" s="52"/>
      <c r="M457" s="53"/>
      <c r="N457" s="50">
        <f>IF(P456&lt;1,"","пом.")</f>
      </c>
      <c r="O457" s="50"/>
      <c r="P457" s="52"/>
      <c r="Q457" s="53"/>
      <c r="R457" s="35"/>
      <c r="S457" s="35"/>
      <c r="T457" s="35"/>
      <c r="U457" s="35"/>
      <c r="V457" s="38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ht="6.6" customHeight="1" spans="1:44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ht="15.6" customHeight="1" spans="1:44" x14ac:dyDescent="0.25">
      <c r="A459" s="3"/>
      <c r="B459" s="3"/>
      <c r="C459" s="3"/>
      <c r="D459" s="4"/>
      <c r="E459" s="5" t="s">
        <v>26</v>
      </c>
      <c r="F459" s="54" t="s">
        <v>27</v>
      </c>
      <c r="G459" s="54"/>
      <c r="H459" s="54"/>
      <c r="I459" s="100" t="s">
        <v>28</v>
      </c>
      <c r="J459" s="100"/>
      <c r="K459" s="100"/>
      <c r="L459" s="4"/>
      <c r="M459" s="4"/>
      <c r="N459" s="3"/>
      <c r="O459" s="35" t="s">
        <v>29</v>
      </c>
      <c r="P459" s="54" t="s">
        <v>30</v>
      </c>
      <c r="Q459" s="54"/>
      <c r="R459" s="54"/>
      <c r="S459" s="100" t="s">
        <v>31</v>
      </c>
      <c r="T459" s="100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ht="15.6" customHeight="1" spans="1:44" x14ac:dyDescent="0.25">
      <c r="A460" s="3"/>
      <c r="B460" s="3"/>
      <c r="C460" s="3"/>
      <c r="D460" s="4"/>
      <c r="E460" s="5" t="s">
        <v>32</v>
      </c>
      <c r="F460" s="54" t="s">
        <v>33</v>
      </c>
      <c r="G460" s="54"/>
      <c r="H460" s="54"/>
      <c r="I460" s="100" t="s">
        <v>34</v>
      </c>
      <c r="J460" s="100"/>
      <c r="K460" s="100"/>
      <c r="L460" s="4"/>
      <c r="M460" s="4"/>
      <c r="N460" s="3"/>
      <c r="O460" s="35" t="s">
        <v>35</v>
      </c>
      <c r="P460" s="54" t="s">
        <v>30</v>
      </c>
      <c r="Q460" s="54"/>
      <c r="R460" s="54"/>
      <c r="S460" s="101" t="s">
        <v>80</v>
      </c>
      <c r="T460" s="101"/>
      <c r="U460" s="101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ht="15.6" customHeight="1" spans="1:44" x14ac:dyDescent="0.25">
      <c r="A461" s="55"/>
      <c r="B461" s="55"/>
      <c r="C461" s="55"/>
      <c r="D461" s="56"/>
      <c r="E461" s="57"/>
      <c r="F461" s="55"/>
      <c r="G461" s="55"/>
      <c r="H461" s="56"/>
      <c r="I461" s="56"/>
      <c r="J461" s="55"/>
      <c r="K461" s="55"/>
      <c r="L461" s="56"/>
      <c r="M461" s="56"/>
      <c r="N461" s="55"/>
      <c r="O461" s="55"/>
      <c r="P461" s="56"/>
      <c r="Q461" s="56"/>
      <c r="R461" s="55"/>
      <c r="S461" s="55"/>
      <c r="T461" s="55"/>
      <c r="U461" s="55"/>
      <c r="V461" s="55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ht="15.6" customHeight="1" spans="1:44" x14ac:dyDescent="0.25">
      <c r="A462" s="55"/>
      <c r="B462" s="55"/>
      <c r="C462" s="55"/>
      <c r="D462" s="56"/>
      <c r="E462" s="57"/>
      <c r="F462" s="55"/>
      <c r="G462" s="55"/>
      <c r="H462" s="56"/>
      <c r="I462" s="56"/>
      <c r="J462" s="55"/>
      <c r="K462" s="55"/>
      <c r="L462" s="56"/>
      <c r="M462" s="56"/>
      <c r="N462" s="55"/>
      <c r="O462" s="55"/>
      <c r="P462" s="56"/>
      <c r="Q462" s="56"/>
      <c r="R462" s="55"/>
      <c r="S462" s="55"/>
      <c r="T462" s="55"/>
      <c r="U462" s="55"/>
      <c r="V462" s="55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ht="15.6" customHeight="1" hidden="1" spans="1:44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ht="15.6" customHeight="1" spans="1:44" x14ac:dyDescent="0.25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4" t="str">
        <f>N442</f>
        <v>1.1</v>
      </c>
      <c r="O464" s="14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ht="15.6" customHeight="1" spans="1:44" x14ac:dyDescent="0.25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5"/>
      <c r="K465" s="15"/>
      <c r="L465" s="16"/>
      <c r="M465" s="9" t="s">
        <v>5</v>
      </c>
      <c r="N465" s="18" t="str">
        <f>N464&amp;".2"</f>
        <v>1.1.2</v>
      </c>
      <c r="O465" s="18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ht="15.6" customHeight="1" spans="1:44" x14ac:dyDescent="0.25">
      <c r="A466" s="3"/>
      <c r="B466" s="3"/>
      <c r="C466" s="3"/>
      <c r="D466" s="4"/>
      <c r="E466" s="4" t="s">
        <v>7</v>
      </c>
      <c r="F466" s="3"/>
      <c r="G466" s="3"/>
      <c r="H466" s="8"/>
      <c r="I466" s="8"/>
      <c r="J466" s="7"/>
      <c r="K466" s="7"/>
      <c r="L466" s="8"/>
      <c r="M466" s="19" t="s">
        <v>5</v>
      </c>
      <c r="N466" s="20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ht="15.6" customHeight="1" spans="1:44" x14ac:dyDescent="0.25">
      <c r="A467" s="3"/>
      <c r="B467" s="3"/>
      <c r="C467" s="3"/>
      <c r="D467" s="4"/>
      <c r="E467" s="4" t="s">
        <v>8</v>
      </c>
      <c r="F467" s="3"/>
      <c r="G467" s="3"/>
      <c r="H467" s="4"/>
      <c r="I467" s="4"/>
      <c r="J467" s="3"/>
      <c r="K467" s="3"/>
      <c r="L467" s="16"/>
      <c r="M467" s="19" t="s">
        <v>70</v>
      </c>
      <c r="N467" s="20" t="str">
        <f>IF(N445="-"&amp;N422&amp;".3",IF(N446=15,"-"&amp;N422&amp;".4","-"&amp;N422&amp;".3"),N445)</f>
        <v>-1.1.4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ht="15.6" customHeight="1" spans="1:44" x14ac:dyDescent="0.25">
      <c r="A468" s="3"/>
      <c r="B468" s="3"/>
      <c r="C468" s="3"/>
      <c r="D468" s="4"/>
      <c r="E468" s="24" t="s">
        <v>10</v>
      </c>
      <c r="F468" s="3"/>
      <c r="G468" s="3"/>
      <c r="H468" s="4"/>
      <c r="I468" s="8"/>
      <c r="J468" s="7"/>
      <c r="K468" s="7"/>
      <c r="L468" s="8"/>
      <c r="M468" s="19" t="s">
        <v>5</v>
      </c>
      <c r="N468" s="20">
        <f>IF(N467="-"&amp;N422&amp;".3",N446+1,IF(N445="-"&amp;N422&amp;".3",1,N446+1))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ht="15.6" customHeight="1" spans="1:44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ht="15.6" customHeight="1" spans="1:44" x14ac:dyDescent="0.25">
      <c r="A470" s="27"/>
      <c r="B470" s="28"/>
      <c r="C470" s="28"/>
      <c r="D470" s="29"/>
      <c r="E470" s="29"/>
      <c r="F470" s="28"/>
      <c r="G470" s="28"/>
      <c r="H470" s="29"/>
      <c r="I470" s="29"/>
      <c r="J470" s="28"/>
      <c r="K470" s="28"/>
      <c r="L470" s="29"/>
      <c r="M470" s="29"/>
      <c r="N470" s="28"/>
      <c r="O470" s="28"/>
      <c r="P470" s="29"/>
      <c r="Q470" s="29"/>
      <c r="R470" s="28"/>
      <c r="S470" s="28"/>
      <c r="T470" s="28"/>
      <c r="U470" s="28"/>
      <c r="V470" s="59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ht="15.6" customHeight="1" spans="1:44" x14ac:dyDescent="0.25">
      <c r="A471" s="30"/>
      <c r="B471" s="31"/>
      <c r="C471" s="31"/>
      <c r="D471" s="32">
        <v>1</v>
      </c>
      <c r="E471" s="33"/>
      <c r="F471" s="31"/>
      <c r="G471" s="31"/>
      <c r="H471" s="32">
        <v>2</v>
      </c>
      <c r="I471" s="33"/>
      <c r="J471" s="31"/>
      <c r="K471" s="31"/>
      <c r="L471" s="32">
        <v>3</v>
      </c>
      <c r="M471" s="33"/>
      <c r="N471" s="31"/>
      <c r="O471" s="31"/>
      <c r="P471" s="32">
        <v>4</v>
      </c>
      <c r="Q471" s="33"/>
      <c r="R471" s="31"/>
      <c r="S471" s="31"/>
      <c r="T471" s="31"/>
      <c r="U471" s="31"/>
      <c r="V471" s="60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ht="15.6" customHeight="1" spans="1:44" x14ac:dyDescent="0.25">
      <c r="A472" s="30"/>
      <c r="B472" s="31" t="s">
        <v>11</v>
      </c>
      <c r="C472" s="31"/>
      <c r="D472" s="32" t="s">
        <v>12</v>
      </c>
      <c r="E472" s="33"/>
      <c r="F472" s="31" t="s">
        <v>11</v>
      </c>
      <c r="G472" s="31"/>
      <c r="H472" s="32" t="s">
        <v>12</v>
      </c>
      <c r="I472" s="33"/>
      <c r="J472" s="31" t="s">
        <v>11</v>
      </c>
      <c r="K472" s="31"/>
      <c r="L472" s="32" t="s">
        <v>12</v>
      </c>
      <c r="M472" s="33"/>
      <c r="N472" s="31" t="s">
        <v>11</v>
      </c>
      <c r="O472" s="31"/>
      <c r="P472" s="32" t="s">
        <v>12</v>
      </c>
      <c r="Q472" s="33"/>
      <c r="R472" s="31"/>
      <c r="S472" s="31"/>
      <c r="T472" s="31"/>
      <c r="U472" s="31"/>
      <c r="V472" s="65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ht="15.6" customHeight="1" spans="1:44" x14ac:dyDescent="0.25">
      <c r="A473" s="30"/>
      <c r="B473" s="35"/>
      <c r="C473" s="35"/>
      <c r="D473" s="5"/>
      <c r="E473" s="5"/>
      <c r="F473" s="35"/>
      <c r="G473" s="35"/>
      <c r="H473" s="5"/>
      <c r="I473" s="5"/>
      <c r="J473" s="35"/>
      <c r="K473" s="35"/>
      <c r="L473" s="5"/>
      <c r="M473" s="5"/>
      <c r="N473" s="35"/>
      <c r="O473" s="35"/>
      <c r="P473" s="5"/>
      <c r="Q473" s="5"/>
      <c r="R473" s="35"/>
      <c r="S473" s="35"/>
      <c r="T473" s="35"/>
      <c r="U473" s="35"/>
      <c r="V473" s="65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ht="15.6" customHeight="1" spans="1:44" x14ac:dyDescent="0.25">
      <c r="A474" s="30"/>
      <c r="B474" s="31">
        <v>0</v>
      </c>
      <c r="C474" s="31"/>
      <c r="D474" s="37">
        <v>1</v>
      </c>
      <c r="E474" s="37"/>
      <c r="F474" s="31">
        <v>2</v>
      </c>
      <c r="G474" s="31"/>
      <c r="H474" s="37">
        <v>3</v>
      </c>
      <c r="I474" s="37"/>
      <c r="J474" s="31">
        <v>4</v>
      </c>
      <c r="K474" s="31"/>
      <c r="L474" s="37">
        <v>5</v>
      </c>
      <c r="M474" s="37"/>
      <c r="N474" s="31">
        <v>6</v>
      </c>
      <c r="O474" s="31"/>
      <c r="P474" s="37">
        <v>7</v>
      </c>
      <c r="Q474" s="37"/>
      <c r="R474" s="31">
        <v>8</v>
      </c>
      <c r="S474" s="31"/>
      <c r="T474" s="31">
        <v>9</v>
      </c>
      <c r="U474" s="31"/>
      <c r="V474" s="67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ht="15.6" customHeight="1" spans="1:44" x14ac:dyDescent="0.25">
      <c r="A475" s="30"/>
      <c r="B475" s="31" t="s">
        <v>13</v>
      </c>
      <c r="C475" s="31" t="s">
        <v>14</v>
      </c>
      <c r="D475" s="37" t="s">
        <v>15</v>
      </c>
      <c r="E475" s="37" t="s">
        <v>16</v>
      </c>
      <c r="F475" s="31" t="s">
        <v>13</v>
      </c>
      <c r="G475" s="31" t="s">
        <v>14</v>
      </c>
      <c r="H475" s="37" t="s">
        <v>15</v>
      </c>
      <c r="I475" s="37" t="s">
        <v>16</v>
      </c>
      <c r="J475" s="31" t="s">
        <v>13</v>
      </c>
      <c r="K475" s="31" t="s">
        <v>14</v>
      </c>
      <c r="L475" s="37" t="s">
        <v>15</v>
      </c>
      <c r="M475" s="37" t="s">
        <v>16</v>
      </c>
      <c r="N475" s="31" t="s">
        <v>13</v>
      </c>
      <c r="O475" s="31" t="s">
        <v>14</v>
      </c>
      <c r="P475" s="37" t="s">
        <v>15</v>
      </c>
      <c r="Q475" s="37" t="s">
        <v>16</v>
      </c>
      <c r="R475" s="31" t="s">
        <v>13</v>
      </c>
      <c r="S475" s="31" t="s">
        <v>14</v>
      </c>
      <c r="T475" s="31" t="s">
        <v>15</v>
      </c>
      <c r="U475" s="31" t="s">
        <v>16</v>
      </c>
      <c r="V475" s="67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ht="15.6" customHeight="1" spans="1:44" x14ac:dyDescent="0.25">
      <c r="A476" s="39"/>
      <c r="B476" s="40"/>
      <c r="C476" s="40"/>
      <c r="D476" s="41"/>
      <c r="E476" s="42"/>
      <c r="F476" s="40"/>
      <c r="G476" s="40"/>
      <c r="H476" s="41"/>
      <c r="I476" s="42"/>
      <c r="J476" s="40"/>
      <c r="K476" s="40"/>
      <c r="L476" s="41"/>
      <c r="M476" s="42"/>
      <c r="N476" s="40"/>
      <c r="O476" s="40"/>
      <c r="P476" s="41"/>
      <c r="Q476" s="42"/>
      <c r="R476" s="40"/>
      <c r="S476" s="40"/>
      <c r="T476" s="40"/>
      <c r="U476" s="40"/>
      <c r="V476" s="68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ht="15.6" customHeight="1" spans="1:44" x14ac:dyDescent="0.25">
      <c r="A477" s="3"/>
      <c r="B477" s="35"/>
      <c r="C477" s="35"/>
      <c r="D477" s="72"/>
      <c r="E477" s="5"/>
      <c r="F477" s="35"/>
      <c r="G477" s="35"/>
      <c r="H477" s="72"/>
      <c r="I477" s="5"/>
      <c r="J477" s="35"/>
      <c r="K477" s="35"/>
      <c r="L477" s="72"/>
      <c r="M477" s="5"/>
      <c r="N477" s="35"/>
      <c r="O477" s="35"/>
      <c r="P477" s="72"/>
      <c r="Q477" s="5"/>
      <c r="R477" s="35"/>
      <c r="S477" s="35"/>
      <c r="T477" s="35"/>
      <c r="U477" s="35"/>
      <c r="V477" s="38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ht="15.6" customHeight="1" spans="1:44" x14ac:dyDescent="0.25">
      <c r="A478" s="3"/>
      <c r="B478" s="76"/>
      <c r="C478" s="77"/>
      <c r="D478" s="78"/>
      <c r="E478" s="79"/>
      <c r="F478" s="76"/>
      <c r="G478" s="77"/>
      <c r="H478" s="78"/>
      <c r="I478" s="79"/>
      <c r="J478" s="76"/>
      <c r="K478" s="77"/>
      <c r="L478" s="78"/>
      <c r="M478" s="79"/>
      <c r="N478" s="76"/>
      <c r="O478" s="77"/>
      <c r="P478" s="78"/>
      <c r="Q478" s="79"/>
      <c r="R478" s="35"/>
      <c r="S478" s="35"/>
      <c r="T478" s="35"/>
      <c r="U478" s="35"/>
      <c r="V478" s="38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ht="15.6" customHeight="1" spans="1:44" x14ac:dyDescent="0.25">
      <c r="A479" s="3"/>
      <c r="B479" s="50">
        <f>IF(D478&lt;1,"","пом.")</f>
      </c>
      <c r="C479" s="50"/>
      <c r="D479" s="52"/>
      <c r="E479" s="53"/>
      <c r="F479" s="50">
        <f>IF(H478&lt;1,"","пом.")</f>
      </c>
      <c r="G479" s="50"/>
      <c r="H479" s="52"/>
      <c r="I479" s="53"/>
      <c r="J479" s="50">
        <f>IF(L478&lt;1,"","пом.")</f>
      </c>
      <c r="K479" s="50"/>
      <c r="L479" s="52"/>
      <c r="M479" s="53"/>
      <c r="N479" s="50">
        <f>IF(P478&lt;1,"","пом.")</f>
      </c>
      <c r="O479" s="50"/>
      <c r="P479" s="52"/>
      <c r="Q479" s="53"/>
      <c r="R479" s="35"/>
      <c r="S479" s="35"/>
      <c r="T479" s="35"/>
      <c r="U479" s="35"/>
      <c r="V479" s="38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ht="15.6" customHeight="1" spans="1:44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ht="15.6" customHeight="1" spans="1:44" x14ac:dyDescent="0.25">
      <c r="A481" s="3"/>
      <c r="B481" s="3"/>
      <c r="C481" s="3"/>
      <c r="D481" s="4"/>
      <c r="E481" s="5" t="s">
        <v>26</v>
      </c>
      <c r="F481" s="54" t="s">
        <v>27</v>
      </c>
      <c r="G481" s="54"/>
      <c r="H481" s="54"/>
      <c r="I481" s="100" t="s">
        <v>28</v>
      </c>
      <c r="J481" s="100"/>
      <c r="K481" s="100"/>
      <c r="L481" s="4"/>
      <c r="M481" s="4"/>
      <c r="N481" s="3"/>
      <c r="O481" s="35" t="s">
        <v>29</v>
      </c>
      <c r="P481" s="54" t="s">
        <v>30</v>
      </c>
      <c r="Q481" s="54"/>
      <c r="R481" s="54"/>
      <c r="S481" s="100" t="s">
        <v>31</v>
      </c>
      <c r="T481" s="100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ht="15.6" customHeight="1" spans="1:44" x14ac:dyDescent="0.25">
      <c r="A482" s="3"/>
      <c r="B482" s="3"/>
      <c r="C482" s="3"/>
      <c r="D482" s="4"/>
      <c r="E482" s="5" t="s">
        <v>32</v>
      </c>
      <c r="F482" s="54" t="s">
        <v>33</v>
      </c>
      <c r="G482" s="54"/>
      <c r="H482" s="54"/>
      <c r="I482" s="100" t="s">
        <v>34</v>
      </c>
      <c r="J482" s="100"/>
      <c r="K482" s="100"/>
      <c r="L482" s="4"/>
      <c r="M482" s="4"/>
      <c r="N482" s="3"/>
      <c r="O482" s="35" t="s">
        <v>35</v>
      </c>
      <c r="P482" s="54" t="s">
        <v>30</v>
      </c>
      <c r="Q482" s="54"/>
      <c r="R482" s="54"/>
      <c r="S482" s="101" t="s">
        <v>80</v>
      </c>
      <c r="T482" s="101"/>
      <c r="U482" s="101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ht="15.6" customHeight="1" spans="1:44" x14ac:dyDescent="0.25">
      <c r="A483" s="55"/>
      <c r="B483" s="55"/>
      <c r="C483" s="55"/>
      <c r="D483" s="56"/>
      <c r="E483" s="57"/>
      <c r="F483" s="55"/>
      <c r="G483" s="55"/>
      <c r="H483" s="56"/>
      <c r="I483" s="56"/>
      <c r="J483" s="55"/>
      <c r="K483" s="55"/>
      <c r="L483" s="56"/>
      <c r="M483" s="56"/>
      <c r="N483" s="55"/>
      <c r="O483" s="55"/>
      <c r="P483" s="56"/>
      <c r="Q483" s="56"/>
      <c r="R483" s="55"/>
      <c r="S483" s="55"/>
      <c r="T483" s="55"/>
      <c r="U483" s="55"/>
      <c r="V483" s="55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ht="15.6" customHeight="1" spans="1:44" x14ac:dyDescent="0.25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4" t="str">
        <f>N464</f>
        <v>1.1</v>
      </c>
      <c r="O484" s="14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ht="15.6" customHeight="1" spans="1:44" x14ac:dyDescent="0.25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5"/>
      <c r="K485" s="15"/>
      <c r="L485" s="16"/>
      <c r="M485" s="9" t="s">
        <v>5</v>
      </c>
      <c r="N485" s="18" t="str">
        <f>N465</f>
        <v>1.1.2</v>
      </c>
      <c r="O485" s="18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ht="15.6" customHeight="1" spans="1:44" x14ac:dyDescent="0.25">
      <c r="A486" s="3"/>
      <c r="B486" s="3"/>
      <c r="C486" s="3"/>
      <c r="D486" s="4"/>
      <c r="E486" s="4" t="s">
        <v>7</v>
      </c>
      <c r="F486" s="3"/>
      <c r="G486" s="3"/>
      <c r="H486" s="8"/>
      <c r="I486" s="8"/>
      <c r="J486" s="7"/>
      <c r="K486" s="7"/>
      <c r="L486" s="8"/>
      <c r="M486" s="19" t="s">
        <v>5</v>
      </c>
      <c r="N486" s="20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ht="15.6" customHeight="1" spans="1:44" x14ac:dyDescent="0.25">
      <c r="A487" s="3"/>
      <c r="B487" s="3"/>
      <c r="C487" s="3"/>
      <c r="D487" s="4"/>
      <c r="E487" s="4" t="s">
        <v>8</v>
      </c>
      <c r="F487" s="3"/>
      <c r="G487" s="3"/>
      <c r="H487" s="4"/>
      <c r="I487" s="4"/>
      <c r="J487" s="3"/>
      <c r="K487" s="3"/>
      <c r="L487" s="16"/>
      <c r="M487" s="19" t="s">
        <v>70</v>
      </c>
      <c r="N487" s="20" t="str">
        <f>IF(N467="-"&amp;N464&amp;".3",IF(N468=15,"-"&amp;N464&amp;".4","-"&amp;N464&amp;".3"),N467)</f>
        <v>-1.1.4</v>
      </c>
      <c r="O487" s="22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ht="15.6" customHeight="1" spans="1:44" x14ac:dyDescent="0.25">
      <c r="A488" s="3"/>
      <c r="B488" s="3"/>
      <c r="C488" s="3"/>
      <c r="D488" s="4"/>
      <c r="E488" s="24" t="s">
        <v>10</v>
      </c>
      <c r="F488" s="3"/>
      <c r="G488" s="3"/>
      <c r="H488" s="4"/>
      <c r="I488" s="8"/>
      <c r="J488" s="7"/>
      <c r="K488" s="7"/>
      <c r="L488" s="8"/>
      <c r="M488" s="19" t="s">
        <v>5</v>
      </c>
      <c r="N488" s="20">
        <f>IF(N487="-"&amp;N422&amp;".3",N468+1,IF(N467="-"&amp;N422&amp;".3",1,N468+1))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ht="6" customHeight="1" spans="1:44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ht="15.6" customHeight="1" spans="1:44" x14ac:dyDescent="0.25">
      <c r="A490" s="27"/>
      <c r="B490" s="28"/>
      <c r="C490" s="28"/>
      <c r="D490" s="29"/>
      <c r="E490" s="29"/>
      <c r="F490" s="28"/>
      <c r="G490" s="28"/>
      <c r="H490" s="29"/>
      <c r="I490" s="29"/>
      <c r="J490" s="28"/>
      <c r="K490" s="28"/>
      <c r="L490" s="29"/>
      <c r="M490" s="29"/>
      <c r="N490" s="28"/>
      <c r="O490" s="28"/>
      <c r="P490" s="29"/>
      <c r="Q490" s="29"/>
      <c r="R490" s="28"/>
      <c r="S490" s="28"/>
      <c r="T490" s="28"/>
      <c r="U490" s="28"/>
      <c r="V490" s="59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ht="15.6" customHeight="1" spans="1:44" x14ac:dyDescent="0.25">
      <c r="A491" s="30"/>
      <c r="B491" s="31"/>
      <c r="C491" s="31"/>
      <c r="D491" s="32">
        <v>1</v>
      </c>
      <c r="E491" s="33"/>
      <c r="F491" s="31"/>
      <c r="G491" s="31"/>
      <c r="H491" s="32">
        <v>2</v>
      </c>
      <c r="I491" s="33"/>
      <c r="J491" s="31"/>
      <c r="K491" s="31"/>
      <c r="L491" s="32">
        <v>3</v>
      </c>
      <c r="M491" s="33"/>
      <c r="N491" s="31"/>
      <c r="O491" s="31"/>
      <c r="P491" s="32">
        <v>4</v>
      </c>
      <c r="Q491" s="33"/>
      <c r="R491" s="31"/>
      <c r="S491" s="31"/>
      <c r="T491" s="31"/>
      <c r="U491" s="31"/>
      <c r="V491" s="60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ht="15.6" customHeight="1" spans="1:44" x14ac:dyDescent="0.25">
      <c r="A492" s="30"/>
      <c r="B492" s="31" t="s">
        <v>11</v>
      </c>
      <c r="C492" s="31"/>
      <c r="D492" s="32" t="s">
        <v>12</v>
      </c>
      <c r="E492" s="33"/>
      <c r="F492" s="31" t="s">
        <v>11</v>
      </c>
      <c r="G492" s="31"/>
      <c r="H492" s="32" t="s">
        <v>12</v>
      </c>
      <c r="I492" s="33"/>
      <c r="J492" s="31" t="s">
        <v>11</v>
      </c>
      <c r="K492" s="31"/>
      <c r="L492" s="32" t="s">
        <v>12</v>
      </c>
      <c r="M492" s="33"/>
      <c r="N492" s="31" t="s">
        <v>11</v>
      </c>
      <c r="O492" s="31"/>
      <c r="P492" s="32" t="s">
        <v>12</v>
      </c>
      <c r="Q492" s="33"/>
      <c r="R492" s="31"/>
      <c r="S492" s="31"/>
      <c r="T492" s="31"/>
      <c r="U492" s="31"/>
      <c r="V492" s="65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ht="15.6" customHeight="1" spans="1:44" x14ac:dyDescent="0.25">
      <c r="A493" s="30"/>
      <c r="B493" s="35"/>
      <c r="C493" s="35"/>
      <c r="D493" s="5"/>
      <c r="E493" s="5"/>
      <c r="F493" s="35"/>
      <c r="G493" s="35"/>
      <c r="H493" s="5"/>
      <c r="I493" s="5"/>
      <c r="J493" s="35"/>
      <c r="K493" s="35"/>
      <c r="L493" s="5"/>
      <c r="M493" s="5"/>
      <c r="N493" s="35"/>
      <c r="O493" s="35"/>
      <c r="P493" s="5"/>
      <c r="Q493" s="5"/>
      <c r="R493" s="35"/>
      <c r="S493" s="35"/>
      <c r="T493" s="35"/>
      <c r="U493" s="35"/>
      <c r="V493" s="65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ht="15.6" customHeight="1" spans="1:44" x14ac:dyDescent="0.25">
      <c r="A494" s="30"/>
      <c r="B494" s="31">
        <v>0</v>
      </c>
      <c r="C494" s="31"/>
      <c r="D494" s="37">
        <v>1</v>
      </c>
      <c r="E494" s="37"/>
      <c r="F494" s="31">
        <v>2</v>
      </c>
      <c r="G494" s="31"/>
      <c r="H494" s="37">
        <v>3</v>
      </c>
      <c r="I494" s="37"/>
      <c r="J494" s="31">
        <v>4</v>
      </c>
      <c r="K494" s="31"/>
      <c r="L494" s="37">
        <v>5</v>
      </c>
      <c r="M494" s="37"/>
      <c r="N494" s="31">
        <v>6</v>
      </c>
      <c r="O494" s="31"/>
      <c r="P494" s="37">
        <v>7</v>
      </c>
      <c r="Q494" s="37"/>
      <c r="R494" s="31">
        <v>8</v>
      </c>
      <c r="S494" s="31"/>
      <c r="T494" s="31">
        <v>9</v>
      </c>
      <c r="U494" s="31"/>
      <c r="V494" s="67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ht="15.6" customHeight="1" spans="1:44" x14ac:dyDescent="0.25">
      <c r="A495" s="30"/>
      <c r="B495" s="31" t="s">
        <v>13</v>
      </c>
      <c r="C495" s="31" t="s">
        <v>14</v>
      </c>
      <c r="D495" s="37" t="s">
        <v>15</v>
      </c>
      <c r="E495" s="37" t="s">
        <v>16</v>
      </c>
      <c r="F495" s="31" t="s">
        <v>13</v>
      </c>
      <c r="G495" s="31" t="s">
        <v>14</v>
      </c>
      <c r="H495" s="37" t="s">
        <v>15</v>
      </c>
      <c r="I495" s="37" t="s">
        <v>16</v>
      </c>
      <c r="J495" s="31" t="s">
        <v>13</v>
      </c>
      <c r="K495" s="31" t="s">
        <v>14</v>
      </c>
      <c r="L495" s="37" t="s">
        <v>15</v>
      </c>
      <c r="M495" s="37" t="s">
        <v>16</v>
      </c>
      <c r="N495" s="31" t="s">
        <v>13</v>
      </c>
      <c r="O495" s="31" t="s">
        <v>14</v>
      </c>
      <c r="P495" s="37" t="s">
        <v>15</v>
      </c>
      <c r="Q495" s="37" t="s">
        <v>16</v>
      </c>
      <c r="R495" s="31" t="s">
        <v>13</v>
      </c>
      <c r="S495" s="31" t="s">
        <v>14</v>
      </c>
      <c r="T495" s="31" t="s">
        <v>15</v>
      </c>
      <c r="U495" s="31" t="s">
        <v>16</v>
      </c>
      <c r="V495" s="67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ht="15.6" customHeight="1" spans="1:44" x14ac:dyDescent="0.25">
      <c r="A496" s="39"/>
      <c r="B496" s="40"/>
      <c r="C496" s="40"/>
      <c r="D496" s="41"/>
      <c r="E496" s="42"/>
      <c r="F496" s="40"/>
      <c r="G496" s="40"/>
      <c r="H496" s="41"/>
      <c r="I496" s="42"/>
      <c r="J496" s="40"/>
      <c r="K496" s="40"/>
      <c r="L496" s="41"/>
      <c r="M496" s="42"/>
      <c r="N496" s="40"/>
      <c r="O496" s="40"/>
      <c r="P496" s="41"/>
      <c r="Q496" s="42"/>
      <c r="R496" s="40"/>
      <c r="S496" s="40"/>
      <c r="T496" s="40"/>
      <c r="U496" s="40"/>
      <c r="V496" s="68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ht="9" customHeight="1" spans="1:44" x14ac:dyDescent="0.25">
      <c r="A497" s="3"/>
      <c r="B497" s="35"/>
      <c r="C497" s="35"/>
      <c r="D497" s="72"/>
      <c r="E497" s="5"/>
      <c r="F497" s="35"/>
      <c r="G497" s="35"/>
      <c r="H497" s="72"/>
      <c r="I497" s="5"/>
      <c r="J497" s="35"/>
      <c r="K497" s="35"/>
      <c r="L497" s="72"/>
      <c r="M497" s="5"/>
      <c r="N497" s="35"/>
      <c r="O497" s="35"/>
      <c r="P497" s="72"/>
      <c r="Q497" s="5"/>
      <c r="R497" s="35"/>
      <c r="S497" s="35"/>
      <c r="T497" s="35"/>
      <c r="U497" s="35"/>
      <c r="V497" s="38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ht="15.6" customHeight="1" spans="1:44" x14ac:dyDescent="0.25">
      <c r="A498" s="3"/>
      <c r="B498" s="76"/>
      <c r="C498" s="77"/>
      <c r="D498" s="78"/>
      <c r="E498" s="79"/>
      <c r="F498" s="76"/>
      <c r="G498" s="77"/>
      <c r="H498" s="78"/>
      <c r="I498" s="79"/>
      <c r="J498" s="76"/>
      <c r="K498" s="77"/>
      <c r="L498" s="78"/>
      <c r="M498" s="79"/>
      <c r="N498" s="76"/>
      <c r="O498" s="77"/>
      <c r="P498" s="78"/>
      <c r="Q498" s="79"/>
      <c r="R498" s="35"/>
      <c r="S498" s="35"/>
      <c r="T498" s="35"/>
      <c r="U498" s="35"/>
      <c r="V498" s="38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ht="15.6" customHeight="1" spans="1:44" x14ac:dyDescent="0.25">
      <c r="A499" s="3"/>
      <c r="B499" s="50">
        <f>IF(D498&lt;1,"","пом.")</f>
      </c>
      <c r="C499" s="50"/>
      <c r="D499" s="52"/>
      <c r="E499" s="53"/>
      <c r="F499" s="50">
        <f>IF(H498&lt;1,"","пом.")</f>
      </c>
      <c r="G499" s="50"/>
      <c r="H499" s="52"/>
      <c r="I499" s="53"/>
      <c r="J499" s="50">
        <f>IF(L498&lt;1,"","пом.")</f>
      </c>
      <c r="K499" s="50"/>
      <c r="L499" s="52"/>
      <c r="M499" s="53"/>
      <c r="N499" s="50">
        <f>IF(P498&lt;1,"","пом.")</f>
      </c>
      <c r="O499" s="50"/>
      <c r="P499" s="52"/>
      <c r="Q499" s="53"/>
      <c r="R499" s="35"/>
      <c r="S499" s="35"/>
      <c r="T499" s="35"/>
      <c r="U499" s="35"/>
      <c r="V499" s="38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ht="15.6" customHeight="1" spans="1:44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ht="15.6" customHeight="1" spans="1:44" x14ac:dyDescent="0.25">
      <c r="A501" s="3"/>
      <c r="B501" s="3"/>
      <c r="C501" s="3"/>
      <c r="D501" s="4"/>
      <c r="E501" s="5" t="s">
        <v>26</v>
      </c>
      <c r="F501" s="54" t="s">
        <v>27</v>
      </c>
      <c r="G501" s="54"/>
      <c r="H501" s="54"/>
      <c r="I501" s="100" t="s">
        <v>28</v>
      </c>
      <c r="J501" s="100"/>
      <c r="K501" s="100"/>
      <c r="L501" s="4"/>
      <c r="M501" s="4"/>
      <c r="N501" s="3"/>
      <c r="O501" s="35" t="s">
        <v>29</v>
      </c>
      <c r="P501" s="54" t="s">
        <v>30</v>
      </c>
      <c r="Q501" s="54"/>
      <c r="R501" s="54"/>
      <c r="S501" s="100" t="s">
        <v>31</v>
      </c>
      <c r="T501" s="100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ht="15.6" customHeight="1" spans="1:44" x14ac:dyDescent="0.25">
      <c r="A502" s="3"/>
      <c r="B502" s="3"/>
      <c r="C502" s="3"/>
      <c r="D502" s="4"/>
      <c r="E502" s="5" t="s">
        <v>32</v>
      </c>
      <c r="F502" s="54" t="s">
        <v>33</v>
      </c>
      <c r="G502" s="54"/>
      <c r="H502" s="54"/>
      <c r="I502" s="100" t="s">
        <v>34</v>
      </c>
      <c r="J502" s="100"/>
      <c r="K502" s="100"/>
      <c r="L502" s="4"/>
      <c r="M502" s="4"/>
      <c r="N502" s="3"/>
      <c r="O502" s="35" t="s">
        <v>35</v>
      </c>
      <c r="P502" s="54" t="s">
        <v>30</v>
      </c>
      <c r="Q502" s="54"/>
      <c r="R502" s="54"/>
      <c r="S502" s="101" t="s">
        <v>80</v>
      </c>
      <c r="T502" s="101"/>
      <c r="U502" s="101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ht="15.6" customHeight="1" spans="1:44" x14ac:dyDescent="0.25">
      <c r="A503" s="55"/>
      <c r="B503" s="55"/>
      <c r="C503" s="55"/>
      <c r="D503" s="56"/>
      <c r="E503" s="57"/>
      <c r="F503" s="55"/>
      <c r="G503" s="55"/>
      <c r="H503" s="56"/>
      <c r="I503" s="56"/>
      <c r="J503" s="55"/>
      <c r="K503" s="55"/>
      <c r="L503" s="56"/>
      <c r="M503" s="56"/>
      <c r="N503" s="55"/>
      <c r="O503" s="55"/>
      <c r="P503" s="56"/>
      <c r="Q503" s="56"/>
      <c r="R503" s="55"/>
      <c r="S503" s="55"/>
      <c r="T503" s="55"/>
      <c r="U503" s="55"/>
      <c r="V503" s="55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ht="15.6" customHeight="1" spans="1:44" x14ac:dyDescent="0.25">
      <c r="A504" s="55"/>
      <c r="B504" s="55"/>
      <c r="C504" s="55"/>
      <c r="D504" s="56"/>
      <c r="E504" s="57"/>
      <c r="F504" s="55"/>
      <c r="G504" s="55"/>
      <c r="H504" s="56"/>
      <c r="I504" s="56"/>
      <c r="J504" s="55"/>
      <c r="K504" s="55"/>
      <c r="L504" s="56"/>
      <c r="M504" s="56"/>
      <c r="N504" s="55"/>
      <c r="O504" s="55"/>
      <c r="P504" s="56"/>
      <c r="Q504" s="56"/>
      <c r="R504" s="55"/>
      <c r="S504" s="55"/>
      <c r="T504" s="55"/>
      <c r="U504" s="55"/>
      <c r="V504" s="55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ht="15.6" customHeight="1" hidden="1" spans="1:44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ht="15.6" customHeight="1" spans="1:44" x14ac:dyDescent="0.25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4" t="str">
        <f>N484</f>
        <v>1.1</v>
      </c>
      <c r="O506" s="14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ht="15.6" customHeight="1" spans="1:44" x14ac:dyDescent="0.25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5"/>
      <c r="K507" s="15"/>
      <c r="L507" s="16"/>
      <c r="M507" s="9" t="s">
        <v>5</v>
      </c>
      <c r="N507" s="18" t="str">
        <f>N506&amp;".2"</f>
        <v>1.1.2</v>
      </c>
      <c r="O507" s="18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ht="15.6" customHeight="1" spans="1:44" x14ac:dyDescent="0.25">
      <c r="A508" s="3"/>
      <c r="B508" s="3"/>
      <c r="C508" s="3"/>
      <c r="D508" s="4"/>
      <c r="E508" s="4" t="s">
        <v>7</v>
      </c>
      <c r="F508" s="3"/>
      <c r="G508" s="3"/>
      <c r="H508" s="8"/>
      <c r="I508" s="8"/>
      <c r="J508" s="7"/>
      <c r="K508" s="7"/>
      <c r="L508" s="8"/>
      <c r="M508" s="19" t="s">
        <v>5</v>
      </c>
      <c r="N508" s="20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ht="15.6" customHeight="1" spans="1:44" x14ac:dyDescent="0.25">
      <c r="A509" s="3"/>
      <c r="B509" s="3"/>
      <c r="C509" s="3"/>
      <c r="D509" s="4"/>
      <c r="E509" s="4" t="s">
        <v>8</v>
      </c>
      <c r="F509" s="3"/>
      <c r="G509" s="3"/>
      <c r="H509" s="4"/>
      <c r="I509" s="4"/>
      <c r="J509" s="3"/>
      <c r="K509" s="3"/>
      <c r="L509" s="16"/>
      <c r="M509" s="19" t="s">
        <v>70</v>
      </c>
      <c r="N509" s="20" t="str">
        <f>IF(N487="-"&amp;N464&amp;".3",IF(N488=15,"-"&amp;N464&amp;".4","-"&amp;N464&amp;".3"),N487)</f>
        <v>-1.1.4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ht="15.6" customHeight="1" spans="1:44" x14ac:dyDescent="0.25">
      <c r="A510" s="3"/>
      <c r="B510" s="3"/>
      <c r="C510" s="3"/>
      <c r="D510" s="4"/>
      <c r="E510" s="24" t="s">
        <v>10</v>
      </c>
      <c r="F510" s="3"/>
      <c r="G510" s="3"/>
      <c r="H510" s="4"/>
      <c r="I510" s="8"/>
      <c r="J510" s="7"/>
      <c r="K510" s="7"/>
      <c r="L510" s="8"/>
      <c r="M510" s="19" t="s">
        <v>5</v>
      </c>
      <c r="N510" s="20">
        <f>IF(N509="-"&amp;N464&amp;".3",N488+1,IF(N487="-"&amp;N464&amp;".3",1,N488+1))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ht="15.6" customHeight="1" spans="1:44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ht="15.6" customHeight="1" spans="1:44" x14ac:dyDescent="0.25">
      <c r="A512" s="27"/>
      <c r="B512" s="28"/>
      <c r="C512" s="28"/>
      <c r="D512" s="29"/>
      <c r="E512" s="29"/>
      <c r="F512" s="28"/>
      <c r="G512" s="28"/>
      <c r="H512" s="29"/>
      <c r="I512" s="29"/>
      <c r="J512" s="28"/>
      <c r="K512" s="28"/>
      <c r="L512" s="29"/>
      <c r="M512" s="29"/>
      <c r="N512" s="28"/>
      <c r="O512" s="28"/>
      <c r="P512" s="29"/>
      <c r="Q512" s="29"/>
      <c r="R512" s="28"/>
      <c r="S512" s="28"/>
      <c r="T512" s="28"/>
      <c r="U512" s="28"/>
      <c r="V512" s="59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ht="15.6" customHeight="1" spans="1:44" x14ac:dyDescent="0.25">
      <c r="A513" s="30"/>
      <c r="B513" s="31"/>
      <c r="C513" s="31"/>
      <c r="D513" s="32">
        <v>1</v>
      </c>
      <c r="E513" s="33"/>
      <c r="F513" s="31"/>
      <c r="G513" s="31"/>
      <c r="H513" s="32">
        <v>2</v>
      </c>
      <c r="I513" s="33"/>
      <c r="J513" s="31"/>
      <c r="K513" s="31"/>
      <c r="L513" s="32">
        <v>3</v>
      </c>
      <c r="M513" s="33"/>
      <c r="N513" s="31"/>
      <c r="O513" s="31"/>
      <c r="P513" s="32">
        <v>4</v>
      </c>
      <c r="Q513" s="33"/>
      <c r="R513" s="31"/>
      <c r="S513" s="31"/>
      <c r="T513" s="31"/>
      <c r="U513" s="31"/>
      <c r="V513" s="60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ht="15.6" customHeight="1" spans="1:44" x14ac:dyDescent="0.25">
      <c r="A514" s="30"/>
      <c r="B514" s="31" t="s">
        <v>11</v>
      </c>
      <c r="C514" s="31"/>
      <c r="D514" s="32" t="s">
        <v>12</v>
      </c>
      <c r="E514" s="33"/>
      <c r="F514" s="31" t="s">
        <v>11</v>
      </c>
      <c r="G514" s="31"/>
      <c r="H514" s="32" t="s">
        <v>12</v>
      </c>
      <c r="I514" s="33"/>
      <c r="J514" s="31" t="s">
        <v>11</v>
      </c>
      <c r="K514" s="31"/>
      <c r="L514" s="32" t="s">
        <v>12</v>
      </c>
      <c r="M514" s="33"/>
      <c r="N514" s="31" t="s">
        <v>11</v>
      </c>
      <c r="O514" s="31"/>
      <c r="P514" s="32" t="s">
        <v>12</v>
      </c>
      <c r="Q514" s="33"/>
      <c r="R514" s="31"/>
      <c r="S514" s="31"/>
      <c r="T514" s="31"/>
      <c r="U514" s="31"/>
      <c r="V514" s="65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ht="15.6" customHeight="1" spans="1:44" x14ac:dyDescent="0.25">
      <c r="A515" s="30"/>
      <c r="B515" s="35"/>
      <c r="C515" s="35"/>
      <c r="D515" s="5"/>
      <c r="E515" s="5"/>
      <c r="F515" s="35"/>
      <c r="G515" s="35"/>
      <c r="H515" s="5"/>
      <c r="I515" s="5"/>
      <c r="J515" s="35"/>
      <c r="K515" s="35"/>
      <c r="L515" s="5"/>
      <c r="M515" s="5"/>
      <c r="N515" s="35"/>
      <c r="O515" s="35"/>
      <c r="P515" s="5"/>
      <c r="Q515" s="5"/>
      <c r="R515" s="35"/>
      <c r="S515" s="35"/>
      <c r="T515" s="35"/>
      <c r="U515" s="35"/>
      <c r="V515" s="65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ht="15.6" customHeight="1" spans="1:44" x14ac:dyDescent="0.25">
      <c r="A516" s="30"/>
      <c r="B516" s="31">
        <v>0</v>
      </c>
      <c r="C516" s="31"/>
      <c r="D516" s="37">
        <v>1</v>
      </c>
      <c r="E516" s="37"/>
      <c r="F516" s="31">
        <v>2</v>
      </c>
      <c r="G516" s="31"/>
      <c r="H516" s="37">
        <v>3</v>
      </c>
      <c r="I516" s="37"/>
      <c r="J516" s="31">
        <v>4</v>
      </c>
      <c r="K516" s="31"/>
      <c r="L516" s="37">
        <v>5</v>
      </c>
      <c r="M516" s="37"/>
      <c r="N516" s="31">
        <v>6</v>
      </c>
      <c r="O516" s="31"/>
      <c r="P516" s="37">
        <v>7</v>
      </c>
      <c r="Q516" s="37"/>
      <c r="R516" s="31">
        <v>8</v>
      </c>
      <c r="S516" s="31"/>
      <c r="T516" s="31">
        <v>9</v>
      </c>
      <c r="U516" s="31"/>
      <c r="V516" s="67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ht="15.6" customHeight="1" spans="1:44" x14ac:dyDescent="0.25">
      <c r="A517" s="30"/>
      <c r="B517" s="31" t="s">
        <v>13</v>
      </c>
      <c r="C517" s="31" t="s">
        <v>14</v>
      </c>
      <c r="D517" s="37" t="s">
        <v>15</v>
      </c>
      <c r="E517" s="37" t="s">
        <v>16</v>
      </c>
      <c r="F517" s="31" t="s">
        <v>13</v>
      </c>
      <c r="G517" s="31" t="s">
        <v>14</v>
      </c>
      <c r="H517" s="37" t="s">
        <v>15</v>
      </c>
      <c r="I517" s="37" t="s">
        <v>16</v>
      </c>
      <c r="J517" s="31" t="s">
        <v>13</v>
      </c>
      <c r="K517" s="31" t="s">
        <v>14</v>
      </c>
      <c r="L517" s="37" t="s">
        <v>15</v>
      </c>
      <c r="M517" s="37" t="s">
        <v>16</v>
      </c>
      <c r="N517" s="31" t="s">
        <v>13</v>
      </c>
      <c r="O517" s="31" t="s">
        <v>14</v>
      </c>
      <c r="P517" s="37" t="s">
        <v>15</v>
      </c>
      <c r="Q517" s="37" t="s">
        <v>16</v>
      </c>
      <c r="R517" s="31" t="s">
        <v>13</v>
      </c>
      <c r="S517" s="31" t="s">
        <v>14</v>
      </c>
      <c r="T517" s="31" t="s">
        <v>15</v>
      </c>
      <c r="U517" s="31" t="s">
        <v>16</v>
      </c>
      <c r="V517" s="67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ht="15.6" customHeight="1" spans="1:44" x14ac:dyDescent="0.25">
      <c r="A518" s="39"/>
      <c r="B518" s="40"/>
      <c r="C518" s="40"/>
      <c r="D518" s="41"/>
      <c r="E518" s="42"/>
      <c r="F518" s="40"/>
      <c r="G518" s="40"/>
      <c r="H518" s="41"/>
      <c r="I518" s="42"/>
      <c r="J518" s="40"/>
      <c r="K518" s="40"/>
      <c r="L518" s="41"/>
      <c r="M518" s="42"/>
      <c r="N518" s="40"/>
      <c r="O518" s="40"/>
      <c r="P518" s="41"/>
      <c r="Q518" s="42"/>
      <c r="R518" s="40"/>
      <c r="S518" s="40"/>
      <c r="T518" s="40"/>
      <c r="U518" s="40"/>
      <c r="V518" s="68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ht="15.6" customHeight="1" spans="1:44" x14ac:dyDescent="0.25">
      <c r="A519" s="3"/>
      <c r="B519" s="35"/>
      <c r="C519" s="35"/>
      <c r="D519" s="72"/>
      <c r="E519" s="5"/>
      <c r="F519" s="35"/>
      <c r="G519" s="35"/>
      <c r="H519" s="72"/>
      <c r="I519" s="5"/>
      <c r="J519" s="35"/>
      <c r="K519" s="35"/>
      <c r="L519" s="72"/>
      <c r="M519" s="5"/>
      <c r="N519" s="35"/>
      <c r="O519" s="35"/>
      <c r="P519" s="72"/>
      <c r="Q519" s="5"/>
      <c r="R519" s="35"/>
      <c r="S519" s="35"/>
      <c r="T519" s="35"/>
      <c r="U519" s="35"/>
      <c r="V519" s="38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ht="15.6" customHeight="1" spans="1:44" x14ac:dyDescent="0.25">
      <c r="A520" s="3"/>
      <c r="B520" s="76"/>
      <c r="C520" s="77"/>
      <c r="D520" s="78"/>
      <c r="E520" s="79"/>
      <c r="F520" s="76"/>
      <c r="G520" s="77"/>
      <c r="H520" s="78"/>
      <c r="I520" s="79"/>
      <c r="J520" s="76"/>
      <c r="K520" s="77"/>
      <c r="L520" s="78"/>
      <c r="M520" s="79"/>
      <c r="N520" s="76"/>
      <c r="O520" s="77"/>
      <c r="P520" s="78"/>
      <c r="Q520" s="79"/>
      <c r="R520" s="35"/>
      <c r="S520" s="35"/>
      <c r="T520" s="35"/>
      <c r="U520" s="35"/>
      <c r="V520" s="38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ht="15.6" customHeight="1" spans="1:44" x14ac:dyDescent="0.25">
      <c r="A521" s="3"/>
      <c r="B521" s="50">
        <f>IF(D520&lt;1,"","пом.")</f>
      </c>
      <c r="C521" s="50"/>
      <c r="D521" s="52"/>
      <c r="E521" s="53"/>
      <c r="F521" s="50">
        <f>IF(H520&lt;1,"","пом.")</f>
      </c>
      <c r="G521" s="50"/>
      <c r="H521" s="52"/>
      <c r="I521" s="53"/>
      <c r="J521" s="50">
        <f>IF(L520&lt;1,"","пом.")</f>
      </c>
      <c r="K521" s="50"/>
      <c r="L521" s="52"/>
      <c r="M521" s="53"/>
      <c r="N521" s="50">
        <f>IF(P520&lt;1,"","пом.")</f>
      </c>
      <c r="O521" s="50"/>
      <c r="P521" s="52"/>
      <c r="Q521" s="53"/>
      <c r="R521" s="35"/>
      <c r="S521" s="35"/>
      <c r="T521" s="35"/>
      <c r="U521" s="35"/>
      <c r="V521" s="38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ht="15.6" customHeight="1" spans="1:44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ht="15.6" customHeight="1" spans="1:44" x14ac:dyDescent="0.25">
      <c r="A523" s="3"/>
      <c r="B523" s="3"/>
      <c r="C523" s="3"/>
      <c r="D523" s="4"/>
      <c r="E523" s="5" t="s">
        <v>26</v>
      </c>
      <c r="F523" s="54" t="s">
        <v>27</v>
      </c>
      <c r="G523" s="54"/>
      <c r="H523" s="54"/>
      <c r="I523" s="100" t="s">
        <v>28</v>
      </c>
      <c r="J523" s="100"/>
      <c r="K523" s="100"/>
      <c r="L523" s="4"/>
      <c r="M523" s="4"/>
      <c r="N523" s="3"/>
      <c r="O523" s="35" t="s">
        <v>29</v>
      </c>
      <c r="P523" s="54" t="s">
        <v>30</v>
      </c>
      <c r="Q523" s="54"/>
      <c r="R523" s="54"/>
      <c r="S523" s="100" t="s">
        <v>31</v>
      </c>
      <c r="T523" s="100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ht="15.6" customHeight="1" spans="1:44" x14ac:dyDescent="0.25">
      <c r="A524" s="3"/>
      <c r="B524" s="3"/>
      <c r="C524" s="3"/>
      <c r="D524" s="4"/>
      <c r="E524" s="5" t="s">
        <v>32</v>
      </c>
      <c r="F524" s="54" t="s">
        <v>33</v>
      </c>
      <c r="G524" s="54"/>
      <c r="H524" s="54"/>
      <c r="I524" s="100" t="s">
        <v>34</v>
      </c>
      <c r="J524" s="100"/>
      <c r="K524" s="100"/>
      <c r="L524" s="4"/>
      <c r="M524" s="4"/>
      <c r="N524" s="3"/>
      <c r="O524" s="35" t="s">
        <v>35</v>
      </c>
      <c r="P524" s="54" t="s">
        <v>30</v>
      </c>
      <c r="Q524" s="54"/>
      <c r="R524" s="54"/>
      <c r="S524" s="101" t="s">
        <v>80</v>
      </c>
      <c r="T524" s="101"/>
      <c r="U524" s="101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ht="15.6" customHeight="1" spans="1:44" x14ac:dyDescent="0.25">
      <c r="A525" s="55"/>
      <c r="B525" s="55"/>
      <c r="C525" s="55"/>
      <c r="D525" s="56"/>
      <c r="E525" s="57"/>
      <c r="F525" s="55"/>
      <c r="G525" s="55"/>
      <c r="H525" s="56"/>
      <c r="I525" s="56"/>
      <c r="J525" s="55"/>
      <c r="K525" s="55"/>
      <c r="L525" s="56"/>
      <c r="M525" s="56"/>
      <c r="N525" s="55"/>
      <c r="O525" s="55"/>
      <c r="P525" s="56"/>
      <c r="Q525" s="56"/>
      <c r="R525" s="55"/>
      <c r="S525" s="55"/>
      <c r="T525" s="55"/>
      <c r="U525" s="55"/>
      <c r="V525" s="55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ht="15.6" customHeight="1" spans="1:44" x14ac:dyDescent="0.25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4" t="str">
        <f>N506</f>
        <v>1.1</v>
      </c>
      <c r="O526" s="14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ht="15.6" customHeight="1" spans="1:44" x14ac:dyDescent="0.25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5"/>
      <c r="K527" s="15"/>
      <c r="L527" s="16"/>
      <c r="M527" s="9" t="s">
        <v>5</v>
      </c>
      <c r="N527" s="18" t="str">
        <f>N507</f>
        <v>1.1.2</v>
      </c>
      <c r="O527" s="18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ht="15.6" customHeight="1" spans="1:44" x14ac:dyDescent="0.25">
      <c r="A528" s="3"/>
      <c r="B528" s="3"/>
      <c r="C528" s="3"/>
      <c r="D528" s="4"/>
      <c r="E528" s="4" t="s">
        <v>7</v>
      </c>
      <c r="F528" s="3"/>
      <c r="G528" s="3"/>
      <c r="H528" s="8"/>
      <c r="I528" s="8"/>
      <c r="J528" s="7"/>
      <c r="K528" s="7"/>
      <c r="L528" s="8"/>
      <c r="M528" s="19" t="s">
        <v>5</v>
      </c>
      <c r="N528" s="20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ht="15.6" customHeight="1" spans="1:44" x14ac:dyDescent="0.25">
      <c r="A529" s="3"/>
      <c r="B529" s="3"/>
      <c r="C529" s="3"/>
      <c r="D529" s="4"/>
      <c r="E529" s="4" t="s">
        <v>8</v>
      </c>
      <c r="F529" s="3"/>
      <c r="G529" s="3"/>
      <c r="H529" s="4"/>
      <c r="I529" s="4"/>
      <c r="J529" s="3"/>
      <c r="K529" s="3"/>
      <c r="L529" s="16"/>
      <c r="M529" s="19" t="s">
        <v>70</v>
      </c>
      <c r="N529" s="20" t="str">
        <f>IF(N509="-"&amp;N506&amp;".3",IF(N510=15,"-"&amp;N506&amp;".4","-"&amp;N506&amp;".3"),N509)</f>
        <v>-1.1.4</v>
      </c>
      <c r="O529" s="22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ht="15.6" customHeight="1" spans="1:44" x14ac:dyDescent="0.25">
      <c r="A530" s="3"/>
      <c r="B530" s="3"/>
      <c r="C530" s="3"/>
      <c r="D530" s="4"/>
      <c r="E530" s="24" t="s">
        <v>10</v>
      </c>
      <c r="F530" s="3"/>
      <c r="G530" s="3"/>
      <c r="H530" s="4"/>
      <c r="I530" s="8"/>
      <c r="J530" s="7"/>
      <c r="K530" s="7"/>
      <c r="L530" s="8"/>
      <c r="M530" s="19" t="s">
        <v>5</v>
      </c>
      <c r="N530" s="20">
        <f>IF(N529="-"&amp;N464&amp;".3",N510+1,IF(N509="-"&amp;N464&amp;".3",1,N510+1))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ht="15.6" customHeight="1" spans="1:44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ht="15.6" customHeight="1" spans="1:44" x14ac:dyDescent="0.25">
      <c r="A532" s="27"/>
      <c r="B532" s="28"/>
      <c r="C532" s="28"/>
      <c r="D532" s="29"/>
      <c r="E532" s="29"/>
      <c r="F532" s="28"/>
      <c r="G532" s="28"/>
      <c r="H532" s="29"/>
      <c r="I532" s="29"/>
      <c r="J532" s="28"/>
      <c r="K532" s="28"/>
      <c r="L532" s="29"/>
      <c r="M532" s="29"/>
      <c r="N532" s="28"/>
      <c r="O532" s="28"/>
      <c r="P532" s="29"/>
      <c r="Q532" s="29"/>
      <c r="R532" s="28"/>
      <c r="S532" s="28"/>
      <c r="T532" s="28"/>
      <c r="U532" s="28"/>
      <c r="V532" s="59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ht="15.6" customHeight="1" spans="1:44" x14ac:dyDescent="0.25">
      <c r="A533" s="30"/>
      <c r="B533" s="31"/>
      <c r="C533" s="31"/>
      <c r="D533" s="32">
        <v>1</v>
      </c>
      <c r="E533" s="33"/>
      <c r="F533" s="31"/>
      <c r="G533" s="31"/>
      <c r="H533" s="32">
        <v>2</v>
      </c>
      <c r="I533" s="33"/>
      <c r="J533" s="31"/>
      <c r="K533" s="31"/>
      <c r="L533" s="32">
        <v>3</v>
      </c>
      <c r="M533" s="33"/>
      <c r="N533" s="31"/>
      <c r="O533" s="31"/>
      <c r="P533" s="32">
        <v>4</v>
      </c>
      <c r="Q533" s="33"/>
      <c r="R533" s="31"/>
      <c r="S533" s="31"/>
      <c r="T533" s="31"/>
      <c r="U533" s="31"/>
      <c r="V533" s="60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ht="15.6" customHeight="1" spans="1:44" x14ac:dyDescent="0.25">
      <c r="A534" s="30"/>
      <c r="B534" s="31" t="s">
        <v>11</v>
      </c>
      <c r="C534" s="31"/>
      <c r="D534" s="32" t="s">
        <v>12</v>
      </c>
      <c r="E534" s="33"/>
      <c r="F534" s="31" t="s">
        <v>11</v>
      </c>
      <c r="G534" s="31"/>
      <c r="H534" s="32" t="s">
        <v>12</v>
      </c>
      <c r="I534" s="33"/>
      <c r="J534" s="31" t="s">
        <v>11</v>
      </c>
      <c r="K534" s="31"/>
      <c r="L534" s="32" t="s">
        <v>12</v>
      </c>
      <c r="M534" s="33"/>
      <c r="N534" s="31" t="s">
        <v>11</v>
      </c>
      <c r="O534" s="31"/>
      <c r="P534" s="32" t="s">
        <v>12</v>
      </c>
      <c r="Q534" s="33"/>
      <c r="R534" s="31"/>
      <c r="S534" s="31"/>
      <c r="T534" s="31"/>
      <c r="U534" s="31"/>
      <c r="V534" s="65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ht="15.6" customHeight="1" spans="1:44" x14ac:dyDescent="0.25">
      <c r="A535" s="30"/>
      <c r="B535" s="35"/>
      <c r="C535" s="35"/>
      <c r="D535" s="5"/>
      <c r="E535" s="5"/>
      <c r="F535" s="35"/>
      <c r="G535" s="35"/>
      <c r="H535" s="5"/>
      <c r="I535" s="5"/>
      <c r="J535" s="35"/>
      <c r="K535" s="35"/>
      <c r="L535" s="5"/>
      <c r="M535" s="5"/>
      <c r="N535" s="35"/>
      <c r="O535" s="35"/>
      <c r="P535" s="5"/>
      <c r="Q535" s="5"/>
      <c r="R535" s="35"/>
      <c r="S535" s="35"/>
      <c r="T535" s="35"/>
      <c r="U535" s="35"/>
      <c r="V535" s="65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ht="15.6" customHeight="1" spans="1:44" x14ac:dyDescent="0.25">
      <c r="A536" s="30"/>
      <c r="B536" s="31">
        <v>0</v>
      </c>
      <c r="C536" s="31"/>
      <c r="D536" s="37">
        <v>1</v>
      </c>
      <c r="E536" s="37"/>
      <c r="F536" s="31">
        <v>2</v>
      </c>
      <c r="G536" s="31"/>
      <c r="H536" s="37">
        <v>3</v>
      </c>
      <c r="I536" s="37"/>
      <c r="J536" s="31">
        <v>4</v>
      </c>
      <c r="K536" s="31"/>
      <c r="L536" s="37">
        <v>5</v>
      </c>
      <c r="M536" s="37"/>
      <c r="N536" s="31">
        <v>6</v>
      </c>
      <c r="O536" s="31"/>
      <c r="P536" s="37">
        <v>7</v>
      </c>
      <c r="Q536" s="37"/>
      <c r="R536" s="31">
        <v>8</v>
      </c>
      <c r="S536" s="31"/>
      <c r="T536" s="31">
        <v>9</v>
      </c>
      <c r="U536" s="31"/>
      <c r="V536" s="67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ht="15.6" customHeight="1" spans="1:44" x14ac:dyDescent="0.25">
      <c r="A537" s="30"/>
      <c r="B537" s="31" t="s">
        <v>13</v>
      </c>
      <c r="C537" s="31" t="s">
        <v>14</v>
      </c>
      <c r="D537" s="37" t="s">
        <v>15</v>
      </c>
      <c r="E537" s="37" t="s">
        <v>16</v>
      </c>
      <c r="F537" s="31" t="s">
        <v>13</v>
      </c>
      <c r="G537" s="31" t="s">
        <v>14</v>
      </c>
      <c r="H537" s="37" t="s">
        <v>15</v>
      </c>
      <c r="I537" s="37" t="s">
        <v>16</v>
      </c>
      <c r="J537" s="31" t="s">
        <v>13</v>
      </c>
      <c r="K537" s="31" t="s">
        <v>14</v>
      </c>
      <c r="L537" s="37" t="s">
        <v>15</v>
      </c>
      <c r="M537" s="37" t="s">
        <v>16</v>
      </c>
      <c r="N537" s="31" t="s">
        <v>13</v>
      </c>
      <c r="O537" s="31" t="s">
        <v>14</v>
      </c>
      <c r="P537" s="37" t="s">
        <v>15</v>
      </c>
      <c r="Q537" s="37" t="s">
        <v>16</v>
      </c>
      <c r="R537" s="31" t="s">
        <v>13</v>
      </c>
      <c r="S537" s="31" t="s">
        <v>14</v>
      </c>
      <c r="T537" s="31" t="s">
        <v>15</v>
      </c>
      <c r="U537" s="31" t="s">
        <v>16</v>
      </c>
      <c r="V537" s="67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ht="15.6" customHeight="1" spans="1:44" x14ac:dyDescent="0.25">
      <c r="A538" s="39"/>
      <c r="B538" s="40"/>
      <c r="C538" s="40"/>
      <c r="D538" s="41"/>
      <c r="E538" s="42"/>
      <c r="F538" s="40"/>
      <c r="G538" s="40"/>
      <c r="H538" s="41"/>
      <c r="I538" s="42"/>
      <c r="J538" s="40"/>
      <c r="K538" s="40"/>
      <c r="L538" s="41"/>
      <c r="M538" s="42"/>
      <c r="N538" s="40"/>
      <c r="O538" s="40"/>
      <c r="P538" s="41"/>
      <c r="Q538" s="42"/>
      <c r="R538" s="40"/>
      <c r="S538" s="40"/>
      <c r="T538" s="40"/>
      <c r="U538" s="40"/>
      <c r="V538" s="68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ht="7.9" customHeight="1" spans="1:44" x14ac:dyDescent="0.25">
      <c r="A539" s="3"/>
      <c r="B539" s="35"/>
      <c r="C539" s="35"/>
      <c r="D539" s="72"/>
      <c r="E539" s="5"/>
      <c r="F539" s="35"/>
      <c r="G539" s="35"/>
      <c r="H539" s="72"/>
      <c r="I539" s="5"/>
      <c r="J539" s="35"/>
      <c r="K539" s="35"/>
      <c r="L539" s="72"/>
      <c r="M539" s="5"/>
      <c r="N539" s="35"/>
      <c r="O539" s="35"/>
      <c r="P539" s="72"/>
      <c r="Q539" s="5"/>
      <c r="R539" s="35"/>
      <c r="S539" s="35"/>
      <c r="T539" s="35"/>
      <c r="U539" s="35"/>
      <c r="V539" s="38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ht="15.6" customHeight="1" spans="1:44" x14ac:dyDescent="0.25">
      <c r="A540" s="3"/>
      <c r="B540" s="76"/>
      <c r="C540" s="77"/>
      <c r="D540" s="78"/>
      <c r="E540" s="79"/>
      <c r="F540" s="76"/>
      <c r="G540" s="77"/>
      <c r="H540" s="78"/>
      <c r="I540" s="79"/>
      <c r="J540" s="76"/>
      <c r="K540" s="77"/>
      <c r="L540" s="78"/>
      <c r="M540" s="79"/>
      <c r="N540" s="76"/>
      <c r="O540" s="77"/>
      <c r="P540" s="78"/>
      <c r="Q540" s="79"/>
      <c r="R540" s="35"/>
      <c r="S540" s="35"/>
      <c r="T540" s="35"/>
      <c r="U540" s="35"/>
      <c r="V540" s="38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ht="15.6" customHeight="1" spans="1:44" x14ac:dyDescent="0.25">
      <c r="A541" s="3"/>
      <c r="B541" s="50">
        <f>IF(D540&lt;1,"","пом.")</f>
      </c>
      <c r="C541" s="50"/>
      <c r="D541" s="52"/>
      <c r="E541" s="53"/>
      <c r="F541" s="50">
        <f>IF(H540&lt;1,"","пом.")</f>
      </c>
      <c r="G541" s="50"/>
      <c r="H541" s="52"/>
      <c r="I541" s="53"/>
      <c r="J541" s="50">
        <f>IF(L540&lt;1,"","пом.")</f>
      </c>
      <c r="K541" s="50"/>
      <c r="L541" s="52"/>
      <c r="M541" s="53"/>
      <c r="N541" s="50">
        <f>IF(P540&lt;1,"","пом.")</f>
      </c>
      <c r="O541" s="50"/>
      <c r="P541" s="52"/>
      <c r="Q541" s="53"/>
      <c r="R541" s="35"/>
      <c r="S541" s="35"/>
      <c r="T541" s="35"/>
      <c r="U541" s="35"/>
      <c r="V541" s="38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ht="7.15" customHeight="1" spans="1:44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ht="15.6" customHeight="1" spans="1:44" x14ac:dyDescent="0.25">
      <c r="A543" s="3"/>
      <c r="B543" s="3"/>
      <c r="C543" s="3"/>
      <c r="D543" s="4"/>
      <c r="E543" s="5" t="s">
        <v>26</v>
      </c>
      <c r="F543" s="54" t="s">
        <v>27</v>
      </c>
      <c r="G543" s="54"/>
      <c r="H543" s="54"/>
      <c r="I543" s="100" t="s">
        <v>28</v>
      </c>
      <c r="J543" s="100"/>
      <c r="K543" s="100"/>
      <c r="L543" s="4"/>
      <c r="M543" s="4"/>
      <c r="N543" s="3"/>
      <c r="O543" s="35" t="s">
        <v>29</v>
      </c>
      <c r="P543" s="54" t="s">
        <v>30</v>
      </c>
      <c r="Q543" s="54"/>
      <c r="R543" s="54"/>
      <c r="S543" s="100" t="s">
        <v>31</v>
      </c>
      <c r="T543" s="100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ht="15.6" customHeight="1" spans="1:44" x14ac:dyDescent="0.25">
      <c r="A544" s="3"/>
      <c r="B544" s="3"/>
      <c r="C544" s="3"/>
      <c r="D544" s="4"/>
      <c r="E544" s="5" t="s">
        <v>32</v>
      </c>
      <c r="F544" s="54" t="s">
        <v>33</v>
      </c>
      <c r="G544" s="54"/>
      <c r="H544" s="54"/>
      <c r="I544" s="100" t="s">
        <v>34</v>
      </c>
      <c r="J544" s="100"/>
      <c r="K544" s="100"/>
      <c r="L544" s="4"/>
      <c r="M544" s="4"/>
      <c r="N544" s="3"/>
      <c r="O544" s="35" t="s">
        <v>35</v>
      </c>
      <c r="P544" s="54" t="s">
        <v>30</v>
      </c>
      <c r="Q544" s="54"/>
      <c r="R544" s="54"/>
      <c r="S544" s="101" t="s">
        <v>80</v>
      </c>
      <c r="T544" s="101"/>
      <c r="U544" s="101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ht="15.6" customHeight="1" spans="1:44" x14ac:dyDescent="0.25">
      <c r="A545" s="55"/>
      <c r="B545" s="55"/>
      <c r="C545" s="55"/>
      <c r="D545" s="56"/>
      <c r="E545" s="57"/>
      <c r="F545" s="55"/>
      <c r="G545" s="55"/>
      <c r="H545" s="56"/>
      <c r="I545" s="56"/>
      <c r="J545" s="55"/>
      <c r="K545" s="55"/>
      <c r="L545" s="56"/>
      <c r="M545" s="56"/>
      <c r="N545" s="55"/>
      <c r="O545" s="55"/>
      <c r="P545" s="56"/>
      <c r="Q545" s="56"/>
      <c r="R545" s="55"/>
      <c r="S545" s="55"/>
      <c r="T545" s="55"/>
      <c r="U545" s="55"/>
      <c r="V545" s="55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ht="15.6" customHeight="1" spans="1:44" x14ac:dyDescent="0.25">
      <c r="A546" s="55"/>
      <c r="B546" s="55"/>
      <c r="C546" s="55"/>
      <c r="D546" s="56"/>
      <c r="E546" s="57"/>
      <c r="F546" s="55"/>
      <c r="G546" s="55"/>
      <c r="H546" s="56"/>
      <c r="I546" s="56"/>
      <c r="J546" s="55"/>
      <c r="K546" s="55"/>
      <c r="L546" s="56"/>
      <c r="M546" s="56"/>
      <c r="N546" s="55"/>
      <c r="O546" s="55"/>
      <c r="P546" s="56"/>
      <c r="Q546" s="56"/>
      <c r="R546" s="55"/>
      <c r="S546" s="55"/>
      <c r="T546" s="55"/>
      <c r="U546" s="55"/>
      <c r="V546" s="55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ht="15.6" customHeight="1" hidden="1" spans="1:44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ht="15.6" customHeight="1" spans="1:44" x14ac:dyDescent="0.25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4" t="str">
        <f>N526</f>
        <v>1.1</v>
      </c>
      <c r="O548" s="14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ht="15.6" customHeight="1" spans="1:44" x14ac:dyDescent="0.25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5"/>
      <c r="K549" s="15"/>
      <c r="L549" s="16"/>
      <c r="M549" s="9" t="s">
        <v>5</v>
      </c>
      <c r="N549" s="18" t="str">
        <f>N548&amp;".2"</f>
        <v>1.1.2</v>
      </c>
      <c r="O549" s="18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ht="15.6" customHeight="1" spans="1:44" x14ac:dyDescent="0.25">
      <c r="A550" s="3"/>
      <c r="B550" s="3"/>
      <c r="C550" s="3"/>
      <c r="D550" s="4"/>
      <c r="E550" s="4" t="s">
        <v>7</v>
      </c>
      <c r="F550" s="3"/>
      <c r="G550" s="3"/>
      <c r="H550" s="8"/>
      <c r="I550" s="8"/>
      <c r="J550" s="7"/>
      <c r="K550" s="7"/>
      <c r="L550" s="8"/>
      <c r="M550" s="19" t="s">
        <v>5</v>
      </c>
      <c r="N550" s="20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ht="15.6" customHeight="1" spans="1:44" x14ac:dyDescent="0.25">
      <c r="A551" s="3"/>
      <c r="B551" s="3"/>
      <c r="C551" s="3"/>
      <c r="D551" s="4"/>
      <c r="E551" s="4" t="s">
        <v>8</v>
      </c>
      <c r="F551" s="3"/>
      <c r="G551" s="3"/>
      <c r="H551" s="4"/>
      <c r="I551" s="4"/>
      <c r="J551" s="3"/>
      <c r="K551" s="3"/>
      <c r="L551" s="16"/>
      <c r="M551" s="19" t="s">
        <v>70</v>
      </c>
      <c r="N551" s="20" t="str">
        <f>IF(N529="-"&amp;N506&amp;".3",IF(N530=15,"-"&amp;N506&amp;".4","-"&amp;N506&amp;".3"),N529)</f>
        <v>-1.1.4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ht="15.6" customHeight="1" spans="1:44" x14ac:dyDescent="0.25">
      <c r="A552" s="3"/>
      <c r="B552" s="3"/>
      <c r="C552" s="3"/>
      <c r="D552" s="4"/>
      <c r="E552" s="24" t="s">
        <v>10</v>
      </c>
      <c r="F552" s="3"/>
      <c r="G552" s="3"/>
      <c r="H552" s="4"/>
      <c r="I552" s="8"/>
      <c r="J552" s="7"/>
      <c r="K552" s="7"/>
      <c r="L552" s="8"/>
      <c r="M552" s="19" t="s">
        <v>5</v>
      </c>
      <c r="N552" s="20">
        <f>IF(N551="-"&amp;N506&amp;".3",N530+1,IF(N529="-"&amp;N506&amp;".3",1,N530+1))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ht="15.6" customHeight="1" spans="1:44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ht="15.6" customHeight="1" spans="1:44" x14ac:dyDescent="0.25">
      <c r="A554" s="27"/>
      <c r="B554" s="28"/>
      <c r="C554" s="28"/>
      <c r="D554" s="29"/>
      <c r="E554" s="29"/>
      <c r="F554" s="28"/>
      <c r="G554" s="28"/>
      <c r="H554" s="29"/>
      <c r="I554" s="29"/>
      <c r="J554" s="28"/>
      <c r="K554" s="28"/>
      <c r="L554" s="29"/>
      <c r="M554" s="29"/>
      <c r="N554" s="28"/>
      <c r="O554" s="28"/>
      <c r="P554" s="29"/>
      <c r="Q554" s="29"/>
      <c r="R554" s="28"/>
      <c r="S554" s="28"/>
      <c r="T554" s="28"/>
      <c r="U554" s="28"/>
      <c r="V554" s="59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ht="15.6" customHeight="1" spans="1:44" x14ac:dyDescent="0.25">
      <c r="A555" s="30"/>
      <c r="B555" s="31"/>
      <c r="C555" s="31"/>
      <c r="D555" s="32">
        <v>1</v>
      </c>
      <c r="E555" s="33"/>
      <c r="F555" s="31"/>
      <c r="G555" s="31"/>
      <c r="H555" s="32">
        <v>2</v>
      </c>
      <c r="I555" s="33"/>
      <c r="J555" s="31"/>
      <c r="K555" s="31"/>
      <c r="L555" s="32">
        <v>3</v>
      </c>
      <c r="M555" s="33"/>
      <c r="N555" s="31"/>
      <c r="O555" s="31"/>
      <c r="P555" s="32">
        <v>4</v>
      </c>
      <c r="Q555" s="33"/>
      <c r="R555" s="31"/>
      <c r="S555" s="31"/>
      <c r="T555" s="31"/>
      <c r="U555" s="31"/>
      <c r="V555" s="60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ht="15.6" customHeight="1" spans="1:44" x14ac:dyDescent="0.25">
      <c r="A556" s="30"/>
      <c r="B556" s="31" t="s">
        <v>11</v>
      </c>
      <c r="C556" s="31"/>
      <c r="D556" s="32" t="s">
        <v>12</v>
      </c>
      <c r="E556" s="33"/>
      <c r="F556" s="31" t="s">
        <v>11</v>
      </c>
      <c r="G556" s="31"/>
      <c r="H556" s="32" t="s">
        <v>12</v>
      </c>
      <c r="I556" s="33"/>
      <c r="J556" s="31" t="s">
        <v>11</v>
      </c>
      <c r="K556" s="31"/>
      <c r="L556" s="32" t="s">
        <v>12</v>
      </c>
      <c r="M556" s="33"/>
      <c r="N556" s="31" t="s">
        <v>11</v>
      </c>
      <c r="O556" s="31"/>
      <c r="P556" s="32" t="s">
        <v>12</v>
      </c>
      <c r="Q556" s="33"/>
      <c r="R556" s="31"/>
      <c r="S556" s="31"/>
      <c r="T556" s="31"/>
      <c r="U556" s="31"/>
      <c r="V556" s="65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ht="15.6" customHeight="1" spans="1:44" x14ac:dyDescent="0.25">
      <c r="A557" s="30"/>
      <c r="B557" s="35"/>
      <c r="C557" s="35"/>
      <c r="D557" s="5"/>
      <c r="E557" s="5"/>
      <c r="F557" s="35"/>
      <c r="G557" s="35"/>
      <c r="H557" s="5"/>
      <c r="I557" s="5"/>
      <c r="J557" s="35"/>
      <c r="K557" s="35"/>
      <c r="L557" s="5"/>
      <c r="M557" s="5"/>
      <c r="N557" s="35"/>
      <c r="O557" s="35"/>
      <c r="P557" s="5"/>
      <c r="Q557" s="5"/>
      <c r="R557" s="35"/>
      <c r="S557" s="35"/>
      <c r="T557" s="35"/>
      <c r="U557" s="35"/>
      <c r="V557" s="65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ht="15.6" customHeight="1" spans="1:44" x14ac:dyDescent="0.25">
      <c r="A558" s="30"/>
      <c r="B558" s="31">
        <v>0</v>
      </c>
      <c r="C558" s="31"/>
      <c r="D558" s="37">
        <v>1</v>
      </c>
      <c r="E558" s="37"/>
      <c r="F558" s="31">
        <v>2</v>
      </c>
      <c r="G558" s="31"/>
      <c r="H558" s="37">
        <v>3</v>
      </c>
      <c r="I558" s="37"/>
      <c r="J558" s="31">
        <v>4</v>
      </c>
      <c r="K558" s="31"/>
      <c r="L558" s="37">
        <v>5</v>
      </c>
      <c r="M558" s="37"/>
      <c r="N558" s="31">
        <v>6</v>
      </c>
      <c r="O558" s="31"/>
      <c r="P558" s="37">
        <v>7</v>
      </c>
      <c r="Q558" s="37"/>
      <c r="R558" s="31">
        <v>8</v>
      </c>
      <c r="S558" s="31"/>
      <c r="T558" s="31">
        <v>9</v>
      </c>
      <c r="U558" s="31"/>
      <c r="V558" s="67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ht="15.6" customHeight="1" spans="1:44" x14ac:dyDescent="0.25">
      <c r="A559" s="30"/>
      <c r="B559" s="31" t="s">
        <v>13</v>
      </c>
      <c r="C559" s="31" t="s">
        <v>14</v>
      </c>
      <c r="D559" s="37" t="s">
        <v>15</v>
      </c>
      <c r="E559" s="37" t="s">
        <v>16</v>
      </c>
      <c r="F559" s="31" t="s">
        <v>13</v>
      </c>
      <c r="G559" s="31" t="s">
        <v>14</v>
      </c>
      <c r="H559" s="37" t="s">
        <v>15</v>
      </c>
      <c r="I559" s="37" t="s">
        <v>16</v>
      </c>
      <c r="J559" s="31" t="s">
        <v>13</v>
      </c>
      <c r="K559" s="31" t="s">
        <v>14</v>
      </c>
      <c r="L559" s="37" t="s">
        <v>15</v>
      </c>
      <c r="M559" s="37" t="s">
        <v>16</v>
      </c>
      <c r="N559" s="31" t="s">
        <v>13</v>
      </c>
      <c r="O559" s="31" t="s">
        <v>14</v>
      </c>
      <c r="P559" s="37" t="s">
        <v>15</v>
      </c>
      <c r="Q559" s="37" t="s">
        <v>16</v>
      </c>
      <c r="R559" s="31" t="s">
        <v>13</v>
      </c>
      <c r="S559" s="31" t="s">
        <v>14</v>
      </c>
      <c r="T559" s="31" t="s">
        <v>15</v>
      </c>
      <c r="U559" s="31" t="s">
        <v>16</v>
      </c>
      <c r="V559" s="67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ht="15.6" customHeight="1" spans="1:44" x14ac:dyDescent="0.25">
      <c r="A560" s="39"/>
      <c r="B560" s="40"/>
      <c r="C560" s="40"/>
      <c r="D560" s="41"/>
      <c r="E560" s="42"/>
      <c r="F560" s="40"/>
      <c r="G560" s="40"/>
      <c r="H560" s="41"/>
      <c r="I560" s="42"/>
      <c r="J560" s="40"/>
      <c r="K560" s="40"/>
      <c r="L560" s="41"/>
      <c r="M560" s="42"/>
      <c r="N560" s="40"/>
      <c r="O560" s="40"/>
      <c r="P560" s="41"/>
      <c r="Q560" s="42"/>
      <c r="R560" s="40"/>
      <c r="S560" s="40"/>
      <c r="T560" s="40"/>
      <c r="U560" s="40"/>
      <c r="V560" s="68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ht="15.6" customHeight="1" spans="1:44" x14ac:dyDescent="0.25">
      <c r="A561" s="3"/>
      <c r="B561" s="35"/>
      <c r="C561" s="35"/>
      <c r="D561" s="72"/>
      <c r="E561" s="5"/>
      <c r="F561" s="35"/>
      <c r="G561" s="35"/>
      <c r="H561" s="72"/>
      <c r="I561" s="5"/>
      <c r="J561" s="35"/>
      <c r="K561" s="35"/>
      <c r="L561" s="72"/>
      <c r="M561" s="5"/>
      <c r="N561" s="35"/>
      <c r="O561" s="35"/>
      <c r="P561" s="72"/>
      <c r="Q561" s="5"/>
      <c r="R561" s="35"/>
      <c r="S561" s="35"/>
      <c r="T561" s="35"/>
      <c r="U561" s="35"/>
      <c r="V561" s="38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ht="15.6" customHeight="1" spans="1:44" x14ac:dyDescent="0.25">
      <c r="A562" s="3"/>
      <c r="B562" s="76"/>
      <c r="C562" s="77"/>
      <c r="D562" s="78"/>
      <c r="E562" s="79"/>
      <c r="F562" s="76"/>
      <c r="G562" s="77"/>
      <c r="H562" s="78"/>
      <c r="I562" s="79"/>
      <c r="J562" s="76"/>
      <c r="K562" s="77"/>
      <c r="L562" s="78"/>
      <c r="M562" s="79"/>
      <c r="N562" s="76"/>
      <c r="O562" s="77"/>
      <c r="P562" s="78"/>
      <c r="Q562" s="79"/>
      <c r="R562" s="35"/>
      <c r="S562" s="35"/>
      <c r="T562" s="35"/>
      <c r="U562" s="35"/>
      <c r="V562" s="38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ht="15.6" customHeight="1" spans="1:44" x14ac:dyDescent="0.25">
      <c r="A563" s="3"/>
      <c r="B563" s="50">
        <f>IF(D562&lt;1,"","пом.")</f>
      </c>
      <c r="C563" s="50"/>
      <c r="D563" s="52"/>
      <c r="E563" s="53"/>
      <c r="F563" s="50">
        <f>IF(H562&lt;1,"","пом.")</f>
      </c>
      <c r="G563" s="50"/>
      <c r="H563" s="52"/>
      <c r="I563" s="53"/>
      <c r="J563" s="50">
        <f>IF(L562&lt;1,"","пом.")</f>
      </c>
      <c r="K563" s="50"/>
      <c r="L563" s="52"/>
      <c r="M563" s="53"/>
      <c r="N563" s="50">
        <f>IF(P562&lt;1,"","пом.")</f>
      </c>
      <c r="O563" s="50"/>
      <c r="P563" s="52"/>
      <c r="Q563" s="53"/>
      <c r="R563" s="35"/>
      <c r="S563" s="35"/>
      <c r="T563" s="35"/>
      <c r="U563" s="35"/>
      <c r="V563" s="38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ht="15.6" customHeight="1" spans="1:44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ht="15.6" customHeight="1" spans="1:44" x14ac:dyDescent="0.25">
      <c r="A565" s="3"/>
      <c r="B565" s="3"/>
      <c r="C565" s="3"/>
      <c r="D565" s="4"/>
      <c r="E565" s="5" t="s">
        <v>26</v>
      </c>
      <c r="F565" s="54" t="s">
        <v>27</v>
      </c>
      <c r="G565" s="54"/>
      <c r="H565" s="54"/>
      <c r="I565" s="100" t="s">
        <v>28</v>
      </c>
      <c r="J565" s="100"/>
      <c r="K565" s="100"/>
      <c r="L565" s="4"/>
      <c r="M565" s="4"/>
      <c r="N565" s="3"/>
      <c r="O565" s="35" t="s">
        <v>29</v>
      </c>
      <c r="P565" s="54" t="s">
        <v>30</v>
      </c>
      <c r="Q565" s="54"/>
      <c r="R565" s="54"/>
      <c r="S565" s="100" t="s">
        <v>31</v>
      </c>
      <c r="T565" s="100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ht="15.6" customHeight="1" spans="1:44" x14ac:dyDescent="0.25">
      <c r="A566" s="3"/>
      <c r="B566" s="3"/>
      <c r="C566" s="3"/>
      <c r="D566" s="4"/>
      <c r="E566" s="5" t="s">
        <v>32</v>
      </c>
      <c r="F566" s="54" t="s">
        <v>33</v>
      </c>
      <c r="G566" s="54"/>
      <c r="H566" s="54"/>
      <c r="I566" s="100" t="s">
        <v>34</v>
      </c>
      <c r="J566" s="100"/>
      <c r="K566" s="100"/>
      <c r="L566" s="4"/>
      <c r="M566" s="4"/>
      <c r="N566" s="3"/>
      <c r="O566" s="35" t="s">
        <v>35</v>
      </c>
      <c r="P566" s="54" t="s">
        <v>30</v>
      </c>
      <c r="Q566" s="54"/>
      <c r="R566" s="54"/>
      <c r="S566" s="101" t="s">
        <v>80</v>
      </c>
      <c r="T566" s="101"/>
      <c r="U566" s="101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ht="15.6" customHeight="1" spans="1:44" x14ac:dyDescent="0.25">
      <c r="A567" s="55"/>
      <c r="B567" s="55"/>
      <c r="C567" s="55"/>
      <c r="D567" s="56"/>
      <c r="E567" s="57"/>
      <c r="F567" s="55"/>
      <c r="G567" s="55"/>
      <c r="H567" s="56"/>
      <c r="I567" s="56"/>
      <c r="J567" s="55"/>
      <c r="K567" s="55"/>
      <c r="L567" s="56"/>
      <c r="M567" s="56"/>
      <c r="N567" s="55"/>
      <c r="O567" s="55"/>
      <c r="P567" s="56"/>
      <c r="Q567" s="56"/>
      <c r="R567" s="55"/>
      <c r="S567" s="55"/>
      <c r="T567" s="55"/>
      <c r="U567" s="55"/>
      <c r="V567" s="55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ht="15.6" customHeight="1" spans="1:44" x14ac:dyDescent="0.25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4" t="str">
        <f>N548</f>
        <v>1.1</v>
      </c>
      <c r="O568" s="14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ht="15.6" customHeight="1" spans="1:44" x14ac:dyDescent="0.25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5"/>
      <c r="K569" s="15"/>
      <c r="L569" s="16"/>
      <c r="M569" s="9" t="s">
        <v>5</v>
      </c>
      <c r="N569" s="18" t="str">
        <f>N549</f>
        <v>1.1.2</v>
      </c>
      <c r="O569" s="18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ht="15.6" customHeight="1" spans="1:44" x14ac:dyDescent="0.25">
      <c r="A570" s="3"/>
      <c r="B570" s="3"/>
      <c r="C570" s="3"/>
      <c r="D570" s="4"/>
      <c r="E570" s="4" t="s">
        <v>7</v>
      </c>
      <c r="F570" s="3"/>
      <c r="G570" s="3"/>
      <c r="H570" s="8"/>
      <c r="I570" s="8"/>
      <c r="J570" s="7"/>
      <c r="K570" s="7"/>
      <c r="L570" s="8"/>
      <c r="M570" s="19" t="s">
        <v>5</v>
      </c>
      <c r="N570" s="20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ht="15.6" customHeight="1" spans="1:44" x14ac:dyDescent="0.25">
      <c r="A571" s="3"/>
      <c r="B571" s="3"/>
      <c r="C571" s="3"/>
      <c r="D571" s="4"/>
      <c r="E571" s="4" t="s">
        <v>8</v>
      </c>
      <c r="F571" s="3"/>
      <c r="G571" s="3"/>
      <c r="H571" s="4"/>
      <c r="I571" s="4"/>
      <c r="J571" s="3"/>
      <c r="K571" s="3"/>
      <c r="L571" s="16"/>
      <c r="M571" s="19" t="s">
        <v>70</v>
      </c>
      <c r="N571" s="20" t="str">
        <f>IF(N551="-"&amp;N548&amp;".3",IF(N552=15,"-"&amp;N548&amp;".4","-"&amp;N548&amp;".3"),N551)</f>
        <v>-1.1.4</v>
      </c>
      <c r="O571" s="22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ht="15.6" customHeight="1" spans="1:44" x14ac:dyDescent="0.25">
      <c r="A572" s="3"/>
      <c r="B572" s="3"/>
      <c r="C572" s="3"/>
      <c r="D572" s="4"/>
      <c r="E572" s="24" t="s">
        <v>10</v>
      </c>
      <c r="F572" s="3"/>
      <c r="G572" s="3"/>
      <c r="H572" s="4"/>
      <c r="I572" s="8"/>
      <c r="J572" s="7"/>
      <c r="K572" s="7"/>
      <c r="L572" s="8"/>
      <c r="M572" s="19" t="s">
        <v>5</v>
      </c>
      <c r="N572" s="20">
        <f>IF(N571="-"&amp;N506&amp;".3",N552+1,IF(N551="-"&amp;N506&amp;".3",1,N552+1))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ht="6" customHeight="1" spans="1:44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ht="15.6" customHeight="1" spans="1:44" x14ac:dyDescent="0.25">
      <c r="A574" s="27"/>
      <c r="B574" s="28"/>
      <c r="C574" s="28"/>
      <c r="D574" s="29"/>
      <c r="E574" s="29"/>
      <c r="F574" s="28"/>
      <c r="G574" s="28"/>
      <c r="H574" s="29"/>
      <c r="I574" s="29"/>
      <c r="J574" s="28"/>
      <c r="K574" s="28"/>
      <c r="L574" s="29"/>
      <c r="M574" s="29"/>
      <c r="N574" s="28"/>
      <c r="O574" s="28"/>
      <c r="P574" s="29"/>
      <c r="Q574" s="29"/>
      <c r="R574" s="28"/>
      <c r="S574" s="28"/>
      <c r="T574" s="28"/>
      <c r="U574" s="28"/>
      <c r="V574" s="59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ht="15.6" customHeight="1" spans="1:44" x14ac:dyDescent="0.25">
      <c r="A575" s="30"/>
      <c r="B575" s="31"/>
      <c r="C575" s="31"/>
      <c r="D575" s="32">
        <v>1</v>
      </c>
      <c r="E575" s="33"/>
      <c r="F575" s="31"/>
      <c r="G575" s="31"/>
      <c r="H575" s="32">
        <v>2</v>
      </c>
      <c r="I575" s="33"/>
      <c r="J575" s="31"/>
      <c r="K575" s="31"/>
      <c r="L575" s="32">
        <v>3</v>
      </c>
      <c r="M575" s="33"/>
      <c r="N575" s="31"/>
      <c r="O575" s="31"/>
      <c r="P575" s="32">
        <v>4</v>
      </c>
      <c r="Q575" s="33"/>
      <c r="R575" s="31"/>
      <c r="S575" s="31"/>
      <c r="T575" s="31"/>
      <c r="U575" s="31"/>
      <c r="V575" s="60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ht="15.6" customHeight="1" spans="1:44" x14ac:dyDescent="0.25">
      <c r="A576" s="30"/>
      <c r="B576" s="31" t="s">
        <v>11</v>
      </c>
      <c r="C576" s="31"/>
      <c r="D576" s="32" t="s">
        <v>12</v>
      </c>
      <c r="E576" s="33"/>
      <c r="F576" s="31" t="s">
        <v>11</v>
      </c>
      <c r="G576" s="31"/>
      <c r="H576" s="32" t="s">
        <v>12</v>
      </c>
      <c r="I576" s="33"/>
      <c r="J576" s="31" t="s">
        <v>11</v>
      </c>
      <c r="K576" s="31"/>
      <c r="L576" s="32" t="s">
        <v>12</v>
      </c>
      <c r="M576" s="33"/>
      <c r="N576" s="31" t="s">
        <v>11</v>
      </c>
      <c r="O576" s="31"/>
      <c r="P576" s="32" t="s">
        <v>12</v>
      </c>
      <c r="Q576" s="33"/>
      <c r="R576" s="31"/>
      <c r="S576" s="31"/>
      <c r="T576" s="31"/>
      <c r="U576" s="31"/>
      <c r="V576" s="65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ht="15.6" customHeight="1" spans="1:44" x14ac:dyDescent="0.25">
      <c r="A577" s="30"/>
      <c r="B577" s="35"/>
      <c r="C577" s="35"/>
      <c r="D577" s="5"/>
      <c r="E577" s="5"/>
      <c r="F577" s="35"/>
      <c r="G577" s="35"/>
      <c r="H577" s="5"/>
      <c r="I577" s="5"/>
      <c r="J577" s="35"/>
      <c r="K577" s="35"/>
      <c r="L577" s="5"/>
      <c r="M577" s="5"/>
      <c r="N577" s="35"/>
      <c r="O577" s="35"/>
      <c r="P577" s="5"/>
      <c r="Q577" s="5"/>
      <c r="R577" s="35"/>
      <c r="S577" s="35"/>
      <c r="T577" s="35"/>
      <c r="U577" s="35"/>
      <c r="V577" s="65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ht="15.6" customHeight="1" spans="1:44" x14ac:dyDescent="0.25">
      <c r="A578" s="30"/>
      <c r="B578" s="31">
        <v>0</v>
      </c>
      <c r="C578" s="31"/>
      <c r="D578" s="37">
        <v>1</v>
      </c>
      <c r="E578" s="37"/>
      <c r="F578" s="31">
        <v>2</v>
      </c>
      <c r="G578" s="31"/>
      <c r="H578" s="37">
        <v>3</v>
      </c>
      <c r="I578" s="37"/>
      <c r="J578" s="31">
        <v>4</v>
      </c>
      <c r="K578" s="31"/>
      <c r="L578" s="37">
        <v>5</v>
      </c>
      <c r="M578" s="37"/>
      <c r="N578" s="31">
        <v>6</v>
      </c>
      <c r="O578" s="31"/>
      <c r="P578" s="37">
        <v>7</v>
      </c>
      <c r="Q578" s="37"/>
      <c r="R578" s="31">
        <v>8</v>
      </c>
      <c r="S578" s="31"/>
      <c r="T578" s="31">
        <v>9</v>
      </c>
      <c r="U578" s="31"/>
      <c r="V578" s="67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ht="15.6" customHeight="1" spans="1:44" x14ac:dyDescent="0.25">
      <c r="A579" s="30"/>
      <c r="B579" s="31" t="s">
        <v>13</v>
      </c>
      <c r="C579" s="31" t="s">
        <v>14</v>
      </c>
      <c r="D579" s="37" t="s">
        <v>15</v>
      </c>
      <c r="E579" s="37" t="s">
        <v>16</v>
      </c>
      <c r="F579" s="31" t="s">
        <v>13</v>
      </c>
      <c r="G579" s="31" t="s">
        <v>14</v>
      </c>
      <c r="H579" s="37" t="s">
        <v>15</v>
      </c>
      <c r="I579" s="37" t="s">
        <v>16</v>
      </c>
      <c r="J579" s="31" t="s">
        <v>13</v>
      </c>
      <c r="K579" s="31" t="s">
        <v>14</v>
      </c>
      <c r="L579" s="37" t="s">
        <v>15</v>
      </c>
      <c r="M579" s="37" t="s">
        <v>16</v>
      </c>
      <c r="N579" s="31" t="s">
        <v>13</v>
      </c>
      <c r="O579" s="31" t="s">
        <v>14</v>
      </c>
      <c r="P579" s="37" t="s">
        <v>15</v>
      </c>
      <c r="Q579" s="37" t="s">
        <v>16</v>
      </c>
      <c r="R579" s="31" t="s">
        <v>13</v>
      </c>
      <c r="S579" s="31" t="s">
        <v>14</v>
      </c>
      <c r="T579" s="31" t="s">
        <v>15</v>
      </c>
      <c r="U579" s="31" t="s">
        <v>16</v>
      </c>
      <c r="V579" s="67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ht="15.6" customHeight="1" spans="1:44" x14ac:dyDescent="0.25">
      <c r="A580" s="39"/>
      <c r="B580" s="40"/>
      <c r="C580" s="40"/>
      <c r="D580" s="41"/>
      <c r="E580" s="42"/>
      <c r="F580" s="40"/>
      <c r="G580" s="40"/>
      <c r="H580" s="41"/>
      <c r="I580" s="42"/>
      <c r="J580" s="40"/>
      <c r="K580" s="40"/>
      <c r="L580" s="41"/>
      <c r="M580" s="42"/>
      <c r="N580" s="40"/>
      <c r="O580" s="40"/>
      <c r="P580" s="41"/>
      <c r="Q580" s="42"/>
      <c r="R580" s="40"/>
      <c r="S580" s="40"/>
      <c r="T580" s="40"/>
      <c r="U580" s="40"/>
      <c r="V580" s="68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ht="4.9" customHeight="1" spans="1:44" x14ac:dyDescent="0.25">
      <c r="A581" s="3"/>
      <c r="B581" s="35"/>
      <c r="C581" s="35"/>
      <c r="D581" s="72"/>
      <c r="E581" s="5"/>
      <c r="F581" s="35"/>
      <c r="G581" s="35"/>
      <c r="H581" s="72"/>
      <c r="I581" s="5"/>
      <c r="J581" s="35"/>
      <c r="K581" s="35"/>
      <c r="L581" s="72"/>
      <c r="M581" s="5"/>
      <c r="N581" s="35"/>
      <c r="O581" s="35"/>
      <c r="P581" s="72"/>
      <c r="Q581" s="5"/>
      <c r="R581" s="35"/>
      <c r="S581" s="35"/>
      <c r="T581" s="35"/>
      <c r="U581" s="35"/>
      <c r="V581" s="38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ht="15.6" customHeight="1" spans="1:44" x14ac:dyDescent="0.25">
      <c r="A582" s="3"/>
      <c r="B582" s="76"/>
      <c r="C582" s="77"/>
      <c r="D582" s="78"/>
      <c r="E582" s="79"/>
      <c r="F582" s="76"/>
      <c r="G582" s="77"/>
      <c r="H582" s="78"/>
      <c r="I582" s="79"/>
      <c r="J582" s="76"/>
      <c r="K582" s="77"/>
      <c r="L582" s="78"/>
      <c r="M582" s="79"/>
      <c r="N582" s="76"/>
      <c r="O582" s="77"/>
      <c r="P582" s="78"/>
      <c r="Q582" s="79"/>
      <c r="R582" s="35"/>
      <c r="S582" s="35"/>
      <c r="T582" s="35"/>
      <c r="U582" s="35"/>
      <c r="V582" s="38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ht="15.6" customHeight="1" spans="1:44" x14ac:dyDescent="0.25">
      <c r="A583" s="3"/>
      <c r="B583" s="50">
        <f>IF(D582&lt;1,"","пом.")</f>
      </c>
      <c r="C583" s="50"/>
      <c r="D583" s="52"/>
      <c r="E583" s="53"/>
      <c r="F583" s="50">
        <f>IF(H582&lt;1,"","пом.")</f>
      </c>
      <c r="G583" s="50"/>
      <c r="H583" s="52"/>
      <c r="I583" s="53"/>
      <c r="J583" s="50">
        <f>IF(L582&lt;1,"","пом.")</f>
      </c>
      <c r="K583" s="50"/>
      <c r="L583" s="52"/>
      <c r="M583" s="53"/>
      <c r="N583" s="50">
        <f>IF(P582&lt;1,"","пом.")</f>
      </c>
      <c r="O583" s="50"/>
      <c r="P583" s="52"/>
      <c r="Q583" s="53"/>
      <c r="R583" s="35"/>
      <c r="S583" s="35"/>
      <c r="T583" s="35"/>
      <c r="U583" s="35"/>
      <c r="V583" s="38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ht="7.15" customHeight="1" spans="1:44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ht="15.6" customHeight="1" spans="1:44" x14ac:dyDescent="0.25">
      <c r="A585" s="3"/>
      <c r="B585" s="3"/>
      <c r="C585" s="3"/>
      <c r="D585" s="4"/>
      <c r="E585" s="5" t="s">
        <v>26</v>
      </c>
      <c r="F585" s="54" t="s">
        <v>27</v>
      </c>
      <c r="G585" s="54"/>
      <c r="H585" s="54"/>
      <c r="I585" s="100" t="s">
        <v>28</v>
      </c>
      <c r="J585" s="100"/>
      <c r="K585" s="100"/>
      <c r="L585" s="4"/>
      <c r="M585" s="4"/>
      <c r="N585" s="3"/>
      <c r="O585" s="35" t="s">
        <v>29</v>
      </c>
      <c r="P585" s="54" t="s">
        <v>30</v>
      </c>
      <c r="Q585" s="54"/>
      <c r="R585" s="54"/>
      <c r="S585" s="100" t="s">
        <v>31</v>
      </c>
      <c r="T585" s="100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ht="15.6" customHeight="1" spans="1:44" x14ac:dyDescent="0.25">
      <c r="A586" s="3"/>
      <c r="B586" s="3"/>
      <c r="C586" s="3"/>
      <c r="D586" s="4"/>
      <c r="E586" s="5" t="s">
        <v>32</v>
      </c>
      <c r="F586" s="54" t="s">
        <v>33</v>
      </c>
      <c r="G586" s="54"/>
      <c r="H586" s="54"/>
      <c r="I586" s="100" t="s">
        <v>34</v>
      </c>
      <c r="J586" s="100"/>
      <c r="K586" s="100"/>
      <c r="L586" s="4"/>
      <c r="M586" s="4"/>
      <c r="N586" s="3"/>
      <c r="O586" s="35" t="s">
        <v>35</v>
      </c>
      <c r="P586" s="54" t="s">
        <v>30</v>
      </c>
      <c r="Q586" s="54"/>
      <c r="R586" s="54"/>
      <c r="S586" s="101" t="s">
        <v>80</v>
      </c>
      <c r="T586" s="101"/>
      <c r="U586" s="101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ht="15.6" customHeight="1" spans="1:44" x14ac:dyDescent="0.25">
      <c r="A587" s="55"/>
      <c r="B587" s="55"/>
      <c r="C587" s="55"/>
      <c r="D587" s="56"/>
      <c r="E587" s="57"/>
      <c r="F587" s="55"/>
      <c r="G587" s="55"/>
      <c r="H587" s="56"/>
      <c r="I587" s="56"/>
      <c r="J587" s="55"/>
      <c r="K587" s="55"/>
      <c r="L587" s="56"/>
      <c r="M587" s="56"/>
      <c r="N587" s="55"/>
      <c r="O587" s="55"/>
      <c r="P587" s="56"/>
      <c r="Q587" s="56"/>
      <c r="R587" s="55"/>
      <c r="S587" s="55"/>
      <c r="T587" s="55"/>
      <c r="U587" s="55"/>
      <c r="V587" s="55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ht="15.6" customHeight="1" spans="1:44" x14ac:dyDescent="0.25">
      <c r="A588" s="55"/>
      <c r="B588" s="55"/>
      <c r="C588" s="55"/>
      <c r="D588" s="56"/>
      <c r="E588" s="57"/>
      <c r="F588" s="55"/>
      <c r="G588" s="55"/>
      <c r="H588" s="56"/>
      <c r="I588" s="56"/>
      <c r="J588" s="55"/>
      <c r="K588" s="55"/>
      <c r="L588" s="56"/>
      <c r="M588" s="56"/>
      <c r="N588" s="55"/>
      <c r="O588" s="55"/>
      <c r="P588" s="56"/>
      <c r="Q588" s="56"/>
      <c r="R588" s="55"/>
      <c r="S588" s="55"/>
      <c r="T588" s="55"/>
      <c r="U588" s="55"/>
      <c r="V588" s="55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ht="15.6" customHeight="1" hidden="1" spans="1:44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ht="15.6" customHeight="1" spans="1:44" x14ac:dyDescent="0.25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4" t="str">
        <f>N568</f>
        <v>1.1</v>
      </c>
      <c r="O590" s="14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ht="15.6" customHeight="1" spans="1:44" x14ac:dyDescent="0.25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5"/>
      <c r="K591" s="15"/>
      <c r="L591" s="16"/>
      <c r="M591" s="9" t="s">
        <v>5</v>
      </c>
      <c r="N591" s="18" t="str">
        <f>N590&amp;".2"</f>
        <v>1.1.2</v>
      </c>
      <c r="O591" s="18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ht="15.6" customHeight="1" spans="1:44" x14ac:dyDescent="0.25">
      <c r="A592" s="3"/>
      <c r="B592" s="3"/>
      <c r="C592" s="3"/>
      <c r="D592" s="4"/>
      <c r="E592" s="4" t="s">
        <v>7</v>
      </c>
      <c r="F592" s="3"/>
      <c r="G592" s="3"/>
      <c r="H592" s="8"/>
      <c r="I592" s="8"/>
      <c r="J592" s="7"/>
      <c r="K592" s="7"/>
      <c r="L592" s="8"/>
      <c r="M592" s="19" t="s">
        <v>5</v>
      </c>
      <c r="N592" s="20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ht="15.6" customHeight="1" spans="1:44" x14ac:dyDescent="0.25">
      <c r="A593" s="3"/>
      <c r="B593" s="3"/>
      <c r="C593" s="3"/>
      <c r="D593" s="4"/>
      <c r="E593" s="4" t="s">
        <v>8</v>
      </c>
      <c r="F593" s="3"/>
      <c r="G593" s="3"/>
      <c r="H593" s="4"/>
      <c r="I593" s="4"/>
      <c r="J593" s="3"/>
      <c r="K593" s="3"/>
      <c r="L593" s="16"/>
      <c r="M593" s="19" t="s">
        <v>70</v>
      </c>
      <c r="N593" s="20" t="str">
        <f>IF(N571="-"&amp;N548&amp;".3",IF(N572=15,"-"&amp;N548&amp;".4","-"&amp;N548&amp;".3"),N571)</f>
        <v>-1.1.4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ht="15.6" customHeight="1" spans="1:44" x14ac:dyDescent="0.25">
      <c r="A594" s="3"/>
      <c r="B594" s="3"/>
      <c r="C594" s="3"/>
      <c r="D594" s="4"/>
      <c r="E594" s="24" t="s">
        <v>10</v>
      </c>
      <c r="F594" s="3"/>
      <c r="G594" s="3"/>
      <c r="H594" s="4"/>
      <c r="I594" s="8"/>
      <c r="J594" s="7"/>
      <c r="K594" s="7"/>
      <c r="L594" s="8"/>
      <c r="M594" s="19" t="s">
        <v>5</v>
      </c>
      <c r="N594" s="20">
        <f>IF(N593="-"&amp;N548&amp;".3",N572+1,IF(N571="-"&amp;N548&amp;".3",1,N572+1))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ht="15.6" customHeight="1" spans="1:44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ht="15.6" customHeight="1" spans="1:44" x14ac:dyDescent="0.25">
      <c r="A596" s="27"/>
      <c r="B596" s="28"/>
      <c r="C596" s="28"/>
      <c r="D596" s="29"/>
      <c r="E596" s="29"/>
      <c r="F596" s="28"/>
      <c r="G596" s="28"/>
      <c r="H596" s="29"/>
      <c r="I596" s="29"/>
      <c r="J596" s="28"/>
      <c r="K596" s="28"/>
      <c r="L596" s="29"/>
      <c r="M596" s="29"/>
      <c r="N596" s="28"/>
      <c r="O596" s="28"/>
      <c r="P596" s="29"/>
      <c r="Q596" s="29"/>
      <c r="R596" s="28"/>
      <c r="S596" s="28"/>
      <c r="T596" s="28"/>
      <c r="U596" s="28"/>
      <c r="V596" s="59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ht="15.6" customHeight="1" spans="1:44" x14ac:dyDescent="0.25">
      <c r="A597" s="30"/>
      <c r="B597" s="31"/>
      <c r="C597" s="31"/>
      <c r="D597" s="32">
        <v>1</v>
      </c>
      <c r="E597" s="33"/>
      <c r="F597" s="31"/>
      <c r="G597" s="31"/>
      <c r="H597" s="32">
        <v>2</v>
      </c>
      <c r="I597" s="33"/>
      <c r="J597" s="31"/>
      <c r="K597" s="31"/>
      <c r="L597" s="32">
        <v>3</v>
      </c>
      <c r="M597" s="33"/>
      <c r="N597" s="31"/>
      <c r="O597" s="31"/>
      <c r="P597" s="32">
        <v>4</v>
      </c>
      <c r="Q597" s="33"/>
      <c r="R597" s="31"/>
      <c r="S597" s="31"/>
      <c r="T597" s="31"/>
      <c r="U597" s="31"/>
      <c r="V597" s="60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ht="15.6" customHeight="1" spans="1:44" x14ac:dyDescent="0.25">
      <c r="A598" s="30"/>
      <c r="B598" s="31" t="s">
        <v>11</v>
      </c>
      <c r="C598" s="31"/>
      <c r="D598" s="32" t="s">
        <v>12</v>
      </c>
      <c r="E598" s="33"/>
      <c r="F598" s="31" t="s">
        <v>11</v>
      </c>
      <c r="G598" s="31"/>
      <c r="H598" s="32" t="s">
        <v>12</v>
      </c>
      <c r="I598" s="33"/>
      <c r="J598" s="31" t="s">
        <v>11</v>
      </c>
      <c r="K598" s="31"/>
      <c r="L598" s="32" t="s">
        <v>12</v>
      </c>
      <c r="M598" s="33"/>
      <c r="N598" s="31" t="s">
        <v>11</v>
      </c>
      <c r="O598" s="31"/>
      <c r="P598" s="32" t="s">
        <v>12</v>
      </c>
      <c r="Q598" s="33"/>
      <c r="R598" s="31"/>
      <c r="S598" s="31"/>
      <c r="T598" s="31"/>
      <c r="U598" s="31"/>
      <c r="V598" s="65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ht="15.6" customHeight="1" spans="1:44" x14ac:dyDescent="0.25">
      <c r="A599" s="30"/>
      <c r="B599" s="35"/>
      <c r="C599" s="35"/>
      <c r="D599" s="5"/>
      <c r="E599" s="5"/>
      <c r="F599" s="35"/>
      <c r="G599" s="35"/>
      <c r="H599" s="5"/>
      <c r="I599" s="5"/>
      <c r="J599" s="35"/>
      <c r="K599" s="35"/>
      <c r="L599" s="5"/>
      <c r="M599" s="5"/>
      <c r="N599" s="35"/>
      <c r="O599" s="35"/>
      <c r="P599" s="5"/>
      <c r="Q599" s="5"/>
      <c r="R599" s="35"/>
      <c r="S599" s="35"/>
      <c r="T599" s="35"/>
      <c r="U599" s="35"/>
      <c r="V599" s="65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ht="15.6" customHeight="1" spans="1:44" x14ac:dyDescent="0.25">
      <c r="A600" s="30"/>
      <c r="B600" s="31">
        <v>0</v>
      </c>
      <c r="C600" s="31"/>
      <c r="D600" s="37">
        <v>1</v>
      </c>
      <c r="E600" s="37"/>
      <c r="F600" s="31">
        <v>2</v>
      </c>
      <c r="G600" s="31"/>
      <c r="H600" s="37">
        <v>3</v>
      </c>
      <c r="I600" s="37"/>
      <c r="J600" s="31">
        <v>4</v>
      </c>
      <c r="K600" s="31"/>
      <c r="L600" s="37">
        <v>5</v>
      </c>
      <c r="M600" s="37"/>
      <c r="N600" s="31">
        <v>6</v>
      </c>
      <c r="O600" s="31"/>
      <c r="P600" s="37">
        <v>7</v>
      </c>
      <c r="Q600" s="37"/>
      <c r="R600" s="31">
        <v>8</v>
      </c>
      <c r="S600" s="31"/>
      <c r="T600" s="31">
        <v>9</v>
      </c>
      <c r="U600" s="31"/>
      <c r="V600" s="67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ht="15.6" customHeight="1" spans="1:44" x14ac:dyDescent="0.25">
      <c r="A601" s="30"/>
      <c r="B601" s="31" t="s">
        <v>13</v>
      </c>
      <c r="C601" s="31" t="s">
        <v>14</v>
      </c>
      <c r="D601" s="37" t="s">
        <v>15</v>
      </c>
      <c r="E601" s="37" t="s">
        <v>16</v>
      </c>
      <c r="F601" s="31" t="s">
        <v>13</v>
      </c>
      <c r="G601" s="31" t="s">
        <v>14</v>
      </c>
      <c r="H601" s="37" t="s">
        <v>15</v>
      </c>
      <c r="I601" s="37" t="s">
        <v>16</v>
      </c>
      <c r="J601" s="31" t="s">
        <v>13</v>
      </c>
      <c r="K601" s="31" t="s">
        <v>14</v>
      </c>
      <c r="L601" s="37" t="s">
        <v>15</v>
      </c>
      <c r="M601" s="37" t="s">
        <v>16</v>
      </c>
      <c r="N601" s="31" t="s">
        <v>13</v>
      </c>
      <c r="O601" s="31" t="s">
        <v>14</v>
      </c>
      <c r="P601" s="37" t="s">
        <v>15</v>
      </c>
      <c r="Q601" s="37" t="s">
        <v>16</v>
      </c>
      <c r="R601" s="31" t="s">
        <v>13</v>
      </c>
      <c r="S601" s="31" t="s">
        <v>14</v>
      </c>
      <c r="T601" s="31" t="s">
        <v>15</v>
      </c>
      <c r="U601" s="31" t="s">
        <v>16</v>
      </c>
      <c r="V601" s="67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ht="15.6" customHeight="1" spans="1:44" x14ac:dyDescent="0.25">
      <c r="A602" s="39"/>
      <c r="B602" s="40"/>
      <c r="C602" s="40"/>
      <c r="D602" s="41"/>
      <c r="E602" s="42"/>
      <c r="F602" s="40"/>
      <c r="G602" s="40"/>
      <c r="H602" s="41"/>
      <c r="I602" s="42"/>
      <c r="J602" s="40"/>
      <c r="K602" s="40"/>
      <c r="L602" s="41"/>
      <c r="M602" s="42"/>
      <c r="N602" s="40"/>
      <c r="O602" s="40"/>
      <c r="P602" s="41"/>
      <c r="Q602" s="42"/>
      <c r="R602" s="40"/>
      <c r="S602" s="40"/>
      <c r="T602" s="40"/>
      <c r="U602" s="40"/>
      <c r="V602" s="68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ht="15.6" customHeight="1" spans="1:44" x14ac:dyDescent="0.25">
      <c r="A603" s="3"/>
      <c r="B603" s="35"/>
      <c r="C603" s="35"/>
      <c r="D603" s="72"/>
      <c r="E603" s="5"/>
      <c r="F603" s="35"/>
      <c r="G603" s="35"/>
      <c r="H603" s="72"/>
      <c r="I603" s="5"/>
      <c r="J603" s="35"/>
      <c r="K603" s="35"/>
      <c r="L603" s="72"/>
      <c r="M603" s="5"/>
      <c r="N603" s="35"/>
      <c r="O603" s="35"/>
      <c r="P603" s="72"/>
      <c r="Q603" s="5"/>
      <c r="R603" s="35"/>
      <c r="S603" s="35"/>
      <c r="T603" s="35"/>
      <c r="U603" s="35"/>
      <c r="V603" s="38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ht="15.6" customHeight="1" spans="1:44" x14ac:dyDescent="0.25">
      <c r="A604" s="3"/>
      <c r="B604" s="76"/>
      <c r="C604" s="77"/>
      <c r="D604" s="78"/>
      <c r="E604" s="79"/>
      <c r="F604" s="76"/>
      <c r="G604" s="77"/>
      <c r="H604" s="78"/>
      <c r="I604" s="79"/>
      <c r="J604" s="76"/>
      <c r="K604" s="77"/>
      <c r="L604" s="78"/>
      <c r="M604" s="79"/>
      <c r="N604" s="76"/>
      <c r="O604" s="77"/>
      <c r="P604" s="78"/>
      <c r="Q604" s="79"/>
      <c r="R604" s="35"/>
      <c r="S604" s="35"/>
      <c r="T604" s="35"/>
      <c r="U604" s="35"/>
      <c r="V604" s="38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ht="15.6" customHeight="1" spans="1:44" x14ac:dyDescent="0.25">
      <c r="A605" s="3"/>
      <c r="B605" s="50">
        <f>IF(D604&lt;1,"","пом.")</f>
      </c>
      <c r="C605" s="50"/>
      <c r="D605" s="52"/>
      <c r="E605" s="53"/>
      <c r="F605" s="50">
        <f>IF(H604&lt;1,"","пом.")</f>
      </c>
      <c r="G605" s="50"/>
      <c r="H605" s="52"/>
      <c r="I605" s="53"/>
      <c r="J605" s="50">
        <f>IF(L604&lt;1,"","пом.")</f>
      </c>
      <c r="K605" s="50"/>
      <c r="L605" s="52"/>
      <c r="M605" s="53"/>
      <c r="N605" s="50">
        <f>IF(P604&lt;1,"","пом.")</f>
      </c>
      <c r="O605" s="50"/>
      <c r="P605" s="52"/>
      <c r="Q605" s="53"/>
      <c r="R605" s="35"/>
      <c r="S605" s="35"/>
      <c r="T605" s="35"/>
      <c r="U605" s="35"/>
      <c r="V605" s="38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ht="15.6" customHeight="1" spans="1:44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ht="15.6" customHeight="1" spans="1:44" x14ac:dyDescent="0.25">
      <c r="A607" s="3"/>
      <c r="B607" s="3"/>
      <c r="C607" s="3"/>
      <c r="D607" s="4"/>
      <c r="E607" s="5" t="s">
        <v>26</v>
      </c>
      <c r="F607" s="54" t="s">
        <v>27</v>
      </c>
      <c r="G607" s="54"/>
      <c r="H607" s="54"/>
      <c r="I607" s="100" t="s">
        <v>28</v>
      </c>
      <c r="J607" s="100"/>
      <c r="K607" s="100"/>
      <c r="L607" s="4"/>
      <c r="M607" s="4"/>
      <c r="N607" s="3"/>
      <c r="O607" s="35" t="s">
        <v>29</v>
      </c>
      <c r="P607" s="54" t="s">
        <v>30</v>
      </c>
      <c r="Q607" s="54"/>
      <c r="R607" s="54"/>
      <c r="S607" s="100" t="s">
        <v>31</v>
      </c>
      <c r="T607" s="100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ht="15.6" customHeight="1" spans="1:44" x14ac:dyDescent="0.25">
      <c r="A608" s="3"/>
      <c r="B608" s="3"/>
      <c r="C608" s="3"/>
      <c r="D608" s="4"/>
      <c r="E608" s="5" t="s">
        <v>32</v>
      </c>
      <c r="F608" s="54" t="s">
        <v>33</v>
      </c>
      <c r="G608" s="54"/>
      <c r="H608" s="54"/>
      <c r="I608" s="100" t="s">
        <v>34</v>
      </c>
      <c r="J608" s="100"/>
      <c r="K608" s="100"/>
      <c r="L608" s="4"/>
      <c r="M608" s="4"/>
      <c r="N608" s="3"/>
      <c r="O608" s="35" t="s">
        <v>35</v>
      </c>
      <c r="P608" s="54" t="s">
        <v>30</v>
      </c>
      <c r="Q608" s="54"/>
      <c r="R608" s="54"/>
      <c r="S608" s="101" t="s">
        <v>80</v>
      </c>
      <c r="T608" s="101"/>
      <c r="U608" s="101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ht="15.6" customHeight="1" spans="1:44" x14ac:dyDescent="0.25">
      <c r="A609" s="55"/>
      <c r="B609" s="55"/>
      <c r="C609" s="55"/>
      <c r="D609" s="56"/>
      <c r="E609" s="57"/>
      <c r="F609" s="55"/>
      <c r="G609" s="55"/>
      <c r="H609" s="56"/>
      <c r="I609" s="56"/>
      <c r="J609" s="55"/>
      <c r="K609" s="55"/>
      <c r="L609" s="56"/>
      <c r="M609" s="56"/>
      <c r="N609" s="55"/>
      <c r="O609" s="55"/>
      <c r="P609" s="56"/>
      <c r="Q609" s="56"/>
      <c r="R609" s="55"/>
      <c r="S609" s="55"/>
      <c r="T609" s="55"/>
      <c r="U609" s="55"/>
      <c r="V609" s="55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ht="15.6" customHeight="1" spans="1:44" x14ac:dyDescent="0.25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4" t="str">
        <f>N590</f>
        <v>1.1</v>
      </c>
      <c r="O610" s="14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ht="15.6" customHeight="1" spans="1:44" x14ac:dyDescent="0.25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5"/>
      <c r="K611" s="15"/>
      <c r="L611" s="16"/>
      <c r="M611" s="9" t="s">
        <v>5</v>
      </c>
      <c r="N611" s="18" t="str">
        <f>N591</f>
        <v>1.1.2</v>
      </c>
      <c r="O611" s="18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ht="15.6" customHeight="1" spans="1:44" x14ac:dyDescent="0.25">
      <c r="A612" s="3"/>
      <c r="B612" s="3"/>
      <c r="C612" s="3"/>
      <c r="D612" s="4"/>
      <c r="E612" s="4" t="s">
        <v>7</v>
      </c>
      <c r="F612" s="3"/>
      <c r="G612" s="3"/>
      <c r="H612" s="8"/>
      <c r="I612" s="8"/>
      <c r="J612" s="7"/>
      <c r="K612" s="7"/>
      <c r="L612" s="8"/>
      <c r="M612" s="19" t="s">
        <v>5</v>
      </c>
      <c r="N612" s="20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ht="15.6" customHeight="1" spans="1:44" x14ac:dyDescent="0.25">
      <c r="A613" s="3"/>
      <c r="B613" s="3"/>
      <c r="C613" s="3"/>
      <c r="D613" s="4"/>
      <c r="E613" s="4" t="s">
        <v>8</v>
      </c>
      <c r="F613" s="3"/>
      <c r="G613" s="3"/>
      <c r="H613" s="4"/>
      <c r="I613" s="4"/>
      <c r="J613" s="3"/>
      <c r="K613" s="3"/>
      <c r="L613" s="16"/>
      <c r="M613" s="19" t="s">
        <v>70</v>
      </c>
      <c r="N613" s="20" t="str">
        <f>IF(N593="-"&amp;N590&amp;".3",IF(N594=15,"-"&amp;N590&amp;".4","-"&amp;N590&amp;".3"),N593)</f>
        <v>-1.1.4</v>
      </c>
      <c r="O613" s="22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ht="15.6" customHeight="1" spans="1:44" x14ac:dyDescent="0.25">
      <c r="A614" s="3"/>
      <c r="B614" s="3"/>
      <c r="C614" s="3"/>
      <c r="D614" s="4"/>
      <c r="E614" s="24" t="s">
        <v>10</v>
      </c>
      <c r="F614" s="3"/>
      <c r="G614" s="3"/>
      <c r="H614" s="4"/>
      <c r="I614" s="8"/>
      <c r="J614" s="7"/>
      <c r="K614" s="7"/>
      <c r="L614" s="8"/>
      <c r="M614" s="19" t="s">
        <v>5</v>
      </c>
      <c r="N614" s="20">
        <f>IF(N613="-"&amp;N548&amp;".3",N594+1,IF(N593="-"&amp;N548&amp;".3",1,N594+1))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ht="7.9" customHeight="1" spans="1:44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ht="15.6" customHeight="1" spans="1:44" x14ac:dyDescent="0.25">
      <c r="A616" s="27"/>
      <c r="B616" s="28"/>
      <c r="C616" s="28"/>
      <c r="D616" s="29"/>
      <c r="E616" s="29"/>
      <c r="F616" s="28"/>
      <c r="G616" s="28"/>
      <c r="H616" s="29"/>
      <c r="I616" s="29"/>
      <c r="J616" s="28"/>
      <c r="K616" s="28"/>
      <c r="L616" s="29"/>
      <c r="M616" s="29"/>
      <c r="N616" s="28"/>
      <c r="O616" s="28"/>
      <c r="P616" s="29"/>
      <c r="Q616" s="29"/>
      <c r="R616" s="28"/>
      <c r="S616" s="28"/>
      <c r="T616" s="28"/>
      <c r="U616" s="28"/>
      <c r="V616" s="59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ht="15.6" customHeight="1" spans="1:44" x14ac:dyDescent="0.25">
      <c r="A617" s="30"/>
      <c r="B617" s="31"/>
      <c r="C617" s="31"/>
      <c r="D617" s="32">
        <v>1</v>
      </c>
      <c r="E617" s="33"/>
      <c r="F617" s="31"/>
      <c r="G617" s="31"/>
      <c r="H617" s="32">
        <v>2</v>
      </c>
      <c r="I617" s="33"/>
      <c r="J617" s="31"/>
      <c r="K617" s="31"/>
      <c r="L617" s="32">
        <v>3</v>
      </c>
      <c r="M617" s="33"/>
      <c r="N617" s="31"/>
      <c r="O617" s="31"/>
      <c r="P617" s="32">
        <v>4</v>
      </c>
      <c r="Q617" s="33"/>
      <c r="R617" s="31"/>
      <c r="S617" s="31"/>
      <c r="T617" s="31"/>
      <c r="U617" s="31"/>
      <c r="V617" s="60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ht="15.6" customHeight="1" spans="1:44" x14ac:dyDescent="0.25">
      <c r="A618" s="30"/>
      <c r="B618" s="31" t="s">
        <v>11</v>
      </c>
      <c r="C618" s="31"/>
      <c r="D618" s="32" t="s">
        <v>12</v>
      </c>
      <c r="E618" s="33"/>
      <c r="F618" s="31" t="s">
        <v>11</v>
      </c>
      <c r="G618" s="31"/>
      <c r="H618" s="32" t="s">
        <v>12</v>
      </c>
      <c r="I618" s="33"/>
      <c r="J618" s="31" t="s">
        <v>11</v>
      </c>
      <c r="K618" s="31"/>
      <c r="L618" s="32" t="s">
        <v>12</v>
      </c>
      <c r="M618" s="33"/>
      <c r="N618" s="31" t="s">
        <v>11</v>
      </c>
      <c r="O618" s="31"/>
      <c r="P618" s="32" t="s">
        <v>12</v>
      </c>
      <c r="Q618" s="33"/>
      <c r="R618" s="31"/>
      <c r="S618" s="31"/>
      <c r="T618" s="31"/>
      <c r="U618" s="31"/>
      <c r="V618" s="65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ht="15.6" customHeight="1" spans="1:44" x14ac:dyDescent="0.25">
      <c r="A619" s="30"/>
      <c r="B619" s="35"/>
      <c r="C619" s="35"/>
      <c r="D619" s="5"/>
      <c r="E619" s="5"/>
      <c r="F619" s="35"/>
      <c r="G619" s="35"/>
      <c r="H619" s="5"/>
      <c r="I619" s="5"/>
      <c r="J619" s="35"/>
      <c r="K619" s="35"/>
      <c r="L619" s="5"/>
      <c r="M619" s="5"/>
      <c r="N619" s="35"/>
      <c r="O619" s="35"/>
      <c r="P619" s="5"/>
      <c r="Q619" s="5"/>
      <c r="R619" s="35"/>
      <c r="S619" s="35"/>
      <c r="T619" s="35"/>
      <c r="U619" s="35"/>
      <c r="V619" s="65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ht="15.6" customHeight="1" spans="1:44" x14ac:dyDescent="0.25">
      <c r="A620" s="30"/>
      <c r="B620" s="31">
        <v>0</v>
      </c>
      <c r="C620" s="31"/>
      <c r="D620" s="37">
        <v>1</v>
      </c>
      <c r="E620" s="37"/>
      <c r="F620" s="31">
        <v>2</v>
      </c>
      <c r="G620" s="31"/>
      <c r="H620" s="37">
        <v>3</v>
      </c>
      <c r="I620" s="37"/>
      <c r="J620" s="31">
        <v>4</v>
      </c>
      <c r="K620" s="31"/>
      <c r="L620" s="37">
        <v>5</v>
      </c>
      <c r="M620" s="37"/>
      <c r="N620" s="31">
        <v>6</v>
      </c>
      <c r="O620" s="31"/>
      <c r="P620" s="37">
        <v>7</v>
      </c>
      <c r="Q620" s="37"/>
      <c r="R620" s="31">
        <v>8</v>
      </c>
      <c r="S620" s="31"/>
      <c r="T620" s="31">
        <v>9</v>
      </c>
      <c r="U620" s="31"/>
      <c r="V620" s="67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ht="15.6" customHeight="1" spans="1:44" x14ac:dyDescent="0.25">
      <c r="A621" s="30"/>
      <c r="B621" s="31" t="s">
        <v>13</v>
      </c>
      <c r="C621" s="31" t="s">
        <v>14</v>
      </c>
      <c r="D621" s="37" t="s">
        <v>15</v>
      </c>
      <c r="E621" s="37" t="s">
        <v>16</v>
      </c>
      <c r="F621" s="31" t="s">
        <v>13</v>
      </c>
      <c r="G621" s="31" t="s">
        <v>14</v>
      </c>
      <c r="H621" s="37" t="s">
        <v>15</v>
      </c>
      <c r="I621" s="37" t="s">
        <v>16</v>
      </c>
      <c r="J621" s="31" t="s">
        <v>13</v>
      </c>
      <c r="K621" s="31" t="s">
        <v>14</v>
      </c>
      <c r="L621" s="37" t="s">
        <v>15</v>
      </c>
      <c r="M621" s="37" t="s">
        <v>16</v>
      </c>
      <c r="N621" s="31" t="s">
        <v>13</v>
      </c>
      <c r="O621" s="31" t="s">
        <v>14</v>
      </c>
      <c r="P621" s="37" t="s">
        <v>15</v>
      </c>
      <c r="Q621" s="37" t="s">
        <v>16</v>
      </c>
      <c r="R621" s="31" t="s">
        <v>13</v>
      </c>
      <c r="S621" s="31" t="s">
        <v>14</v>
      </c>
      <c r="T621" s="31" t="s">
        <v>15</v>
      </c>
      <c r="U621" s="31" t="s">
        <v>16</v>
      </c>
      <c r="V621" s="67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ht="15.6" customHeight="1" spans="1:44" x14ac:dyDescent="0.25">
      <c r="A622" s="39"/>
      <c r="B622" s="40"/>
      <c r="C622" s="40"/>
      <c r="D622" s="41"/>
      <c r="E622" s="42"/>
      <c r="F622" s="40"/>
      <c r="G622" s="40"/>
      <c r="H622" s="41"/>
      <c r="I622" s="42"/>
      <c r="J622" s="40"/>
      <c r="K622" s="40"/>
      <c r="L622" s="41"/>
      <c r="M622" s="42"/>
      <c r="N622" s="40"/>
      <c r="O622" s="40"/>
      <c r="P622" s="41"/>
      <c r="Q622" s="42"/>
      <c r="R622" s="40"/>
      <c r="S622" s="40"/>
      <c r="T622" s="40"/>
      <c r="U622" s="40"/>
      <c r="V622" s="68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ht="6" customHeight="1" spans="1:44" x14ac:dyDescent="0.25">
      <c r="A623" s="3"/>
      <c r="B623" s="35"/>
      <c r="C623" s="35"/>
      <c r="D623" s="72"/>
      <c r="E623" s="5"/>
      <c r="F623" s="35"/>
      <c r="G623" s="35"/>
      <c r="H623" s="72"/>
      <c r="I623" s="5"/>
      <c r="J623" s="35"/>
      <c r="K623" s="35"/>
      <c r="L623" s="72"/>
      <c r="M623" s="5"/>
      <c r="N623" s="35"/>
      <c r="O623" s="35"/>
      <c r="P623" s="72"/>
      <c r="Q623" s="5"/>
      <c r="R623" s="35"/>
      <c r="S623" s="35"/>
      <c r="T623" s="35"/>
      <c r="U623" s="35"/>
      <c r="V623" s="38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ht="15.6" customHeight="1" spans="1:44" x14ac:dyDescent="0.25">
      <c r="A624" s="3"/>
      <c r="B624" s="76"/>
      <c r="C624" s="77"/>
      <c r="D624" s="78"/>
      <c r="E624" s="79"/>
      <c r="F624" s="76"/>
      <c r="G624" s="77"/>
      <c r="H624" s="78"/>
      <c r="I624" s="79"/>
      <c r="J624" s="76"/>
      <c r="K624" s="77"/>
      <c r="L624" s="78"/>
      <c r="M624" s="79"/>
      <c r="N624" s="76"/>
      <c r="O624" s="77"/>
      <c r="P624" s="78"/>
      <c r="Q624" s="79"/>
      <c r="R624" s="35"/>
      <c r="S624" s="35"/>
      <c r="T624" s="35"/>
      <c r="U624" s="35"/>
      <c r="V624" s="38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ht="15.6" customHeight="1" spans="1:44" x14ac:dyDescent="0.25">
      <c r="A625" s="3"/>
      <c r="B625" s="50">
        <f>IF(D624&lt;1,"","пом.")</f>
      </c>
      <c r="C625" s="50"/>
      <c r="D625" s="52"/>
      <c r="E625" s="53"/>
      <c r="F625" s="50">
        <f>IF(H624&lt;1,"","пом.")</f>
      </c>
      <c r="G625" s="50"/>
      <c r="H625" s="52"/>
      <c r="I625" s="53"/>
      <c r="J625" s="50">
        <f>IF(L624&lt;1,"","пом.")</f>
      </c>
      <c r="K625" s="50"/>
      <c r="L625" s="52"/>
      <c r="M625" s="53"/>
      <c r="N625" s="50">
        <f>IF(P624&lt;1,"","пом.")</f>
      </c>
      <c r="O625" s="50"/>
      <c r="P625" s="52"/>
      <c r="Q625" s="53"/>
      <c r="R625" s="35"/>
      <c r="S625" s="35"/>
      <c r="T625" s="35"/>
      <c r="U625" s="35"/>
      <c r="V625" s="38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ht="15.6" customHeight="1" spans="1:44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ht="15.6" customHeight="1" spans="1:44" x14ac:dyDescent="0.25">
      <c r="A627" s="3"/>
      <c r="B627" s="3"/>
      <c r="C627" s="3"/>
      <c r="D627" s="4"/>
      <c r="E627" s="5" t="s">
        <v>26</v>
      </c>
      <c r="F627" s="54" t="s">
        <v>27</v>
      </c>
      <c r="G627" s="54"/>
      <c r="H627" s="54"/>
      <c r="I627" s="100" t="s">
        <v>28</v>
      </c>
      <c r="J627" s="100"/>
      <c r="K627" s="100"/>
      <c r="L627" s="4"/>
      <c r="M627" s="4"/>
      <c r="N627" s="3"/>
      <c r="O627" s="35" t="s">
        <v>29</v>
      </c>
      <c r="P627" s="54" t="s">
        <v>30</v>
      </c>
      <c r="Q627" s="54"/>
      <c r="R627" s="54"/>
      <c r="S627" s="100" t="s">
        <v>31</v>
      </c>
      <c r="T627" s="100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ht="15.6" customHeight="1" spans="1:44" x14ac:dyDescent="0.25">
      <c r="A628" s="3"/>
      <c r="B628" s="3"/>
      <c r="C628" s="3"/>
      <c r="D628" s="4"/>
      <c r="E628" s="5" t="s">
        <v>32</v>
      </c>
      <c r="F628" s="54" t="s">
        <v>33</v>
      </c>
      <c r="G628" s="54"/>
      <c r="H628" s="54"/>
      <c r="I628" s="100" t="s">
        <v>34</v>
      </c>
      <c r="J628" s="100"/>
      <c r="K628" s="100"/>
      <c r="L628" s="4"/>
      <c r="M628" s="4"/>
      <c r="N628" s="3"/>
      <c r="O628" s="35" t="s">
        <v>35</v>
      </c>
      <c r="P628" s="54" t="s">
        <v>30</v>
      </c>
      <c r="Q628" s="54"/>
      <c r="R628" s="54"/>
      <c r="S628" s="101" t="s">
        <v>80</v>
      </c>
      <c r="T628" s="101"/>
      <c r="U628" s="101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ht="15.6" customHeight="1" spans="1:44" x14ac:dyDescent="0.25">
      <c r="A629" s="55"/>
      <c r="B629" s="55"/>
      <c r="C629" s="55"/>
      <c r="D629" s="56"/>
      <c r="E629" s="57"/>
      <c r="F629" s="55"/>
      <c r="G629" s="55"/>
      <c r="H629" s="56"/>
      <c r="I629" s="56"/>
      <c r="J629" s="55"/>
      <c r="K629" s="55"/>
      <c r="L629" s="56"/>
      <c r="M629" s="56"/>
      <c r="N629" s="55"/>
      <c r="O629" s="55"/>
      <c r="P629" s="56"/>
      <c r="Q629" s="56"/>
      <c r="R629" s="55"/>
      <c r="S629" s="55"/>
      <c r="T629" s="55"/>
      <c r="U629" s="55"/>
      <c r="V629" s="55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ht="15.6" customHeight="1" spans="1:44" x14ac:dyDescent="0.25">
      <c r="A630" s="55"/>
      <c r="B630" s="55"/>
      <c r="C630" s="55"/>
      <c r="D630" s="56"/>
      <c r="E630" s="57"/>
      <c r="F630" s="55"/>
      <c r="G630" s="55"/>
      <c r="H630" s="56"/>
      <c r="I630" s="56"/>
      <c r="J630" s="55"/>
      <c r="K630" s="55"/>
      <c r="L630" s="56"/>
      <c r="M630" s="56"/>
      <c r="N630" s="55"/>
      <c r="O630" s="55"/>
      <c r="P630" s="56"/>
      <c r="Q630" s="56"/>
      <c r="R630" s="55"/>
      <c r="S630" s="55"/>
      <c r="T630" s="55"/>
      <c r="U630" s="55"/>
      <c r="V630" s="55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ht="15.6" customHeight="1" hidden="1" spans="1:44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ht="15.6" customHeight="1" spans="1:44" x14ac:dyDescent="0.25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4" t="str">
        <f>N610</f>
        <v>1.1</v>
      </c>
      <c r="O632" s="14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ht="15.6" customHeight="1" spans="1:44" x14ac:dyDescent="0.25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5"/>
      <c r="K633" s="15"/>
      <c r="L633" s="16"/>
      <c r="M633" s="9" t="s">
        <v>5</v>
      </c>
      <c r="N633" s="18" t="str">
        <f>N632&amp;".2"</f>
        <v>1.1.2</v>
      </c>
      <c r="O633" s="18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ht="15.6" customHeight="1" spans="1:44" x14ac:dyDescent="0.25">
      <c r="A634" s="3"/>
      <c r="B634" s="3"/>
      <c r="C634" s="3"/>
      <c r="D634" s="4"/>
      <c r="E634" s="4" t="s">
        <v>7</v>
      </c>
      <c r="F634" s="3"/>
      <c r="G634" s="3"/>
      <c r="H634" s="8"/>
      <c r="I634" s="8"/>
      <c r="J634" s="7"/>
      <c r="K634" s="7"/>
      <c r="L634" s="8"/>
      <c r="M634" s="19" t="s">
        <v>5</v>
      </c>
      <c r="N634" s="20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ht="15.6" customHeight="1" spans="1:44" x14ac:dyDescent="0.25">
      <c r="A635" s="3"/>
      <c r="B635" s="3"/>
      <c r="C635" s="3"/>
      <c r="D635" s="4"/>
      <c r="E635" s="4" t="s">
        <v>8</v>
      </c>
      <c r="F635" s="3"/>
      <c r="G635" s="3"/>
      <c r="H635" s="4"/>
      <c r="I635" s="4"/>
      <c r="J635" s="3"/>
      <c r="K635" s="3"/>
      <c r="L635" s="16"/>
      <c r="M635" s="19" t="s">
        <v>70</v>
      </c>
      <c r="N635" s="20" t="str">
        <f>IF(N613="-"&amp;N590&amp;".3",IF(N614=15,"-"&amp;N590&amp;".4","-"&amp;N590&amp;".3"),N613)</f>
        <v>-1.1.4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ht="15.6" customHeight="1" spans="1:44" x14ac:dyDescent="0.25">
      <c r="A636" s="3"/>
      <c r="B636" s="3"/>
      <c r="C636" s="3"/>
      <c r="D636" s="4"/>
      <c r="E636" s="24" t="s">
        <v>10</v>
      </c>
      <c r="F636" s="3"/>
      <c r="G636" s="3"/>
      <c r="H636" s="4"/>
      <c r="I636" s="8"/>
      <c r="J636" s="7"/>
      <c r="K636" s="7"/>
      <c r="L636" s="8"/>
      <c r="M636" s="19" t="s">
        <v>5</v>
      </c>
      <c r="N636" s="20">
        <f>IF(N635="-"&amp;N590&amp;".3",N614+1,IF(N613="-"&amp;N590&amp;".3",1,N614+1))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ht="15.6" customHeight="1" spans="1:44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ht="15.6" customHeight="1" spans="1:44" x14ac:dyDescent="0.25">
      <c r="A638" s="27"/>
      <c r="B638" s="28"/>
      <c r="C638" s="28"/>
      <c r="D638" s="29"/>
      <c r="E638" s="29"/>
      <c r="F638" s="28"/>
      <c r="G638" s="28"/>
      <c r="H638" s="29"/>
      <c r="I638" s="29"/>
      <c r="J638" s="28"/>
      <c r="K638" s="28"/>
      <c r="L638" s="29"/>
      <c r="M638" s="29"/>
      <c r="N638" s="28"/>
      <c r="O638" s="28"/>
      <c r="P638" s="29"/>
      <c r="Q638" s="29"/>
      <c r="R638" s="28"/>
      <c r="S638" s="28"/>
      <c r="T638" s="28"/>
      <c r="U638" s="28"/>
      <c r="V638" s="59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ht="15.6" customHeight="1" spans="1:44" x14ac:dyDescent="0.25">
      <c r="A639" s="30"/>
      <c r="B639" s="31"/>
      <c r="C639" s="31"/>
      <c r="D639" s="32">
        <v>1</v>
      </c>
      <c r="E639" s="33"/>
      <c r="F639" s="31"/>
      <c r="G639" s="31"/>
      <c r="H639" s="32">
        <v>2</v>
      </c>
      <c r="I639" s="33"/>
      <c r="J639" s="31"/>
      <c r="K639" s="31"/>
      <c r="L639" s="32">
        <v>3</v>
      </c>
      <c r="M639" s="33"/>
      <c r="N639" s="31"/>
      <c r="O639" s="31"/>
      <c r="P639" s="32">
        <v>4</v>
      </c>
      <c r="Q639" s="33"/>
      <c r="R639" s="31"/>
      <c r="S639" s="31"/>
      <c r="T639" s="31"/>
      <c r="U639" s="31"/>
      <c r="V639" s="60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ht="15.6" customHeight="1" spans="1:44" x14ac:dyDescent="0.25">
      <c r="A640" s="30"/>
      <c r="B640" s="31" t="s">
        <v>11</v>
      </c>
      <c r="C640" s="31"/>
      <c r="D640" s="32" t="s">
        <v>12</v>
      </c>
      <c r="E640" s="33"/>
      <c r="F640" s="31" t="s">
        <v>11</v>
      </c>
      <c r="G640" s="31"/>
      <c r="H640" s="32" t="s">
        <v>12</v>
      </c>
      <c r="I640" s="33"/>
      <c r="J640" s="31" t="s">
        <v>11</v>
      </c>
      <c r="K640" s="31"/>
      <c r="L640" s="32" t="s">
        <v>12</v>
      </c>
      <c r="M640" s="33"/>
      <c r="N640" s="31" t="s">
        <v>11</v>
      </c>
      <c r="O640" s="31"/>
      <c r="P640" s="32" t="s">
        <v>12</v>
      </c>
      <c r="Q640" s="33"/>
      <c r="R640" s="31"/>
      <c r="S640" s="31"/>
      <c r="T640" s="31"/>
      <c r="U640" s="31"/>
      <c r="V640" s="65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ht="15.6" customHeight="1" spans="1:44" x14ac:dyDescent="0.25">
      <c r="A641" s="30"/>
      <c r="B641" s="35"/>
      <c r="C641" s="35"/>
      <c r="D641" s="5"/>
      <c r="E641" s="5"/>
      <c r="F641" s="35"/>
      <c r="G641" s="35"/>
      <c r="H641" s="5"/>
      <c r="I641" s="5"/>
      <c r="J641" s="35"/>
      <c r="K641" s="35"/>
      <c r="L641" s="5"/>
      <c r="M641" s="5"/>
      <c r="N641" s="35"/>
      <c r="O641" s="35"/>
      <c r="P641" s="5"/>
      <c r="Q641" s="5"/>
      <c r="R641" s="35"/>
      <c r="S641" s="35"/>
      <c r="T641" s="35"/>
      <c r="U641" s="35"/>
      <c r="V641" s="65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ht="15.6" customHeight="1" spans="1:44" x14ac:dyDescent="0.25">
      <c r="A642" s="30"/>
      <c r="B642" s="31">
        <v>0</v>
      </c>
      <c r="C642" s="31"/>
      <c r="D642" s="37">
        <v>1</v>
      </c>
      <c r="E642" s="37"/>
      <c r="F642" s="31">
        <v>2</v>
      </c>
      <c r="G642" s="31"/>
      <c r="H642" s="37">
        <v>3</v>
      </c>
      <c r="I642" s="37"/>
      <c r="J642" s="31">
        <v>4</v>
      </c>
      <c r="K642" s="31"/>
      <c r="L642" s="37">
        <v>5</v>
      </c>
      <c r="M642" s="37"/>
      <c r="N642" s="31">
        <v>6</v>
      </c>
      <c r="O642" s="31"/>
      <c r="P642" s="37">
        <v>7</v>
      </c>
      <c r="Q642" s="37"/>
      <c r="R642" s="31">
        <v>8</v>
      </c>
      <c r="S642" s="31"/>
      <c r="T642" s="31">
        <v>9</v>
      </c>
      <c r="U642" s="31"/>
      <c r="V642" s="67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ht="15.6" customHeight="1" spans="1:44" x14ac:dyDescent="0.25">
      <c r="A643" s="30"/>
      <c r="B643" s="31" t="s">
        <v>13</v>
      </c>
      <c r="C643" s="31" t="s">
        <v>14</v>
      </c>
      <c r="D643" s="37" t="s">
        <v>15</v>
      </c>
      <c r="E643" s="37" t="s">
        <v>16</v>
      </c>
      <c r="F643" s="31" t="s">
        <v>13</v>
      </c>
      <c r="G643" s="31" t="s">
        <v>14</v>
      </c>
      <c r="H643" s="37" t="s">
        <v>15</v>
      </c>
      <c r="I643" s="37" t="s">
        <v>16</v>
      </c>
      <c r="J643" s="31" t="s">
        <v>13</v>
      </c>
      <c r="K643" s="31" t="s">
        <v>14</v>
      </c>
      <c r="L643" s="37" t="s">
        <v>15</v>
      </c>
      <c r="M643" s="37" t="s">
        <v>16</v>
      </c>
      <c r="N643" s="31" t="s">
        <v>13</v>
      </c>
      <c r="O643" s="31" t="s">
        <v>14</v>
      </c>
      <c r="P643" s="37" t="s">
        <v>15</v>
      </c>
      <c r="Q643" s="37" t="s">
        <v>16</v>
      </c>
      <c r="R643" s="31" t="s">
        <v>13</v>
      </c>
      <c r="S643" s="31" t="s">
        <v>14</v>
      </c>
      <c r="T643" s="31" t="s">
        <v>15</v>
      </c>
      <c r="U643" s="31" t="s">
        <v>16</v>
      </c>
      <c r="V643" s="67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ht="15.6" customHeight="1" spans="1:44" x14ac:dyDescent="0.25">
      <c r="A644" s="39"/>
      <c r="B644" s="40"/>
      <c r="C644" s="40"/>
      <c r="D644" s="41"/>
      <c r="E644" s="42"/>
      <c r="F644" s="40"/>
      <c r="G644" s="40"/>
      <c r="H644" s="41"/>
      <c r="I644" s="42"/>
      <c r="J644" s="40"/>
      <c r="K644" s="40"/>
      <c r="L644" s="41"/>
      <c r="M644" s="42"/>
      <c r="N644" s="40"/>
      <c r="O644" s="40"/>
      <c r="P644" s="41"/>
      <c r="Q644" s="42"/>
      <c r="R644" s="40"/>
      <c r="S644" s="40"/>
      <c r="T644" s="40"/>
      <c r="U644" s="40"/>
      <c r="V644" s="68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ht="15.6" customHeight="1" spans="1:44" x14ac:dyDescent="0.25">
      <c r="A645" s="3"/>
      <c r="B645" s="35"/>
      <c r="C645" s="35"/>
      <c r="D645" s="72"/>
      <c r="E645" s="5"/>
      <c r="F645" s="35"/>
      <c r="G645" s="35"/>
      <c r="H645" s="72"/>
      <c r="I645" s="5"/>
      <c r="J645" s="35"/>
      <c r="K645" s="35"/>
      <c r="L645" s="72"/>
      <c r="M645" s="5"/>
      <c r="N645" s="35"/>
      <c r="O645" s="35"/>
      <c r="P645" s="72"/>
      <c r="Q645" s="5"/>
      <c r="R645" s="35"/>
      <c r="S645" s="35"/>
      <c r="T645" s="35"/>
      <c r="U645" s="35"/>
      <c r="V645" s="38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ht="15.6" customHeight="1" spans="1:44" x14ac:dyDescent="0.25">
      <c r="A646" s="3"/>
      <c r="B646" s="76"/>
      <c r="C646" s="77"/>
      <c r="D646" s="78"/>
      <c r="E646" s="79"/>
      <c r="F646" s="76"/>
      <c r="G646" s="77"/>
      <c r="H646" s="78"/>
      <c r="I646" s="79"/>
      <c r="J646" s="76"/>
      <c r="K646" s="77"/>
      <c r="L646" s="78"/>
      <c r="M646" s="79"/>
      <c r="N646" s="76"/>
      <c r="O646" s="77"/>
      <c r="P646" s="78"/>
      <c r="Q646" s="79"/>
      <c r="R646" s="35"/>
      <c r="S646" s="35"/>
      <c r="T646" s="35"/>
      <c r="U646" s="35"/>
      <c r="V646" s="38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ht="15.6" customHeight="1" spans="1:44" x14ac:dyDescent="0.25">
      <c r="A647" s="3"/>
      <c r="B647" s="50">
        <f>IF(D646&lt;1,"","пом.")</f>
      </c>
      <c r="C647" s="50"/>
      <c r="D647" s="52"/>
      <c r="E647" s="53"/>
      <c r="F647" s="50">
        <f>IF(H646&lt;1,"","пом.")</f>
      </c>
      <c r="G647" s="50"/>
      <c r="H647" s="52"/>
      <c r="I647" s="53"/>
      <c r="J647" s="50">
        <f>IF(L646&lt;1,"","пом.")</f>
      </c>
      <c r="K647" s="50"/>
      <c r="L647" s="52"/>
      <c r="M647" s="53"/>
      <c r="N647" s="50">
        <f>IF(P646&lt;1,"","пом.")</f>
      </c>
      <c r="O647" s="50"/>
      <c r="P647" s="52"/>
      <c r="Q647" s="53"/>
      <c r="R647" s="35"/>
      <c r="S647" s="35"/>
      <c r="T647" s="35"/>
      <c r="U647" s="35"/>
      <c r="V647" s="38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ht="15.6" customHeight="1" spans="1:44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ht="15.6" customHeight="1" spans="1:44" x14ac:dyDescent="0.25">
      <c r="A649" s="3"/>
      <c r="B649" s="3"/>
      <c r="C649" s="3"/>
      <c r="D649" s="4"/>
      <c r="E649" s="5" t="s">
        <v>26</v>
      </c>
      <c r="F649" s="54" t="s">
        <v>27</v>
      </c>
      <c r="G649" s="54"/>
      <c r="H649" s="54"/>
      <c r="I649" s="100" t="s">
        <v>28</v>
      </c>
      <c r="J649" s="100"/>
      <c r="K649" s="100"/>
      <c r="L649" s="4"/>
      <c r="M649" s="4"/>
      <c r="N649" s="3"/>
      <c r="O649" s="35" t="s">
        <v>29</v>
      </c>
      <c r="P649" s="54" t="s">
        <v>30</v>
      </c>
      <c r="Q649" s="54"/>
      <c r="R649" s="54"/>
      <c r="S649" s="100" t="s">
        <v>31</v>
      </c>
      <c r="T649" s="100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ht="15.6" customHeight="1" spans="1:44" x14ac:dyDescent="0.25">
      <c r="A650" s="3"/>
      <c r="B650" s="3"/>
      <c r="C650" s="3"/>
      <c r="D650" s="4"/>
      <c r="E650" s="5" t="s">
        <v>32</v>
      </c>
      <c r="F650" s="54" t="s">
        <v>33</v>
      </c>
      <c r="G650" s="54"/>
      <c r="H650" s="54"/>
      <c r="I650" s="100" t="s">
        <v>34</v>
      </c>
      <c r="J650" s="100"/>
      <c r="K650" s="100"/>
      <c r="L650" s="4"/>
      <c r="M650" s="4"/>
      <c r="N650" s="3"/>
      <c r="O650" s="35" t="s">
        <v>35</v>
      </c>
      <c r="P650" s="54" t="s">
        <v>30</v>
      </c>
      <c r="Q650" s="54"/>
      <c r="R650" s="54"/>
      <c r="S650" s="101" t="s">
        <v>80</v>
      </c>
      <c r="T650" s="101"/>
      <c r="U650" s="101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ht="15.6" customHeight="1" spans="1:44" x14ac:dyDescent="0.25">
      <c r="A651" s="55"/>
      <c r="B651" s="55"/>
      <c r="C651" s="55"/>
      <c r="D651" s="56"/>
      <c r="E651" s="57"/>
      <c r="F651" s="55"/>
      <c r="G651" s="55"/>
      <c r="H651" s="56"/>
      <c r="I651" s="56"/>
      <c r="J651" s="55"/>
      <c r="K651" s="55"/>
      <c r="L651" s="56"/>
      <c r="M651" s="56"/>
      <c r="N651" s="55"/>
      <c r="O651" s="55"/>
      <c r="P651" s="56"/>
      <c r="Q651" s="56"/>
      <c r="R651" s="55"/>
      <c r="S651" s="55"/>
      <c r="T651" s="55"/>
      <c r="U651" s="55"/>
      <c r="V651" s="55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ht="15.6" customHeight="1" spans="1:44" x14ac:dyDescent="0.25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4" t="str">
        <f>N632</f>
        <v>1.1</v>
      </c>
      <c r="O652" s="14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ht="15.6" customHeight="1" spans="1:44" x14ac:dyDescent="0.25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5"/>
      <c r="K653" s="15"/>
      <c r="L653" s="16"/>
      <c r="M653" s="9" t="s">
        <v>5</v>
      </c>
      <c r="N653" s="18" t="str">
        <f>N633</f>
        <v>1.1.2</v>
      </c>
      <c r="O653" s="18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ht="15.6" customHeight="1" spans="1:44" x14ac:dyDescent="0.25">
      <c r="A654" s="3"/>
      <c r="B654" s="3"/>
      <c r="C654" s="3"/>
      <c r="D654" s="4"/>
      <c r="E654" s="4" t="s">
        <v>7</v>
      </c>
      <c r="F654" s="3"/>
      <c r="G654" s="3"/>
      <c r="H654" s="8"/>
      <c r="I654" s="8"/>
      <c r="J654" s="7"/>
      <c r="K654" s="7"/>
      <c r="L654" s="8"/>
      <c r="M654" s="19" t="s">
        <v>5</v>
      </c>
      <c r="N654" s="20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ht="15.6" customHeight="1" spans="1:44" x14ac:dyDescent="0.25">
      <c r="A655" s="3"/>
      <c r="B655" s="3"/>
      <c r="C655" s="3"/>
      <c r="D655" s="4"/>
      <c r="E655" s="4" t="s">
        <v>8</v>
      </c>
      <c r="F655" s="3"/>
      <c r="G655" s="3"/>
      <c r="H655" s="4"/>
      <c r="I655" s="4"/>
      <c r="J655" s="3"/>
      <c r="K655" s="3"/>
      <c r="L655" s="16"/>
      <c r="M655" s="19" t="s">
        <v>70</v>
      </c>
      <c r="N655" s="20" t="str">
        <f>IF(N635="-"&amp;N632&amp;".3",IF(N636=15,"-"&amp;N632&amp;".4","-"&amp;N632&amp;".3"),N635)</f>
        <v>-1.1.4</v>
      </c>
      <c r="O655" s="22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ht="15.6" customHeight="1" spans="1:44" x14ac:dyDescent="0.25">
      <c r="A656" s="3"/>
      <c r="B656" s="3"/>
      <c r="C656" s="3"/>
      <c r="D656" s="4"/>
      <c r="E656" s="24" t="s">
        <v>10</v>
      </c>
      <c r="F656" s="3"/>
      <c r="G656" s="3"/>
      <c r="H656" s="4"/>
      <c r="I656" s="8"/>
      <c r="J656" s="7"/>
      <c r="K656" s="7"/>
      <c r="L656" s="8"/>
      <c r="M656" s="19" t="s">
        <v>5</v>
      </c>
      <c r="N656" s="20">
        <f>IF(N655="-"&amp;N590&amp;".3",N636+1,IF(N635="-"&amp;N590&amp;".3",1,N636+1))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ht="7.15" customHeight="1" spans="1:44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ht="15.6" customHeight="1" spans="1:44" x14ac:dyDescent="0.25">
      <c r="A658" s="27"/>
      <c r="B658" s="28"/>
      <c r="C658" s="28"/>
      <c r="D658" s="29"/>
      <c r="E658" s="29"/>
      <c r="F658" s="28"/>
      <c r="G658" s="28"/>
      <c r="H658" s="29"/>
      <c r="I658" s="29"/>
      <c r="J658" s="28"/>
      <c r="K658" s="28"/>
      <c r="L658" s="29"/>
      <c r="M658" s="29"/>
      <c r="N658" s="28"/>
      <c r="O658" s="28"/>
      <c r="P658" s="29"/>
      <c r="Q658" s="29"/>
      <c r="R658" s="28"/>
      <c r="S658" s="28"/>
      <c r="T658" s="28"/>
      <c r="U658" s="28"/>
      <c r="V658" s="59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ht="15.6" customHeight="1" spans="1:44" x14ac:dyDescent="0.25">
      <c r="A659" s="30"/>
      <c r="B659" s="31"/>
      <c r="C659" s="31"/>
      <c r="D659" s="32">
        <v>1</v>
      </c>
      <c r="E659" s="33"/>
      <c r="F659" s="31"/>
      <c r="G659" s="31"/>
      <c r="H659" s="32">
        <v>2</v>
      </c>
      <c r="I659" s="33"/>
      <c r="J659" s="31"/>
      <c r="K659" s="31"/>
      <c r="L659" s="32">
        <v>3</v>
      </c>
      <c r="M659" s="33"/>
      <c r="N659" s="31"/>
      <c r="O659" s="31"/>
      <c r="P659" s="32">
        <v>4</v>
      </c>
      <c r="Q659" s="33"/>
      <c r="R659" s="31"/>
      <c r="S659" s="31"/>
      <c r="T659" s="31"/>
      <c r="U659" s="31"/>
      <c r="V659" s="60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ht="15.6" customHeight="1" spans="1:44" x14ac:dyDescent="0.25">
      <c r="A660" s="30"/>
      <c r="B660" s="31" t="s">
        <v>11</v>
      </c>
      <c r="C660" s="31"/>
      <c r="D660" s="32" t="s">
        <v>12</v>
      </c>
      <c r="E660" s="33"/>
      <c r="F660" s="31" t="s">
        <v>11</v>
      </c>
      <c r="G660" s="31"/>
      <c r="H660" s="32" t="s">
        <v>12</v>
      </c>
      <c r="I660" s="33"/>
      <c r="J660" s="31" t="s">
        <v>11</v>
      </c>
      <c r="K660" s="31"/>
      <c r="L660" s="32" t="s">
        <v>12</v>
      </c>
      <c r="M660" s="33"/>
      <c r="N660" s="31" t="s">
        <v>11</v>
      </c>
      <c r="O660" s="31"/>
      <c r="P660" s="32" t="s">
        <v>12</v>
      </c>
      <c r="Q660" s="33"/>
      <c r="R660" s="31"/>
      <c r="S660" s="31"/>
      <c r="T660" s="31"/>
      <c r="U660" s="31"/>
      <c r="V660" s="65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ht="15.6" customHeight="1" spans="1:44" x14ac:dyDescent="0.25">
      <c r="A661" s="30"/>
      <c r="B661" s="35"/>
      <c r="C661" s="35"/>
      <c r="D661" s="5"/>
      <c r="E661" s="5"/>
      <c r="F661" s="35"/>
      <c r="G661" s="35"/>
      <c r="H661" s="5"/>
      <c r="I661" s="5"/>
      <c r="J661" s="35"/>
      <c r="K661" s="35"/>
      <c r="L661" s="5"/>
      <c r="M661" s="5"/>
      <c r="N661" s="35"/>
      <c r="O661" s="35"/>
      <c r="P661" s="5"/>
      <c r="Q661" s="5"/>
      <c r="R661" s="35"/>
      <c r="S661" s="35"/>
      <c r="T661" s="35"/>
      <c r="U661" s="35"/>
      <c r="V661" s="65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ht="15.6" customHeight="1" spans="1:44" x14ac:dyDescent="0.25">
      <c r="A662" s="30"/>
      <c r="B662" s="31">
        <v>0</v>
      </c>
      <c r="C662" s="31"/>
      <c r="D662" s="37">
        <v>1</v>
      </c>
      <c r="E662" s="37"/>
      <c r="F662" s="31">
        <v>2</v>
      </c>
      <c r="G662" s="31"/>
      <c r="H662" s="37">
        <v>3</v>
      </c>
      <c r="I662" s="37"/>
      <c r="J662" s="31">
        <v>4</v>
      </c>
      <c r="K662" s="31"/>
      <c r="L662" s="37">
        <v>5</v>
      </c>
      <c r="M662" s="37"/>
      <c r="N662" s="31">
        <v>6</v>
      </c>
      <c r="O662" s="31"/>
      <c r="P662" s="37">
        <v>7</v>
      </c>
      <c r="Q662" s="37"/>
      <c r="R662" s="31">
        <v>8</v>
      </c>
      <c r="S662" s="31"/>
      <c r="T662" s="31">
        <v>9</v>
      </c>
      <c r="U662" s="31"/>
      <c r="V662" s="67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ht="15.6" customHeight="1" spans="1:44" x14ac:dyDescent="0.25">
      <c r="A663" s="30"/>
      <c r="B663" s="31" t="s">
        <v>13</v>
      </c>
      <c r="C663" s="31" t="s">
        <v>14</v>
      </c>
      <c r="D663" s="37" t="s">
        <v>15</v>
      </c>
      <c r="E663" s="37" t="s">
        <v>16</v>
      </c>
      <c r="F663" s="31" t="s">
        <v>13</v>
      </c>
      <c r="G663" s="31" t="s">
        <v>14</v>
      </c>
      <c r="H663" s="37" t="s">
        <v>15</v>
      </c>
      <c r="I663" s="37" t="s">
        <v>16</v>
      </c>
      <c r="J663" s="31" t="s">
        <v>13</v>
      </c>
      <c r="K663" s="31" t="s">
        <v>14</v>
      </c>
      <c r="L663" s="37" t="s">
        <v>15</v>
      </c>
      <c r="M663" s="37" t="s">
        <v>16</v>
      </c>
      <c r="N663" s="31" t="s">
        <v>13</v>
      </c>
      <c r="O663" s="31" t="s">
        <v>14</v>
      </c>
      <c r="P663" s="37" t="s">
        <v>15</v>
      </c>
      <c r="Q663" s="37" t="s">
        <v>16</v>
      </c>
      <c r="R663" s="31" t="s">
        <v>13</v>
      </c>
      <c r="S663" s="31" t="s">
        <v>14</v>
      </c>
      <c r="T663" s="31" t="s">
        <v>15</v>
      </c>
      <c r="U663" s="31" t="s">
        <v>16</v>
      </c>
      <c r="V663" s="67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ht="15.6" customHeight="1" spans="1:44" x14ac:dyDescent="0.25">
      <c r="A664" s="39"/>
      <c r="B664" s="40"/>
      <c r="C664" s="40"/>
      <c r="D664" s="41"/>
      <c r="E664" s="42"/>
      <c r="F664" s="40"/>
      <c r="G664" s="40"/>
      <c r="H664" s="41"/>
      <c r="I664" s="42"/>
      <c r="J664" s="40"/>
      <c r="K664" s="40"/>
      <c r="L664" s="41"/>
      <c r="M664" s="42"/>
      <c r="N664" s="40"/>
      <c r="O664" s="40"/>
      <c r="P664" s="41"/>
      <c r="Q664" s="42"/>
      <c r="R664" s="40"/>
      <c r="S664" s="40"/>
      <c r="T664" s="40"/>
      <c r="U664" s="40"/>
      <c r="V664" s="68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ht="7.15" customHeight="1" spans="1:44" x14ac:dyDescent="0.25">
      <c r="A665" s="3"/>
      <c r="B665" s="35"/>
      <c r="C665" s="35"/>
      <c r="D665" s="72"/>
      <c r="E665" s="5"/>
      <c r="F665" s="35"/>
      <c r="G665" s="35"/>
      <c r="H665" s="72"/>
      <c r="I665" s="5"/>
      <c r="J665" s="35"/>
      <c r="K665" s="35"/>
      <c r="L665" s="72"/>
      <c r="M665" s="5"/>
      <c r="N665" s="35"/>
      <c r="O665" s="35"/>
      <c r="P665" s="72"/>
      <c r="Q665" s="5"/>
      <c r="R665" s="35"/>
      <c r="S665" s="35"/>
      <c r="T665" s="35"/>
      <c r="U665" s="35"/>
      <c r="V665" s="38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ht="15.6" customHeight="1" spans="1:44" x14ac:dyDescent="0.25">
      <c r="A666" s="3"/>
      <c r="B666" s="76"/>
      <c r="C666" s="77"/>
      <c r="D666" s="78"/>
      <c r="E666" s="79"/>
      <c r="F666" s="76"/>
      <c r="G666" s="77"/>
      <c r="H666" s="78"/>
      <c r="I666" s="79"/>
      <c r="J666" s="76"/>
      <c r="K666" s="77"/>
      <c r="L666" s="78"/>
      <c r="M666" s="79"/>
      <c r="N666" s="76"/>
      <c r="O666" s="77"/>
      <c r="P666" s="78"/>
      <c r="Q666" s="79"/>
      <c r="R666" s="35"/>
      <c r="S666" s="35"/>
      <c r="T666" s="35"/>
      <c r="U666" s="35"/>
      <c r="V666" s="38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ht="15.6" customHeight="1" spans="1:44" x14ac:dyDescent="0.25">
      <c r="A667" s="3"/>
      <c r="B667" s="50">
        <f>IF(D666&lt;1,"","пом.")</f>
      </c>
      <c r="C667" s="50"/>
      <c r="D667" s="52"/>
      <c r="E667" s="53"/>
      <c r="F667" s="50">
        <f>IF(H666&lt;1,"","пом.")</f>
      </c>
      <c r="G667" s="50"/>
      <c r="H667" s="52"/>
      <c r="I667" s="53"/>
      <c r="J667" s="50">
        <f>IF(L666&lt;1,"","пом.")</f>
      </c>
      <c r="K667" s="50"/>
      <c r="L667" s="52"/>
      <c r="M667" s="53"/>
      <c r="N667" s="50">
        <f>IF(P666&lt;1,"","пом.")</f>
      </c>
      <c r="O667" s="50"/>
      <c r="P667" s="52"/>
      <c r="Q667" s="53"/>
      <c r="R667" s="35"/>
      <c r="S667" s="35"/>
      <c r="T667" s="35"/>
      <c r="U667" s="35"/>
      <c r="V667" s="38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ht="9" customHeight="1" spans="1:44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ht="15.6" customHeight="1" spans="1:44" x14ac:dyDescent="0.25">
      <c r="A669" s="3"/>
      <c r="B669" s="3"/>
      <c r="C669" s="3"/>
      <c r="D669" s="4"/>
      <c r="E669" s="5" t="s">
        <v>26</v>
      </c>
      <c r="F669" s="54" t="s">
        <v>27</v>
      </c>
      <c r="G669" s="54"/>
      <c r="H669" s="54"/>
      <c r="I669" s="100" t="s">
        <v>28</v>
      </c>
      <c r="J669" s="100"/>
      <c r="K669" s="100"/>
      <c r="L669" s="4"/>
      <c r="M669" s="4"/>
      <c r="N669" s="3"/>
      <c r="O669" s="35" t="s">
        <v>29</v>
      </c>
      <c r="P669" s="54" t="s">
        <v>30</v>
      </c>
      <c r="Q669" s="54"/>
      <c r="R669" s="54"/>
      <c r="S669" s="100" t="s">
        <v>31</v>
      </c>
      <c r="T669" s="100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ht="15.6" customHeight="1" spans="1:44" x14ac:dyDescent="0.25">
      <c r="A670" s="3"/>
      <c r="B670" s="3"/>
      <c r="C670" s="3"/>
      <c r="D670" s="4"/>
      <c r="E670" s="5" t="s">
        <v>32</v>
      </c>
      <c r="F670" s="54" t="s">
        <v>33</v>
      </c>
      <c r="G670" s="54"/>
      <c r="H670" s="54"/>
      <c r="I670" s="100" t="s">
        <v>34</v>
      </c>
      <c r="J670" s="100"/>
      <c r="K670" s="100"/>
      <c r="L670" s="4"/>
      <c r="M670" s="4"/>
      <c r="N670" s="3"/>
      <c r="O670" s="35" t="s">
        <v>35</v>
      </c>
      <c r="P670" s="54" t="s">
        <v>30</v>
      </c>
      <c r="Q670" s="54"/>
      <c r="R670" s="54"/>
      <c r="S670" s="101" t="s">
        <v>80</v>
      </c>
      <c r="T670" s="101"/>
      <c r="U670" s="101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ht="15.6" customHeight="1" spans="1:44" x14ac:dyDescent="0.25">
      <c r="A671" s="55"/>
      <c r="B671" s="55"/>
      <c r="C671" s="55"/>
      <c r="D671" s="56"/>
      <c r="E671" s="57"/>
      <c r="F671" s="55"/>
      <c r="G671" s="55"/>
      <c r="H671" s="56"/>
      <c r="I671" s="56"/>
      <c r="J671" s="55"/>
      <c r="K671" s="55"/>
      <c r="L671" s="56"/>
      <c r="M671" s="56"/>
      <c r="N671" s="55"/>
      <c r="O671" s="55"/>
      <c r="P671" s="56"/>
      <c r="Q671" s="56"/>
      <c r="R671" s="55"/>
      <c r="S671" s="55"/>
      <c r="T671" s="55"/>
      <c r="U671" s="55"/>
      <c r="V671" s="55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ht="15.6" customHeight="1" spans="1:22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ht="15.6" customHeight="1" spans="1:22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8:C58"/>
    <mergeCell ref="D58:E58"/>
    <mergeCell ref="F58:G58"/>
    <mergeCell ref="H58:I58"/>
    <mergeCell ref="J58:K58"/>
    <mergeCell ref="L58:M58"/>
    <mergeCell ref="N58:O58"/>
    <mergeCell ref="P58:Q58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B78:C78"/>
    <mergeCell ref="D78:E78"/>
    <mergeCell ref="F78:G78"/>
    <mergeCell ref="H78:I78"/>
    <mergeCell ref="J78:K78"/>
    <mergeCell ref="L78:M78"/>
    <mergeCell ref="N78:O78"/>
    <mergeCell ref="P78:Q78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</mergeCells>
  <pageMargins left="0.984251968503937" right="0.3937007874015748" top="0.3937007874015748" bottom="2.5590551181102366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73"/>
  <sheetViews>
    <sheetView workbookViewId="0" zoomScale="115" zoomScaleNormal="100" view="pageLayout"/>
  </sheetViews>
  <sheetFormatPr defaultRowHeight="15" outlineLevelRow="0" outlineLevelCol="0" x14ac:dyDescent="0.25" defaultColWidth="9.140625"/>
  <cols>
    <col min="1" max="3" width="3.7109375" customWidth="1"/>
    <col min="4" max="5" width="4" style="1" customWidth="1"/>
    <col min="6" max="7" width="3.7109375" customWidth="1"/>
    <col min="8" max="9" width="4" style="1" customWidth="1"/>
    <col min="10" max="11" width="3.7109375" customWidth="1"/>
    <col min="12" max="13" width="4" style="1" customWidth="1"/>
    <col min="14" max="14" width="5.140625" customWidth="1"/>
    <col min="15" max="15" width="3.7109375" customWidth="1"/>
    <col min="16" max="17" width="4" style="1" customWidth="1"/>
    <col min="18" max="36" width="3.7109375" customWidth="1"/>
    <col min="37" max="37" width="4.28515625" customWidth="1"/>
    <col min="38" max="44" width="3.7109375" customWidth="1"/>
  </cols>
  <sheetData>
    <row r="1" spans="1:44" x14ac:dyDescent="0.25">
      <c r="A1" s="55"/>
      <c r="B1" s="55"/>
      <c r="C1" s="55"/>
      <c r="D1" s="56"/>
      <c r="E1" s="57"/>
      <c r="F1" s="55"/>
      <c r="G1" s="55"/>
      <c r="H1" s="56"/>
      <c r="I1" s="56"/>
      <c r="J1" s="55"/>
      <c r="K1" s="55"/>
      <c r="L1" s="56"/>
      <c r="M1" s="56"/>
      <c r="N1" s="55"/>
      <c r="O1" s="55"/>
      <c r="P1" s="56"/>
      <c r="Q1" s="56"/>
      <c r="R1" s="55"/>
      <c r="S1" s="55"/>
      <c r="T1" s="55"/>
      <c r="U1" s="55"/>
      <c r="V1" s="55"/>
      <c r="W1" s="55"/>
      <c r="X1" s="55"/>
      <c r="Y1" s="55"/>
      <c r="Z1" s="56"/>
      <c r="AA1" s="57"/>
      <c r="AB1" s="55"/>
      <c r="AC1" s="55"/>
      <c r="AD1" s="56"/>
      <c r="AE1" s="56"/>
      <c r="AF1" s="55"/>
      <c r="AG1" s="55"/>
      <c r="AH1" s="56"/>
      <c r="AI1" s="56"/>
      <c r="AJ1" s="55"/>
      <c r="AK1" s="55"/>
      <c r="AL1" s="56"/>
      <c r="AM1" s="56"/>
      <c r="AN1" s="55"/>
      <c r="AO1" s="55"/>
      <c r="AP1" s="55"/>
      <c r="AQ1" s="55"/>
      <c r="AR1" s="55"/>
    </row>
    <row r="2" ht="15.6" customHeight="1" spans="1:44" x14ac:dyDescent="0.25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10" t="s">
        <v>68</v>
      </c>
      <c r="O2" s="11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2" t="s">
        <v>1</v>
      </c>
      <c r="AC2" s="3"/>
      <c r="AD2" s="7"/>
      <c r="AE2" s="7"/>
      <c r="AF2" s="7"/>
      <c r="AG2" s="7"/>
      <c r="AH2" s="7"/>
      <c r="AI2" s="7"/>
      <c r="AJ2" s="13" t="s">
        <v>2</v>
      </c>
      <c r="AK2" s="14" t="s">
        <v>68</v>
      </c>
      <c r="AL2" s="14"/>
      <c r="AM2" s="3"/>
      <c r="AN2" s="3"/>
      <c r="AO2" s="3"/>
      <c r="AP2" s="3"/>
      <c r="AQ2" s="3"/>
      <c r="AR2" s="3"/>
    </row>
    <row r="3" ht="15.6" customHeight="1" spans="1:44" x14ac:dyDescent="0.25">
      <c r="A3" s="3"/>
      <c r="B3" s="3"/>
      <c r="C3" s="3"/>
      <c r="D3" s="4"/>
      <c r="E3" s="6" t="s">
        <v>4</v>
      </c>
      <c r="F3" s="3"/>
      <c r="G3" s="3"/>
      <c r="H3" s="4"/>
      <c r="I3" s="4"/>
      <c r="J3" s="15"/>
      <c r="K3" s="15"/>
      <c r="L3" s="16"/>
      <c r="M3" s="9" t="s">
        <v>5</v>
      </c>
      <c r="N3" s="17" t="str">
        <f>N2&amp;".3"</f>
        <v>1.1.3</v>
      </c>
      <c r="O3" s="17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2" t="s">
        <v>4</v>
      </c>
      <c r="AC3" s="3"/>
      <c r="AD3" s="3"/>
      <c r="AE3" s="3"/>
      <c r="AF3" s="3"/>
      <c r="AG3" s="15"/>
      <c r="AH3" s="15"/>
      <c r="AI3" s="15"/>
      <c r="AJ3" s="13" t="s">
        <v>5</v>
      </c>
      <c r="AK3" s="18" t="str">
        <f>AK2&amp;".3"</f>
        <v>1.1.3</v>
      </c>
      <c r="AL3" s="18"/>
      <c r="AM3" s="3"/>
      <c r="AN3" s="3"/>
      <c r="AO3" s="3"/>
      <c r="AP3" s="3"/>
      <c r="AQ3" s="3"/>
      <c r="AR3" s="3"/>
    </row>
    <row r="4" ht="15.6" customHeight="1" spans="1:44" x14ac:dyDescent="0.25">
      <c r="A4" s="3"/>
      <c r="B4" s="3"/>
      <c r="C4" s="3"/>
      <c r="D4" s="4"/>
      <c r="E4" s="4" t="s">
        <v>7</v>
      </c>
      <c r="F4" s="3"/>
      <c r="G4" s="3"/>
      <c r="H4" s="8"/>
      <c r="I4" s="8"/>
      <c r="J4" s="7"/>
      <c r="K4" s="7"/>
      <c r="L4" s="8"/>
      <c r="M4" s="19" t="s">
        <v>5</v>
      </c>
      <c r="N4" s="20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84</v>
      </c>
      <c r="AC4" s="3"/>
      <c r="AD4" s="3"/>
      <c r="AE4" s="7"/>
      <c r="AF4" s="7"/>
      <c r="AG4" s="7"/>
      <c r="AH4" s="7"/>
      <c r="AI4" s="7"/>
      <c r="AJ4" s="21" t="s">
        <v>5</v>
      </c>
      <c r="AK4" s="20">
        <v>1</v>
      </c>
      <c r="AL4" s="3"/>
      <c r="AM4" s="3"/>
      <c r="AN4" s="3"/>
      <c r="AO4" s="3"/>
      <c r="AP4" s="3"/>
      <c r="AQ4" s="3"/>
      <c r="AR4" s="3"/>
    </row>
    <row r="5" ht="15.6" customHeight="1" spans="1:44" x14ac:dyDescent="0.25">
      <c r="A5" s="3"/>
      <c r="B5" s="3"/>
      <c r="C5" s="3"/>
      <c r="D5" s="4"/>
      <c r="E5" s="4" t="s">
        <v>8</v>
      </c>
      <c r="F5" s="3"/>
      <c r="G5" s="3"/>
      <c r="H5" s="4"/>
      <c r="I5" s="4"/>
      <c r="J5" s="3"/>
      <c r="K5" s="3"/>
      <c r="L5" s="16"/>
      <c r="M5" s="19" t="s">
        <v>70</v>
      </c>
      <c r="N5" s="20" t="str">
        <f>"-"&amp;N2&amp;".5"</f>
        <v>-1.1.5</v>
      </c>
      <c r="O5" s="22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</v>
      </c>
      <c r="AC5" s="3"/>
      <c r="AD5" s="3"/>
      <c r="AE5" s="3"/>
      <c r="AF5" s="3"/>
      <c r="AG5" s="3"/>
      <c r="AH5" s="3"/>
      <c r="AI5" s="15"/>
      <c r="AJ5" s="21" t="s">
        <v>70</v>
      </c>
      <c r="AK5" s="20" t="str">
        <f>"-"&amp;AK2&amp;".6"</f>
        <v>-1.1.6</v>
      </c>
      <c r="AL5" s="23"/>
      <c r="AM5" s="3"/>
      <c r="AN5" s="3"/>
      <c r="AO5" s="3"/>
      <c r="AP5" s="3"/>
      <c r="AQ5" s="3"/>
      <c r="AR5" s="3"/>
    </row>
    <row r="6" ht="15.6" customHeight="1" spans="1:44" x14ac:dyDescent="0.25">
      <c r="A6" s="3"/>
      <c r="B6" s="3"/>
      <c r="C6" s="3"/>
      <c r="D6" s="4"/>
      <c r="E6" s="24" t="s">
        <v>10</v>
      </c>
      <c r="F6" s="3"/>
      <c r="G6" s="3"/>
      <c r="H6" s="4"/>
      <c r="I6" s="8"/>
      <c r="J6" s="7"/>
      <c r="K6" s="7"/>
      <c r="L6" s="8"/>
      <c r="M6" s="19" t="s">
        <v>5</v>
      </c>
      <c r="N6" s="25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58" t="s">
        <v>10</v>
      </c>
      <c r="AC6" s="3"/>
      <c r="AD6" s="3"/>
      <c r="AE6" s="3"/>
      <c r="AF6" s="7"/>
      <c r="AG6" s="7"/>
      <c r="AH6" s="7"/>
      <c r="AI6" s="7"/>
      <c r="AJ6" s="21" t="s">
        <v>5</v>
      </c>
      <c r="AK6" s="20">
        <v>18</v>
      </c>
      <c r="AL6" s="3"/>
      <c r="AM6" s="3"/>
      <c r="AN6" s="3"/>
      <c r="AO6" s="3"/>
      <c r="AP6" s="3"/>
      <c r="AQ6" s="3"/>
      <c r="AR6" s="3"/>
    </row>
    <row r="7" ht="15.6" customHeight="1" spans="1:44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6"/>
      <c r="AL7" s="3"/>
      <c r="AM7" s="3"/>
      <c r="AN7" s="3"/>
      <c r="AO7" s="3"/>
      <c r="AP7" s="3"/>
      <c r="AQ7" s="3"/>
      <c r="AR7" s="3"/>
    </row>
    <row r="8" ht="15.6" customHeight="1" spans="1:44" x14ac:dyDescent="0.25">
      <c r="A8" s="27"/>
      <c r="B8" s="28"/>
      <c r="C8" s="28"/>
      <c r="D8" s="29"/>
      <c r="E8" s="29"/>
      <c r="F8" s="28"/>
      <c r="G8" s="28"/>
      <c r="H8" s="29"/>
      <c r="I8" s="29"/>
      <c r="J8" s="28"/>
      <c r="K8" s="28"/>
      <c r="L8" s="29"/>
      <c r="M8" s="29"/>
      <c r="N8" s="28"/>
      <c r="O8" s="28"/>
      <c r="P8" s="29"/>
      <c r="Q8" s="29"/>
      <c r="R8" s="28"/>
      <c r="S8" s="28"/>
      <c r="T8" s="28"/>
      <c r="U8" s="28"/>
      <c r="V8" s="59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6"/>
      <c r="AL8" s="3"/>
      <c r="AM8" s="3"/>
      <c r="AN8" s="3"/>
      <c r="AO8" s="3"/>
      <c r="AP8" s="3"/>
      <c r="AQ8" s="3"/>
      <c r="AR8" s="3"/>
    </row>
    <row r="9" ht="15.6" customHeight="1" spans="1:43" x14ac:dyDescent="0.25">
      <c r="A9" s="30"/>
      <c r="B9" s="31"/>
      <c r="C9" s="31"/>
      <c r="D9" s="32">
        <v>1</v>
      </c>
      <c r="E9" s="33"/>
      <c r="F9" s="31"/>
      <c r="G9" s="31"/>
      <c r="H9" s="32">
        <v>2</v>
      </c>
      <c r="I9" s="33"/>
      <c r="J9" s="31"/>
      <c r="K9" s="31"/>
      <c r="L9" s="32">
        <v>3</v>
      </c>
      <c r="M9" s="33"/>
      <c r="N9" s="31"/>
      <c r="O9" s="31"/>
      <c r="P9" s="32">
        <v>4</v>
      </c>
      <c r="Q9" s="33"/>
      <c r="R9" s="31"/>
      <c r="S9" s="31"/>
      <c r="T9" s="31"/>
      <c r="U9" s="31"/>
      <c r="V9" s="60"/>
      <c r="W9" s="3"/>
      <c r="X9" s="61">
        <v>1</v>
      </c>
      <c r="Y9" s="62"/>
      <c r="Z9" s="62"/>
      <c r="AA9" s="63"/>
      <c r="AB9" s="61">
        <v>2</v>
      </c>
      <c r="AC9" s="62"/>
      <c r="AD9" s="62"/>
      <c r="AE9" s="63"/>
      <c r="AF9" s="61">
        <v>3</v>
      </c>
      <c r="AG9" s="62"/>
      <c r="AH9" s="62"/>
      <c r="AI9" s="63"/>
      <c r="AJ9" s="61">
        <v>4</v>
      </c>
      <c r="AK9" s="62"/>
      <c r="AL9" s="62"/>
      <c r="AM9" s="63"/>
      <c r="AN9" s="64"/>
      <c r="AO9" s="64"/>
      <c r="AP9" s="31"/>
      <c r="AQ9" s="31"/>
    </row>
    <row r="10" ht="15.6" customHeight="1" spans="1:43" x14ac:dyDescent="0.25">
      <c r="A10" s="30"/>
      <c r="B10" s="31" t="s">
        <v>11</v>
      </c>
      <c r="C10" s="31"/>
      <c r="D10" s="32" t="s">
        <v>12</v>
      </c>
      <c r="E10" s="33"/>
      <c r="F10" s="31" t="s">
        <v>11</v>
      </c>
      <c r="G10" s="31"/>
      <c r="H10" s="32" t="s">
        <v>12</v>
      </c>
      <c r="I10" s="33"/>
      <c r="J10" s="31" t="s">
        <v>11</v>
      </c>
      <c r="K10" s="31"/>
      <c r="L10" s="32" t="s">
        <v>12</v>
      </c>
      <c r="M10" s="33"/>
      <c r="N10" s="31" t="s">
        <v>11</v>
      </c>
      <c r="O10" s="31"/>
      <c r="P10" s="32" t="s">
        <v>12</v>
      </c>
      <c r="Q10" s="33"/>
      <c r="R10" s="31"/>
      <c r="S10" s="31"/>
      <c r="T10" s="31"/>
      <c r="U10" s="31"/>
      <c r="V10" s="65"/>
      <c r="W10" s="3"/>
      <c r="X10" s="64" t="s">
        <v>71</v>
      </c>
      <c r="Y10" s="64"/>
      <c r="Z10" s="61" t="s">
        <v>72</v>
      </c>
      <c r="AA10" s="63"/>
      <c r="AB10" s="66" t="s">
        <v>73</v>
      </c>
      <c r="AC10" s="66"/>
      <c r="AD10" s="61" t="s">
        <v>72</v>
      </c>
      <c r="AE10" s="63"/>
      <c r="AF10" s="64">
        <v>485</v>
      </c>
      <c r="AG10" s="64"/>
      <c r="AH10" s="61" t="s">
        <v>72</v>
      </c>
      <c r="AI10" s="63"/>
      <c r="AJ10" s="64">
        <v>485</v>
      </c>
      <c r="AK10" s="64"/>
      <c r="AL10" s="61" t="s">
        <v>72</v>
      </c>
      <c r="AM10" s="63"/>
      <c r="AN10" s="64"/>
      <c r="AO10" s="64"/>
      <c r="AP10" s="31"/>
      <c r="AQ10" s="31"/>
    </row>
    <row r="11" ht="15.6" customHeight="1" spans="1:43" x14ac:dyDescent="0.25">
      <c r="A11" s="30"/>
      <c r="B11" s="35"/>
      <c r="C11" s="35"/>
      <c r="D11" s="5"/>
      <c r="E11" s="5"/>
      <c r="F11" s="35"/>
      <c r="G11" s="35"/>
      <c r="H11" s="5"/>
      <c r="I11" s="5"/>
      <c r="J11" s="35"/>
      <c r="K11" s="35"/>
      <c r="L11" s="5"/>
      <c r="M11" s="5"/>
      <c r="N11" s="35"/>
      <c r="O11" s="35"/>
      <c r="P11" s="5"/>
      <c r="Q11" s="5"/>
      <c r="R11" s="35"/>
      <c r="S11" s="35"/>
      <c r="T11" s="35"/>
      <c r="U11" s="35"/>
      <c r="V11" s="65"/>
      <c r="W11" s="3"/>
      <c r="X11" s="61" t="s">
        <v>74</v>
      </c>
      <c r="Y11" s="62"/>
      <c r="Z11" s="62"/>
      <c r="AA11" s="63"/>
      <c r="AB11" s="61" t="s">
        <v>75</v>
      </c>
      <c r="AC11" s="62"/>
      <c r="AD11" s="62"/>
      <c r="AE11" s="63"/>
      <c r="AF11" s="61" t="s">
        <v>76</v>
      </c>
      <c r="AG11" s="62"/>
      <c r="AH11" s="62"/>
      <c r="AI11" s="63"/>
      <c r="AJ11" s="61"/>
      <c r="AK11" s="62"/>
      <c r="AL11" s="62"/>
      <c r="AM11" s="63"/>
      <c r="AN11" s="61"/>
      <c r="AO11" s="62"/>
      <c r="AP11" s="62"/>
      <c r="AQ11" s="63"/>
    </row>
    <row r="12" ht="15.6" customHeight="1" spans="1:43" x14ac:dyDescent="0.25">
      <c r="A12" s="30"/>
      <c r="B12" s="31">
        <v>0</v>
      </c>
      <c r="C12" s="31"/>
      <c r="D12" s="37">
        <v>1</v>
      </c>
      <c r="E12" s="37"/>
      <c r="F12" s="31">
        <v>2</v>
      </c>
      <c r="G12" s="31"/>
      <c r="H12" s="37">
        <v>3</v>
      </c>
      <c r="I12" s="37"/>
      <c r="J12" s="31">
        <v>4</v>
      </c>
      <c r="K12" s="31"/>
      <c r="L12" s="37">
        <v>5</v>
      </c>
      <c r="M12" s="37"/>
      <c r="N12" s="31">
        <v>6</v>
      </c>
      <c r="O12" s="31"/>
      <c r="P12" s="37">
        <v>7</v>
      </c>
      <c r="Q12" s="37"/>
      <c r="R12" s="31">
        <v>8</v>
      </c>
      <c r="S12" s="31"/>
      <c r="T12" s="31">
        <v>9</v>
      </c>
      <c r="U12" s="31"/>
      <c r="V12" s="67"/>
      <c r="W12" s="3"/>
      <c r="X12" s="64">
        <v>0</v>
      </c>
      <c r="Y12" s="64"/>
      <c r="Z12" s="64">
        <v>1</v>
      </c>
      <c r="AA12" s="64"/>
      <c r="AB12" s="64">
        <v>2</v>
      </c>
      <c r="AC12" s="64"/>
      <c r="AD12" s="64">
        <v>3</v>
      </c>
      <c r="AE12" s="64"/>
      <c r="AF12" s="64">
        <v>4</v>
      </c>
      <c r="AG12" s="64"/>
      <c r="AH12" s="64">
        <v>5</v>
      </c>
      <c r="AI12" s="64"/>
      <c r="AJ12" s="64">
        <v>6</v>
      </c>
      <c r="AK12" s="64"/>
      <c r="AL12" s="64">
        <v>7</v>
      </c>
      <c r="AM12" s="64"/>
      <c r="AN12" s="64">
        <v>8</v>
      </c>
      <c r="AO12" s="64"/>
      <c r="AP12" s="31">
        <v>9</v>
      </c>
      <c r="AQ12" s="31"/>
    </row>
    <row r="13" ht="15.6" customHeight="1" spans="1:43" x14ac:dyDescent="0.25">
      <c r="A13" s="30"/>
      <c r="B13" s="31" t="s">
        <v>13</v>
      </c>
      <c r="C13" s="31" t="s">
        <v>14</v>
      </c>
      <c r="D13" s="37" t="s">
        <v>15</v>
      </c>
      <c r="E13" s="37" t="s">
        <v>16</v>
      </c>
      <c r="F13" s="31" t="s">
        <v>13</v>
      </c>
      <c r="G13" s="31" t="s">
        <v>14</v>
      </c>
      <c r="H13" s="37" t="s">
        <v>15</v>
      </c>
      <c r="I13" s="37" t="s">
        <v>16</v>
      </c>
      <c r="J13" s="31" t="s">
        <v>13</v>
      </c>
      <c r="K13" s="31" t="s">
        <v>14</v>
      </c>
      <c r="L13" s="37" t="s">
        <v>15</v>
      </c>
      <c r="M13" s="37" t="s">
        <v>16</v>
      </c>
      <c r="N13" s="31" t="s">
        <v>13</v>
      </c>
      <c r="O13" s="31" t="s">
        <v>14</v>
      </c>
      <c r="P13" s="37" t="s">
        <v>15</v>
      </c>
      <c r="Q13" s="37" t="s">
        <v>16</v>
      </c>
      <c r="R13" s="31" t="s">
        <v>13</v>
      </c>
      <c r="S13" s="31" t="s">
        <v>14</v>
      </c>
      <c r="T13" s="31" t="s">
        <v>15</v>
      </c>
      <c r="U13" s="31" t="s">
        <v>16</v>
      </c>
      <c r="V13" s="67"/>
      <c r="W13" s="3"/>
      <c r="X13" s="64">
        <v>1</v>
      </c>
      <c r="Y13" s="64">
        <v>2</v>
      </c>
      <c r="Z13" s="64">
        <v>5</v>
      </c>
      <c r="AA13" s="64"/>
      <c r="AB13" s="64">
        <v>1</v>
      </c>
      <c r="AC13" s="64">
        <v>2</v>
      </c>
      <c r="AD13" s="64">
        <v>5</v>
      </c>
      <c r="AE13" s="64"/>
      <c r="AF13" s="64">
        <v>1</v>
      </c>
      <c r="AG13" s="64">
        <v>2</v>
      </c>
      <c r="AH13" s="64">
        <v>5</v>
      </c>
      <c r="AI13" s="64"/>
      <c r="AJ13" s="64">
        <v>1</v>
      </c>
      <c r="AK13" s="64">
        <v>2</v>
      </c>
      <c r="AL13" s="64">
        <v>5</v>
      </c>
      <c r="AM13" s="64"/>
      <c r="AN13" s="64"/>
      <c r="AO13" s="64"/>
      <c r="AP13" s="31"/>
      <c r="AQ13" s="31"/>
    </row>
    <row r="14" ht="15.6" customHeight="1" spans="1:43" x14ac:dyDescent="0.25">
      <c r="A14" s="39"/>
      <c r="B14" s="40"/>
      <c r="C14" s="40"/>
      <c r="D14" s="41"/>
      <c r="E14" s="42"/>
      <c r="F14" s="40"/>
      <c r="G14" s="40"/>
      <c r="H14" s="41"/>
      <c r="I14" s="42"/>
      <c r="J14" s="40"/>
      <c r="K14" s="40"/>
      <c r="L14" s="41"/>
      <c r="M14" s="42"/>
      <c r="N14" s="40"/>
      <c r="O14" s="40"/>
      <c r="P14" s="41"/>
      <c r="Q14" s="42"/>
      <c r="R14" s="40"/>
      <c r="S14" s="40"/>
      <c r="T14" s="40"/>
      <c r="U14" s="40"/>
      <c r="V14" s="68"/>
      <c r="W14" s="3"/>
      <c r="X14" s="69"/>
      <c r="Y14" s="69"/>
      <c r="Z14" s="69"/>
      <c r="AA14" s="69"/>
      <c r="AB14" s="40"/>
      <c r="AC14" s="40"/>
      <c r="AD14" s="40"/>
      <c r="AE14" s="70"/>
      <c r="AF14" s="40"/>
      <c r="AG14" s="40"/>
      <c r="AH14" s="40"/>
      <c r="AI14" s="70"/>
      <c r="AJ14" s="40"/>
      <c r="AK14" s="71"/>
      <c r="AL14" s="40"/>
      <c r="AM14" s="70"/>
      <c r="AN14" s="40"/>
      <c r="AO14" s="40"/>
      <c r="AP14" s="40"/>
      <c r="AQ14" s="40"/>
    </row>
    <row r="15" ht="15.6" customHeight="1" spans="1:43" x14ac:dyDescent="0.25">
      <c r="A15" s="3"/>
      <c r="B15" s="35"/>
      <c r="C15" s="35"/>
      <c r="D15" s="72"/>
      <c r="E15" s="5"/>
      <c r="F15" s="35"/>
      <c r="G15" s="35"/>
      <c r="H15" s="72"/>
      <c r="I15" s="5"/>
      <c r="J15" s="35"/>
      <c r="K15" s="35"/>
      <c r="L15" s="72"/>
      <c r="M15" s="5"/>
      <c r="N15" s="35"/>
      <c r="O15" s="35"/>
      <c r="P15" s="72"/>
      <c r="Q15" s="5"/>
      <c r="R15" s="35"/>
      <c r="S15" s="35"/>
      <c r="T15" s="35"/>
      <c r="U15" s="35"/>
      <c r="V15" s="38"/>
      <c r="W15" s="73"/>
      <c r="X15" s="74" t="s">
        <v>77</v>
      </c>
      <c r="Y15" s="75"/>
      <c r="Z15" s="75"/>
      <c r="AA15" s="75"/>
      <c r="AB15" s="74" t="s">
        <v>77</v>
      </c>
      <c r="AC15" s="75"/>
      <c r="AD15" s="75"/>
      <c r="AE15" s="75"/>
      <c r="AF15" s="74"/>
      <c r="AG15" s="75"/>
      <c r="AH15" s="75"/>
      <c r="AI15" s="75"/>
      <c r="AJ15" s="74"/>
      <c r="AK15" s="75"/>
      <c r="AL15" s="75"/>
      <c r="AM15" s="75"/>
      <c r="AN15" s="74"/>
      <c r="AO15" s="75"/>
      <c r="AP15" s="75"/>
      <c r="AQ15" s="75"/>
    </row>
    <row r="16" ht="15.6" customHeight="1" spans="1:43" x14ac:dyDescent="0.25">
      <c r="A16" s="3"/>
      <c r="B16" s="76"/>
      <c r="C16" s="77"/>
      <c r="D16" s="78"/>
      <c r="E16" s="79"/>
      <c r="F16" s="76"/>
      <c r="G16" s="77"/>
      <c r="H16" s="78"/>
      <c r="I16" s="79"/>
      <c r="J16" s="76"/>
      <c r="K16" s="77"/>
      <c r="L16" s="78"/>
      <c r="M16" s="79"/>
      <c r="N16" s="76"/>
      <c r="O16" s="77"/>
      <c r="P16" s="78"/>
      <c r="Q16" s="79"/>
      <c r="R16" s="35"/>
      <c r="S16" s="35"/>
      <c r="T16" s="35"/>
      <c r="U16" s="35"/>
      <c r="V16" s="38"/>
      <c r="W16" s="73"/>
      <c r="X16" s="80" t="s">
        <v>78</v>
      </c>
      <c r="Y16" s="81"/>
      <c r="Z16" s="81"/>
      <c r="AA16" s="81"/>
      <c r="AB16" s="80" t="s">
        <v>78</v>
      </c>
      <c r="AC16" s="81"/>
      <c r="AD16" s="81"/>
      <c r="AE16" s="81"/>
      <c r="AF16" s="80"/>
      <c r="AG16" s="81"/>
      <c r="AH16" s="81"/>
      <c r="AI16" s="81"/>
      <c r="AJ16" s="80"/>
      <c r="AK16" s="81"/>
      <c r="AL16" s="81"/>
      <c r="AM16" s="81"/>
      <c r="AN16" s="80"/>
      <c r="AO16" s="81"/>
      <c r="AP16" s="81"/>
      <c r="AQ16" s="81"/>
    </row>
    <row r="17" ht="15.6" customHeight="1" spans="1:43" x14ac:dyDescent="0.25">
      <c r="A17" s="3"/>
      <c r="B17" s="50">
        <f>IF(D16&lt;1,"","пом.")</f>
      </c>
      <c r="C17" s="50"/>
      <c r="D17" s="52"/>
      <c r="E17" s="53"/>
      <c r="F17" s="50">
        <f>IF(H16&lt;1,"","пом.")</f>
      </c>
      <c r="G17" s="50"/>
      <c r="H17" s="52"/>
      <c r="I17" s="53"/>
      <c r="J17" s="50">
        <f>IF(L16&lt;1,"","пом.")</f>
      </c>
      <c r="K17" s="50"/>
      <c r="L17" s="52"/>
      <c r="M17" s="53"/>
      <c r="N17" s="50">
        <f>IF(P16&lt;1,"","пом.")</f>
      </c>
      <c r="O17" s="50"/>
      <c r="P17" s="52"/>
      <c r="Q17" s="53"/>
      <c r="R17" s="35"/>
      <c r="S17" s="35"/>
      <c r="T17" s="35"/>
      <c r="U17" s="35"/>
      <c r="V17" s="38"/>
      <c r="W17" s="73"/>
      <c r="X17" s="55"/>
      <c r="Y17" s="55"/>
      <c r="Z17" s="55"/>
      <c r="AA17" s="55"/>
      <c r="AB17" s="82"/>
      <c r="AC17" s="55"/>
      <c r="AD17" s="55"/>
      <c r="AE17" s="55"/>
      <c r="AF17" s="55"/>
      <c r="AG17" s="55"/>
      <c r="AH17" s="55"/>
      <c r="AI17" s="55"/>
      <c r="AJ17" s="55"/>
      <c r="AK17" s="83"/>
      <c r="AL17" s="55"/>
      <c r="AM17" s="55"/>
      <c r="AN17" s="55"/>
      <c r="AO17" s="55"/>
      <c r="AP17" s="55"/>
      <c r="AQ17" s="55"/>
    </row>
    <row r="18" ht="15.6" customHeight="1" spans="1:44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ht="15.6" customHeight="1" spans="1:44" x14ac:dyDescent="0.25">
      <c r="A19" s="3"/>
      <c r="B19" s="3"/>
      <c r="C19" s="3"/>
      <c r="D19" s="4"/>
      <c r="E19" s="5" t="s">
        <v>26</v>
      </c>
      <c r="F19" s="54" t="s">
        <v>27</v>
      </c>
      <c r="G19" s="54"/>
      <c r="H19" s="54"/>
      <c r="I19" s="54" t="s">
        <v>28</v>
      </c>
      <c r="J19" s="54"/>
      <c r="K19" s="3"/>
      <c r="L19" s="4"/>
      <c r="M19" s="4"/>
      <c r="N19" s="3"/>
      <c r="O19" s="35" t="s">
        <v>29</v>
      </c>
      <c r="P19" s="4" t="s">
        <v>30</v>
      </c>
      <c r="Q19" s="4"/>
      <c r="R19" s="3"/>
      <c r="S19" s="3" t="s">
        <v>31</v>
      </c>
      <c r="T19" s="3"/>
      <c r="U19" s="3"/>
      <c r="V19" s="3"/>
      <c r="W19" s="3"/>
      <c r="X19" s="84" t="s">
        <v>79</v>
      </c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6"/>
      <c r="AR19" s="3"/>
    </row>
    <row r="20" ht="15.6" customHeight="1" spans="1:44" x14ac:dyDescent="0.25">
      <c r="A20" s="3"/>
      <c r="B20" s="3"/>
      <c r="C20" s="3"/>
      <c r="D20" s="4"/>
      <c r="E20" s="5" t="s">
        <v>32</v>
      </c>
      <c r="F20" s="54" t="s">
        <v>33</v>
      </c>
      <c r="G20" s="54"/>
      <c r="H20" s="54"/>
      <c r="I20" s="4" t="s">
        <v>34</v>
      </c>
      <c r="J20" s="3"/>
      <c r="K20" s="3"/>
      <c r="L20" s="4"/>
      <c r="M20" s="4"/>
      <c r="N20" s="3"/>
      <c r="O20" s="35" t="s">
        <v>35</v>
      </c>
      <c r="P20" s="4" t="s">
        <v>30</v>
      </c>
      <c r="Q20" s="4"/>
      <c r="R20" s="3"/>
      <c r="S20" s="3" t="s">
        <v>36</v>
      </c>
      <c r="T20" s="3"/>
      <c r="U20" s="3"/>
      <c r="V20" s="3"/>
      <c r="W20" s="3"/>
      <c r="X20" s="87" t="s">
        <v>74</v>
      </c>
      <c r="Y20" s="88"/>
      <c r="Z20" s="88"/>
      <c r="AA20" s="89"/>
      <c r="AB20" s="87" t="s">
        <v>75</v>
      </c>
      <c r="AC20" s="88"/>
      <c r="AD20" s="88"/>
      <c r="AE20" s="89"/>
      <c r="AF20" s="87" t="s">
        <v>76</v>
      </c>
      <c r="AG20" s="88"/>
      <c r="AH20" s="88"/>
      <c r="AI20" s="89"/>
      <c r="AJ20" s="87" t="s">
        <v>81</v>
      </c>
      <c r="AK20" s="88"/>
      <c r="AL20" s="88"/>
      <c r="AM20" s="89"/>
      <c r="AN20" s="87"/>
      <c r="AO20" s="88"/>
      <c r="AP20" s="88"/>
      <c r="AQ20" s="89"/>
      <c r="AR20" s="3"/>
    </row>
    <row r="21" ht="15.6" customHeight="1" spans="1:44" x14ac:dyDescent="0.25">
      <c r="A21" s="55"/>
      <c r="B21" s="55"/>
      <c r="C21" s="55"/>
      <c r="D21" s="56"/>
      <c r="E21" s="57"/>
      <c r="F21" s="55"/>
      <c r="G21" s="55"/>
      <c r="H21" s="56"/>
      <c r="I21" s="56"/>
      <c r="J21" s="55"/>
      <c r="K21" s="55"/>
      <c r="L21" s="56"/>
      <c r="M21" s="56"/>
      <c r="N21" s="55"/>
      <c r="O21" s="55"/>
      <c r="P21" s="56"/>
      <c r="Q21" s="56"/>
      <c r="R21" s="55"/>
      <c r="S21" s="55"/>
      <c r="T21" s="55"/>
      <c r="U21" s="55"/>
      <c r="V21" s="55"/>
      <c r="W21" s="3"/>
      <c r="X21" s="90" t="s">
        <v>82</v>
      </c>
      <c r="Y21" s="91"/>
      <c r="Z21" s="91" t="s">
        <v>83</v>
      </c>
      <c r="AA21" s="92"/>
      <c r="AB21" s="90" t="s">
        <v>82</v>
      </c>
      <c r="AC21" s="91"/>
      <c r="AD21" s="91" t="s">
        <v>83</v>
      </c>
      <c r="AE21" s="92"/>
      <c r="AF21" s="90" t="s">
        <v>82</v>
      </c>
      <c r="AG21" s="91"/>
      <c r="AH21" s="91" t="s">
        <v>83</v>
      </c>
      <c r="AI21" s="92"/>
      <c r="AJ21" s="90" t="s">
        <v>82</v>
      </c>
      <c r="AK21" s="91"/>
      <c r="AL21" s="91" t="s">
        <v>83</v>
      </c>
      <c r="AM21" s="92"/>
      <c r="AN21" s="90"/>
      <c r="AO21" s="91"/>
      <c r="AP21" s="91"/>
      <c r="AQ21" s="92"/>
      <c r="AR21" s="3"/>
    </row>
    <row r="22" ht="15.6" customHeight="1" spans="1:44" x14ac:dyDescent="0.25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14" t="str">
        <f>N2</f>
        <v>1.1</v>
      </c>
      <c r="O22" s="14"/>
      <c r="P22" s="4"/>
      <c r="Q22" s="4"/>
      <c r="R22" s="3"/>
      <c r="S22" s="3"/>
      <c r="T22" s="3"/>
      <c r="U22" s="3"/>
      <c r="V22" s="3"/>
      <c r="W22" s="3"/>
      <c r="X22" s="93" t="s">
        <v>71</v>
      </c>
      <c r="Y22" s="64"/>
      <c r="Z22" s="91">
        <v>1</v>
      </c>
      <c r="AA22" s="92"/>
      <c r="AB22" s="94" t="s">
        <v>73</v>
      </c>
      <c r="AC22" s="66"/>
      <c r="AD22" s="91">
        <v>1</v>
      </c>
      <c r="AE22" s="92"/>
      <c r="AF22" s="90"/>
      <c r="AG22" s="91"/>
      <c r="AH22" s="91"/>
      <c r="AI22" s="92"/>
      <c r="AJ22" s="90"/>
      <c r="AK22" s="91"/>
      <c r="AL22" s="91"/>
      <c r="AM22" s="92"/>
      <c r="AN22" s="90"/>
      <c r="AO22" s="91"/>
      <c r="AP22" s="91"/>
      <c r="AQ22" s="92"/>
      <c r="AR22" s="3"/>
    </row>
    <row r="23" ht="15.6" customHeight="1" spans="1:44" x14ac:dyDescent="0.25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5"/>
      <c r="K23" s="15"/>
      <c r="L23" s="16"/>
      <c r="M23" s="9" t="s">
        <v>5</v>
      </c>
      <c r="N23" s="18" t="str">
        <f>N3</f>
        <v>1.1.3</v>
      </c>
      <c r="O23" s="18"/>
      <c r="P23" s="4"/>
      <c r="Q23" s="4"/>
      <c r="R23" s="3"/>
      <c r="S23" s="3"/>
      <c r="T23" s="3"/>
      <c r="U23" s="3"/>
      <c r="V23" s="3"/>
      <c r="W23" s="3"/>
      <c r="X23" s="95"/>
      <c r="Y23" s="96"/>
      <c r="Z23" s="96"/>
      <c r="AA23" s="97"/>
      <c r="AB23" s="98" t="s">
        <v>73</v>
      </c>
      <c r="AC23" s="99"/>
      <c r="AD23" s="96">
        <v>2</v>
      </c>
      <c r="AE23" s="97"/>
      <c r="AF23" s="95"/>
      <c r="AG23" s="96"/>
      <c r="AH23" s="96"/>
      <c r="AI23" s="97"/>
      <c r="AJ23" s="95"/>
      <c r="AK23" s="96"/>
      <c r="AL23" s="96"/>
      <c r="AM23" s="97"/>
      <c r="AN23" s="95"/>
      <c r="AO23" s="96"/>
      <c r="AP23" s="96"/>
      <c r="AQ23" s="97"/>
      <c r="AR23" s="3"/>
    </row>
    <row r="24" ht="15.6" customHeight="1" spans="1:44" x14ac:dyDescent="0.25">
      <c r="A24" s="3"/>
      <c r="B24" s="3"/>
      <c r="C24" s="3"/>
      <c r="D24" s="4"/>
      <c r="E24" s="4" t="s">
        <v>7</v>
      </c>
      <c r="F24" s="3"/>
      <c r="G24" s="3"/>
      <c r="H24" s="8"/>
      <c r="I24" s="8"/>
      <c r="J24" s="7"/>
      <c r="K24" s="7"/>
      <c r="L24" s="8"/>
      <c r="M24" s="19" t="s">
        <v>5</v>
      </c>
      <c r="N24" s="20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ht="15.6" customHeight="1" spans="1:44" x14ac:dyDescent="0.25">
      <c r="A25" s="3"/>
      <c r="B25" s="3"/>
      <c r="C25" s="3"/>
      <c r="D25" s="4"/>
      <c r="E25" s="4" t="s">
        <v>8</v>
      </c>
      <c r="F25" s="3"/>
      <c r="G25" s="3"/>
      <c r="H25" s="4"/>
      <c r="I25" s="4"/>
      <c r="J25" s="3"/>
      <c r="K25" s="3"/>
      <c r="L25" s="16"/>
      <c r="M25" s="19" t="s">
        <v>70</v>
      </c>
      <c r="N25" s="20" t="str">
        <f>IF(N5="-"&amp;N2&amp;".5",IF(N6=15,"-"&amp;N2&amp;".6","-"&amp;N2&amp;".5"),N5)</f>
        <v>-1.1.5</v>
      </c>
      <c r="O25" s="22"/>
      <c r="P25" s="4"/>
      <c r="Q25" s="4"/>
      <c r="R25" s="3"/>
      <c r="S25" s="3"/>
      <c r="T25" s="3"/>
      <c r="U25" s="3"/>
      <c r="V25" s="3"/>
      <c r="W25" s="55"/>
      <c r="X25" s="55"/>
      <c r="Y25" s="55"/>
      <c r="Z25" s="56"/>
      <c r="AA25" s="57"/>
      <c r="AB25" s="55"/>
      <c r="AC25" s="55"/>
      <c r="AD25" s="56"/>
      <c r="AE25" s="56"/>
      <c r="AF25" s="55"/>
      <c r="AG25" s="55"/>
      <c r="AH25" s="56"/>
      <c r="AI25" s="56"/>
      <c r="AJ25" s="55"/>
      <c r="AK25" s="55"/>
      <c r="AL25" s="56"/>
      <c r="AM25" s="56"/>
      <c r="AN25" s="55"/>
      <c r="AO25" s="55"/>
      <c r="AP25" s="55"/>
      <c r="AQ25" s="55"/>
      <c r="AR25" s="55"/>
    </row>
    <row r="26" ht="15.6" customHeight="1" spans="1:44" x14ac:dyDescent="0.25">
      <c r="A26" s="3"/>
      <c r="B26" s="3"/>
      <c r="C26" s="3"/>
      <c r="D26" s="4"/>
      <c r="E26" s="24" t="s">
        <v>10</v>
      </c>
      <c r="F26" s="3"/>
      <c r="G26" s="3"/>
      <c r="H26" s="4"/>
      <c r="I26" s="8"/>
      <c r="J26" s="7"/>
      <c r="K26" s="7"/>
      <c r="L26" s="8"/>
      <c r="M26" s="19" t="s">
        <v>5</v>
      </c>
      <c r="N26" s="20">
        <f>IF(N25="-"&amp;N2&amp;".5",N6+1,1)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ht="7.15" customHeight="1" spans="1:44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ht="15.6" customHeight="1" spans="1:44" x14ac:dyDescent="0.25">
      <c r="A28" s="27"/>
      <c r="B28" s="28"/>
      <c r="C28" s="28"/>
      <c r="D28" s="29"/>
      <c r="E28" s="29"/>
      <c r="F28" s="28"/>
      <c r="G28" s="28"/>
      <c r="H28" s="29"/>
      <c r="I28" s="29"/>
      <c r="J28" s="28"/>
      <c r="K28" s="28"/>
      <c r="L28" s="29"/>
      <c r="M28" s="29"/>
      <c r="N28" s="28"/>
      <c r="O28" s="28"/>
      <c r="P28" s="29"/>
      <c r="Q28" s="29"/>
      <c r="R28" s="28"/>
      <c r="S28" s="28"/>
      <c r="T28" s="28"/>
      <c r="U28" s="28"/>
      <c r="V28" s="59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ht="15.6" customHeight="1" spans="1:44" x14ac:dyDescent="0.25">
      <c r="A29" s="30"/>
      <c r="B29" s="31"/>
      <c r="C29" s="31"/>
      <c r="D29" s="32">
        <v>1</v>
      </c>
      <c r="E29" s="33"/>
      <c r="F29" s="31"/>
      <c r="G29" s="31"/>
      <c r="H29" s="32">
        <v>2</v>
      </c>
      <c r="I29" s="33"/>
      <c r="J29" s="31"/>
      <c r="K29" s="31"/>
      <c r="L29" s="32">
        <v>3</v>
      </c>
      <c r="M29" s="33"/>
      <c r="N29" s="31"/>
      <c r="O29" s="31"/>
      <c r="P29" s="32">
        <v>4</v>
      </c>
      <c r="Q29" s="33"/>
      <c r="R29" s="31"/>
      <c r="S29" s="31"/>
      <c r="T29" s="31"/>
      <c r="U29" s="31"/>
      <c r="V29" s="60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ht="15.6" customHeight="1" spans="1:44" x14ac:dyDescent="0.25">
      <c r="A30" s="30"/>
      <c r="B30" s="31" t="s">
        <v>11</v>
      </c>
      <c r="C30" s="31"/>
      <c r="D30" s="32" t="s">
        <v>12</v>
      </c>
      <c r="E30" s="33"/>
      <c r="F30" s="31" t="s">
        <v>11</v>
      </c>
      <c r="G30" s="31"/>
      <c r="H30" s="32" t="s">
        <v>12</v>
      </c>
      <c r="I30" s="33"/>
      <c r="J30" s="31" t="s">
        <v>11</v>
      </c>
      <c r="K30" s="31"/>
      <c r="L30" s="32" t="s">
        <v>12</v>
      </c>
      <c r="M30" s="33"/>
      <c r="N30" s="31" t="s">
        <v>11</v>
      </c>
      <c r="O30" s="31"/>
      <c r="P30" s="32" t="s">
        <v>12</v>
      </c>
      <c r="Q30" s="33"/>
      <c r="R30" s="31"/>
      <c r="S30" s="31"/>
      <c r="T30" s="31"/>
      <c r="U30" s="31"/>
      <c r="V30" s="65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ht="15.6" customHeight="1" spans="1:44" x14ac:dyDescent="0.25">
      <c r="A31" s="30"/>
      <c r="B31" s="35"/>
      <c r="C31" s="35"/>
      <c r="D31" s="5"/>
      <c r="E31" s="5"/>
      <c r="F31" s="35"/>
      <c r="G31" s="35"/>
      <c r="H31" s="5"/>
      <c r="I31" s="5"/>
      <c r="J31" s="35"/>
      <c r="K31" s="35"/>
      <c r="L31" s="5"/>
      <c r="M31" s="5"/>
      <c r="N31" s="35"/>
      <c r="O31" s="35"/>
      <c r="P31" s="5"/>
      <c r="Q31" s="5"/>
      <c r="R31" s="35"/>
      <c r="S31" s="35"/>
      <c r="T31" s="35"/>
      <c r="U31" s="35"/>
      <c r="V31" s="65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ht="15.6" customHeight="1" spans="1:44" x14ac:dyDescent="0.25">
      <c r="A32" s="30"/>
      <c r="B32" s="31">
        <v>0</v>
      </c>
      <c r="C32" s="31"/>
      <c r="D32" s="37">
        <v>1</v>
      </c>
      <c r="E32" s="37"/>
      <c r="F32" s="31">
        <v>2</v>
      </c>
      <c r="G32" s="31"/>
      <c r="H32" s="37">
        <v>3</v>
      </c>
      <c r="I32" s="37"/>
      <c r="J32" s="31">
        <v>4</v>
      </c>
      <c r="K32" s="31"/>
      <c r="L32" s="37">
        <v>5</v>
      </c>
      <c r="M32" s="37"/>
      <c r="N32" s="31">
        <v>6</v>
      </c>
      <c r="O32" s="31"/>
      <c r="P32" s="37">
        <v>7</v>
      </c>
      <c r="Q32" s="37"/>
      <c r="R32" s="31">
        <v>8</v>
      </c>
      <c r="S32" s="31"/>
      <c r="T32" s="31">
        <v>9</v>
      </c>
      <c r="U32" s="31"/>
      <c r="V32" s="67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ht="15.6" customHeight="1" spans="1:44" x14ac:dyDescent="0.25">
      <c r="A33" s="30"/>
      <c r="B33" s="31" t="s">
        <v>13</v>
      </c>
      <c r="C33" s="31" t="s">
        <v>14</v>
      </c>
      <c r="D33" s="37" t="s">
        <v>15</v>
      </c>
      <c r="E33" s="37" t="s">
        <v>16</v>
      </c>
      <c r="F33" s="31" t="s">
        <v>13</v>
      </c>
      <c r="G33" s="31" t="s">
        <v>14</v>
      </c>
      <c r="H33" s="37" t="s">
        <v>15</v>
      </c>
      <c r="I33" s="37" t="s">
        <v>16</v>
      </c>
      <c r="J33" s="31" t="s">
        <v>13</v>
      </c>
      <c r="K33" s="31" t="s">
        <v>14</v>
      </c>
      <c r="L33" s="37" t="s">
        <v>15</v>
      </c>
      <c r="M33" s="37" t="s">
        <v>16</v>
      </c>
      <c r="N33" s="31" t="s">
        <v>13</v>
      </c>
      <c r="O33" s="31" t="s">
        <v>14</v>
      </c>
      <c r="P33" s="37" t="s">
        <v>15</v>
      </c>
      <c r="Q33" s="37" t="s">
        <v>16</v>
      </c>
      <c r="R33" s="31" t="s">
        <v>13</v>
      </c>
      <c r="S33" s="31" t="s">
        <v>14</v>
      </c>
      <c r="T33" s="31" t="s">
        <v>15</v>
      </c>
      <c r="U33" s="31" t="s">
        <v>16</v>
      </c>
      <c r="V33" s="67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ht="15.6" customHeight="1" spans="1:44" x14ac:dyDescent="0.25">
      <c r="A34" s="39"/>
      <c r="B34" s="40"/>
      <c r="C34" s="40"/>
      <c r="D34" s="41"/>
      <c r="E34" s="42"/>
      <c r="F34" s="40"/>
      <c r="G34" s="40"/>
      <c r="H34" s="41"/>
      <c r="I34" s="42"/>
      <c r="J34" s="40"/>
      <c r="K34" s="40"/>
      <c r="L34" s="41"/>
      <c r="M34" s="42"/>
      <c r="N34" s="40"/>
      <c r="O34" s="40"/>
      <c r="P34" s="41"/>
      <c r="Q34" s="42"/>
      <c r="R34" s="40"/>
      <c r="S34" s="40"/>
      <c r="T34" s="40"/>
      <c r="U34" s="40"/>
      <c r="V34" s="68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ht="7.15" customHeight="1" spans="1:44" x14ac:dyDescent="0.25">
      <c r="A35" s="3"/>
      <c r="B35" s="35"/>
      <c r="C35" s="35"/>
      <c r="D35" s="72"/>
      <c r="E35" s="5"/>
      <c r="F35" s="35"/>
      <c r="G35" s="35"/>
      <c r="H35" s="72"/>
      <c r="I35" s="5"/>
      <c r="J35" s="35"/>
      <c r="K35" s="35"/>
      <c r="L35" s="72"/>
      <c r="M35" s="5"/>
      <c r="N35" s="35"/>
      <c r="O35" s="35"/>
      <c r="P35" s="72"/>
      <c r="Q35" s="5"/>
      <c r="R35" s="35"/>
      <c r="S35" s="35"/>
      <c r="T35" s="35"/>
      <c r="U35" s="35"/>
      <c r="V35" s="38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ht="15.6" customHeight="1" spans="1:44" x14ac:dyDescent="0.25">
      <c r="A36" s="3"/>
      <c r="B36" s="76"/>
      <c r="C36" s="77"/>
      <c r="D36" s="78"/>
      <c r="E36" s="79"/>
      <c r="F36" s="76"/>
      <c r="G36" s="77"/>
      <c r="H36" s="78"/>
      <c r="I36" s="79"/>
      <c r="J36" s="76"/>
      <c r="K36" s="77"/>
      <c r="L36" s="78"/>
      <c r="M36" s="79"/>
      <c r="N36" s="76"/>
      <c r="O36" s="77"/>
      <c r="P36" s="78"/>
      <c r="Q36" s="79"/>
      <c r="R36" s="35"/>
      <c r="S36" s="35"/>
      <c r="T36" s="35"/>
      <c r="U36" s="35"/>
      <c r="V36" s="38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ht="15.6" customHeight="1" spans="1:44" x14ac:dyDescent="0.25">
      <c r="A37" s="3"/>
      <c r="B37" s="50">
        <f>IF(D36&lt;1,"","пом.")</f>
      </c>
      <c r="C37" s="50"/>
      <c r="D37" s="52"/>
      <c r="E37" s="53"/>
      <c r="F37" s="50">
        <f>IF(H36&lt;1,"","пом.")</f>
      </c>
      <c r="G37" s="50"/>
      <c r="H37" s="52"/>
      <c r="I37" s="53"/>
      <c r="J37" s="50">
        <f>IF(L36&lt;1,"","пом.")</f>
      </c>
      <c r="K37" s="50"/>
      <c r="L37" s="52"/>
      <c r="M37" s="53"/>
      <c r="N37" s="50">
        <f>IF(P36&lt;1,"","пом.")</f>
      </c>
      <c r="O37" s="50"/>
      <c r="P37" s="52"/>
      <c r="Q37" s="53"/>
      <c r="R37" s="35"/>
      <c r="S37" s="35"/>
      <c r="T37" s="35"/>
      <c r="U37" s="35"/>
      <c r="V37" s="38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ht="4.9" customHeight="1" spans="1:44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ht="15.6" customHeight="1" spans="1:44" x14ac:dyDescent="0.25">
      <c r="A39" s="3"/>
      <c r="B39" s="3"/>
      <c r="C39" s="3"/>
      <c r="D39" s="4"/>
      <c r="E39" s="5" t="s">
        <v>26</v>
      </c>
      <c r="F39" s="54" t="s">
        <v>27</v>
      </c>
      <c r="G39" s="54"/>
      <c r="H39" s="54"/>
      <c r="I39" s="100" t="s">
        <v>28</v>
      </c>
      <c r="J39" s="100"/>
      <c r="K39" s="100"/>
      <c r="L39" s="4"/>
      <c r="M39" s="4"/>
      <c r="N39" s="3"/>
      <c r="O39" s="35" t="s">
        <v>29</v>
      </c>
      <c r="P39" s="54" t="s">
        <v>30</v>
      </c>
      <c r="Q39" s="54"/>
      <c r="R39" s="54"/>
      <c r="S39" s="3" t="s">
        <v>31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ht="15.6" customHeight="1" spans="1:44" x14ac:dyDescent="0.25">
      <c r="A40" s="3"/>
      <c r="B40" s="3"/>
      <c r="C40" s="3"/>
      <c r="D40" s="4"/>
      <c r="E40" s="5" t="s">
        <v>32</v>
      </c>
      <c r="F40" s="54" t="s">
        <v>33</v>
      </c>
      <c r="G40" s="54"/>
      <c r="H40" s="54"/>
      <c r="I40" s="100" t="s">
        <v>34</v>
      </c>
      <c r="J40" s="100"/>
      <c r="K40" s="100"/>
      <c r="L40" s="4"/>
      <c r="M40" s="4"/>
      <c r="N40" s="3"/>
      <c r="O40" s="35" t="s">
        <v>35</v>
      </c>
      <c r="P40" s="54" t="s">
        <v>30</v>
      </c>
      <c r="Q40" s="54"/>
      <c r="R40" s="54"/>
      <c r="S40" s="3" t="s">
        <v>36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ht="6.6" customHeight="1" spans="1:44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ht="15.6" customHeight="1" spans="1:44" x14ac:dyDescent="0.25">
      <c r="A42" s="55"/>
      <c r="B42" s="55"/>
      <c r="C42" s="55"/>
      <c r="D42" s="56"/>
      <c r="E42" s="57"/>
      <c r="F42" s="55"/>
      <c r="G42" s="55"/>
      <c r="H42" s="56"/>
      <c r="I42" s="56"/>
      <c r="J42" s="55"/>
      <c r="K42" s="55"/>
      <c r="L42" s="56"/>
      <c r="M42" s="56"/>
      <c r="N42" s="55"/>
      <c r="O42" s="55"/>
      <c r="P42" s="56"/>
      <c r="Q42" s="56"/>
      <c r="R42" s="55"/>
      <c r="S42" s="55"/>
      <c r="T42" s="55"/>
      <c r="U42" s="55"/>
      <c r="V42" s="55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ht="15.6" customHeight="1" spans="1:44" x14ac:dyDescent="0.25">
      <c r="A43" s="55"/>
      <c r="B43" s="55"/>
      <c r="C43" s="55"/>
      <c r="D43" s="56"/>
      <c r="E43" s="57"/>
      <c r="F43" s="55"/>
      <c r="G43" s="55"/>
      <c r="H43" s="56"/>
      <c r="I43" s="56"/>
      <c r="J43" s="55"/>
      <c r="K43" s="55"/>
      <c r="L43" s="56"/>
      <c r="M43" s="56"/>
      <c r="N43" s="55"/>
      <c r="O43" s="55"/>
      <c r="P43" s="56"/>
      <c r="Q43" s="56"/>
      <c r="R43" s="55"/>
      <c r="S43" s="55"/>
      <c r="T43" s="55"/>
      <c r="U43" s="55"/>
      <c r="V43" s="55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ht="15.6" customHeight="1" spans="1:44" x14ac:dyDescent="0.25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4" t="str">
        <f>N22</f>
        <v>1.1</v>
      </c>
      <c r="O44" s="14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ht="15.6" customHeight="1" spans="1:44" x14ac:dyDescent="0.25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5"/>
      <c r="K45" s="15"/>
      <c r="L45" s="16"/>
      <c r="M45" s="9" t="s">
        <v>5</v>
      </c>
      <c r="N45" s="18" t="str">
        <f>N44&amp;".3"</f>
        <v>1.1.3</v>
      </c>
      <c r="O45" s="18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ht="15.6" customHeight="1" spans="1:44" x14ac:dyDescent="0.25">
      <c r="A46" s="3"/>
      <c r="B46" s="3"/>
      <c r="C46" s="3"/>
      <c r="D46" s="4"/>
      <c r="E46" s="4" t="s">
        <v>7</v>
      </c>
      <c r="F46" s="3"/>
      <c r="G46" s="3"/>
      <c r="H46" s="8"/>
      <c r="I46" s="8"/>
      <c r="J46" s="7"/>
      <c r="K46" s="7"/>
      <c r="L46" s="8"/>
      <c r="M46" s="19" t="s">
        <v>5</v>
      </c>
      <c r="N46" s="20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ht="15.6" customHeight="1" spans="1:44" x14ac:dyDescent="0.25">
      <c r="A47" s="3"/>
      <c r="B47" s="3"/>
      <c r="C47" s="3"/>
      <c r="D47" s="4"/>
      <c r="E47" s="4" t="s">
        <v>8</v>
      </c>
      <c r="F47" s="3"/>
      <c r="G47" s="3"/>
      <c r="H47" s="4"/>
      <c r="I47" s="4"/>
      <c r="J47" s="3"/>
      <c r="K47" s="3"/>
      <c r="L47" s="16"/>
      <c r="M47" s="19" t="s">
        <v>70</v>
      </c>
      <c r="N47" s="20" t="str">
        <f>IF(N25="-"&amp;N2&amp;".5",IF(N26=15,"-"&amp;N2&amp;".6","-"&amp;N2&amp;".5"),N25)</f>
        <v>-1.1.5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ht="15.6" customHeight="1" spans="1:44" x14ac:dyDescent="0.25">
      <c r="A48" s="3"/>
      <c r="B48" s="3"/>
      <c r="C48" s="3"/>
      <c r="D48" s="4"/>
      <c r="E48" s="24" t="s">
        <v>10</v>
      </c>
      <c r="F48" s="3"/>
      <c r="G48" s="3"/>
      <c r="H48" s="4"/>
      <c r="I48" s="8"/>
      <c r="J48" s="7"/>
      <c r="K48" s="7"/>
      <c r="L48" s="8"/>
      <c r="M48" s="19" t="s">
        <v>5</v>
      </c>
      <c r="N48" s="20">
        <f>IF(N47="-"&amp;N2&amp;".5",N26+1,IF(N25="-"&amp;N2&amp;".5",1,N26+1))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ht="15.6" customHeight="1" spans="1:44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ht="15.6" customHeight="1" spans="1:44" x14ac:dyDescent="0.25">
      <c r="A50" s="27"/>
      <c r="B50" s="28"/>
      <c r="C50" s="28"/>
      <c r="D50" s="29"/>
      <c r="E50" s="29"/>
      <c r="F50" s="28"/>
      <c r="G50" s="28"/>
      <c r="H50" s="29"/>
      <c r="I50" s="29"/>
      <c r="J50" s="28"/>
      <c r="K50" s="28"/>
      <c r="L50" s="29"/>
      <c r="M50" s="29"/>
      <c r="N50" s="28"/>
      <c r="O50" s="28"/>
      <c r="P50" s="29"/>
      <c r="Q50" s="29"/>
      <c r="R50" s="28"/>
      <c r="S50" s="28"/>
      <c r="T50" s="28"/>
      <c r="U50" s="28"/>
      <c r="V50" s="59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ht="15.6" customHeight="1" spans="1:44" x14ac:dyDescent="0.25">
      <c r="A51" s="30"/>
      <c r="B51" s="31"/>
      <c r="C51" s="31"/>
      <c r="D51" s="32">
        <v>1</v>
      </c>
      <c r="E51" s="33"/>
      <c r="F51" s="31"/>
      <c r="G51" s="31"/>
      <c r="H51" s="32">
        <v>2</v>
      </c>
      <c r="I51" s="33"/>
      <c r="J51" s="31"/>
      <c r="K51" s="31"/>
      <c r="L51" s="32">
        <v>3</v>
      </c>
      <c r="M51" s="33"/>
      <c r="N51" s="31"/>
      <c r="O51" s="31"/>
      <c r="P51" s="32">
        <v>4</v>
      </c>
      <c r="Q51" s="33"/>
      <c r="R51" s="31"/>
      <c r="S51" s="31"/>
      <c r="T51" s="31"/>
      <c r="U51" s="31"/>
      <c r="V51" s="60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ht="15.6" customHeight="1" spans="1:44" x14ac:dyDescent="0.25">
      <c r="A52" s="30"/>
      <c r="B52" s="31" t="s">
        <v>11</v>
      </c>
      <c r="C52" s="31"/>
      <c r="D52" s="32" t="s">
        <v>12</v>
      </c>
      <c r="E52" s="33"/>
      <c r="F52" s="31" t="s">
        <v>11</v>
      </c>
      <c r="G52" s="31"/>
      <c r="H52" s="32" t="s">
        <v>12</v>
      </c>
      <c r="I52" s="33"/>
      <c r="J52" s="31" t="s">
        <v>11</v>
      </c>
      <c r="K52" s="31"/>
      <c r="L52" s="32" t="s">
        <v>12</v>
      </c>
      <c r="M52" s="33"/>
      <c r="N52" s="31" t="s">
        <v>11</v>
      </c>
      <c r="O52" s="31"/>
      <c r="P52" s="32" t="s">
        <v>12</v>
      </c>
      <c r="Q52" s="33"/>
      <c r="R52" s="31"/>
      <c r="S52" s="31"/>
      <c r="T52" s="31"/>
      <c r="U52" s="31"/>
      <c r="V52" s="65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ht="15.6" customHeight="1" spans="1:44" x14ac:dyDescent="0.25">
      <c r="A53" s="30"/>
      <c r="B53" s="35"/>
      <c r="C53" s="35"/>
      <c r="D53" s="5"/>
      <c r="E53" s="5"/>
      <c r="F53" s="35"/>
      <c r="G53" s="35"/>
      <c r="H53" s="5"/>
      <c r="I53" s="5"/>
      <c r="J53" s="35"/>
      <c r="K53" s="35"/>
      <c r="L53" s="5"/>
      <c r="M53" s="5"/>
      <c r="N53" s="35"/>
      <c r="O53" s="35"/>
      <c r="P53" s="5"/>
      <c r="Q53" s="5"/>
      <c r="R53" s="35"/>
      <c r="S53" s="35"/>
      <c r="T53" s="35"/>
      <c r="U53" s="35"/>
      <c r="V53" s="65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ht="15.6" customHeight="1" spans="1:44" x14ac:dyDescent="0.25">
      <c r="A54" s="30"/>
      <c r="B54" s="31">
        <v>0</v>
      </c>
      <c r="C54" s="31"/>
      <c r="D54" s="37">
        <v>1</v>
      </c>
      <c r="E54" s="37"/>
      <c r="F54" s="31">
        <v>2</v>
      </c>
      <c r="G54" s="31"/>
      <c r="H54" s="37">
        <v>3</v>
      </c>
      <c r="I54" s="37"/>
      <c r="J54" s="31">
        <v>4</v>
      </c>
      <c r="K54" s="31"/>
      <c r="L54" s="37">
        <v>5</v>
      </c>
      <c r="M54" s="37"/>
      <c r="N54" s="31">
        <v>6</v>
      </c>
      <c r="O54" s="31"/>
      <c r="P54" s="37">
        <v>7</v>
      </c>
      <c r="Q54" s="37"/>
      <c r="R54" s="31">
        <v>8</v>
      </c>
      <c r="S54" s="31"/>
      <c r="T54" s="31">
        <v>9</v>
      </c>
      <c r="U54" s="31"/>
      <c r="V54" s="67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ht="15.6" customHeight="1" spans="1:44" x14ac:dyDescent="0.25">
      <c r="A55" s="30"/>
      <c r="B55" s="31" t="s">
        <v>13</v>
      </c>
      <c r="C55" s="31" t="s">
        <v>14</v>
      </c>
      <c r="D55" s="37" t="s">
        <v>15</v>
      </c>
      <c r="E55" s="37" t="s">
        <v>16</v>
      </c>
      <c r="F55" s="31" t="s">
        <v>13</v>
      </c>
      <c r="G55" s="31" t="s">
        <v>14</v>
      </c>
      <c r="H55" s="37" t="s">
        <v>15</v>
      </c>
      <c r="I55" s="37" t="s">
        <v>16</v>
      </c>
      <c r="J55" s="31" t="s">
        <v>13</v>
      </c>
      <c r="K55" s="31" t="s">
        <v>14</v>
      </c>
      <c r="L55" s="37" t="s">
        <v>15</v>
      </c>
      <c r="M55" s="37" t="s">
        <v>16</v>
      </c>
      <c r="N55" s="31" t="s">
        <v>13</v>
      </c>
      <c r="O55" s="31" t="s">
        <v>14</v>
      </c>
      <c r="P55" s="37" t="s">
        <v>15</v>
      </c>
      <c r="Q55" s="37" t="s">
        <v>16</v>
      </c>
      <c r="R55" s="31" t="s">
        <v>13</v>
      </c>
      <c r="S55" s="31" t="s">
        <v>14</v>
      </c>
      <c r="T55" s="31" t="s">
        <v>15</v>
      </c>
      <c r="U55" s="31" t="s">
        <v>16</v>
      </c>
      <c r="V55" s="67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ht="15.6" customHeight="1" spans="1:44" x14ac:dyDescent="0.25">
      <c r="A56" s="39"/>
      <c r="B56" s="40"/>
      <c r="C56" s="40"/>
      <c r="D56" s="41"/>
      <c r="E56" s="42"/>
      <c r="F56" s="40"/>
      <c r="G56" s="40"/>
      <c r="H56" s="41"/>
      <c r="I56" s="42"/>
      <c r="J56" s="40"/>
      <c r="K56" s="40"/>
      <c r="L56" s="41"/>
      <c r="M56" s="42"/>
      <c r="N56" s="40"/>
      <c r="O56" s="40"/>
      <c r="P56" s="41"/>
      <c r="Q56" s="42"/>
      <c r="R56" s="40"/>
      <c r="S56" s="40"/>
      <c r="T56" s="40"/>
      <c r="U56" s="40"/>
      <c r="V56" s="68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ht="15.6" customHeight="1" spans="1:44" x14ac:dyDescent="0.25">
      <c r="A57" s="3"/>
      <c r="B57" s="35"/>
      <c r="C57" s="35"/>
      <c r="D57" s="72"/>
      <c r="E57" s="5"/>
      <c r="F57" s="35"/>
      <c r="G57" s="35"/>
      <c r="H57" s="72"/>
      <c r="I57" s="5"/>
      <c r="J57" s="35"/>
      <c r="K57" s="35"/>
      <c r="L57" s="72"/>
      <c r="M57" s="5"/>
      <c r="N57" s="35"/>
      <c r="O57" s="35"/>
      <c r="P57" s="72"/>
      <c r="Q57" s="5"/>
      <c r="R57" s="35"/>
      <c r="S57" s="35"/>
      <c r="T57" s="35"/>
      <c r="U57" s="35"/>
      <c r="V57" s="38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ht="15.6" customHeight="1" spans="1:44" x14ac:dyDescent="0.25">
      <c r="A58" s="3"/>
      <c r="B58" s="76"/>
      <c r="C58" s="77"/>
      <c r="D58" s="78"/>
      <c r="E58" s="79"/>
      <c r="F58" s="76"/>
      <c r="G58" s="77"/>
      <c r="H58" s="78"/>
      <c r="I58" s="79"/>
      <c r="J58" s="76"/>
      <c r="K58" s="77"/>
      <c r="L58" s="78"/>
      <c r="M58" s="79"/>
      <c r="N58" s="76"/>
      <c r="O58" s="77"/>
      <c r="P58" s="78"/>
      <c r="Q58" s="79"/>
      <c r="R58" s="35"/>
      <c r="S58" s="35"/>
      <c r="T58" s="35"/>
      <c r="U58" s="35"/>
      <c r="V58" s="38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ht="15.6" customHeight="1" spans="1:44" x14ac:dyDescent="0.25">
      <c r="A59" s="3"/>
      <c r="B59" s="50">
        <f>IF(D58&lt;1,"","пом.")</f>
      </c>
      <c r="C59" s="50"/>
      <c r="D59" s="52"/>
      <c r="E59" s="53"/>
      <c r="F59" s="50">
        <f>IF(H58&lt;1,"","пом.")</f>
      </c>
      <c r="G59" s="50"/>
      <c r="H59" s="52"/>
      <c r="I59" s="53"/>
      <c r="J59" s="50">
        <f>IF(L58&lt;1,"","пом.")</f>
      </c>
      <c r="K59" s="50"/>
      <c r="L59" s="52"/>
      <c r="M59" s="53"/>
      <c r="N59" s="50">
        <f>IF(P58&lt;1,"","пом.")</f>
      </c>
      <c r="O59" s="50"/>
      <c r="P59" s="52"/>
      <c r="Q59" s="53"/>
      <c r="R59" s="35"/>
      <c r="S59" s="35"/>
      <c r="T59" s="35"/>
      <c r="U59" s="35"/>
      <c r="V59" s="38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ht="15.6" customHeight="1" spans="1:44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ht="15.6" customHeight="1" spans="1:44" x14ac:dyDescent="0.25">
      <c r="A61" s="3"/>
      <c r="B61" s="3"/>
      <c r="C61" s="3"/>
      <c r="D61" s="4"/>
      <c r="E61" s="5" t="s">
        <v>26</v>
      </c>
      <c r="F61" s="54" t="s">
        <v>27</v>
      </c>
      <c r="G61" s="54"/>
      <c r="H61" s="54"/>
      <c r="I61" s="100" t="s">
        <v>28</v>
      </c>
      <c r="J61" s="100"/>
      <c r="K61" s="100"/>
      <c r="L61" s="4"/>
      <c r="M61" s="4"/>
      <c r="N61" s="3"/>
      <c r="O61" s="35" t="s">
        <v>29</v>
      </c>
      <c r="P61" s="54" t="s">
        <v>30</v>
      </c>
      <c r="Q61" s="54"/>
      <c r="R61" s="54"/>
      <c r="S61" s="3" t="s">
        <v>31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ht="15.6" customHeight="1" spans="1:44" x14ac:dyDescent="0.25">
      <c r="A62" s="3"/>
      <c r="B62" s="3"/>
      <c r="C62" s="3"/>
      <c r="D62" s="4"/>
      <c r="E62" s="5" t="s">
        <v>32</v>
      </c>
      <c r="F62" s="54" t="s">
        <v>33</v>
      </c>
      <c r="G62" s="54"/>
      <c r="H62" s="54"/>
      <c r="I62" s="100" t="s">
        <v>34</v>
      </c>
      <c r="J62" s="100"/>
      <c r="K62" s="100"/>
      <c r="L62" s="4"/>
      <c r="M62" s="4"/>
      <c r="N62" s="3"/>
      <c r="O62" s="35" t="s">
        <v>35</v>
      </c>
      <c r="P62" s="54" t="s">
        <v>30</v>
      </c>
      <c r="Q62" s="54"/>
      <c r="R62" s="54"/>
      <c r="S62" s="3" t="s">
        <v>36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ht="15.6" customHeight="1" spans="1:44" x14ac:dyDescent="0.25">
      <c r="A63" s="55"/>
      <c r="B63" s="55"/>
      <c r="C63" s="55"/>
      <c r="D63" s="56"/>
      <c r="E63" s="57"/>
      <c r="F63" s="55"/>
      <c r="G63" s="55"/>
      <c r="H63" s="56"/>
      <c r="I63" s="56"/>
      <c r="J63" s="55"/>
      <c r="K63" s="55"/>
      <c r="L63" s="56"/>
      <c r="M63" s="56"/>
      <c r="N63" s="55"/>
      <c r="O63" s="55"/>
      <c r="P63" s="56"/>
      <c r="Q63" s="56"/>
      <c r="R63" s="55"/>
      <c r="S63" s="55"/>
      <c r="T63" s="55"/>
      <c r="U63" s="55"/>
      <c r="V63" s="55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ht="15.6" customHeight="1" spans="1:44" x14ac:dyDescent="0.25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4" t="str">
        <f>N44</f>
        <v>1.1</v>
      </c>
      <c r="O64" s="14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ht="15.6" customHeight="1" spans="1:44" x14ac:dyDescent="0.25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5"/>
      <c r="K65" s="15"/>
      <c r="L65" s="16"/>
      <c r="M65" s="9" t="s">
        <v>5</v>
      </c>
      <c r="N65" s="18" t="str">
        <f>N45</f>
        <v>1.1.3</v>
      </c>
      <c r="O65" s="18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ht="15.6" customHeight="1" spans="1:44" x14ac:dyDescent="0.25">
      <c r="A66" s="3"/>
      <c r="B66" s="3"/>
      <c r="C66" s="3"/>
      <c r="D66" s="4"/>
      <c r="E66" s="4" t="s">
        <v>7</v>
      </c>
      <c r="F66" s="3"/>
      <c r="G66" s="3"/>
      <c r="H66" s="8"/>
      <c r="I66" s="8"/>
      <c r="J66" s="7"/>
      <c r="K66" s="7"/>
      <c r="L66" s="8"/>
      <c r="M66" s="19" t="s">
        <v>5</v>
      </c>
      <c r="N66" s="20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ht="15.6" customHeight="1" spans="1:44" x14ac:dyDescent="0.25">
      <c r="A67" s="3"/>
      <c r="B67" s="3"/>
      <c r="C67" s="3"/>
      <c r="D67" s="4"/>
      <c r="E67" s="4" t="s">
        <v>8</v>
      </c>
      <c r="F67" s="3"/>
      <c r="G67" s="3"/>
      <c r="H67" s="4"/>
      <c r="I67" s="4"/>
      <c r="J67" s="3"/>
      <c r="K67" s="3"/>
      <c r="L67" s="16"/>
      <c r="M67" s="19" t="s">
        <v>70</v>
      </c>
      <c r="N67" s="20" t="str">
        <f>IF(N47="-"&amp;N44&amp;".5",IF(N48=15,"-"&amp;N44&amp;".6","-"&amp;N44&amp;".5"),N47)</f>
        <v>-1.1.5</v>
      </c>
      <c r="O67" s="22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ht="15.6" customHeight="1" spans="1:44" x14ac:dyDescent="0.25">
      <c r="A68" s="3"/>
      <c r="B68" s="3"/>
      <c r="C68" s="3"/>
      <c r="D68" s="4"/>
      <c r="E68" s="24" t="s">
        <v>10</v>
      </c>
      <c r="F68" s="3"/>
      <c r="G68" s="3"/>
      <c r="H68" s="4"/>
      <c r="I68" s="8"/>
      <c r="J68" s="7"/>
      <c r="K68" s="7"/>
      <c r="L68" s="8"/>
      <c r="M68" s="19" t="s">
        <v>5</v>
      </c>
      <c r="N68" s="20">
        <f>IF(N67="-"&amp;N2&amp;".5",N48+1,IF(N47="-"&amp;N2&amp;".5",1,N48+1))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ht="6.6" customHeight="1" spans="1:44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ht="15.6" customHeight="1" spans="1:44" x14ac:dyDescent="0.25">
      <c r="A70" s="27"/>
      <c r="B70" s="28"/>
      <c r="C70" s="28"/>
      <c r="D70" s="29"/>
      <c r="E70" s="29"/>
      <c r="F70" s="28"/>
      <c r="G70" s="28"/>
      <c r="H70" s="29"/>
      <c r="I70" s="29"/>
      <c r="J70" s="28"/>
      <c r="K70" s="28"/>
      <c r="L70" s="29"/>
      <c r="M70" s="29"/>
      <c r="N70" s="28"/>
      <c r="O70" s="28"/>
      <c r="P70" s="29"/>
      <c r="Q70" s="29"/>
      <c r="R70" s="28"/>
      <c r="S70" s="28"/>
      <c r="T70" s="28"/>
      <c r="U70" s="28"/>
      <c r="V70" s="59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ht="15.6" customHeight="1" spans="1:44" x14ac:dyDescent="0.25">
      <c r="A71" s="30"/>
      <c r="B71" s="31"/>
      <c r="C71" s="31"/>
      <c r="D71" s="32">
        <v>1</v>
      </c>
      <c r="E71" s="33"/>
      <c r="F71" s="31"/>
      <c r="G71" s="31"/>
      <c r="H71" s="32">
        <v>2</v>
      </c>
      <c r="I71" s="33"/>
      <c r="J71" s="31"/>
      <c r="K71" s="31"/>
      <c r="L71" s="32">
        <v>3</v>
      </c>
      <c r="M71" s="33"/>
      <c r="N71" s="31"/>
      <c r="O71" s="31"/>
      <c r="P71" s="32">
        <v>4</v>
      </c>
      <c r="Q71" s="33"/>
      <c r="R71" s="31"/>
      <c r="S71" s="31"/>
      <c r="T71" s="31"/>
      <c r="U71" s="31"/>
      <c r="V71" s="60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ht="15.6" customHeight="1" spans="1:44" x14ac:dyDescent="0.25">
      <c r="A72" s="30"/>
      <c r="B72" s="31" t="s">
        <v>11</v>
      </c>
      <c r="C72" s="31"/>
      <c r="D72" s="32" t="s">
        <v>12</v>
      </c>
      <c r="E72" s="33"/>
      <c r="F72" s="31" t="s">
        <v>11</v>
      </c>
      <c r="G72" s="31"/>
      <c r="H72" s="32" t="s">
        <v>12</v>
      </c>
      <c r="I72" s="33"/>
      <c r="J72" s="31" t="s">
        <v>11</v>
      </c>
      <c r="K72" s="31"/>
      <c r="L72" s="32" t="s">
        <v>12</v>
      </c>
      <c r="M72" s="33"/>
      <c r="N72" s="31" t="s">
        <v>11</v>
      </c>
      <c r="O72" s="31"/>
      <c r="P72" s="32" t="s">
        <v>12</v>
      </c>
      <c r="Q72" s="33"/>
      <c r="R72" s="31"/>
      <c r="S72" s="31"/>
      <c r="T72" s="31"/>
      <c r="U72" s="31"/>
      <c r="V72" s="65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ht="15.6" customHeight="1" spans="1:44" x14ac:dyDescent="0.25">
      <c r="A73" s="30"/>
      <c r="B73" s="35"/>
      <c r="C73" s="35"/>
      <c r="D73" s="5"/>
      <c r="E73" s="5"/>
      <c r="F73" s="35"/>
      <c r="G73" s="35"/>
      <c r="H73" s="5"/>
      <c r="I73" s="5"/>
      <c r="J73" s="35"/>
      <c r="K73" s="35"/>
      <c r="L73" s="5"/>
      <c r="M73" s="5"/>
      <c r="N73" s="35"/>
      <c r="O73" s="35"/>
      <c r="P73" s="5"/>
      <c r="Q73" s="5"/>
      <c r="R73" s="35"/>
      <c r="S73" s="35"/>
      <c r="T73" s="35"/>
      <c r="U73" s="35"/>
      <c r="V73" s="65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ht="15.6" customHeight="1" spans="1:44" x14ac:dyDescent="0.25">
      <c r="A74" s="30"/>
      <c r="B74" s="31">
        <v>0</v>
      </c>
      <c r="C74" s="31"/>
      <c r="D74" s="37">
        <v>1</v>
      </c>
      <c r="E74" s="37"/>
      <c r="F74" s="31">
        <v>2</v>
      </c>
      <c r="G74" s="31"/>
      <c r="H74" s="37">
        <v>3</v>
      </c>
      <c r="I74" s="37"/>
      <c r="J74" s="31">
        <v>4</v>
      </c>
      <c r="K74" s="31"/>
      <c r="L74" s="37">
        <v>5</v>
      </c>
      <c r="M74" s="37"/>
      <c r="N74" s="31">
        <v>6</v>
      </c>
      <c r="O74" s="31"/>
      <c r="P74" s="37">
        <v>7</v>
      </c>
      <c r="Q74" s="37"/>
      <c r="R74" s="31">
        <v>8</v>
      </c>
      <c r="S74" s="31"/>
      <c r="T74" s="31">
        <v>9</v>
      </c>
      <c r="U74" s="31"/>
      <c r="V74" s="67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ht="15.6" customHeight="1" spans="1:44" x14ac:dyDescent="0.25">
      <c r="A75" s="30"/>
      <c r="B75" s="31" t="s">
        <v>13</v>
      </c>
      <c r="C75" s="31" t="s">
        <v>14</v>
      </c>
      <c r="D75" s="37" t="s">
        <v>15</v>
      </c>
      <c r="E75" s="37" t="s">
        <v>16</v>
      </c>
      <c r="F75" s="31" t="s">
        <v>13</v>
      </c>
      <c r="G75" s="31" t="s">
        <v>14</v>
      </c>
      <c r="H75" s="37" t="s">
        <v>15</v>
      </c>
      <c r="I75" s="37" t="s">
        <v>16</v>
      </c>
      <c r="J75" s="31" t="s">
        <v>13</v>
      </c>
      <c r="K75" s="31" t="s">
        <v>14</v>
      </c>
      <c r="L75" s="37" t="s">
        <v>15</v>
      </c>
      <c r="M75" s="37" t="s">
        <v>16</v>
      </c>
      <c r="N75" s="31" t="s">
        <v>13</v>
      </c>
      <c r="O75" s="31" t="s">
        <v>14</v>
      </c>
      <c r="P75" s="37" t="s">
        <v>15</v>
      </c>
      <c r="Q75" s="37" t="s">
        <v>16</v>
      </c>
      <c r="R75" s="31" t="s">
        <v>13</v>
      </c>
      <c r="S75" s="31" t="s">
        <v>14</v>
      </c>
      <c r="T75" s="31" t="s">
        <v>15</v>
      </c>
      <c r="U75" s="31" t="s">
        <v>16</v>
      </c>
      <c r="V75" s="67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ht="15.6" customHeight="1" spans="1:44" x14ac:dyDescent="0.25">
      <c r="A76" s="39"/>
      <c r="B76" s="40"/>
      <c r="C76" s="40"/>
      <c r="D76" s="41"/>
      <c r="E76" s="42"/>
      <c r="F76" s="40"/>
      <c r="G76" s="40"/>
      <c r="H76" s="41"/>
      <c r="I76" s="42"/>
      <c r="J76" s="40"/>
      <c r="K76" s="40"/>
      <c r="L76" s="41"/>
      <c r="M76" s="42"/>
      <c r="N76" s="40"/>
      <c r="O76" s="40"/>
      <c r="P76" s="41"/>
      <c r="Q76" s="42"/>
      <c r="R76" s="40"/>
      <c r="S76" s="40"/>
      <c r="T76" s="40"/>
      <c r="U76" s="40"/>
      <c r="V76" s="68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ht="6.6" customHeight="1" spans="1:44" x14ac:dyDescent="0.25">
      <c r="A77" s="3"/>
      <c r="B77" s="35"/>
      <c r="C77" s="35"/>
      <c r="D77" s="72"/>
      <c r="E77" s="5"/>
      <c r="F77" s="35"/>
      <c r="G77" s="35"/>
      <c r="H77" s="72"/>
      <c r="I77" s="5"/>
      <c r="J77" s="35"/>
      <c r="K77" s="35"/>
      <c r="L77" s="72"/>
      <c r="M77" s="5"/>
      <c r="N77" s="35"/>
      <c r="O77" s="35"/>
      <c r="P77" s="72"/>
      <c r="Q77" s="5"/>
      <c r="R77" s="35"/>
      <c r="S77" s="35"/>
      <c r="T77" s="35"/>
      <c r="U77" s="35"/>
      <c r="V77" s="38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ht="15.6" customHeight="1" spans="1:44" x14ac:dyDescent="0.25">
      <c r="A78" s="3"/>
      <c r="B78" s="76"/>
      <c r="C78" s="77"/>
      <c r="D78" s="78"/>
      <c r="E78" s="79"/>
      <c r="F78" s="76"/>
      <c r="G78" s="77"/>
      <c r="H78" s="78"/>
      <c r="I78" s="79"/>
      <c r="J78" s="76"/>
      <c r="K78" s="77"/>
      <c r="L78" s="78"/>
      <c r="M78" s="79"/>
      <c r="N78" s="76"/>
      <c r="O78" s="77"/>
      <c r="P78" s="78"/>
      <c r="Q78" s="79"/>
      <c r="R78" s="35"/>
      <c r="S78" s="35"/>
      <c r="T78" s="35"/>
      <c r="U78" s="35"/>
      <c r="V78" s="38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ht="15.6" customHeight="1" spans="1:44" x14ac:dyDescent="0.25">
      <c r="A79" s="3"/>
      <c r="B79" s="50">
        <f>IF(D78&lt;1,"","пом.")</f>
      </c>
      <c r="C79" s="50"/>
      <c r="D79" s="52"/>
      <c r="E79" s="53"/>
      <c r="F79" s="50">
        <f>IF(H78&lt;1,"","пом.")</f>
      </c>
      <c r="G79" s="50"/>
      <c r="H79" s="52"/>
      <c r="I79" s="53"/>
      <c r="J79" s="50">
        <f>IF(L78&lt;1,"","пом.")</f>
      </c>
      <c r="K79" s="50"/>
      <c r="L79" s="52"/>
      <c r="M79" s="53"/>
      <c r="N79" s="50">
        <f>IF(P78&lt;1,"","пом.")</f>
      </c>
      <c r="O79" s="50"/>
      <c r="P79" s="52"/>
      <c r="Q79" s="53"/>
      <c r="R79" s="35"/>
      <c r="S79" s="35"/>
      <c r="T79" s="35"/>
      <c r="U79" s="35"/>
      <c r="V79" s="38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ht="7.15" customHeight="1" spans="1:44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ht="15.6" customHeight="1" spans="1:44" x14ac:dyDescent="0.25">
      <c r="A81" s="3"/>
      <c r="B81" s="3"/>
      <c r="C81" s="3"/>
      <c r="D81" s="4"/>
      <c r="E81" s="5" t="s">
        <v>26</v>
      </c>
      <c r="F81" s="54" t="s">
        <v>27</v>
      </c>
      <c r="G81" s="54"/>
      <c r="H81" s="54"/>
      <c r="I81" s="100" t="s">
        <v>28</v>
      </c>
      <c r="J81" s="100"/>
      <c r="K81" s="100"/>
      <c r="L81" s="4"/>
      <c r="M81" s="4"/>
      <c r="N81" s="3"/>
      <c r="O81" s="35" t="s">
        <v>29</v>
      </c>
      <c r="P81" s="54" t="s">
        <v>30</v>
      </c>
      <c r="Q81" s="54"/>
      <c r="R81" s="54"/>
      <c r="S81" s="100" t="s">
        <v>31</v>
      </c>
      <c r="T81" s="100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ht="15.6" customHeight="1" spans="1:44" x14ac:dyDescent="0.25">
      <c r="A82" s="3"/>
      <c r="B82" s="3"/>
      <c r="C82" s="3"/>
      <c r="D82" s="4"/>
      <c r="E82" s="5" t="s">
        <v>32</v>
      </c>
      <c r="F82" s="54" t="s">
        <v>33</v>
      </c>
      <c r="G82" s="54"/>
      <c r="H82" s="54"/>
      <c r="I82" s="100" t="s">
        <v>34</v>
      </c>
      <c r="J82" s="100"/>
      <c r="K82" s="100"/>
      <c r="L82" s="4"/>
      <c r="M82" s="4"/>
      <c r="N82" s="3"/>
      <c r="O82" s="35" t="s">
        <v>35</v>
      </c>
      <c r="P82" s="54" t="s">
        <v>30</v>
      </c>
      <c r="Q82" s="54"/>
      <c r="R82" s="54"/>
      <c r="S82" s="101" t="s">
        <v>36</v>
      </c>
      <c r="T82" s="101"/>
      <c r="U82" s="101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ht="15.6" customHeight="1" spans="1:44" x14ac:dyDescent="0.25">
      <c r="A83" s="55"/>
      <c r="B83" s="55"/>
      <c r="C83" s="55"/>
      <c r="D83" s="56"/>
      <c r="E83" s="57"/>
      <c r="F83" s="55"/>
      <c r="G83" s="55"/>
      <c r="H83" s="56"/>
      <c r="I83" s="56"/>
      <c r="J83" s="55"/>
      <c r="K83" s="55"/>
      <c r="L83" s="56"/>
      <c r="M83" s="56"/>
      <c r="N83" s="55"/>
      <c r="O83" s="55"/>
      <c r="P83" s="56"/>
      <c r="Q83" s="56"/>
      <c r="R83" s="55"/>
      <c r="S83" s="55"/>
      <c r="T83" s="55"/>
      <c r="U83" s="55"/>
      <c r="V83" s="55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ht="15.6" customHeight="1" spans="1:44" x14ac:dyDescent="0.25">
      <c r="A84" s="55"/>
      <c r="B84" s="55"/>
      <c r="C84" s="55"/>
      <c r="D84" s="56"/>
      <c r="E84" s="57"/>
      <c r="F84" s="55"/>
      <c r="G84" s="55"/>
      <c r="H84" s="56"/>
      <c r="I84" s="56"/>
      <c r="J84" s="55"/>
      <c r="K84" s="55"/>
      <c r="L84" s="56"/>
      <c r="M84" s="56"/>
      <c r="N84" s="55"/>
      <c r="O84" s="55"/>
      <c r="P84" s="56"/>
      <c r="Q84" s="56"/>
      <c r="R84" s="55"/>
      <c r="S84" s="55"/>
      <c r="T84" s="55"/>
      <c r="U84" s="55"/>
      <c r="V84" s="55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ht="15.6" customHeight="1" hidden="1" spans="1:44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ht="15.6" customHeight="1" spans="1:44" x14ac:dyDescent="0.25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4" t="str">
        <f>N64</f>
        <v>1.1</v>
      </c>
      <c r="O86" s="14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ht="15.6" customHeight="1" spans="1:44" x14ac:dyDescent="0.25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5"/>
      <c r="K87" s="15"/>
      <c r="L87" s="16"/>
      <c r="M87" s="9" t="s">
        <v>5</v>
      </c>
      <c r="N87" s="18" t="str">
        <f>N86&amp;".3"</f>
        <v>1.1.3</v>
      </c>
      <c r="O87" s="18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ht="15.6" customHeight="1" spans="1:44" x14ac:dyDescent="0.25">
      <c r="A88" s="3"/>
      <c r="B88" s="3"/>
      <c r="C88" s="3"/>
      <c r="D88" s="4"/>
      <c r="E88" s="4" t="s">
        <v>7</v>
      </c>
      <c r="F88" s="3"/>
      <c r="G88" s="3"/>
      <c r="H88" s="8"/>
      <c r="I88" s="8"/>
      <c r="J88" s="7"/>
      <c r="K88" s="7"/>
      <c r="L88" s="8"/>
      <c r="M88" s="19" t="s">
        <v>5</v>
      </c>
      <c r="N88" s="20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ht="15.6" customHeight="1" spans="1:44" x14ac:dyDescent="0.25">
      <c r="A89" s="3"/>
      <c r="B89" s="3"/>
      <c r="C89" s="3"/>
      <c r="D89" s="4"/>
      <c r="E89" s="4" t="s">
        <v>8</v>
      </c>
      <c r="F89" s="3"/>
      <c r="G89" s="3"/>
      <c r="H89" s="4"/>
      <c r="I89" s="4"/>
      <c r="J89" s="3"/>
      <c r="K89" s="3"/>
      <c r="L89" s="16"/>
      <c r="M89" s="19" t="s">
        <v>70</v>
      </c>
      <c r="N89" s="20" t="str">
        <f>IF(N67="-"&amp;N44&amp;".5",IF(N68=15,"-"&amp;N44&amp;".6","-"&amp;N44&amp;".5"),N67)</f>
        <v>-1.1.5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ht="15.6" customHeight="1" spans="1:44" x14ac:dyDescent="0.25">
      <c r="A90" s="3"/>
      <c r="B90" s="3"/>
      <c r="C90" s="3"/>
      <c r="D90" s="4"/>
      <c r="E90" s="24" t="s">
        <v>10</v>
      </c>
      <c r="F90" s="3"/>
      <c r="G90" s="3"/>
      <c r="H90" s="4"/>
      <c r="I90" s="8"/>
      <c r="J90" s="7"/>
      <c r="K90" s="7"/>
      <c r="L90" s="8"/>
      <c r="M90" s="19" t="s">
        <v>5</v>
      </c>
      <c r="N90" s="20">
        <f>IF(N89="-"&amp;N44&amp;".5",N68+1,IF(N67="-"&amp;N44&amp;".5",1,N68+1))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ht="15.6" customHeight="1" spans="1:44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ht="15.6" customHeight="1" spans="1:44" x14ac:dyDescent="0.25">
      <c r="A92" s="27"/>
      <c r="B92" s="28"/>
      <c r="C92" s="28"/>
      <c r="D92" s="29"/>
      <c r="E92" s="29"/>
      <c r="F92" s="28"/>
      <c r="G92" s="28"/>
      <c r="H92" s="29"/>
      <c r="I92" s="29"/>
      <c r="J92" s="28"/>
      <c r="K92" s="28"/>
      <c r="L92" s="29"/>
      <c r="M92" s="29"/>
      <c r="N92" s="28"/>
      <c r="O92" s="28"/>
      <c r="P92" s="29"/>
      <c r="Q92" s="29"/>
      <c r="R92" s="28"/>
      <c r="S92" s="28"/>
      <c r="T92" s="28"/>
      <c r="U92" s="28"/>
      <c r="V92" s="59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ht="15.6" customHeight="1" spans="1:44" x14ac:dyDescent="0.25">
      <c r="A93" s="30"/>
      <c r="B93" s="31"/>
      <c r="C93" s="31"/>
      <c r="D93" s="32">
        <v>1</v>
      </c>
      <c r="E93" s="33"/>
      <c r="F93" s="31"/>
      <c r="G93" s="31"/>
      <c r="H93" s="32">
        <v>2</v>
      </c>
      <c r="I93" s="33"/>
      <c r="J93" s="31"/>
      <c r="K93" s="31"/>
      <c r="L93" s="32">
        <v>3</v>
      </c>
      <c r="M93" s="33"/>
      <c r="N93" s="31"/>
      <c r="O93" s="31"/>
      <c r="P93" s="32">
        <v>4</v>
      </c>
      <c r="Q93" s="33"/>
      <c r="R93" s="31"/>
      <c r="S93" s="31"/>
      <c r="T93" s="31"/>
      <c r="U93" s="31"/>
      <c r="V93" s="60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ht="15.6" customHeight="1" spans="1:44" x14ac:dyDescent="0.25">
      <c r="A94" s="30"/>
      <c r="B94" s="31" t="s">
        <v>11</v>
      </c>
      <c r="C94" s="31"/>
      <c r="D94" s="32" t="s">
        <v>12</v>
      </c>
      <c r="E94" s="33"/>
      <c r="F94" s="31" t="s">
        <v>11</v>
      </c>
      <c r="G94" s="31"/>
      <c r="H94" s="32" t="s">
        <v>12</v>
      </c>
      <c r="I94" s="33"/>
      <c r="J94" s="31" t="s">
        <v>11</v>
      </c>
      <c r="K94" s="31"/>
      <c r="L94" s="32" t="s">
        <v>12</v>
      </c>
      <c r="M94" s="33"/>
      <c r="N94" s="31" t="s">
        <v>11</v>
      </c>
      <c r="O94" s="31"/>
      <c r="P94" s="32" t="s">
        <v>12</v>
      </c>
      <c r="Q94" s="33"/>
      <c r="R94" s="31"/>
      <c r="S94" s="31"/>
      <c r="T94" s="31"/>
      <c r="U94" s="31"/>
      <c r="V94" s="65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ht="15.6" customHeight="1" spans="1:44" x14ac:dyDescent="0.25">
      <c r="A95" s="30"/>
      <c r="B95" s="35"/>
      <c r="C95" s="35"/>
      <c r="D95" s="5"/>
      <c r="E95" s="5"/>
      <c r="F95" s="35"/>
      <c r="G95" s="35"/>
      <c r="H95" s="5"/>
      <c r="I95" s="5"/>
      <c r="J95" s="35"/>
      <c r="K95" s="35"/>
      <c r="L95" s="5"/>
      <c r="M95" s="5"/>
      <c r="N95" s="35"/>
      <c r="O95" s="35"/>
      <c r="P95" s="5"/>
      <c r="Q95" s="5"/>
      <c r="R95" s="35"/>
      <c r="S95" s="35"/>
      <c r="T95" s="35"/>
      <c r="U95" s="35"/>
      <c r="V95" s="65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ht="15.6" customHeight="1" spans="1:44" x14ac:dyDescent="0.25">
      <c r="A96" s="30"/>
      <c r="B96" s="31">
        <v>0</v>
      </c>
      <c r="C96" s="31"/>
      <c r="D96" s="37">
        <v>1</v>
      </c>
      <c r="E96" s="37"/>
      <c r="F96" s="31">
        <v>2</v>
      </c>
      <c r="G96" s="31"/>
      <c r="H96" s="37">
        <v>3</v>
      </c>
      <c r="I96" s="37"/>
      <c r="J96" s="31">
        <v>4</v>
      </c>
      <c r="K96" s="31"/>
      <c r="L96" s="37">
        <v>5</v>
      </c>
      <c r="M96" s="37"/>
      <c r="N96" s="31">
        <v>6</v>
      </c>
      <c r="O96" s="31"/>
      <c r="P96" s="37">
        <v>7</v>
      </c>
      <c r="Q96" s="37"/>
      <c r="R96" s="31">
        <v>8</v>
      </c>
      <c r="S96" s="31"/>
      <c r="T96" s="31">
        <v>9</v>
      </c>
      <c r="U96" s="31"/>
      <c r="V96" s="67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ht="15.6" customHeight="1" spans="1:44" x14ac:dyDescent="0.25">
      <c r="A97" s="30"/>
      <c r="B97" s="31" t="s">
        <v>13</v>
      </c>
      <c r="C97" s="31" t="s">
        <v>14</v>
      </c>
      <c r="D97" s="37" t="s">
        <v>15</v>
      </c>
      <c r="E97" s="37" t="s">
        <v>16</v>
      </c>
      <c r="F97" s="31" t="s">
        <v>13</v>
      </c>
      <c r="G97" s="31" t="s">
        <v>14</v>
      </c>
      <c r="H97" s="37" t="s">
        <v>15</v>
      </c>
      <c r="I97" s="37" t="s">
        <v>16</v>
      </c>
      <c r="J97" s="31" t="s">
        <v>13</v>
      </c>
      <c r="K97" s="31" t="s">
        <v>14</v>
      </c>
      <c r="L97" s="37" t="s">
        <v>15</v>
      </c>
      <c r="M97" s="37" t="s">
        <v>16</v>
      </c>
      <c r="N97" s="31" t="s">
        <v>13</v>
      </c>
      <c r="O97" s="31" t="s">
        <v>14</v>
      </c>
      <c r="P97" s="37" t="s">
        <v>15</v>
      </c>
      <c r="Q97" s="37" t="s">
        <v>16</v>
      </c>
      <c r="R97" s="31" t="s">
        <v>13</v>
      </c>
      <c r="S97" s="31" t="s">
        <v>14</v>
      </c>
      <c r="T97" s="31" t="s">
        <v>15</v>
      </c>
      <c r="U97" s="31" t="s">
        <v>16</v>
      </c>
      <c r="V97" s="67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ht="15.6" customHeight="1" spans="1:44" x14ac:dyDescent="0.25">
      <c r="A98" s="39"/>
      <c r="B98" s="40"/>
      <c r="C98" s="40"/>
      <c r="D98" s="41"/>
      <c r="E98" s="42"/>
      <c r="F98" s="40"/>
      <c r="G98" s="40"/>
      <c r="H98" s="41"/>
      <c r="I98" s="42"/>
      <c r="J98" s="40"/>
      <c r="K98" s="40"/>
      <c r="L98" s="41"/>
      <c r="M98" s="42"/>
      <c r="N98" s="40"/>
      <c r="O98" s="40"/>
      <c r="P98" s="41"/>
      <c r="Q98" s="42"/>
      <c r="R98" s="40"/>
      <c r="S98" s="40"/>
      <c r="T98" s="40"/>
      <c r="U98" s="40"/>
      <c r="V98" s="6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ht="15.6" customHeight="1" spans="1:44" x14ac:dyDescent="0.25">
      <c r="A99" s="3"/>
      <c r="B99" s="35"/>
      <c r="C99" s="35"/>
      <c r="D99" s="72"/>
      <c r="E99" s="5"/>
      <c r="F99" s="35"/>
      <c r="G99" s="35"/>
      <c r="H99" s="72"/>
      <c r="I99" s="5"/>
      <c r="J99" s="35"/>
      <c r="K99" s="35"/>
      <c r="L99" s="72"/>
      <c r="M99" s="5"/>
      <c r="N99" s="35"/>
      <c r="O99" s="35"/>
      <c r="P99" s="72"/>
      <c r="Q99" s="5"/>
      <c r="R99" s="35"/>
      <c r="S99" s="35"/>
      <c r="T99" s="35"/>
      <c r="U99" s="35"/>
      <c r="V99" s="3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ht="15.6" customHeight="1" spans="1:44" x14ac:dyDescent="0.25">
      <c r="A100" s="3"/>
      <c r="B100" s="76"/>
      <c r="C100" s="77"/>
      <c r="D100" s="78"/>
      <c r="E100" s="79"/>
      <c r="F100" s="76"/>
      <c r="G100" s="77"/>
      <c r="H100" s="78"/>
      <c r="I100" s="79"/>
      <c r="J100" s="76"/>
      <c r="K100" s="77"/>
      <c r="L100" s="78"/>
      <c r="M100" s="79"/>
      <c r="N100" s="76"/>
      <c r="O100" s="77"/>
      <c r="P100" s="78"/>
      <c r="Q100" s="79"/>
      <c r="R100" s="35"/>
      <c r="S100" s="35"/>
      <c r="T100" s="35"/>
      <c r="U100" s="35"/>
      <c r="V100" s="3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ht="15.6" customHeight="1" spans="1:44" x14ac:dyDescent="0.25">
      <c r="A101" s="3"/>
      <c r="B101" s="50">
        <f>IF(D100&lt;1,"","пом.")</f>
      </c>
      <c r="C101" s="50"/>
      <c r="D101" s="52"/>
      <c r="E101" s="53"/>
      <c r="F101" s="50">
        <f>IF(H100&lt;1,"","пом.")</f>
      </c>
      <c r="G101" s="50"/>
      <c r="H101" s="52"/>
      <c r="I101" s="53"/>
      <c r="J101" s="50">
        <f>IF(L100&lt;1,"","пом.")</f>
      </c>
      <c r="K101" s="50"/>
      <c r="L101" s="52"/>
      <c r="M101" s="53"/>
      <c r="N101" s="50">
        <f>IF(P100&lt;1,"","пом.")</f>
      </c>
      <c r="O101" s="50"/>
      <c r="P101" s="52"/>
      <c r="Q101" s="53"/>
      <c r="R101" s="35"/>
      <c r="S101" s="35"/>
      <c r="T101" s="35"/>
      <c r="U101" s="35"/>
      <c r="V101" s="3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ht="15.6" customHeight="1" spans="1:44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ht="15.6" customHeight="1" spans="1:44" x14ac:dyDescent="0.25">
      <c r="A103" s="3"/>
      <c r="B103" s="3"/>
      <c r="C103" s="3"/>
      <c r="D103" s="4"/>
      <c r="E103" s="5" t="s">
        <v>26</v>
      </c>
      <c r="F103" s="54" t="s">
        <v>27</v>
      </c>
      <c r="G103" s="54"/>
      <c r="H103" s="54"/>
      <c r="I103" s="100" t="s">
        <v>28</v>
      </c>
      <c r="J103" s="100"/>
      <c r="K103" s="100"/>
      <c r="L103" s="4"/>
      <c r="M103" s="4"/>
      <c r="N103" s="3"/>
      <c r="O103" s="35" t="s">
        <v>29</v>
      </c>
      <c r="P103" s="54" t="s">
        <v>30</v>
      </c>
      <c r="Q103" s="54"/>
      <c r="R103" s="54"/>
      <c r="S103" s="100" t="s">
        <v>31</v>
      </c>
      <c r="T103" s="100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ht="15.6" customHeight="1" spans="1:44" x14ac:dyDescent="0.25">
      <c r="A104" s="3"/>
      <c r="B104" s="3"/>
      <c r="C104" s="3"/>
      <c r="D104" s="4"/>
      <c r="E104" s="5" t="s">
        <v>32</v>
      </c>
      <c r="F104" s="54" t="s">
        <v>33</v>
      </c>
      <c r="G104" s="54"/>
      <c r="H104" s="54"/>
      <c r="I104" s="100" t="s">
        <v>34</v>
      </c>
      <c r="J104" s="100"/>
      <c r="K104" s="100"/>
      <c r="L104" s="4"/>
      <c r="M104" s="4"/>
      <c r="N104" s="3"/>
      <c r="O104" s="35" t="s">
        <v>35</v>
      </c>
      <c r="P104" s="54" t="s">
        <v>30</v>
      </c>
      <c r="Q104" s="54"/>
      <c r="R104" s="54"/>
      <c r="S104" s="101" t="s">
        <v>36</v>
      </c>
      <c r="T104" s="101"/>
      <c r="U104" s="101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ht="15.6" customHeight="1" spans="1:44" x14ac:dyDescent="0.25">
      <c r="A105" s="55"/>
      <c r="B105" s="55"/>
      <c r="C105" s="55"/>
      <c r="D105" s="56"/>
      <c r="E105" s="57"/>
      <c r="F105" s="55"/>
      <c r="G105" s="55"/>
      <c r="H105" s="56"/>
      <c r="I105" s="56"/>
      <c r="J105" s="55"/>
      <c r="K105" s="55"/>
      <c r="L105" s="56"/>
      <c r="M105" s="56"/>
      <c r="N105" s="55"/>
      <c r="O105" s="55"/>
      <c r="P105" s="56"/>
      <c r="Q105" s="56"/>
      <c r="R105" s="55"/>
      <c r="S105" s="55"/>
      <c r="T105" s="55"/>
      <c r="U105" s="55"/>
      <c r="V105" s="55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ht="15.6" customHeight="1" spans="1:44" x14ac:dyDescent="0.25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4" t="str">
        <f>N86</f>
        <v>1.1</v>
      </c>
      <c r="O106" s="14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ht="15.6" customHeight="1" spans="1:44" x14ac:dyDescent="0.25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5"/>
      <c r="K107" s="15"/>
      <c r="L107" s="16"/>
      <c r="M107" s="9" t="s">
        <v>5</v>
      </c>
      <c r="N107" s="18" t="str">
        <f>N87</f>
        <v>1.1.3</v>
      </c>
      <c r="O107" s="18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ht="15.6" customHeight="1" spans="1:44" x14ac:dyDescent="0.25">
      <c r="A108" s="3"/>
      <c r="B108" s="3"/>
      <c r="C108" s="3"/>
      <c r="D108" s="4"/>
      <c r="E108" s="4" t="s">
        <v>7</v>
      </c>
      <c r="F108" s="3"/>
      <c r="G108" s="3"/>
      <c r="H108" s="8"/>
      <c r="I108" s="8"/>
      <c r="J108" s="7"/>
      <c r="K108" s="7"/>
      <c r="L108" s="8"/>
      <c r="M108" s="19" t="s">
        <v>5</v>
      </c>
      <c r="N108" s="20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ht="15.6" customHeight="1" spans="1:44" x14ac:dyDescent="0.25">
      <c r="A109" s="3"/>
      <c r="B109" s="3"/>
      <c r="C109" s="3"/>
      <c r="D109" s="4"/>
      <c r="E109" s="4" t="s">
        <v>8</v>
      </c>
      <c r="F109" s="3"/>
      <c r="G109" s="3"/>
      <c r="H109" s="4"/>
      <c r="I109" s="4"/>
      <c r="J109" s="3"/>
      <c r="K109" s="3"/>
      <c r="L109" s="16"/>
      <c r="M109" s="19" t="s">
        <v>70</v>
      </c>
      <c r="N109" s="20" t="str">
        <f>IF(N89="-"&amp;N86&amp;".5",IF(N90=15,"-"&amp;N86&amp;".6","-"&amp;N86&amp;".5"),N89)</f>
        <v>-1.1.5</v>
      </c>
      <c r="O109" s="22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ht="15.6" customHeight="1" spans="1:44" x14ac:dyDescent="0.25">
      <c r="A110" s="3"/>
      <c r="B110" s="3"/>
      <c r="C110" s="3"/>
      <c r="D110" s="4"/>
      <c r="E110" s="24" t="s">
        <v>10</v>
      </c>
      <c r="F110" s="3"/>
      <c r="G110" s="3"/>
      <c r="H110" s="4"/>
      <c r="I110" s="8"/>
      <c r="J110" s="7"/>
      <c r="K110" s="7"/>
      <c r="L110" s="8"/>
      <c r="M110" s="19" t="s">
        <v>5</v>
      </c>
      <c r="N110" s="20">
        <f>IF(N109="-"&amp;N44&amp;".5",N90+1,IF(N89="-"&amp;N44&amp;".5",1,N90+1))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ht="9" customHeight="1" spans="1:44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ht="15.6" customHeight="1" spans="1:44" x14ac:dyDescent="0.25">
      <c r="A112" s="27"/>
      <c r="B112" s="28"/>
      <c r="C112" s="28"/>
      <c r="D112" s="29"/>
      <c r="E112" s="29"/>
      <c r="F112" s="28"/>
      <c r="G112" s="28"/>
      <c r="H112" s="29"/>
      <c r="I112" s="29"/>
      <c r="J112" s="28"/>
      <c r="K112" s="28"/>
      <c r="L112" s="29"/>
      <c r="M112" s="29"/>
      <c r="N112" s="28"/>
      <c r="O112" s="28"/>
      <c r="P112" s="29"/>
      <c r="Q112" s="29"/>
      <c r="R112" s="28"/>
      <c r="S112" s="28"/>
      <c r="T112" s="28"/>
      <c r="U112" s="28"/>
      <c r="V112" s="59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ht="15.6" customHeight="1" spans="1:44" x14ac:dyDescent="0.25">
      <c r="A113" s="30"/>
      <c r="B113" s="31"/>
      <c r="C113" s="31"/>
      <c r="D113" s="32">
        <v>1</v>
      </c>
      <c r="E113" s="33"/>
      <c r="F113" s="31"/>
      <c r="G113" s="31"/>
      <c r="H113" s="32">
        <v>2</v>
      </c>
      <c r="I113" s="33"/>
      <c r="J113" s="31"/>
      <c r="K113" s="31"/>
      <c r="L113" s="32">
        <v>3</v>
      </c>
      <c r="M113" s="33"/>
      <c r="N113" s="31"/>
      <c r="O113" s="31"/>
      <c r="P113" s="32">
        <v>4</v>
      </c>
      <c r="Q113" s="33"/>
      <c r="R113" s="31"/>
      <c r="S113" s="31"/>
      <c r="T113" s="31"/>
      <c r="U113" s="31"/>
      <c r="V113" s="60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ht="15.6" customHeight="1" spans="1:44" x14ac:dyDescent="0.25">
      <c r="A114" s="30"/>
      <c r="B114" s="31" t="s">
        <v>11</v>
      </c>
      <c r="C114" s="31"/>
      <c r="D114" s="32" t="s">
        <v>12</v>
      </c>
      <c r="E114" s="33"/>
      <c r="F114" s="31" t="s">
        <v>11</v>
      </c>
      <c r="G114" s="31"/>
      <c r="H114" s="32" t="s">
        <v>12</v>
      </c>
      <c r="I114" s="33"/>
      <c r="J114" s="31" t="s">
        <v>11</v>
      </c>
      <c r="K114" s="31"/>
      <c r="L114" s="32" t="s">
        <v>12</v>
      </c>
      <c r="M114" s="33"/>
      <c r="N114" s="31" t="s">
        <v>11</v>
      </c>
      <c r="O114" s="31"/>
      <c r="P114" s="32" t="s">
        <v>12</v>
      </c>
      <c r="Q114" s="33"/>
      <c r="R114" s="31"/>
      <c r="S114" s="31"/>
      <c r="T114" s="31"/>
      <c r="U114" s="31"/>
      <c r="V114" s="65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ht="15.6" customHeight="1" spans="1:44" x14ac:dyDescent="0.25">
      <c r="A115" s="30"/>
      <c r="B115" s="35"/>
      <c r="C115" s="35"/>
      <c r="D115" s="5"/>
      <c r="E115" s="5"/>
      <c r="F115" s="35"/>
      <c r="G115" s="35"/>
      <c r="H115" s="5"/>
      <c r="I115" s="5"/>
      <c r="J115" s="35"/>
      <c r="K115" s="35"/>
      <c r="L115" s="5"/>
      <c r="M115" s="5"/>
      <c r="N115" s="35"/>
      <c r="O115" s="35"/>
      <c r="P115" s="5"/>
      <c r="Q115" s="5"/>
      <c r="R115" s="35"/>
      <c r="S115" s="35"/>
      <c r="T115" s="35"/>
      <c r="U115" s="35"/>
      <c r="V115" s="65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ht="15.6" customHeight="1" spans="1:44" x14ac:dyDescent="0.25">
      <c r="A116" s="30"/>
      <c r="B116" s="31">
        <v>0</v>
      </c>
      <c r="C116" s="31"/>
      <c r="D116" s="37">
        <v>1</v>
      </c>
      <c r="E116" s="37"/>
      <c r="F116" s="31">
        <v>2</v>
      </c>
      <c r="G116" s="31"/>
      <c r="H116" s="37">
        <v>3</v>
      </c>
      <c r="I116" s="37"/>
      <c r="J116" s="31">
        <v>4</v>
      </c>
      <c r="K116" s="31"/>
      <c r="L116" s="37">
        <v>5</v>
      </c>
      <c r="M116" s="37"/>
      <c r="N116" s="31">
        <v>6</v>
      </c>
      <c r="O116" s="31"/>
      <c r="P116" s="37">
        <v>7</v>
      </c>
      <c r="Q116" s="37"/>
      <c r="R116" s="31">
        <v>8</v>
      </c>
      <c r="S116" s="31"/>
      <c r="T116" s="31">
        <v>9</v>
      </c>
      <c r="U116" s="31"/>
      <c r="V116" s="67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ht="15.6" customHeight="1" spans="1:44" x14ac:dyDescent="0.25">
      <c r="A117" s="30"/>
      <c r="B117" s="31" t="s">
        <v>13</v>
      </c>
      <c r="C117" s="31" t="s">
        <v>14</v>
      </c>
      <c r="D117" s="37" t="s">
        <v>15</v>
      </c>
      <c r="E117" s="37" t="s">
        <v>16</v>
      </c>
      <c r="F117" s="31" t="s">
        <v>13</v>
      </c>
      <c r="G117" s="31" t="s">
        <v>14</v>
      </c>
      <c r="H117" s="37" t="s">
        <v>15</v>
      </c>
      <c r="I117" s="37" t="s">
        <v>16</v>
      </c>
      <c r="J117" s="31" t="s">
        <v>13</v>
      </c>
      <c r="K117" s="31" t="s">
        <v>14</v>
      </c>
      <c r="L117" s="37" t="s">
        <v>15</v>
      </c>
      <c r="M117" s="37" t="s">
        <v>16</v>
      </c>
      <c r="N117" s="31" t="s">
        <v>13</v>
      </c>
      <c r="O117" s="31" t="s">
        <v>14</v>
      </c>
      <c r="P117" s="37" t="s">
        <v>15</v>
      </c>
      <c r="Q117" s="37" t="s">
        <v>16</v>
      </c>
      <c r="R117" s="31" t="s">
        <v>13</v>
      </c>
      <c r="S117" s="31" t="s">
        <v>14</v>
      </c>
      <c r="T117" s="31" t="s">
        <v>15</v>
      </c>
      <c r="U117" s="31" t="s">
        <v>16</v>
      </c>
      <c r="V117" s="67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ht="15.6" customHeight="1" spans="1:44" x14ac:dyDescent="0.25">
      <c r="A118" s="39"/>
      <c r="B118" s="40"/>
      <c r="C118" s="40"/>
      <c r="D118" s="41"/>
      <c r="E118" s="42"/>
      <c r="F118" s="40"/>
      <c r="G118" s="40"/>
      <c r="H118" s="41"/>
      <c r="I118" s="42"/>
      <c r="J118" s="40"/>
      <c r="K118" s="40"/>
      <c r="L118" s="41"/>
      <c r="M118" s="42"/>
      <c r="N118" s="40"/>
      <c r="O118" s="40"/>
      <c r="P118" s="41"/>
      <c r="Q118" s="42"/>
      <c r="R118" s="40"/>
      <c r="S118" s="40"/>
      <c r="T118" s="40"/>
      <c r="U118" s="40"/>
      <c r="V118" s="68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ht="9" customHeight="1" spans="1:44" x14ac:dyDescent="0.25">
      <c r="A119" s="3"/>
      <c r="B119" s="35"/>
      <c r="C119" s="35"/>
      <c r="D119" s="72"/>
      <c r="E119" s="5"/>
      <c r="F119" s="35"/>
      <c r="G119" s="35"/>
      <c r="H119" s="72"/>
      <c r="I119" s="5"/>
      <c r="J119" s="35"/>
      <c r="K119" s="35"/>
      <c r="L119" s="72"/>
      <c r="M119" s="5"/>
      <c r="N119" s="35"/>
      <c r="O119" s="35"/>
      <c r="P119" s="72"/>
      <c r="Q119" s="5"/>
      <c r="R119" s="35"/>
      <c r="S119" s="35"/>
      <c r="T119" s="35"/>
      <c r="U119" s="35"/>
      <c r="V119" s="38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ht="15.6" customHeight="1" spans="1:44" x14ac:dyDescent="0.25">
      <c r="A120" s="3"/>
      <c r="B120" s="76"/>
      <c r="C120" s="77"/>
      <c r="D120" s="78"/>
      <c r="E120" s="79"/>
      <c r="F120" s="76"/>
      <c r="G120" s="77"/>
      <c r="H120" s="78"/>
      <c r="I120" s="79"/>
      <c r="J120" s="76"/>
      <c r="K120" s="77"/>
      <c r="L120" s="78"/>
      <c r="M120" s="79"/>
      <c r="N120" s="76"/>
      <c r="O120" s="77"/>
      <c r="P120" s="78"/>
      <c r="Q120" s="79"/>
      <c r="R120" s="35"/>
      <c r="S120" s="35"/>
      <c r="T120" s="35"/>
      <c r="U120" s="35"/>
      <c r="V120" s="38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ht="15.6" customHeight="1" spans="1:44" x14ac:dyDescent="0.25">
      <c r="A121" s="3"/>
      <c r="B121" s="50">
        <f>IF(D120&lt;1,"","пом.")</f>
      </c>
      <c r="C121" s="50"/>
      <c r="D121" s="52"/>
      <c r="E121" s="53"/>
      <c r="F121" s="50">
        <f>IF(H120&lt;1,"","пом.")</f>
      </c>
      <c r="G121" s="50"/>
      <c r="H121" s="52"/>
      <c r="I121" s="53"/>
      <c r="J121" s="50">
        <f>IF(L120&lt;1,"","пом.")</f>
      </c>
      <c r="K121" s="50"/>
      <c r="L121" s="52"/>
      <c r="M121" s="53"/>
      <c r="N121" s="50">
        <f>IF(P120&lt;1,"","пом.")</f>
      </c>
      <c r="O121" s="50"/>
      <c r="P121" s="52"/>
      <c r="Q121" s="53"/>
      <c r="R121" s="35"/>
      <c r="S121" s="35"/>
      <c r="T121" s="35"/>
      <c r="U121" s="35"/>
      <c r="V121" s="38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ht="7.15" customHeight="1" spans="1:44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ht="15.6" customHeight="1" spans="1:44" x14ac:dyDescent="0.25">
      <c r="A123" s="3"/>
      <c r="B123" s="3"/>
      <c r="C123" s="3"/>
      <c r="D123" s="4"/>
      <c r="E123" s="5" t="s">
        <v>26</v>
      </c>
      <c r="F123" s="54" t="s">
        <v>27</v>
      </c>
      <c r="G123" s="54"/>
      <c r="H123" s="54"/>
      <c r="I123" s="100" t="s">
        <v>28</v>
      </c>
      <c r="J123" s="100"/>
      <c r="K123" s="100"/>
      <c r="L123" s="4"/>
      <c r="M123" s="4"/>
      <c r="N123" s="3"/>
      <c r="O123" s="35" t="s">
        <v>29</v>
      </c>
      <c r="P123" s="54" t="s">
        <v>30</v>
      </c>
      <c r="Q123" s="54"/>
      <c r="R123" s="54"/>
      <c r="S123" s="100" t="s">
        <v>31</v>
      </c>
      <c r="T123" s="100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ht="15.6" customHeight="1" spans="1:44" x14ac:dyDescent="0.25">
      <c r="A124" s="3"/>
      <c r="B124" s="3"/>
      <c r="C124" s="3"/>
      <c r="D124" s="4"/>
      <c r="E124" s="5" t="s">
        <v>32</v>
      </c>
      <c r="F124" s="54" t="s">
        <v>33</v>
      </c>
      <c r="G124" s="54"/>
      <c r="H124" s="54"/>
      <c r="I124" s="100" t="s">
        <v>34</v>
      </c>
      <c r="J124" s="100"/>
      <c r="K124" s="100"/>
      <c r="L124" s="4"/>
      <c r="M124" s="4"/>
      <c r="N124" s="3"/>
      <c r="O124" s="35" t="s">
        <v>35</v>
      </c>
      <c r="P124" s="54" t="s">
        <v>30</v>
      </c>
      <c r="Q124" s="54"/>
      <c r="R124" s="54"/>
      <c r="S124" s="101" t="s">
        <v>36</v>
      </c>
      <c r="T124" s="101"/>
      <c r="U124" s="101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ht="15.6" customHeight="1" spans="1:44" x14ac:dyDescent="0.25">
      <c r="A125" s="55"/>
      <c r="B125" s="55"/>
      <c r="C125" s="55"/>
      <c r="D125" s="56"/>
      <c r="E125" s="57"/>
      <c r="F125" s="55"/>
      <c r="G125" s="55"/>
      <c r="H125" s="56"/>
      <c r="I125" s="56"/>
      <c r="J125" s="55"/>
      <c r="K125" s="55"/>
      <c r="L125" s="56"/>
      <c r="M125" s="56"/>
      <c r="N125" s="55"/>
      <c r="O125" s="55"/>
      <c r="P125" s="56"/>
      <c r="Q125" s="56"/>
      <c r="R125" s="55"/>
      <c r="S125" s="55"/>
      <c r="T125" s="55"/>
      <c r="U125" s="55"/>
      <c r="V125" s="55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ht="15.6" customHeight="1" spans="1:44" x14ac:dyDescent="0.25">
      <c r="A126" s="55"/>
      <c r="B126" s="55"/>
      <c r="C126" s="55"/>
      <c r="D126" s="56"/>
      <c r="E126" s="57"/>
      <c r="F126" s="55"/>
      <c r="G126" s="55"/>
      <c r="H126" s="56"/>
      <c r="I126" s="56"/>
      <c r="J126" s="55"/>
      <c r="K126" s="55"/>
      <c r="L126" s="56"/>
      <c r="M126" s="56"/>
      <c r="N126" s="55"/>
      <c r="O126" s="55"/>
      <c r="P126" s="56"/>
      <c r="Q126" s="56"/>
      <c r="R126" s="55"/>
      <c r="S126" s="55"/>
      <c r="T126" s="55"/>
      <c r="U126" s="55"/>
      <c r="V126" s="55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ht="15.6" customHeight="1" hidden="1" spans="1:44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ht="15.6" customHeight="1" spans="1:44" x14ac:dyDescent="0.25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4" t="str">
        <f>N106</f>
        <v>1.1</v>
      </c>
      <c r="O128" s="14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ht="15.6" customHeight="1" spans="1:44" x14ac:dyDescent="0.25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5"/>
      <c r="K129" s="15"/>
      <c r="L129" s="16"/>
      <c r="M129" s="9" t="s">
        <v>5</v>
      </c>
      <c r="N129" s="18" t="str">
        <f>N128&amp;".3"</f>
        <v>1.1.3</v>
      </c>
      <c r="O129" s="18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ht="15.6" customHeight="1" spans="1:44" x14ac:dyDescent="0.25">
      <c r="A130" s="3"/>
      <c r="B130" s="3"/>
      <c r="C130" s="3"/>
      <c r="D130" s="4"/>
      <c r="E130" s="4" t="s">
        <v>7</v>
      </c>
      <c r="F130" s="3"/>
      <c r="G130" s="3"/>
      <c r="H130" s="8"/>
      <c r="I130" s="8"/>
      <c r="J130" s="7"/>
      <c r="K130" s="7"/>
      <c r="L130" s="8"/>
      <c r="M130" s="19" t="s">
        <v>5</v>
      </c>
      <c r="N130" s="20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ht="15.6" customHeight="1" spans="1:44" x14ac:dyDescent="0.25">
      <c r="A131" s="3"/>
      <c r="B131" s="3"/>
      <c r="C131" s="3"/>
      <c r="D131" s="4"/>
      <c r="E131" s="4" t="s">
        <v>8</v>
      </c>
      <c r="F131" s="3"/>
      <c r="G131" s="3"/>
      <c r="H131" s="4"/>
      <c r="I131" s="4"/>
      <c r="J131" s="3"/>
      <c r="K131" s="3"/>
      <c r="L131" s="16"/>
      <c r="M131" s="19" t="s">
        <v>70</v>
      </c>
      <c r="N131" s="20" t="str">
        <f>IF(N109="-"&amp;N86&amp;".5",IF(N110=15,"-"&amp;N86&amp;".6","-"&amp;N86&amp;".5"),N109)</f>
        <v>-1.1.5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ht="15.6" customHeight="1" spans="1:44" x14ac:dyDescent="0.25">
      <c r="A132" s="3"/>
      <c r="B132" s="3"/>
      <c r="C132" s="3"/>
      <c r="D132" s="4"/>
      <c r="E132" s="24" t="s">
        <v>10</v>
      </c>
      <c r="F132" s="3"/>
      <c r="G132" s="3"/>
      <c r="H132" s="4"/>
      <c r="I132" s="8"/>
      <c r="J132" s="7"/>
      <c r="K132" s="7"/>
      <c r="L132" s="8"/>
      <c r="M132" s="19" t="s">
        <v>5</v>
      </c>
      <c r="N132" s="20">
        <f>IF(N131="-"&amp;N86&amp;".5",N110+1,IF(N109="-"&amp;N86&amp;".5",1,N110+1))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ht="15.6" customHeight="1" spans="1:44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ht="15.6" customHeight="1" spans="1:44" x14ac:dyDescent="0.25">
      <c r="A134" s="27"/>
      <c r="B134" s="28"/>
      <c r="C134" s="28"/>
      <c r="D134" s="29"/>
      <c r="E134" s="29"/>
      <c r="F134" s="28"/>
      <c r="G134" s="28"/>
      <c r="H134" s="29"/>
      <c r="I134" s="29"/>
      <c r="J134" s="28"/>
      <c r="K134" s="28"/>
      <c r="L134" s="29"/>
      <c r="M134" s="29"/>
      <c r="N134" s="28"/>
      <c r="O134" s="28"/>
      <c r="P134" s="29"/>
      <c r="Q134" s="29"/>
      <c r="R134" s="28"/>
      <c r="S134" s="28"/>
      <c r="T134" s="28"/>
      <c r="U134" s="28"/>
      <c r="V134" s="59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ht="15.6" customHeight="1" spans="1:44" x14ac:dyDescent="0.25">
      <c r="A135" s="30"/>
      <c r="B135" s="31"/>
      <c r="C135" s="31"/>
      <c r="D135" s="32">
        <v>1</v>
      </c>
      <c r="E135" s="33"/>
      <c r="F135" s="31"/>
      <c r="G135" s="31"/>
      <c r="H135" s="32">
        <v>2</v>
      </c>
      <c r="I135" s="33"/>
      <c r="J135" s="31"/>
      <c r="K135" s="31"/>
      <c r="L135" s="32">
        <v>3</v>
      </c>
      <c r="M135" s="33"/>
      <c r="N135" s="31"/>
      <c r="O135" s="31"/>
      <c r="P135" s="32">
        <v>4</v>
      </c>
      <c r="Q135" s="33"/>
      <c r="R135" s="31"/>
      <c r="S135" s="31"/>
      <c r="T135" s="31"/>
      <c r="U135" s="31"/>
      <c r="V135" s="60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ht="15.6" customHeight="1" spans="1:44" x14ac:dyDescent="0.25">
      <c r="A136" s="30"/>
      <c r="B136" s="31" t="s">
        <v>11</v>
      </c>
      <c r="C136" s="31"/>
      <c r="D136" s="32" t="s">
        <v>12</v>
      </c>
      <c r="E136" s="33"/>
      <c r="F136" s="31" t="s">
        <v>11</v>
      </c>
      <c r="G136" s="31"/>
      <c r="H136" s="32" t="s">
        <v>12</v>
      </c>
      <c r="I136" s="33"/>
      <c r="J136" s="31" t="s">
        <v>11</v>
      </c>
      <c r="K136" s="31"/>
      <c r="L136" s="32" t="s">
        <v>12</v>
      </c>
      <c r="M136" s="33"/>
      <c r="N136" s="31" t="s">
        <v>11</v>
      </c>
      <c r="O136" s="31"/>
      <c r="P136" s="32" t="s">
        <v>12</v>
      </c>
      <c r="Q136" s="33"/>
      <c r="R136" s="31"/>
      <c r="S136" s="31"/>
      <c r="T136" s="31"/>
      <c r="U136" s="31"/>
      <c r="V136" s="65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ht="15.6" customHeight="1" spans="1:44" x14ac:dyDescent="0.25">
      <c r="A137" s="30"/>
      <c r="B137" s="35"/>
      <c r="C137" s="35"/>
      <c r="D137" s="5"/>
      <c r="E137" s="5"/>
      <c r="F137" s="35"/>
      <c r="G137" s="35"/>
      <c r="H137" s="5"/>
      <c r="I137" s="5"/>
      <c r="J137" s="35"/>
      <c r="K137" s="35"/>
      <c r="L137" s="5"/>
      <c r="M137" s="5"/>
      <c r="N137" s="35"/>
      <c r="O137" s="35"/>
      <c r="P137" s="5"/>
      <c r="Q137" s="5"/>
      <c r="R137" s="35"/>
      <c r="S137" s="35"/>
      <c r="T137" s="35"/>
      <c r="U137" s="35"/>
      <c r="V137" s="65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ht="15.6" customHeight="1" spans="1:44" x14ac:dyDescent="0.25">
      <c r="A138" s="30"/>
      <c r="B138" s="31">
        <v>0</v>
      </c>
      <c r="C138" s="31"/>
      <c r="D138" s="37">
        <v>1</v>
      </c>
      <c r="E138" s="37"/>
      <c r="F138" s="31">
        <v>2</v>
      </c>
      <c r="G138" s="31"/>
      <c r="H138" s="37">
        <v>3</v>
      </c>
      <c r="I138" s="37"/>
      <c r="J138" s="31">
        <v>4</v>
      </c>
      <c r="K138" s="31"/>
      <c r="L138" s="37">
        <v>5</v>
      </c>
      <c r="M138" s="37"/>
      <c r="N138" s="31">
        <v>6</v>
      </c>
      <c r="O138" s="31"/>
      <c r="P138" s="37">
        <v>7</v>
      </c>
      <c r="Q138" s="37"/>
      <c r="R138" s="31">
        <v>8</v>
      </c>
      <c r="S138" s="31"/>
      <c r="T138" s="31">
        <v>9</v>
      </c>
      <c r="U138" s="31"/>
      <c r="V138" s="67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ht="15.6" customHeight="1" spans="1:44" x14ac:dyDescent="0.25">
      <c r="A139" s="30"/>
      <c r="B139" s="31" t="s">
        <v>13</v>
      </c>
      <c r="C139" s="31" t="s">
        <v>14</v>
      </c>
      <c r="D139" s="37" t="s">
        <v>15</v>
      </c>
      <c r="E139" s="37" t="s">
        <v>16</v>
      </c>
      <c r="F139" s="31" t="s">
        <v>13</v>
      </c>
      <c r="G139" s="31" t="s">
        <v>14</v>
      </c>
      <c r="H139" s="37" t="s">
        <v>15</v>
      </c>
      <c r="I139" s="37" t="s">
        <v>16</v>
      </c>
      <c r="J139" s="31" t="s">
        <v>13</v>
      </c>
      <c r="K139" s="31" t="s">
        <v>14</v>
      </c>
      <c r="L139" s="37" t="s">
        <v>15</v>
      </c>
      <c r="M139" s="37" t="s">
        <v>16</v>
      </c>
      <c r="N139" s="31" t="s">
        <v>13</v>
      </c>
      <c r="O139" s="31" t="s">
        <v>14</v>
      </c>
      <c r="P139" s="37" t="s">
        <v>15</v>
      </c>
      <c r="Q139" s="37" t="s">
        <v>16</v>
      </c>
      <c r="R139" s="31" t="s">
        <v>13</v>
      </c>
      <c r="S139" s="31" t="s">
        <v>14</v>
      </c>
      <c r="T139" s="31" t="s">
        <v>15</v>
      </c>
      <c r="U139" s="31" t="s">
        <v>16</v>
      </c>
      <c r="V139" s="67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ht="15.6" customHeight="1" spans="1:44" x14ac:dyDescent="0.25">
      <c r="A140" s="39"/>
      <c r="B140" s="40"/>
      <c r="C140" s="40"/>
      <c r="D140" s="41"/>
      <c r="E140" s="42"/>
      <c r="F140" s="40"/>
      <c r="G140" s="40"/>
      <c r="H140" s="41"/>
      <c r="I140" s="42"/>
      <c r="J140" s="40"/>
      <c r="K140" s="40"/>
      <c r="L140" s="41"/>
      <c r="M140" s="42"/>
      <c r="N140" s="40"/>
      <c r="O140" s="40"/>
      <c r="P140" s="41"/>
      <c r="Q140" s="42"/>
      <c r="R140" s="40"/>
      <c r="S140" s="40"/>
      <c r="T140" s="40"/>
      <c r="U140" s="40"/>
      <c r="V140" s="68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ht="15.6" customHeight="1" spans="1:44" x14ac:dyDescent="0.25">
      <c r="A141" s="3"/>
      <c r="B141" s="35"/>
      <c r="C141" s="35"/>
      <c r="D141" s="72"/>
      <c r="E141" s="5"/>
      <c r="F141" s="35"/>
      <c r="G141" s="35"/>
      <c r="H141" s="72"/>
      <c r="I141" s="5"/>
      <c r="J141" s="35"/>
      <c r="K141" s="35"/>
      <c r="L141" s="72"/>
      <c r="M141" s="5"/>
      <c r="N141" s="35"/>
      <c r="O141" s="35"/>
      <c r="P141" s="72"/>
      <c r="Q141" s="5"/>
      <c r="R141" s="35"/>
      <c r="S141" s="35"/>
      <c r="T141" s="35"/>
      <c r="U141" s="35"/>
      <c r="V141" s="38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ht="15.6" customHeight="1" spans="1:44" x14ac:dyDescent="0.25">
      <c r="A142" s="3"/>
      <c r="B142" s="76"/>
      <c r="C142" s="77"/>
      <c r="D142" s="78"/>
      <c r="E142" s="79"/>
      <c r="F142" s="76"/>
      <c r="G142" s="77"/>
      <c r="H142" s="78"/>
      <c r="I142" s="79"/>
      <c r="J142" s="76"/>
      <c r="K142" s="77"/>
      <c r="L142" s="78"/>
      <c r="M142" s="79"/>
      <c r="N142" s="76"/>
      <c r="O142" s="77"/>
      <c r="P142" s="78"/>
      <c r="Q142" s="79"/>
      <c r="R142" s="35"/>
      <c r="S142" s="35"/>
      <c r="T142" s="35"/>
      <c r="U142" s="35"/>
      <c r="V142" s="38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ht="15.6" customHeight="1" spans="1:44" x14ac:dyDescent="0.25">
      <c r="A143" s="3"/>
      <c r="B143" s="50">
        <f>IF(D142&lt;1,"","пом.")</f>
      </c>
      <c r="C143" s="50"/>
      <c r="D143" s="52"/>
      <c r="E143" s="53"/>
      <c r="F143" s="50">
        <f>IF(H142&lt;1,"","пом.")</f>
      </c>
      <c r="G143" s="50"/>
      <c r="H143" s="52"/>
      <c r="I143" s="53"/>
      <c r="J143" s="50">
        <f>IF(L142&lt;1,"","пом.")</f>
      </c>
      <c r="K143" s="50"/>
      <c r="L143" s="52"/>
      <c r="M143" s="53"/>
      <c r="N143" s="50">
        <f>IF(P142&lt;1,"","пом.")</f>
      </c>
      <c r="O143" s="50"/>
      <c r="P143" s="52"/>
      <c r="Q143" s="53"/>
      <c r="R143" s="35"/>
      <c r="S143" s="35"/>
      <c r="T143" s="35"/>
      <c r="U143" s="35"/>
      <c r="V143" s="38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ht="15.6" customHeight="1" spans="1:44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ht="15.6" customHeight="1" spans="1:44" x14ac:dyDescent="0.25">
      <c r="A145" s="3"/>
      <c r="B145" s="3"/>
      <c r="C145" s="3"/>
      <c r="D145" s="4"/>
      <c r="E145" s="5" t="s">
        <v>26</v>
      </c>
      <c r="F145" s="54" t="s">
        <v>27</v>
      </c>
      <c r="G145" s="54"/>
      <c r="H145" s="54"/>
      <c r="I145" s="100" t="s">
        <v>28</v>
      </c>
      <c r="J145" s="100"/>
      <c r="K145" s="100"/>
      <c r="L145" s="4"/>
      <c r="M145" s="4"/>
      <c r="N145" s="3"/>
      <c r="O145" s="35" t="s">
        <v>29</v>
      </c>
      <c r="P145" s="54" t="s">
        <v>30</v>
      </c>
      <c r="Q145" s="54"/>
      <c r="R145" s="54"/>
      <c r="S145" s="100" t="s">
        <v>31</v>
      </c>
      <c r="T145" s="100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ht="15.6" customHeight="1" spans="1:44" x14ac:dyDescent="0.25">
      <c r="A146" s="3"/>
      <c r="B146" s="3"/>
      <c r="C146" s="3"/>
      <c r="D146" s="4"/>
      <c r="E146" s="5" t="s">
        <v>32</v>
      </c>
      <c r="F146" s="54" t="s">
        <v>33</v>
      </c>
      <c r="G146" s="54"/>
      <c r="H146" s="54"/>
      <c r="I146" s="100" t="s">
        <v>34</v>
      </c>
      <c r="J146" s="100"/>
      <c r="K146" s="100"/>
      <c r="L146" s="4"/>
      <c r="M146" s="4"/>
      <c r="N146" s="3"/>
      <c r="O146" s="35" t="s">
        <v>35</v>
      </c>
      <c r="P146" s="54" t="s">
        <v>30</v>
      </c>
      <c r="Q146" s="54"/>
      <c r="R146" s="54"/>
      <c r="S146" s="101" t="s">
        <v>36</v>
      </c>
      <c r="T146" s="101"/>
      <c r="U146" s="101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ht="15.6" customHeight="1" spans="1:44" x14ac:dyDescent="0.25">
      <c r="A147" s="55"/>
      <c r="B147" s="55"/>
      <c r="C147" s="55"/>
      <c r="D147" s="56"/>
      <c r="E147" s="57"/>
      <c r="F147" s="55"/>
      <c r="G147" s="55"/>
      <c r="H147" s="56"/>
      <c r="I147" s="56"/>
      <c r="J147" s="55"/>
      <c r="K147" s="55"/>
      <c r="L147" s="56"/>
      <c r="M147" s="56"/>
      <c r="N147" s="55"/>
      <c r="O147" s="55"/>
      <c r="P147" s="56"/>
      <c r="Q147" s="56"/>
      <c r="R147" s="55"/>
      <c r="S147" s="55"/>
      <c r="T147" s="55"/>
      <c r="U147" s="55"/>
      <c r="V147" s="55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ht="15.6" customHeight="1" spans="1:44" x14ac:dyDescent="0.25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4" t="str">
        <f>N128</f>
        <v>1.1</v>
      </c>
      <c r="O148" s="14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ht="15.6" customHeight="1" spans="1:44" x14ac:dyDescent="0.25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5"/>
      <c r="K149" s="15"/>
      <c r="L149" s="16"/>
      <c r="M149" s="9" t="s">
        <v>5</v>
      </c>
      <c r="N149" s="18" t="str">
        <f>N129</f>
        <v>1.1.3</v>
      </c>
      <c r="O149" s="18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ht="15.6" customHeight="1" spans="1:44" x14ac:dyDescent="0.25">
      <c r="A150" s="3"/>
      <c r="B150" s="3"/>
      <c r="C150" s="3"/>
      <c r="D150" s="4"/>
      <c r="E150" s="4" t="s">
        <v>7</v>
      </c>
      <c r="F150" s="3"/>
      <c r="G150" s="3"/>
      <c r="H150" s="8"/>
      <c r="I150" s="8"/>
      <c r="J150" s="7"/>
      <c r="K150" s="7"/>
      <c r="L150" s="8"/>
      <c r="M150" s="19" t="s">
        <v>5</v>
      </c>
      <c r="N150" s="20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ht="15.6" customHeight="1" spans="1:44" x14ac:dyDescent="0.25">
      <c r="A151" s="3"/>
      <c r="B151" s="3"/>
      <c r="C151" s="3"/>
      <c r="D151" s="4"/>
      <c r="E151" s="4" t="s">
        <v>8</v>
      </c>
      <c r="F151" s="3"/>
      <c r="G151" s="3"/>
      <c r="H151" s="4"/>
      <c r="I151" s="4"/>
      <c r="J151" s="3"/>
      <c r="K151" s="3"/>
      <c r="L151" s="16"/>
      <c r="M151" s="19" t="s">
        <v>70</v>
      </c>
      <c r="N151" s="20" t="str">
        <f>IF(N131="-"&amp;N128&amp;".5",IF(N132=15,"-"&amp;N128&amp;".6","-"&amp;N128&amp;".5"),N131)</f>
        <v>-1.1.5</v>
      </c>
      <c r="O151" s="22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ht="15.6" customHeight="1" spans="1:44" x14ac:dyDescent="0.25">
      <c r="A152" s="3"/>
      <c r="B152" s="3"/>
      <c r="C152" s="3"/>
      <c r="D152" s="4"/>
      <c r="E152" s="24" t="s">
        <v>10</v>
      </c>
      <c r="F152" s="3"/>
      <c r="G152" s="3"/>
      <c r="H152" s="4"/>
      <c r="I152" s="8"/>
      <c r="J152" s="7"/>
      <c r="K152" s="7"/>
      <c r="L152" s="8"/>
      <c r="M152" s="19" t="s">
        <v>5</v>
      </c>
      <c r="N152" s="20">
        <f>IF(N151="-"&amp;N86&amp;".5",N132+1,IF(N131="-"&amp;N86&amp;".5",1,N132+1))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ht="7.9" customHeight="1" spans="1:44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ht="15.6" customHeight="1" spans="1:44" x14ac:dyDescent="0.25">
      <c r="A154" s="27"/>
      <c r="B154" s="28"/>
      <c r="C154" s="28"/>
      <c r="D154" s="29"/>
      <c r="E154" s="29"/>
      <c r="F154" s="28"/>
      <c r="G154" s="28"/>
      <c r="H154" s="29"/>
      <c r="I154" s="29"/>
      <c r="J154" s="28"/>
      <c r="K154" s="28"/>
      <c r="L154" s="29"/>
      <c r="M154" s="29"/>
      <c r="N154" s="28"/>
      <c r="O154" s="28"/>
      <c r="P154" s="29"/>
      <c r="Q154" s="29"/>
      <c r="R154" s="28"/>
      <c r="S154" s="28"/>
      <c r="T154" s="28"/>
      <c r="U154" s="28"/>
      <c r="V154" s="59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ht="15.6" customHeight="1" spans="1:44" x14ac:dyDescent="0.25">
      <c r="A155" s="30"/>
      <c r="B155" s="31"/>
      <c r="C155" s="31"/>
      <c r="D155" s="32">
        <v>1</v>
      </c>
      <c r="E155" s="33"/>
      <c r="F155" s="31"/>
      <c r="G155" s="31"/>
      <c r="H155" s="32">
        <v>2</v>
      </c>
      <c r="I155" s="33"/>
      <c r="J155" s="31"/>
      <c r="K155" s="31"/>
      <c r="L155" s="32">
        <v>3</v>
      </c>
      <c r="M155" s="33"/>
      <c r="N155" s="31"/>
      <c r="O155" s="31"/>
      <c r="P155" s="32">
        <v>4</v>
      </c>
      <c r="Q155" s="33"/>
      <c r="R155" s="31"/>
      <c r="S155" s="31"/>
      <c r="T155" s="31"/>
      <c r="U155" s="31"/>
      <c r="V155" s="60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ht="15.6" customHeight="1" spans="1:44" x14ac:dyDescent="0.25">
      <c r="A156" s="30"/>
      <c r="B156" s="31" t="s">
        <v>11</v>
      </c>
      <c r="C156" s="31"/>
      <c r="D156" s="32" t="s">
        <v>12</v>
      </c>
      <c r="E156" s="33"/>
      <c r="F156" s="31" t="s">
        <v>11</v>
      </c>
      <c r="G156" s="31"/>
      <c r="H156" s="32" t="s">
        <v>12</v>
      </c>
      <c r="I156" s="33"/>
      <c r="J156" s="31" t="s">
        <v>11</v>
      </c>
      <c r="K156" s="31"/>
      <c r="L156" s="32" t="s">
        <v>12</v>
      </c>
      <c r="M156" s="33"/>
      <c r="N156" s="31" t="s">
        <v>11</v>
      </c>
      <c r="O156" s="31"/>
      <c r="P156" s="32" t="s">
        <v>12</v>
      </c>
      <c r="Q156" s="33"/>
      <c r="R156" s="31"/>
      <c r="S156" s="31"/>
      <c r="T156" s="31"/>
      <c r="U156" s="31"/>
      <c r="V156" s="65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ht="15.6" customHeight="1" spans="1:44" x14ac:dyDescent="0.25">
      <c r="A157" s="30"/>
      <c r="B157" s="35"/>
      <c r="C157" s="35"/>
      <c r="D157" s="5"/>
      <c r="E157" s="5"/>
      <c r="F157" s="35"/>
      <c r="G157" s="35"/>
      <c r="H157" s="5"/>
      <c r="I157" s="5"/>
      <c r="J157" s="35"/>
      <c r="K157" s="35"/>
      <c r="L157" s="5"/>
      <c r="M157" s="5"/>
      <c r="N157" s="35"/>
      <c r="O157" s="35"/>
      <c r="P157" s="5"/>
      <c r="Q157" s="5"/>
      <c r="R157" s="35"/>
      <c r="S157" s="35"/>
      <c r="T157" s="35"/>
      <c r="U157" s="35"/>
      <c r="V157" s="65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ht="15.6" customHeight="1" spans="1:44" x14ac:dyDescent="0.25">
      <c r="A158" s="30"/>
      <c r="B158" s="31">
        <v>0</v>
      </c>
      <c r="C158" s="31"/>
      <c r="D158" s="37">
        <v>1</v>
      </c>
      <c r="E158" s="37"/>
      <c r="F158" s="31">
        <v>2</v>
      </c>
      <c r="G158" s="31"/>
      <c r="H158" s="37">
        <v>3</v>
      </c>
      <c r="I158" s="37"/>
      <c r="J158" s="31">
        <v>4</v>
      </c>
      <c r="K158" s="31"/>
      <c r="L158" s="37">
        <v>5</v>
      </c>
      <c r="M158" s="37"/>
      <c r="N158" s="31">
        <v>6</v>
      </c>
      <c r="O158" s="31"/>
      <c r="P158" s="37">
        <v>7</v>
      </c>
      <c r="Q158" s="37"/>
      <c r="R158" s="31">
        <v>8</v>
      </c>
      <c r="S158" s="31"/>
      <c r="T158" s="31">
        <v>9</v>
      </c>
      <c r="U158" s="31"/>
      <c r="V158" s="67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ht="15.6" customHeight="1" spans="1:44" x14ac:dyDescent="0.25">
      <c r="A159" s="30"/>
      <c r="B159" s="31" t="s">
        <v>13</v>
      </c>
      <c r="C159" s="31" t="s">
        <v>14</v>
      </c>
      <c r="D159" s="37" t="s">
        <v>15</v>
      </c>
      <c r="E159" s="37" t="s">
        <v>16</v>
      </c>
      <c r="F159" s="31" t="s">
        <v>13</v>
      </c>
      <c r="G159" s="31" t="s">
        <v>14</v>
      </c>
      <c r="H159" s="37" t="s">
        <v>15</v>
      </c>
      <c r="I159" s="37" t="s">
        <v>16</v>
      </c>
      <c r="J159" s="31" t="s">
        <v>13</v>
      </c>
      <c r="K159" s="31" t="s">
        <v>14</v>
      </c>
      <c r="L159" s="37" t="s">
        <v>15</v>
      </c>
      <c r="M159" s="37" t="s">
        <v>16</v>
      </c>
      <c r="N159" s="31" t="s">
        <v>13</v>
      </c>
      <c r="O159" s="31" t="s">
        <v>14</v>
      </c>
      <c r="P159" s="37" t="s">
        <v>15</v>
      </c>
      <c r="Q159" s="37" t="s">
        <v>16</v>
      </c>
      <c r="R159" s="31" t="s">
        <v>13</v>
      </c>
      <c r="S159" s="31" t="s">
        <v>14</v>
      </c>
      <c r="T159" s="31" t="s">
        <v>15</v>
      </c>
      <c r="U159" s="31" t="s">
        <v>16</v>
      </c>
      <c r="V159" s="67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ht="15.6" customHeight="1" spans="1:44" x14ac:dyDescent="0.25">
      <c r="A160" s="39"/>
      <c r="B160" s="40"/>
      <c r="C160" s="40"/>
      <c r="D160" s="41"/>
      <c r="E160" s="42"/>
      <c r="F160" s="40"/>
      <c r="G160" s="40"/>
      <c r="H160" s="41"/>
      <c r="I160" s="42"/>
      <c r="J160" s="40"/>
      <c r="K160" s="40"/>
      <c r="L160" s="41"/>
      <c r="M160" s="42"/>
      <c r="N160" s="40"/>
      <c r="O160" s="40"/>
      <c r="P160" s="41"/>
      <c r="Q160" s="42"/>
      <c r="R160" s="40"/>
      <c r="S160" s="40"/>
      <c r="T160" s="40"/>
      <c r="U160" s="40"/>
      <c r="V160" s="68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ht="6" customHeight="1" spans="1:44" x14ac:dyDescent="0.25">
      <c r="A161" s="3"/>
      <c r="B161" s="35"/>
      <c r="C161" s="35"/>
      <c r="D161" s="72"/>
      <c r="E161" s="5"/>
      <c r="F161" s="35"/>
      <c r="G161" s="35"/>
      <c r="H161" s="72"/>
      <c r="I161" s="5"/>
      <c r="J161" s="35"/>
      <c r="K161" s="35"/>
      <c r="L161" s="72"/>
      <c r="M161" s="5"/>
      <c r="N161" s="35"/>
      <c r="O161" s="35"/>
      <c r="P161" s="72"/>
      <c r="Q161" s="5"/>
      <c r="R161" s="35"/>
      <c r="S161" s="35"/>
      <c r="T161" s="35"/>
      <c r="U161" s="35"/>
      <c r="V161" s="38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ht="15.6" customHeight="1" spans="1:44" x14ac:dyDescent="0.25">
      <c r="A162" s="3"/>
      <c r="B162" s="76"/>
      <c r="C162" s="77"/>
      <c r="D162" s="78"/>
      <c r="E162" s="79"/>
      <c r="F162" s="76"/>
      <c r="G162" s="77"/>
      <c r="H162" s="78"/>
      <c r="I162" s="79"/>
      <c r="J162" s="76"/>
      <c r="K162" s="77"/>
      <c r="L162" s="78"/>
      <c r="M162" s="79"/>
      <c r="N162" s="76"/>
      <c r="O162" s="77"/>
      <c r="P162" s="78"/>
      <c r="Q162" s="79"/>
      <c r="R162" s="35"/>
      <c r="S162" s="35"/>
      <c r="T162" s="35"/>
      <c r="U162" s="35"/>
      <c r="V162" s="38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ht="15.6" customHeight="1" spans="1:44" x14ac:dyDescent="0.25">
      <c r="A163" s="3"/>
      <c r="B163" s="50">
        <f>IF(D162&lt;1,"","пом.")</f>
      </c>
      <c r="C163" s="50"/>
      <c r="D163" s="52"/>
      <c r="E163" s="53"/>
      <c r="F163" s="50">
        <f>IF(H162&lt;1,"","пом.")</f>
      </c>
      <c r="G163" s="50"/>
      <c r="H163" s="52"/>
      <c r="I163" s="53"/>
      <c r="J163" s="50">
        <f>IF(L162&lt;1,"","пом.")</f>
      </c>
      <c r="K163" s="50"/>
      <c r="L163" s="52"/>
      <c r="M163" s="53"/>
      <c r="N163" s="50">
        <f>IF(P162&lt;1,"","пом.")</f>
      </c>
      <c r="O163" s="50"/>
      <c r="P163" s="52"/>
      <c r="Q163" s="53"/>
      <c r="R163" s="35"/>
      <c r="S163" s="35"/>
      <c r="T163" s="35"/>
      <c r="U163" s="35"/>
      <c r="V163" s="38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ht="9" customHeight="1" spans="1:44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ht="15.6" customHeight="1" spans="1:44" x14ac:dyDescent="0.25">
      <c r="A165" s="3"/>
      <c r="B165" s="3"/>
      <c r="C165" s="3"/>
      <c r="D165" s="4"/>
      <c r="E165" s="5" t="s">
        <v>26</v>
      </c>
      <c r="F165" s="54" t="s">
        <v>27</v>
      </c>
      <c r="G165" s="54"/>
      <c r="H165" s="54"/>
      <c r="I165" s="100" t="s">
        <v>28</v>
      </c>
      <c r="J165" s="100"/>
      <c r="K165" s="100"/>
      <c r="L165" s="4"/>
      <c r="M165" s="4"/>
      <c r="N165" s="3"/>
      <c r="O165" s="35" t="s">
        <v>29</v>
      </c>
      <c r="P165" s="54" t="s">
        <v>30</v>
      </c>
      <c r="Q165" s="54"/>
      <c r="R165" s="54"/>
      <c r="S165" s="100" t="s">
        <v>31</v>
      </c>
      <c r="T165" s="100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ht="15.6" customHeight="1" spans="1:44" x14ac:dyDescent="0.25">
      <c r="A166" s="3"/>
      <c r="B166" s="3"/>
      <c r="C166" s="3"/>
      <c r="D166" s="4"/>
      <c r="E166" s="5" t="s">
        <v>32</v>
      </c>
      <c r="F166" s="54" t="s">
        <v>33</v>
      </c>
      <c r="G166" s="54"/>
      <c r="H166" s="54"/>
      <c r="I166" s="100" t="s">
        <v>34</v>
      </c>
      <c r="J166" s="100"/>
      <c r="K166" s="100"/>
      <c r="L166" s="4"/>
      <c r="M166" s="4"/>
      <c r="N166" s="3"/>
      <c r="O166" s="35" t="s">
        <v>35</v>
      </c>
      <c r="P166" s="54" t="s">
        <v>30</v>
      </c>
      <c r="Q166" s="54"/>
      <c r="R166" s="54"/>
      <c r="S166" s="101" t="s">
        <v>36</v>
      </c>
      <c r="T166" s="101"/>
      <c r="U166" s="101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ht="15.6" customHeight="1" spans="1:44" x14ac:dyDescent="0.25">
      <c r="A167" s="55"/>
      <c r="B167" s="55"/>
      <c r="C167" s="55"/>
      <c r="D167" s="56"/>
      <c r="E167" s="57"/>
      <c r="F167" s="55"/>
      <c r="G167" s="55"/>
      <c r="H167" s="56"/>
      <c r="I167" s="56"/>
      <c r="J167" s="55"/>
      <c r="K167" s="55"/>
      <c r="L167" s="56"/>
      <c r="M167" s="56"/>
      <c r="N167" s="55"/>
      <c r="O167" s="55"/>
      <c r="P167" s="56"/>
      <c r="Q167" s="56"/>
      <c r="R167" s="55"/>
      <c r="S167" s="55"/>
      <c r="T167" s="55"/>
      <c r="U167" s="55"/>
      <c r="V167" s="55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ht="15.6" customHeight="1" spans="1:44" x14ac:dyDescent="0.25">
      <c r="A168" s="55"/>
      <c r="B168" s="55"/>
      <c r="C168" s="55"/>
      <c r="D168" s="56"/>
      <c r="E168" s="57"/>
      <c r="F168" s="55"/>
      <c r="G168" s="55"/>
      <c r="H168" s="56"/>
      <c r="I168" s="56"/>
      <c r="J168" s="55"/>
      <c r="K168" s="55"/>
      <c r="L168" s="56"/>
      <c r="M168" s="56"/>
      <c r="N168" s="55"/>
      <c r="O168" s="55"/>
      <c r="P168" s="56"/>
      <c r="Q168" s="56"/>
      <c r="R168" s="55"/>
      <c r="S168" s="55"/>
      <c r="T168" s="55"/>
      <c r="U168" s="55"/>
      <c r="V168" s="55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ht="15.6" customHeight="1" hidden="1" spans="1:44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ht="15.6" customHeight="1" spans="1:44" x14ac:dyDescent="0.25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4" t="str">
        <f>N148</f>
        <v>1.1</v>
      </c>
      <c r="O170" s="14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ht="15.6" customHeight="1" spans="1:44" x14ac:dyDescent="0.25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5"/>
      <c r="K171" s="15"/>
      <c r="L171" s="16"/>
      <c r="M171" s="9" t="s">
        <v>5</v>
      </c>
      <c r="N171" s="18" t="str">
        <f>N170&amp;".3"</f>
        <v>1.1.3</v>
      </c>
      <c r="O171" s="18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ht="15.6" customHeight="1" spans="1:44" x14ac:dyDescent="0.25">
      <c r="A172" s="3"/>
      <c r="B172" s="3"/>
      <c r="C172" s="3"/>
      <c r="D172" s="4"/>
      <c r="E172" s="4" t="s">
        <v>7</v>
      </c>
      <c r="F172" s="3"/>
      <c r="G172" s="3"/>
      <c r="H172" s="8"/>
      <c r="I172" s="8"/>
      <c r="J172" s="7"/>
      <c r="K172" s="7"/>
      <c r="L172" s="8"/>
      <c r="M172" s="19" t="s">
        <v>5</v>
      </c>
      <c r="N172" s="20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ht="15.6" customHeight="1" spans="1:44" x14ac:dyDescent="0.25">
      <c r="A173" s="3"/>
      <c r="B173" s="3"/>
      <c r="C173" s="3"/>
      <c r="D173" s="4"/>
      <c r="E173" s="4" t="s">
        <v>8</v>
      </c>
      <c r="F173" s="3"/>
      <c r="G173" s="3"/>
      <c r="H173" s="4"/>
      <c r="I173" s="4"/>
      <c r="J173" s="3"/>
      <c r="K173" s="3"/>
      <c r="L173" s="16"/>
      <c r="M173" s="19" t="s">
        <v>70</v>
      </c>
      <c r="N173" s="20" t="str">
        <f>IF(N151="-"&amp;N128&amp;".5",IF(N152=15,"-"&amp;N128&amp;".6","-"&amp;N128&amp;".5"),N151)</f>
        <v>-1.1.5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ht="15.6" customHeight="1" spans="1:44" x14ac:dyDescent="0.25">
      <c r="A174" s="3"/>
      <c r="B174" s="3"/>
      <c r="C174" s="3"/>
      <c r="D174" s="4"/>
      <c r="E174" s="24" t="s">
        <v>10</v>
      </c>
      <c r="F174" s="3"/>
      <c r="G174" s="3"/>
      <c r="H174" s="4"/>
      <c r="I174" s="8"/>
      <c r="J174" s="7"/>
      <c r="K174" s="7"/>
      <c r="L174" s="8"/>
      <c r="M174" s="19" t="s">
        <v>5</v>
      </c>
      <c r="N174" s="20">
        <f>IF(N173="-"&amp;N128&amp;".5",N152+1,IF(N151="-"&amp;N128&amp;".5",1,N152+1))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ht="15.6" customHeight="1" spans="1:44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ht="15.6" customHeight="1" spans="1:44" x14ac:dyDescent="0.25">
      <c r="A176" s="27"/>
      <c r="B176" s="28"/>
      <c r="C176" s="28"/>
      <c r="D176" s="29"/>
      <c r="E176" s="29"/>
      <c r="F176" s="28"/>
      <c r="G176" s="28"/>
      <c r="H176" s="29"/>
      <c r="I176" s="29"/>
      <c r="J176" s="28"/>
      <c r="K176" s="28"/>
      <c r="L176" s="29"/>
      <c r="M176" s="29"/>
      <c r="N176" s="28"/>
      <c r="O176" s="28"/>
      <c r="P176" s="29"/>
      <c r="Q176" s="29"/>
      <c r="R176" s="28"/>
      <c r="S176" s="28"/>
      <c r="T176" s="28"/>
      <c r="U176" s="28"/>
      <c r="V176" s="59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ht="15.6" customHeight="1" spans="1:44" x14ac:dyDescent="0.25">
      <c r="A177" s="30"/>
      <c r="B177" s="31"/>
      <c r="C177" s="31"/>
      <c r="D177" s="32">
        <v>1</v>
      </c>
      <c r="E177" s="33"/>
      <c r="F177" s="31"/>
      <c r="G177" s="31"/>
      <c r="H177" s="32">
        <v>2</v>
      </c>
      <c r="I177" s="33"/>
      <c r="J177" s="31"/>
      <c r="K177" s="31"/>
      <c r="L177" s="32">
        <v>3</v>
      </c>
      <c r="M177" s="33"/>
      <c r="N177" s="31"/>
      <c r="O177" s="31"/>
      <c r="P177" s="32">
        <v>4</v>
      </c>
      <c r="Q177" s="33"/>
      <c r="R177" s="31"/>
      <c r="S177" s="31"/>
      <c r="T177" s="31"/>
      <c r="U177" s="31"/>
      <c r="V177" s="60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ht="15.6" customHeight="1" spans="1:44" x14ac:dyDescent="0.25">
      <c r="A178" s="30"/>
      <c r="B178" s="31" t="s">
        <v>11</v>
      </c>
      <c r="C178" s="31"/>
      <c r="D178" s="32" t="s">
        <v>12</v>
      </c>
      <c r="E178" s="33"/>
      <c r="F178" s="31" t="s">
        <v>11</v>
      </c>
      <c r="G178" s="31"/>
      <c r="H178" s="32" t="s">
        <v>12</v>
      </c>
      <c r="I178" s="33"/>
      <c r="J178" s="31" t="s">
        <v>11</v>
      </c>
      <c r="K178" s="31"/>
      <c r="L178" s="32" t="s">
        <v>12</v>
      </c>
      <c r="M178" s="33"/>
      <c r="N178" s="31" t="s">
        <v>11</v>
      </c>
      <c r="O178" s="31"/>
      <c r="P178" s="32" t="s">
        <v>12</v>
      </c>
      <c r="Q178" s="33"/>
      <c r="R178" s="31"/>
      <c r="S178" s="31"/>
      <c r="T178" s="31"/>
      <c r="U178" s="31"/>
      <c r="V178" s="65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ht="15.6" customHeight="1" spans="1:44" x14ac:dyDescent="0.25">
      <c r="A179" s="30"/>
      <c r="B179" s="35"/>
      <c r="C179" s="35"/>
      <c r="D179" s="5"/>
      <c r="E179" s="5"/>
      <c r="F179" s="35"/>
      <c r="G179" s="35"/>
      <c r="H179" s="5"/>
      <c r="I179" s="5"/>
      <c r="J179" s="35"/>
      <c r="K179" s="35"/>
      <c r="L179" s="5"/>
      <c r="M179" s="5"/>
      <c r="N179" s="35"/>
      <c r="O179" s="35"/>
      <c r="P179" s="5"/>
      <c r="Q179" s="5"/>
      <c r="R179" s="35"/>
      <c r="S179" s="35"/>
      <c r="T179" s="35"/>
      <c r="U179" s="35"/>
      <c r="V179" s="65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ht="15.6" customHeight="1" spans="1:44" x14ac:dyDescent="0.25">
      <c r="A180" s="30"/>
      <c r="B180" s="31">
        <v>0</v>
      </c>
      <c r="C180" s="31"/>
      <c r="D180" s="37">
        <v>1</v>
      </c>
      <c r="E180" s="37"/>
      <c r="F180" s="31">
        <v>2</v>
      </c>
      <c r="G180" s="31"/>
      <c r="H180" s="37">
        <v>3</v>
      </c>
      <c r="I180" s="37"/>
      <c r="J180" s="31">
        <v>4</v>
      </c>
      <c r="K180" s="31"/>
      <c r="L180" s="37">
        <v>5</v>
      </c>
      <c r="M180" s="37"/>
      <c r="N180" s="31">
        <v>6</v>
      </c>
      <c r="O180" s="31"/>
      <c r="P180" s="37">
        <v>7</v>
      </c>
      <c r="Q180" s="37"/>
      <c r="R180" s="31">
        <v>8</v>
      </c>
      <c r="S180" s="31"/>
      <c r="T180" s="31">
        <v>9</v>
      </c>
      <c r="U180" s="31"/>
      <c r="V180" s="67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ht="15.6" customHeight="1" spans="1:44" x14ac:dyDescent="0.25">
      <c r="A181" s="30"/>
      <c r="B181" s="31" t="s">
        <v>13</v>
      </c>
      <c r="C181" s="31" t="s">
        <v>14</v>
      </c>
      <c r="D181" s="37" t="s">
        <v>15</v>
      </c>
      <c r="E181" s="37" t="s">
        <v>16</v>
      </c>
      <c r="F181" s="31" t="s">
        <v>13</v>
      </c>
      <c r="G181" s="31" t="s">
        <v>14</v>
      </c>
      <c r="H181" s="37" t="s">
        <v>15</v>
      </c>
      <c r="I181" s="37" t="s">
        <v>16</v>
      </c>
      <c r="J181" s="31" t="s">
        <v>13</v>
      </c>
      <c r="K181" s="31" t="s">
        <v>14</v>
      </c>
      <c r="L181" s="37" t="s">
        <v>15</v>
      </c>
      <c r="M181" s="37" t="s">
        <v>16</v>
      </c>
      <c r="N181" s="31" t="s">
        <v>13</v>
      </c>
      <c r="O181" s="31" t="s">
        <v>14</v>
      </c>
      <c r="P181" s="37" t="s">
        <v>15</v>
      </c>
      <c r="Q181" s="37" t="s">
        <v>16</v>
      </c>
      <c r="R181" s="31" t="s">
        <v>13</v>
      </c>
      <c r="S181" s="31" t="s">
        <v>14</v>
      </c>
      <c r="T181" s="31" t="s">
        <v>15</v>
      </c>
      <c r="U181" s="31" t="s">
        <v>16</v>
      </c>
      <c r="V181" s="67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ht="15.6" customHeight="1" spans="1:44" x14ac:dyDescent="0.25">
      <c r="A182" s="39"/>
      <c r="B182" s="40"/>
      <c r="C182" s="40"/>
      <c r="D182" s="41"/>
      <c r="E182" s="42"/>
      <c r="F182" s="40"/>
      <c r="G182" s="40"/>
      <c r="H182" s="41"/>
      <c r="I182" s="42"/>
      <c r="J182" s="40"/>
      <c r="K182" s="40"/>
      <c r="L182" s="41"/>
      <c r="M182" s="42"/>
      <c r="N182" s="40"/>
      <c r="O182" s="40"/>
      <c r="P182" s="41"/>
      <c r="Q182" s="42"/>
      <c r="R182" s="40"/>
      <c r="S182" s="40"/>
      <c r="T182" s="40"/>
      <c r="U182" s="40"/>
      <c r="V182" s="68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ht="15.6" customHeight="1" spans="1:44" x14ac:dyDescent="0.25">
      <c r="A183" s="3"/>
      <c r="B183" s="35"/>
      <c r="C183" s="35"/>
      <c r="D183" s="72"/>
      <c r="E183" s="5"/>
      <c r="F183" s="35"/>
      <c r="G183" s="35"/>
      <c r="H183" s="72"/>
      <c r="I183" s="5"/>
      <c r="J183" s="35"/>
      <c r="K183" s="35"/>
      <c r="L183" s="72"/>
      <c r="M183" s="5"/>
      <c r="N183" s="35"/>
      <c r="O183" s="35"/>
      <c r="P183" s="72"/>
      <c r="Q183" s="5"/>
      <c r="R183" s="35"/>
      <c r="S183" s="35"/>
      <c r="T183" s="35"/>
      <c r="U183" s="35"/>
      <c r="V183" s="38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ht="15.6" customHeight="1" spans="1:44" x14ac:dyDescent="0.25">
      <c r="A184" s="3"/>
      <c r="B184" s="76"/>
      <c r="C184" s="77"/>
      <c r="D184" s="78"/>
      <c r="E184" s="79"/>
      <c r="F184" s="76"/>
      <c r="G184" s="77"/>
      <c r="H184" s="78"/>
      <c r="I184" s="79"/>
      <c r="J184" s="76"/>
      <c r="K184" s="77"/>
      <c r="L184" s="78"/>
      <c r="M184" s="79"/>
      <c r="N184" s="76"/>
      <c r="O184" s="77"/>
      <c r="P184" s="78"/>
      <c r="Q184" s="79"/>
      <c r="R184" s="35"/>
      <c r="S184" s="35"/>
      <c r="T184" s="35"/>
      <c r="U184" s="35"/>
      <c r="V184" s="38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ht="15.6" customHeight="1" spans="1:44" x14ac:dyDescent="0.25">
      <c r="A185" s="3"/>
      <c r="B185" s="50">
        <f>IF(D184&lt;1,"","пом.")</f>
      </c>
      <c r="C185" s="50"/>
      <c r="D185" s="52"/>
      <c r="E185" s="53"/>
      <c r="F185" s="50">
        <f>IF(H184&lt;1,"","пом.")</f>
      </c>
      <c r="G185" s="50"/>
      <c r="H185" s="52"/>
      <c r="I185" s="53"/>
      <c r="J185" s="50">
        <f>IF(L184&lt;1,"","пом.")</f>
      </c>
      <c r="K185" s="50"/>
      <c r="L185" s="52"/>
      <c r="M185" s="53"/>
      <c r="N185" s="50">
        <f>IF(P184&lt;1,"","пом.")</f>
      </c>
      <c r="O185" s="50"/>
      <c r="P185" s="52"/>
      <c r="Q185" s="53"/>
      <c r="R185" s="35"/>
      <c r="S185" s="35"/>
      <c r="T185" s="35"/>
      <c r="U185" s="35"/>
      <c r="V185" s="38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ht="15.6" customHeight="1" spans="1:44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ht="15.6" customHeight="1" spans="1:44" x14ac:dyDescent="0.25">
      <c r="A187" s="3"/>
      <c r="B187" s="3"/>
      <c r="C187" s="3"/>
      <c r="D187" s="4"/>
      <c r="E187" s="5" t="s">
        <v>26</v>
      </c>
      <c r="F187" s="54" t="s">
        <v>27</v>
      </c>
      <c r="G187" s="54"/>
      <c r="H187" s="54"/>
      <c r="I187" s="100" t="s">
        <v>28</v>
      </c>
      <c r="J187" s="100"/>
      <c r="K187" s="100"/>
      <c r="L187" s="4"/>
      <c r="M187" s="4"/>
      <c r="N187" s="3"/>
      <c r="O187" s="35" t="s">
        <v>29</v>
      </c>
      <c r="P187" s="54" t="s">
        <v>30</v>
      </c>
      <c r="Q187" s="54"/>
      <c r="R187" s="54"/>
      <c r="S187" s="100" t="s">
        <v>31</v>
      </c>
      <c r="T187" s="100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ht="15.6" customHeight="1" spans="1:44" x14ac:dyDescent="0.25">
      <c r="A188" s="3"/>
      <c r="B188" s="3"/>
      <c r="C188" s="3"/>
      <c r="D188" s="4"/>
      <c r="E188" s="5" t="s">
        <v>32</v>
      </c>
      <c r="F188" s="54" t="s">
        <v>33</v>
      </c>
      <c r="G188" s="54"/>
      <c r="H188" s="54"/>
      <c r="I188" s="100" t="s">
        <v>34</v>
      </c>
      <c r="J188" s="100"/>
      <c r="K188" s="100"/>
      <c r="L188" s="4"/>
      <c r="M188" s="4"/>
      <c r="N188" s="3"/>
      <c r="O188" s="35" t="s">
        <v>35</v>
      </c>
      <c r="P188" s="54" t="s">
        <v>30</v>
      </c>
      <c r="Q188" s="54"/>
      <c r="R188" s="54"/>
      <c r="S188" s="101" t="s">
        <v>36</v>
      </c>
      <c r="T188" s="101"/>
      <c r="U188" s="101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ht="15.6" customHeight="1" spans="1:44" x14ac:dyDescent="0.25">
      <c r="A189" s="55"/>
      <c r="B189" s="55"/>
      <c r="C189" s="55"/>
      <c r="D189" s="56"/>
      <c r="E189" s="57"/>
      <c r="F189" s="55"/>
      <c r="G189" s="55"/>
      <c r="H189" s="56"/>
      <c r="I189" s="56"/>
      <c r="J189" s="55"/>
      <c r="K189" s="55"/>
      <c r="L189" s="56"/>
      <c r="M189" s="56"/>
      <c r="N189" s="55"/>
      <c r="O189" s="55"/>
      <c r="P189" s="56"/>
      <c r="Q189" s="56"/>
      <c r="R189" s="55"/>
      <c r="S189" s="55"/>
      <c r="T189" s="55"/>
      <c r="U189" s="55"/>
      <c r="V189" s="55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ht="15.6" customHeight="1" spans="1:44" x14ac:dyDescent="0.25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4" t="str">
        <f>N170</f>
        <v>1.1</v>
      </c>
      <c r="O190" s="14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ht="15.6" customHeight="1" spans="1:44" x14ac:dyDescent="0.25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5"/>
      <c r="K191" s="15"/>
      <c r="L191" s="16"/>
      <c r="M191" s="9" t="s">
        <v>5</v>
      </c>
      <c r="N191" s="18" t="str">
        <f>N171</f>
        <v>1.1.3</v>
      </c>
      <c r="O191" s="18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ht="15.6" customHeight="1" spans="1:44" x14ac:dyDescent="0.25">
      <c r="A192" s="3"/>
      <c r="B192" s="3"/>
      <c r="C192" s="3"/>
      <c r="D192" s="4"/>
      <c r="E192" s="4" t="s">
        <v>7</v>
      </c>
      <c r="F192" s="3"/>
      <c r="G192" s="3"/>
      <c r="H192" s="8"/>
      <c r="I192" s="8"/>
      <c r="J192" s="7"/>
      <c r="K192" s="7"/>
      <c r="L192" s="8"/>
      <c r="M192" s="19" t="s">
        <v>5</v>
      </c>
      <c r="N192" s="20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ht="15.6" customHeight="1" spans="1:44" x14ac:dyDescent="0.25">
      <c r="A193" s="3"/>
      <c r="B193" s="3"/>
      <c r="C193" s="3"/>
      <c r="D193" s="4"/>
      <c r="E193" s="4" t="s">
        <v>8</v>
      </c>
      <c r="F193" s="3"/>
      <c r="G193" s="3"/>
      <c r="H193" s="4"/>
      <c r="I193" s="4"/>
      <c r="J193" s="3"/>
      <c r="K193" s="3"/>
      <c r="L193" s="16"/>
      <c r="M193" s="19" t="s">
        <v>70</v>
      </c>
      <c r="N193" s="20" t="str">
        <f>IF(N173="-"&amp;N170&amp;".5",IF(N174=15,"-"&amp;N170&amp;".6","-"&amp;N170&amp;".5"),N173)</f>
        <v>-1.1.5</v>
      </c>
      <c r="O193" s="22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ht="15.6" customHeight="1" spans="1:44" x14ac:dyDescent="0.25">
      <c r="A194" s="3"/>
      <c r="B194" s="3"/>
      <c r="C194" s="3"/>
      <c r="D194" s="4"/>
      <c r="E194" s="24" t="s">
        <v>10</v>
      </c>
      <c r="F194" s="3"/>
      <c r="G194" s="3"/>
      <c r="H194" s="4"/>
      <c r="I194" s="8"/>
      <c r="J194" s="7"/>
      <c r="K194" s="7"/>
      <c r="L194" s="8"/>
      <c r="M194" s="19" t="s">
        <v>5</v>
      </c>
      <c r="N194" s="20">
        <f>IF(N193="-"&amp;N128&amp;".5",N174+1,IF(N173="-"&amp;N128&amp;".5",1,N174+1))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ht="9.6" customHeight="1" spans="1:44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ht="15.6" customHeight="1" spans="1:44" x14ac:dyDescent="0.25">
      <c r="A196" s="27"/>
      <c r="B196" s="28"/>
      <c r="C196" s="28"/>
      <c r="D196" s="29"/>
      <c r="E196" s="29"/>
      <c r="F196" s="28"/>
      <c r="G196" s="28"/>
      <c r="H196" s="29"/>
      <c r="I196" s="29"/>
      <c r="J196" s="28"/>
      <c r="K196" s="28"/>
      <c r="L196" s="29"/>
      <c r="M196" s="29"/>
      <c r="N196" s="28"/>
      <c r="O196" s="28"/>
      <c r="P196" s="29"/>
      <c r="Q196" s="29"/>
      <c r="R196" s="28"/>
      <c r="S196" s="28"/>
      <c r="T196" s="28"/>
      <c r="U196" s="28"/>
      <c r="V196" s="59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ht="15.6" customHeight="1" spans="1:44" x14ac:dyDescent="0.25">
      <c r="A197" s="30"/>
      <c r="B197" s="31"/>
      <c r="C197" s="31"/>
      <c r="D197" s="32">
        <v>1</v>
      </c>
      <c r="E197" s="33"/>
      <c r="F197" s="31"/>
      <c r="G197" s="31"/>
      <c r="H197" s="32">
        <v>2</v>
      </c>
      <c r="I197" s="33"/>
      <c r="J197" s="31"/>
      <c r="K197" s="31"/>
      <c r="L197" s="32">
        <v>3</v>
      </c>
      <c r="M197" s="33"/>
      <c r="N197" s="31"/>
      <c r="O197" s="31"/>
      <c r="P197" s="32">
        <v>4</v>
      </c>
      <c r="Q197" s="33"/>
      <c r="R197" s="31"/>
      <c r="S197" s="31"/>
      <c r="T197" s="31"/>
      <c r="U197" s="31"/>
      <c r="V197" s="60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ht="15.6" customHeight="1" spans="1:44" x14ac:dyDescent="0.25">
      <c r="A198" s="30"/>
      <c r="B198" s="31" t="s">
        <v>11</v>
      </c>
      <c r="C198" s="31"/>
      <c r="D198" s="32" t="s">
        <v>12</v>
      </c>
      <c r="E198" s="33"/>
      <c r="F198" s="31" t="s">
        <v>11</v>
      </c>
      <c r="G198" s="31"/>
      <c r="H198" s="32" t="s">
        <v>12</v>
      </c>
      <c r="I198" s="33"/>
      <c r="J198" s="31" t="s">
        <v>11</v>
      </c>
      <c r="K198" s="31"/>
      <c r="L198" s="32" t="s">
        <v>12</v>
      </c>
      <c r="M198" s="33"/>
      <c r="N198" s="31" t="s">
        <v>11</v>
      </c>
      <c r="O198" s="31"/>
      <c r="P198" s="32" t="s">
        <v>12</v>
      </c>
      <c r="Q198" s="33"/>
      <c r="R198" s="31"/>
      <c r="S198" s="31"/>
      <c r="T198" s="31"/>
      <c r="U198" s="31"/>
      <c r="V198" s="65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ht="15.6" customHeight="1" spans="1:44" x14ac:dyDescent="0.25">
      <c r="A199" s="30"/>
      <c r="B199" s="35"/>
      <c r="C199" s="35"/>
      <c r="D199" s="5"/>
      <c r="E199" s="5"/>
      <c r="F199" s="35"/>
      <c r="G199" s="35"/>
      <c r="H199" s="5"/>
      <c r="I199" s="5"/>
      <c r="J199" s="35"/>
      <c r="K199" s="35"/>
      <c r="L199" s="5"/>
      <c r="M199" s="5"/>
      <c r="N199" s="35"/>
      <c r="O199" s="35"/>
      <c r="P199" s="5"/>
      <c r="Q199" s="5"/>
      <c r="R199" s="35"/>
      <c r="S199" s="35"/>
      <c r="T199" s="35"/>
      <c r="U199" s="35"/>
      <c r="V199" s="65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ht="15.6" customHeight="1" spans="1:44" x14ac:dyDescent="0.25">
      <c r="A200" s="30"/>
      <c r="B200" s="31">
        <v>0</v>
      </c>
      <c r="C200" s="31"/>
      <c r="D200" s="37">
        <v>1</v>
      </c>
      <c r="E200" s="37"/>
      <c r="F200" s="31">
        <v>2</v>
      </c>
      <c r="G200" s="31"/>
      <c r="H200" s="37">
        <v>3</v>
      </c>
      <c r="I200" s="37"/>
      <c r="J200" s="31">
        <v>4</v>
      </c>
      <c r="K200" s="31"/>
      <c r="L200" s="37">
        <v>5</v>
      </c>
      <c r="M200" s="37"/>
      <c r="N200" s="31">
        <v>6</v>
      </c>
      <c r="O200" s="31"/>
      <c r="P200" s="37">
        <v>7</v>
      </c>
      <c r="Q200" s="37"/>
      <c r="R200" s="31">
        <v>8</v>
      </c>
      <c r="S200" s="31"/>
      <c r="T200" s="31">
        <v>9</v>
      </c>
      <c r="U200" s="31"/>
      <c r="V200" s="67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ht="15.6" customHeight="1" spans="1:44" x14ac:dyDescent="0.25">
      <c r="A201" s="30"/>
      <c r="B201" s="31" t="s">
        <v>13</v>
      </c>
      <c r="C201" s="31" t="s">
        <v>14</v>
      </c>
      <c r="D201" s="37" t="s">
        <v>15</v>
      </c>
      <c r="E201" s="37" t="s">
        <v>16</v>
      </c>
      <c r="F201" s="31" t="s">
        <v>13</v>
      </c>
      <c r="G201" s="31" t="s">
        <v>14</v>
      </c>
      <c r="H201" s="37" t="s">
        <v>15</v>
      </c>
      <c r="I201" s="37" t="s">
        <v>16</v>
      </c>
      <c r="J201" s="31" t="s">
        <v>13</v>
      </c>
      <c r="K201" s="31" t="s">
        <v>14</v>
      </c>
      <c r="L201" s="37" t="s">
        <v>15</v>
      </c>
      <c r="M201" s="37" t="s">
        <v>16</v>
      </c>
      <c r="N201" s="31" t="s">
        <v>13</v>
      </c>
      <c r="O201" s="31" t="s">
        <v>14</v>
      </c>
      <c r="P201" s="37" t="s">
        <v>15</v>
      </c>
      <c r="Q201" s="37" t="s">
        <v>16</v>
      </c>
      <c r="R201" s="31" t="s">
        <v>13</v>
      </c>
      <c r="S201" s="31" t="s">
        <v>14</v>
      </c>
      <c r="T201" s="31" t="s">
        <v>15</v>
      </c>
      <c r="U201" s="31" t="s">
        <v>16</v>
      </c>
      <c r="V201" s="67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ht="15.6" customHeight="1" spans="1:44" x14ac:dyDescent="0.25">
      <c r="A202" s="39"/>
      <c r="B202" s="40"/>
      <c r="C202" s="40"/>
      <c r="D202" s="41"/>
      <c r="E202" s="42"/>
      <c r="F202" s="40"/>
      <c r="G202" s="40"/>
      <c r="H202" s="41"/>
      <c r="I202" s="42"/>
      <c r="J202" s="40"/>
      <c r="K202" s="40"/>
      <c r="L202" s="41"/>
      <c r="M202" s="42"/>
      <c r="N202" s="40"/>
      <c r="O202" s="40"/>
      <c r="P202" s="41"/>
      <c r="Q202" s="42"/>
      <c r="R202" s="40"/>
      <c r="S202" s="40"/>
      <c r="T202" s="40"/>
      <c r="U202" s="40"/>
      <c r="V202" s="68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ht="6" customHeight="1" spans="1:44" x14ac:dyDescent="0.25">
      <c r="A203" s="3"/>
      <c r="B203" s="35"/>
      <c r="C203" s="35"/>
      <c r="D203" s="72"/>
      <c r="E203" s="5"/>
      <c r="F203" s="35"/>
      <c r="G203" s="35"/>
      <c r="H203" s="72"/>
      <c r="I203" s="5"/>
      <c r="J203" s="35"/>
      <c r="K203" s="35"/>
      <c r="L203" s="72"/>
      <c r="M203" s="5"/>
      <c r="N203" s="35"/>
      <c r="O203" s="35"/>
      <c r="P203" s="72"/>
      <c r="Q203" s="5"/>
      <c r="R203" s="35"/>
      <c r="S203" s="35"/>
      <c r="T203" s="35"/>
      <c r="U203" s="35"/>
      <c r="V203" s="38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ht="15.6" customHeight="1" spans="1:44" x14ac:dyDescent="0.25">
      <c r="A204" s="3"/>
      <c r="B204" s="76"/>
      <c r="C204" s="77"/>
      <c r="D204" s="78"/>
      <c r="E204" s="79"/>
      <c r="F204" s="76"/>
      <c r="G204" s="77"/>
      <c r="H204" s="78"/>
      <c r="I204" s="79"/>
      <c r="J204" s="76"/>
      <c r="K204" s="77"/>
      <c r="L204" s="78"/>
      <c r="M204" s="79"/>
      <c r="N204" s="76"/>
      <c r="O204" s="77"/>
      <c r="P204" s="78"/>
      <c r="Q204" s="79"/>
      <c r="R204" s="35"/>
      <c r="S204" s="35"/>
      <c r="T204" s="35"/>
      <c r="U204" s="35"/>
      <c r="V204" s="38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ht="15.6" customHeight="1" spans="1:44" x14ac:dyDescent="0.25">
      <c r="A205" s="3"/>
      <c r="B205" s="50">
        <f>IF(D204&lt;1,"","пом.")</f>
      </c>
      <c r="C205" s="50"/>
      <c r="D205" s="52"/>
      <c r="E205" s="53"/>
      <c r="F205" s="50">
        <f>IF(H204&lt;1,"","пом.")</f>
      </c>
      <c r="G205" s="50"/>
      <c r="H205" s="52"/>
      <c r="I205" s="53"/>
      <c r="J205" s="50">
        <f>IF(L204&lt;1,"","пом.")</f>
      </c>
      <c r="K205" s="50"/>
      <c r="L205" s="52"/>
      <c r="M205" s="53"/>
      <c r="N205" s="50">
        <f>IF(P204&lt;1,"","пом.")</f>
      </c>
      <c r="O205" s="50"/>
      <c r="P205" s="52"/>
      <c r="Q205" s="53"/>
      <c r="R205" s="35"/>
      <c r="S205" s="35"/>
      <c r="T205" s="35"/>
      <c r="U205" s="35"/>
      <c r="V205" s="38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ht="6.6" customHeight="1" spans="1:44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ht="15.6" customHeight="1" spans="1:44" x14ac:dyDescent="0.25">
      <c r="A207" s="3"/>
      <c r="B207" s="3"/>
      <c r="C207" s="3"/>
      <c r="D207" s="4"/>
      <c r="E207" s="5" t="s">
        <v>26</v>
      </c>
      <c r="F207" s="54" t="s">
        <v>27</v>
      </c>
      <c r="G207" s="54"/>
      <c r="H207" s="54"/>
      <c r="I207" s="100" t="s">
        <v>28</v>
      </c>
      <c r="J207" s="100"/>
      <c r="K207" s="100"/>
      <c r="L207" s="4"/>
      <c r="M207" s="4"/>
      <c r="N207" s="3"/>
      <c r="O207" s="35" t="s">
        <v>29</v>
      </c>
      <c r="P207" s="54" t="s">
        <v>30</v>
      </c>
      <c r="Q207" s="54"/>
      <c r="R207" s="54"/>
      <c r="S207" s="100" t="s">
        <v>31</v>
      </c>
      <c r="T207" s="100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ht="15.6" customHeight="1" spans="1:44" x14ac:dyDescent="0.25">
      <c r="A208" s="3"/>
      <c r="B208" s="3"/>
      <c r="C208" s="3"/>
      <c r="D208" s="4"/>
      <c r="E208" s="5" t="s">
        <v>32</v>
      </c>
      <c r="F208" s="54" t="s">
        <v>33</v>
      </c>
      <c r="G208" s="54"/>
      <c r="H208" s="54"/>
      <c r="I208" s="100" t="s">
        <v>34</v>
      </c>
      <c r="J208" s="100"/>
      <c r="K208" s="100"/>
      <c r="L208" s="4"/>
      <c r="M208" s="4"/>
      <c r="N208" s="3"/>
      <c r="O208" s="35" t="s">
        <v>35</v>
      </c>
      <c r="P208" s="54" t="s">
        <v>30</v>
      </c>
      <c r="Q208" s="54"/>
      <c r="R208" s="54"/>
      <c r="S208" s="101" t="s">
        <v>36</v>
      </c>
      <c r="T208" s="101"/>
      <c r="U208" s="101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ht="15.6" customHeight="1" spans="1:44" x14ac:dyDescent="0.25">
      <c r="A209" s="55"/>
      <c r="B209" s="55"/>
      <c r="C209" s="55"/>
      <c r="D209" s="56"/>
      <c r="E209" s="57"/>
      <c r="F209" s="55"/>
      <c r="G209" s="55"/>
      <c r="H209" s="56"/>
      <c r="I209" s="56"/>
      <c r="J209" s="55"/>
      <c r="K209" s="55"/>
      <c r="L209" s="56"/>
      <c r="M209" s="56"/>
      <c r="N209" s="55"/>
      <c r="O209" s="55"/>
      <c r="P209" s="56"/>
      <c r="Q209" s="56"/>
      <c r="R209" s="55"/>
      <c r="S209" s="55"/>
      <c r="T209" s="55"/>
      <c r="U209" s="55"/>
      <c r="V209" s="55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ht="15.6" customHeight="1" spans="1:44" x14ac:dyDescent="0.25">
      <c r="A210" s="55"/>
      <c r="B210" s="55"/>
      <c r="C210" s="55"/>
      <c r="D210" s="56"/>
      <c r="E210" s="57"/>
      <c r="F210" s="55"/>
      <c r="G210" s="55"/>
      <c r="H210" s="56"/>
      <c r="I210" s="56"/>
      <c r="J210" s="55"/>
      <c r="K210" s="55"/>
      <c r="L210" s="56"/>
      <c r="M210" s="56"/>
      <c r="N210" s="55"/>
      <c r="O210" s="55"/>
      <c r="P210" s="56"/>
      <c r="Q210" s="56"/>
      <c r="R210" s="55"/>
      <c r="S210" s="55"/>
      <c r="T210" s="55"/>
      <c r="U210" s="55"/>
      <c r="V210" s="55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ht="15.6" customHeight="1" hidden="1" spans="1:44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ht="15.6" customHeight="1" spans="1:44" x14ac:dyDescent="0.25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4" t="str">
        <f>N190</f>
        <v>1.1</v>
      </c>
      <c r="O212" s="14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ht="15.6" customHeight="1" spans="1:44" x14ac:dyDescent="0.25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5"/>
      <c r="K213" s="15"/>
      <c r="L213" s="16"/>
      <c r="M213" s="9" t="s">
        <v>5</v>
      </c>
      <c r="N213" s="18" t="str">
        <f>N212&amp;".3"</f>
        <v>1.1.3</v>
      </c>
      <c r="O213" s="18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ht="15.6" customHeight="1" spans="1:44" x14ac:dyDescent="0.25">
      <c r="A214" s="3"/>
      <c r="B214" s="3"/>
      <c r="C214" s="3"/>
      <c r="D214" s="4"/>
      <c r="E214" s="4" t="s">
        <v>7</v>
      </c>
      <c r="F214" s="3"/>
      <c r="G214" s="3"/>
      <c r="H214" s="8"/>
      <c r="I214" s="8"/>
      <c r="J214" s="7"/>
      <c r="K214" s="7"/>
      <c r="L214" s="8"/>
      <c r="M214" s="19" t="s">
        <v>5</v>
      </c>
      <c r="N214" s="20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ht="15.6" customHeight="1" spans="1:44" x14ac:dyDescent="0.25">
      <c r="A215" s="3"/>
      <c r="B215" s="3"/>
      <c r="C215" s="3"/>
      <c r="D215" s="4"/>
      <c r="E215" s="4" t="s">
        <v>8</v>
      </c>
      <c r="F215" s="3"/>
      <c r="G215" s="3"/>
      <c r="H215" s="4"/>
      <c r="I215" s="4"/>
      <c r="J215" s="3"/>
      <c r="K215" s="3"/>
      <c r="L215" s="16"/>
      <c r="M215" s="19" t="s">
        <v>70</v>
      </c>
      <c r="N215" s="20" t="str">
        <f>IF(N193="-"&amp;N170&amp;".5",IF(N194=15,"-"&amp;N170&amp;".6","-"&amp;N170&amp;".5"),N193)</f>
        <v>-1.1.5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ht="15.6" customHeight="1" spans="1:44" x14ac:dyDescent="0.25">
      <c r="A216" s="3"/>
      <c r="B216" s="3"/>
      <c r="C216" s="3"/>
      <c r="D216" s="4"/>
      <c r="E216" s="24" t="s">
        <v>10</v>
      </c>
      <c r="F216" s="3"/>
      <c r="G216" s="3"/>
      <c r="H216" s="4"/>
      <c r="I216" s="8"/>
      <c r="J216" s="7"/>
      <c r="K216" s="7"/>
      <c r="L216" s="8"/>
      <c r="M216" s="19" t="s">
        <v>5</v>
      </c>
      <c r="N216" s="20">
        <f>IF(N215="-"&amp;N170&amp;".5",N194+1,IF(N193="-"&amp;N170&amp;".5",1,N194+1))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ht="15.6" customHeight="1" spans="1:44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ht="15.6" customHeight="1" spans="1:44" x14ac:dyDescent="0.25">
      <c r="A218" s="27"/>
      <c r="B218" s="28"/>
      <c r="C218" s="28"/>
      <c r="D218" s="29"/>
      <c r="E218" s="29"/>
      <c r="F218" s="28"/>
      <c r="G218" s="28"/>
      <c r="H218" s="29"/>
      <c r="I218" s="29"/>
      <c r="J218" s="28"/>
      <c r="K218" s="28"/>
      <c r="L218" s="29"/>
      <c r="M218" s="29"/>
      <c r="N218" s="28"/>
      <c r="O218" s="28"/>
      <c r="P218" s="29"/>
      <c r="Q218" s="29"/>
      <c r="R218" s="28"/>
      <c r="S218" s="28"/>
      <c r="T218" s="28"/>
      <c r="U218" s="28"/>
      <c r="V218" s="59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ht="15.6" customHeight="1" spans="1:44" x14ac:dyDescent="0.25">
      <c r="A219" s="30"/>
      <c r="B219" s="31"/>
      <c r="C219" s="31"/>
      <c r="D219" s="32">
        <v>1</v>
      </c>
      <c r="E219" s="33"/>
      <c r="F219" s="31"/>
      <c r="G219" s="31"/>
      <c r="H219" s="32">
        <v>2</v>
      </c>
      <c r="I219" s="33"/>
      <c r="J219" s="31"/>
      <c r="K219" s="31"/>
      <c r="L219" s="32">
        <v>3</v>
      </c>
      <c r="M219" s="33"/>
      <c r="N219" s="31"/>
      <c r="O219" s="31"/>
      <c r="P219" s="32">
        <v>4</v>
      </c>
      <c r="Q219" s="33"/>
      <c r="R219" s="31"/>
      <c r="S219" s="31"/>
      <c r="T219" s="31"/>
      <c r="U219" s="31"/>
      <c r="V219" s="60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ht="15.6" customHeight="1" spans="1:44" x14ac:dyDescent="0.25">
      <c r="A220" s="30"/>
      <c r="B220" s="31" t="s">
        <v>11</v>
      </c>
      <c r="C220" s="31"/>
      <c r="D220" s="32" t="s">
        <v>12</v>
      </c>
      <c r="E220" s="33"/>
      <c r="F220" s="31" t="s">
        <v>11</v>
      </c>
      <c r="G220" s="31"/>
      <c r="H220" s="32" t="s">
        <v>12</v>
      </c>
      <c r="I220" s="33"/>
      <c r="J220" s="31" t="s">
        <v>11</v>
      </c>
      <c r="K220" s="31"/>
      <c r="L220" s="32" t="s">
        <v>12</v>
      </c>
      <c r="M220" s="33"/>
      <c r="N220" s="31" t="s">
        <v>11</v>
      </c>
      <c r="O220" s="31"/>
      <c r="P220" s="32" t="s">
        <v>12</v>
      </c>
      <c r="Q220" s="33"/>
      <c r="R220" s="31"/>
      <c r="S220" s="31"/>
      <c r="T220" s="31"/>
      <c r="U220" s="31"/>
      <c r="V220" s="65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ht="15.6" customHeight="1" spans="1:44" x14ac:dyDescent="0.25">
      <c r="A221" s="30"/>
      <c r="B221" s="35"/>
      <c r="C221" s="35"/>
      <c r="D221" s="5"/>
      <c r="E221" s="5"/>
      <c r="F221" s="35"/>
      <c r="G221" s="35"/>
      <c r="H221" s="5"/>
      <c r="I221" s="5"/>
      <c r="J221" s="35"/>
      <c r="K221" s="35"/>
      <c r="L221" s="5"/>
      <c r="M221" s="5"/>
      <c r="N221" s="35"/>
      <c r="O221" s="35"/>
      <c r="P221" s="5"/>
      <c r="Q221" s="5"/>
      <c r="R221" s="35"/>
      <c r="S221" s="35"/>
      <c r="T221" s="35"/>
      <c r="U221" s="35"/>
      <c r="V221" s="65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ht="15.6" customHeight="1" spans="1:44" x14ac:dyDescent="0.25">
      <c r="A222" s="30"/>
      <c r="B222" s="31">
        <v>0</v>
      </c>
      <c r="C222" s="31"/>
      <c r="D222" s="37">
        <v>1</v>
      </c>
      <c r="E222" s="37"/>
      <c r="F222" s="31">
        <v>2</v>
      </c>
      <c r="G222" s="31"/>
      <c r="H222" s="37">
        <v>3</v>
      </c>
      <c r="I222" s="37"/>
      <c r="J222" s="31">
        <v>4</v>
      </c>
      <c r="K222" s="31"/>
      <c r="L222" s="37">
        <v>5</v>
      </c>
      <c r="M222" s="37"/>
      <c r="N222" s="31">
        <v>6</v>
      </c>
      <c r="O222" s="31"/>
      <c r="P222" s="37">
        <v>7</v>
      </c>
      <c r="Q222" s="37"/>
      <c r="R222" s="31">
        <v>8</v>
      </c>
      <c r="S222" s="31"/>
      <c r="T222" s="31">
        <v>9</v>
      </c>
      <c r="U222" s="31"/>
      <c r="V222" s="67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ht="15.6" customHeight="1" spans="1:44" x14ac:dyDescent="0.25">
      <c r="A223" s="30"/>
      <c r="B223" s="31" t="s">
        <v>13</v>
      </c>
      <c r="C223" s="31" t="s">
        <v>14</v>
      </c>
      <c r="D223" s="37" t="s">
        <v>15</v>
      </c>
      <c r="E223" s="37" t="s">
        <v>16</v>
      </c>
      <c r="F223" s="31" t="s">
        <v>13</v>
      </c>
      <c r="G223" s="31" t="s">
        <v>14</v>
      </c>
      <c r="H223" s="37" t="s">
        <v>15</v>
      </c>
      <c r="I223" s="37" t="s">
        <v>16</v>
      </c>
      <c r="J223" s="31" t="s">
        <v>13</v>
      </c>
      <c r="K223" s="31" t="s">
        <v>14</v>
      </c>
      <c r="L223" s="37" t="s">
        <v>15</v>
      </c>
      <c r="M223" s="37" t="s">
        <v>16</v>
      </c>
      <c r="N223" s="31" t="s">
        <v>13</v>
      </c>
      <c r="O223" s="31" t="s">
        <v>14</v>
      </c>
      <c r="P223" s="37" t="s">
        <v>15</v>
      </c>
      <c r="Q223" s="37" t="s">
        <v>16</v>
      </c>
      <c r="R223" s="31" t="s">
        <v>13</v>
      </c>
      <c r="S223" s="31" t="s">
        <v>14</v>
      </c>
      <c r="T223" s="31" t="s">
        <v>15</v>
      </c>
      <c r="U223" s="31" t="s">
        <v>16</v>
      </c>
      <c r="V223" s="67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ht="15.6" customHeight="1" spans="1:44" x14ac:dyDescent="0.25">
      <c r="A224" s="39"/>
      <c r="B224" s="40"/>
      <c r="C224" s="40"/>
      <c r="D224" s="41"/>
      <c r="E224" s="42"/>
      <c r="F224" s="40"/>
      <c r="G224" s="40"/>
      <c r="H224" s="41"/>
      <c r="I224" s="42"/>
      <c r="J224" s="40"/>
      <c r="K224" s="40"/>
      <c r="L224" s="41"/>
      <c r="M224" s="42"/>
      <c r="N224" s="40"/>
      <c r="O224" s="40"/>
      <c r="P224" s="41"/>
      <c r="Q224" s="42"/>
      <c r="R224" s="40"/>
      <c r="S224" s="40"/>
      <c r="T224" s="40"/>
      <c r="U224" s="40"/>
      <c r="V224" s="68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ht="15.6" customHeight="1" spans="1:44" x14ac:dyDescent="0.25">
      <c r="A225" s="3"/>
      <c r="B225" s="35"/>
      <c r="C225" s="35"/>
      <c r="D225" s="72"/>
      <c r="E225" s="5"/>
      <c r="F225" s="35"/>
      <c r="G225" s="35"/>
      <c r="H225" s="72"/>
      <c r="I225" s="5"/>
      <c r="J225" s="35"/>
      <c r="K225" s="35"/>
      <c r="L225" s="72"/>
      <c r="M225" s="5"/>
      <c r="N225" s="35"/>
      <c r="O225" s="35"/>
      <c r="P225" s="72"/>
      <c r="Q225" s="5"/>
      <c r="R225" s="35"/>
      <c r="S225" s="35"/>
      <c r="T225" s="35"/>
      <c r="U225" s="35"/>
      <c r="V225" s="38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ht="15.6" customHeight="1" spans="1:44" x14ac:dyDescent="0.25">
      <c r="A226" s="3"/>
      <c r="B226" s="76"/>
      <c r="C226" s="77"/>
      <c r="D226" s="78"/>
      <c r="E226" s="79"/>
      <c r="F226" s="76"/>
      <c r="G226" s="77"/>
      <c r="H226" s="78"/>
      <c r="I226" s="79"/>
      <c r="J226" s="76"/>
      <c r="K226" s="77"/>
      <c r="L226" s="78"/>
      <c r="M226" s="79"/>
      <c r="N226" s="76"/>
      <c r="O226" s="77"/>
      <c r="P226" s="78"/>
      <c r="Q226" s="79"/>
      <c r="R226" s="35"/>
      <c r="S226" s="35"/>
      <c r="T226" s="35"/>
      <c r="U226" s="35"/>
      <c r="V226" s="38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ht="15.6" customHeight="1" spans="1:44" x14ac:dyDescent="0.25">
      <c r="A227" s="3"/>
      <c r="B227" s="50">
        <f>IF(D226&lt;1,"","пом.")</f>
      </c>
      <c r="C227" s="50"/>
      <c r="D227" s="52"/>
      <c r="E227" s="53"/>
      <c r="F227" s="50">
        <f>IF(H226&lt;1,"","пом.")</f>
      </c>
      <c r="G227" s="50"/>
      <c r="H227" s="52"/>
      <c r="I227" s="53"/>
      <c r="J227" s="50">
        <f>IF(L226&lt;1,"","пом.")</f>
      </c>
      <c r="K227" s="50"/>
      <c r="L227" s="52"/>
      <c r="M227" s="53"/>
      <c r="N227" s="50">
        <f>IF(P226&lt;1,"","пом.")</f>
      </c>
      <c r="O227" s="50"/>
      <c r="P227" s="52"/>
      <c r="Q227" s="53"/>
      <c r="R227" s="35"/>
      <c r="S227" s="35"/>
      <c r="T227" s="35"/>
      <c r="U227" s="35"/>
      <c r="V227" s="38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ht="15.6" customHeight="1" spans="1:44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ht="15.6" customHeight="1" spans="1:44" x14ac:dyDescent="0.25">
      <c r="A229" s="3"/>
      <c r="B229" s="3"/>
      <c r="C229" s="3"/>
      <c r="D229" s="4"/>
      <c r="E229" s="5" t="s">
        <v>26</v>
      </c>
      <c r="F229" s="54" t="s">
        <v>27</v>
      </c>
      <c r="G229" s="54"/>
      <c r="H229" s="54"/>
      <c r="I229" s="100" t="s">
        <v>28</v>
      </c>
      <c r="J229" s="100"/>
      <c r="K229" s="100"/>
      <c r="L229" s="4"/>
      <c r="M229" s="4"/>
      <c r="N229" s="3"/>
      <c r="O229" s="35" t="s">
        <v>29</v>
      </c>
      <c r="P229" s="54" t="s">
        <v>30</v>
      </c>
      <c r="Q229" s="54"/>
      <c r="R229" s="54"/>
      <c r="S229" s="100" t="s">
        <v>31</v>
      </c>
      <c r="T229" s="100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ht="15.6" customHeight="1" spans="1:44" x14ac:dyDescent="0.25">
      <c r="A230" s="3"/>
      <c r="B230" s="3"/>
      <c r="C230" s="3"/>
      <c r="D230" s="4"/>
      <c r="E230" s="5" t="s">
        <v>32</v>
      </c>
      <c r="F230" s="54" t="s">
        <v>33</v>
      </c>
      <c r="G230" s="54"/>
      <c r="H230" s="54"/>
      <c r="I230" s="100" t="s">
        <v>34</v>
      </c>
      <c r="J230" s="100"/>
      <c r="K230" s="100"/>
      <c r="L230" s="4"/>
      <c r="M230" s="4"/>
      <c r="N230" s="3"/>
      <c r="O230" s="35" t="s">
        <v>35</v>
      </c>
      <c r="P230" s="54" t="s">
        <v>30</v>
      </c>
      <c r="Q230" s="54"/>
      <c r="R230" s="54"/>
      <c r="S230" s="101" t="s">
        <v>36</v>
      </c>
      <c r="T230" s="101"/>
      <c r="U230" s="101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ht="15.6" customHeight="1" spans="1:44" x14ac:dyDescent="0.25">
      <c r="A231" s="55"/>
      <c r="B231" s="55"/>
      <c r="C231" s="55"/>
      <c r="D231" s="56"/>
      <c r="E231" s="57"/>
      <c r="F231" s="55"/>
      <c r="G231" s="55"/>
      <c r="H231" s="56"/>
      <c r="I231" s="56"/>
      <c r="J231" s="55"/>
      <c r="K231" s="55"/>
      <c r="L231" s="56"/>
      <c r="M231" s="56"/>
      <c r="N231" s="55"/>
      <c r="O231" s="55"/>
      <c r="P231" s="56"/>
      <c r="Q231" s="56"/>
      <c r="R231" s="55"/>
      <c r="S231" s="55"/>
      <c r="T231" s="55"/>
      <c r="U231" s="55"/>
      <c r="V231" s="55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ht="15.6" customHeight="1" spans="1:44" x14ac:dyDescent="0.25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4" t="str">
        <f>N212</f>
        <v>1.1</v>
      </c>
      <c r="O232" s="14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ht="15.6" customHeight="1" spans="1:44" x14ac:dyDescent="0.25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5"/>
      <c r="K233" s="15"/>
      <c r="L233" s="16"/>
      <c r="M233" s="9" t="s">
        <v>5</v>
      </c>
      <c r="N233" s="18" t="str">
        <f>N213</f>
        <v>1.1.3</v>
      </c>
      <c r="O233" s="18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ht="15.6" customHeight="1" spans="1:44" x14ac:dyDescent="0.25">
      <c r="A234" s="3"/>
      <c r="B234" s="3"/>
      <c r="C234" s="3"/>
      <c r="D234" s="4"/>
      <c r="E234" s="4" t="s">
        <v>7</v>
      </c>
      <c r="F234" s="3"/>
      <c r="G234" s="3"/>
      <c r="H234" s="8"/>
      <c r="I234" s="8"/>
      <c r="J234" s="7"/>
      <c r="K234" s="7"/>
      <c r="L234" s="8"/>
      <c r="M234" s="19" t="s">
        <v>5</v>
      </c>
      <c r="N234" s="20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ht="15.6" customHeight="1" spans="1:44" x14ac:dyDescent="0.25">
      <c r="A235" s="3"/>
      <c r="B235" s="3"/>
      <c r="C235" s="3"/>
      <c r="D235" s="4"/>
      <c r="E235" s="4" t="s">
        <v>8</v>
      </c>
      <c r="F235" s="3"/>
      <c r="G235" s="3"/>
      <c r="H235" s="4"/>
      <c r="I235" s="4"/>
      <c r="J235" s="3"/>
      <c r="K235" s="3"/>
      <c r="L235" s="16"/>
      <c r="M235" s="19" t="s">
        <v>70</v>
      </c>
      <c r="N235" s="20" t="str">
        <f>IF(N215="-"&amp;N212&amp;".5",IF(N216=15,"-"&amp;N212&amp;".6","-"&amp;N212&amp;".5"),N215)</f>
        <v>-1.1.5</v>
      </c>
      <c r="O235" s="22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ht="15.6" customHeight="1" spans="1:44" x14ac:dyDescent="0.25">
      <c r="A236" s="3"/>
      <c r="B236" s="3"/>
      <c r="C236" s="3"/>
      <c r="D236" s="4"/>
      <c r="E236" s="24" t="s">
        <v>10</v>
      </c>
      <c r="F236" s="3"/>
      <c r="G236" s="3"/>
      <c r="H236" s="4"/>
      <c r="I236" s="8"/>
      <c r="J236" s="7"/>
      <c r="K236" s="7"/>
      <c r="L236" s="8"/>
      <c r="M236" s="19" t="s">
        <v>5</v>
      </c>
      <c r="N236" s="20">
        <f>IF(N235="-"&amp;N170&amp;".5",N216+1,IF(N215="-"&amp;N170&amp;".5",1,N216+1))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ht="7.9" customHeight="1" spans="1:44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ht="15.6" customHeight="1" spans="1:44" x14ac:dyDescent="0.25">
      <c r="A238" s="27"/>
      <c r="B238" s="28"/>
      <c r="C238" s="28"/>
      <c r="D238" s="29"/>
      <c r="E238" s="29"/>
      <c r="F238" s="28"/>
      <c r="G238" s="28"/>
      <c r="H238" s="29"/>
      <c r="I238" s="29"/>
      <c r="J238" s="28"/>
      <c r="K238" s="28"/>
      <c r="L238" s="29"/>
      <c r="M238" s="29"/>
      <c r="N238" s="28"/>
      <c r="O238" s="28"/>
      <c r="P238" s="29"/>
      <c r="Q238" s="29"/>
      <c r="R238" s="28"/>
      <c r="S238" s="28"/>
      <c r="T238" s="28"/>
      <c r="U238" s="28"/>
      <c r="V238" s="59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ht="15.6" customHeight="1" spans="1:44" x14ac:dyDescent="0.25">
      <c r="A239" s="30"/>
      <c r="B239" s="31"/>
      <c r="C239" s="31"/>
      <c r="D239" s="32">
        <v>1</v>
      </c>
      <c r="E239" s="33"/>
      <c r="F239" s="31"/>
      <c r="G239" s="31"/>
      <c r="H239" s="32">
        <v>2</v>
      </c>
      <c r="I239" s="33"/>
      <c r="J239" s="31"/>
      <c r="K239" s="31"/>
      <c r="L239" s="32">
        <v>3</v>
      </c>
      <c r="M239" s="33"/>
      <c r="N239" s="31"/>
      <c r="O239" s="31"/>
      <c r="P239" s="32">
        <v>4</v>
      </c>
      <c r="Q239" s="33"/>
      <c r="R239" s="31"/>
      <c r="S239" s="31"/>
      <c r="T239" s="31"/>
      <c r="U239" s="31"/>
      <c r="V239" s="60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ht="15.6" customHeight="1" spans="1:44" x14ac:dyDescent="0.25">
      <c r="A240" s="30"/>
      <c r="B240" s="31" t="s">
        <v>11</v>
      </c>
      <c r="C240" s="31"/>
      <c r="D240" s="32" t="s">
        <v>12</v>
      </c>
      <c r="E240" s="33"/>
      <c r="F240" s="31" t="s">
        <v>11</v>
      </c>
      <c r="G240" s="31"/>
      <c r="H240" s="32" t="s">
        <v>12</v>
      </c>
      <c r="I240" s="33"/>
      <c r="J240" s="31" t="s">
        <v>11</v>
      </c>
      <c r="K240" s="31"/>
      <c r="L240" s="32" t="s">
        <v>12</v>
      </c>
      <c r="M240" s="33"/>
      <c r="N240" s="31" t="s">
        <v>11</v>
      </c>
      <c r="O240" s="31"/>
      <c r="P240" s="32" t="s">
        <v>12</v>
      </c>
      <c r="Q240" s="33"/>
      <c r="R240" s="31"/>
      <c r="S240" s="31"/>
      <c r="T240" s="31"/>
      <c r="U240" s="31"/>
      <c r="V240" s="65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ht="15.6" customHeight="1" spans="1:44" x14ac:dyDescent="0.25">
      <c r="A241" s="30"/>
      <c r="B241" s="35"/>
      <c r="C241" s="35"/>
      <c r="D241" s="5"/>
      <c r="E241" s="5"/>
      <c r="F241" s="35"/>
      <c r="G241" s="35"/>
      <c r="H241" s="5"/>
      <c r="I241" s="5"/>
      <c r="J241" s="35"/>
      <c r="K241" s="35"/>
      <c r="L241" s="5"/>
      <c r="M241" s="5"/>
      <c r="N241" s="35"/>
      <c r="O241" s="35"/>
      <c r="P241" s="5"/>
      <c r="Q241" s="5"/>
      <c r="R241" s="35"/>
      <c r="S241" s="35"/>
      <c r="T241" s="35"/>
      <c r="U241" s="35"/>
      <c r="V241" s="65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ht="15.6" customHeight="1" spans="1:44" x14ac:dyDescent="0.25">
      <c r="A242" s="30"/>
      <c r="B242" s="31">
        <v>0</v>
      </c>
      <c r="C242" s="31"/>
      <c r="D242" s="37">
        <v>1</v>
      </c>
      <c r="E242" s="37"/>
      <c r="F242" s="31">
        <v>2</v>
      </c>
      <c r="G242" s="31"/>
      <c r="H242" s="37">
        <v>3</v>
      </c>
      <c r="I242" s="37"/>
      <c r="J242" s="31">
        <v>4</v>
      </c>
      <c r="K242" s="31"/>
      <c r="L242" s="37">
        <v>5</v>
      </c>
      <c r="M242" s="37"/>
      <c r="N242" s="31">
        <v>6</v>
      </c>
      <c r="O242" s="31"/>
      <c r="P242" s="37">
        <v>7</v>
      </c>
      <c r="Q242" s="37"/>
      <c r="R242" s="31">
        <v>8</v>
      </c>
      <c r="S242" s="31"/>
      <c r="T242" s="31">
        <v>9</v>
      </c>
      <c r="U242" s="31"/>
      <c r="V242" s="67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ht="15.6" customHeight="1" spans="1:44" x14ac:dyDescent="0.25">
      <c r="A243" s="30"/>
      <c r="B243" s="31" t="s">
        <v>13</v>
      </c>
      <c r="C243" s="31" t="s">
        <v>14</v>
      </c>
      <c r="D243" s="37" t="s">
        <v>15</v>
      </c>
      <c r="E243" s="37" t="s">
        <v>16</v>
      </c>
      <c r="F243" s="31" t="s">
        <v>13</v>
      </c>
      <c r="G243" s="31" t="s">
        <v>14</v>
      </c>
      <c r="H243" s="37" t="s">
        <v>15</v>
      </c>
      <c r="I243" s="37" t="s">
        <v>16</v>
      </c>
      <c r="J243" s="31" t="s">
        <v>13</v>
      </c>
      <c r="K243" s="31" t="s">
        <v>14</v>
      </c>
      <c r="L243" s="37" t="s">
        <v>15</v>
      </c>
      <c r="M243" s="37" t="s">
        <v>16</v>
      </c>
      <c r="N243" s="31" t="s">
        <v>13</v>
      </c>
      <c r="O243" s="31" t="s">
        <v>14</v>
      </c>
      <c r="P243" s="37" t="s">
        <v>15</v>
      </c>
      <c r="Q243" s="37" t="s">
        <v>16</v>
      </c>
      <c r="R243" s="31" t="s">
        <v>13</v>
      </c>
      <c r="S243" s="31" t="s">
        <v>14</v>
      </c>
      <c r="T243" s="31" t="s">
        <v>15</v>
      </c>
      <c r="U243" s="31" t="s">
        <v>16</v>
      </c>
      <c r="V243" s="67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ht="15.6" customHeight="1" spans="1:44" x14ac:dyDescent="0.25">
      <c r="A244" s="39"/>
      <c r="B244" s="40"/>
      <c r="C244" s="40"/>
      <c r="D244" s="41"/>
      <c r="E244" s="42"/>
      <c r="F244" s="40"/>
      <c r="G244" s="40"/>
      <c r="H244" s="41"/>
      <c r="I244" s="42"/>
      <c r="J244" s="40"/>
      <c r="K244" s="40"/>
      <c r="L244" s="41"/>
      <c r="M244" s="42"/>
      <c r="N244" s="40"/>
      <c r="O244" s="40"/>
      <c r="P244" s="41"/>
      <c r="Q244" s="42"/>
      <c r="R244" s="40"/>
      <c r="S244" s="40"/>
      <c r="T244" s="40"/>
      <c r="U244" s="40"/>
      <c r="V244" s="68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ht="9" customHeight="1" spans="1:44" x14ac:dyDescent="0.25">
      <c r="A245" s="3"/>
      <c r="B245" s="35"/>
      <c r="C245" s="35"/>
      <c r="D245" s="72"/>
      <c r="E245" s="5"/>
      <c r="F245" s="35"/>
      <c r="G245" s="35"/>
      <c r="H245" s="72"/>
      <c r="I245" s="5"/>
      <c r="J245" s="35"/>
      <c r="K245" s="35"/>
      <c r="L245" s="72"/>
      <c r="M245" s="5"/>
      <c r="N245" s="35"/>
      <c r="O245" s="35"/>
      <c r="P245" s="72"/>
      <c r="Q245" s="5"/>
      <c r="R245" s="35"/>
      <c r="S245" s="35"/>
      <c r="T245" s="35"/>
      <c r="U245" s="35"/>
      <c r="V245" s="38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ht="15.6" customHeight="1" spans="1:44" x14ac:dyDescent="0.25">
      <c r="A246" s="3"/>
      <c r="B246" s="76"/>
      <c r="C246" s="77"/>
      <c r="D246" s="78"/>
      <c r="E246" s="79"/>
      <c r="F246" s="76"/>
      <c r="G246" s="77"/>
      <c r="H246" s="78"/>
      <c r="I246" s="79"/>
      <c r="J246" s="76"/>
      <c r="K246" s="77"/>
      <c r="L246" s="78"/>
      <c r="M246" s="79"/>
      <c r="N246" s="76"/>
      <c r="O246" s="77"/>
      <c r="P246" s="78"/>
      <c r="Q246" s="79"/>
      <c r="R246" s="35"/>
      <c r="S246" s="35"/>
      <c r="T246" s="35"/>
      <c r="U246" s="35"/>
      <c r="V246" s="38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ht="15.6" customHeight="1" spans="1:44" x14ac:dyDescent="0.25">
      <c r="A247" s="3"/>
      <c r="B247" s="50">
        <f>IF(D246&lt;1,"","пом.")</f>
      </c>
      <c r="C247" s="50"/>
      <c r="D247" s="52"/>
      <c r="E247" s="53"/>
      <c r="F247" s="50">
        <f>IF(H246&lt;1,"","пом.")</f>
      </c>
      <c r="G247" s="50"/>
      <c r="H247" s="52"/>
      <c r="I247" s="53"/>
      <c r="J247" s="50">
        <f>IF(L246&lt;1,"","пом.")</f>
      </c>
      <c r="K247" s="50"/>
      <c r="L247" s="52"/>
      <c r="M247" s="53"/>
      <c r="N247" s="50">
        <f>IF(P246&lt;1,"","пом.")</f>
      </c>
      <c r="O247" s="50"/>
      <c r="P247" s="52"/>
      <c r="Q247" s="53"/>
      <c r="R247" s="35"/>
      <c r="S247" s="35"/>
      <c r="T247" s="35"/>
      <c r="U247" s="35"/>
      <c r="V247" s="38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ht="6.6" customHeight="1" spans="1:44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ht="15.6" customHeight="1" spans="1:44" x14ac:dyDescent="0.25">
      <c r="A249" s="3"/>
      <c r="B249" s="3"/>
      <c r="C249" s="3"/>
      <c r="D249" s="4"/>
      <c r="E249" s="5" t="s">
        <v>26</v>
      </c>
      <c r="F249" s="54" t="s">
        <v>27</v>
      </c>
      <c r="G249" s="54"/>
      <c r="H249" s="54"/>
      <c r="I249" s="100" t="s">
        <v>28</v>
      </c>
      <c r="J249" s="100"/>
      <c r="K249" s="100"/>
      <c r="L249" s="4"/>
      <c r="M249" s="4"/>
      <c r="N249" s="3"/>
      <c r="O249" s="35" t="s">
        <v>29</v>
      </c>
      <c r="P249" s="54" t="s">
        <v>30</v>
      </c>
      <c r="Q249" s="54"/>
      <c r="R249" s="54"/>
      <c r="S249" s="100" t="s">
        <v>31</v>
      </c>
      <c r="T249" s="100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ht="15.6" customHeight="1" spans="1:44" x14ac:dyDescent="0.25">
      <c r="A250" s="3"/>
      <c r="B250" s="3"/>
      <c r="C250" s="3"/>
      <c r="D250" s="4"/>
      <c r="E250" s="5" t="s">
        <v>32</v>
      </c>
      <c r="F250" s="54" t="s">
        <v>33</v>
      </c>
      <c r="G250" s="54"/>
      <c r="H250" s="54"/>
      <c r="I250" s="100" t="s">
        <v>34</v>
      </c>
      <c r="J250" s="100"/>
      <c r="K250" s="100"/>
      <c r="L250" s="4"/>
      <c r="M250" s="4"/>
      <c r="N250" s="3"/>
      <c r="O250" s="35" t="s">
        <v>35</v>
      </c>
      <c r="P250" s="54" t="s">
        <v>30</v>
      </c>
      <c r="Q250" s="54"/>
      <c r="R250" s="54"/>
      <c r="S250" s="101" t="s">
        <v>36</v>
      </c>
      <c r="T250" s="101"/>
      <c r="U250" s="101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ht="15.6" customHeight="1" spans="1:44" x14ac:dyDescent="0.25">
      <c r="A251" s="55"/>
      <c r="B251" s="55"/>
      <c r="C251" s="55"/>
      <c r="D251" s="56"/>
      <c r="E251" s="57"/>
      <c r="F251" s="55"/>
      <c r="G251" s="55"/>
      <c r="H251" s="56"/>
      <c r="I251" s="56"/>
      <c r="J251" s="55"/>
      <c r="K251" s="55"/>
      <c r="L251" s="56"/>
      <c r="M251" s="56"/>
      <c r="N251" s="55"/>
      <c r="O251" s="55"/>
      <c r="P251" s="56"/>
      <c r="Q251" s="56"/>
      <c r="R251" s="55"/>
      <c r="S251" s="55"/>
      <c r="T251" s="55"/>
      <c r="U251" s="55"/>
      <c r="V251" s="55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ht="15.6" customHeight="1" spans="1:44" x14ac:dyDescent="0.25">
      <c r="A252" s="55"/>
      <c r="B252" s="55"/>
      <c r="C252" s="55"/>
      <c r="D252" s="56"/>
      <c r="E252" s="57"/>
      <c r="F252" s="55"/>
      <c r="G252" s="55"/>
      <c r="H252" s="56"/>
      <c r="I252" s="56"/>
      <c r="J252" s="55"/>
      <c r="K252" s="55"/>
      <c r="L252" s="56"/>
      <c r="M252" s="56"/>
      <c r="N252" s="55"/>
      <c r="O252" s="55"/>
      <c r="P252" s="56"/>
      <c r="Q252" s="56"/>
      <c r="R252" s="55"/>
      <c r="S252" s="55"/>
      <c r="T252" s="55"/>
      <c r="U252" s="55"/>
      <c r="V252" s="55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ht="15.6" customHeight="1" hidden="1" spans="1:44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ht="15.6" customHeight="1" spans="1:44" x14ac:dyDescent="0.25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4" t="str">
        <f>N232</f>
        <v>1.1</v>
      </c>
      <c r="O254" s="14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ht="15.6" customHeight="1" spans="1:44" x14ac:dyDescent="0.25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5"/>
      <c r="K255" s="15"/>
      <c r="L255" s="16"/>
      <c r="M255" s="9" t="s">
        <v>5</v>
      </c>
      <c r="N255" s="18" t="str">
        <f>N254&amp;".3"</f>
        <v>1.1.3</v>
      </c>
      <c r="O255" s="18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ht="15.6" customHeight="1" spans="1:44" x14ac:dyDescent="0.25">
      <c r="A256" s="3"/>
      <c r="B256" s="3"/>
      <c r="C256" s="3"/>
      <c r="D256" s="4"/>
      <c r="E256" s="4" t="s">
        <v>7</v>
      </c>
      <c r="F256" s="3"/>
      <c r="G256" s="3"/>
      <c r="H256" s="8"/>
      <c r="I256" s="8"/>
      <c r="J256" s="7"/>
      <c r="K256" s="7"/>
      <c r="L256" s="8"/>
      <c r="M256" s="19" t="s">
        <v>5</v>
      </c>
      <c r="N256" s="20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ht="15.6" customHeight="1" spans="1:44" x14ac:dyDescent="0.25">
      <c r="A257" s="3"/>
      <c r="B257" s="3"/>
      <c r="C257" s="3"/>
      <c r="D257" s="4"/>
      <c r="E257" s="4" t="s">
        <v>8</v>
      </c>
      <c r="F257" s="3"/>
      <c r="G257" s="3"/>
      <c r="H257" s="4"/>
      <c r="I257" s="4"/>
      <c r="J257" s="3"/>
      <c r="K257" s="3"/>
      <c r="L257" s="16"/>
      <c r="M257" s="19" t="s">
        <v>70</v>
      </c>
      <c r="N257" s="20" t="str">
        <f>IF(N235="-"&amp;N212&amp;".5",IF(N236=15,"-"&amp;N212&amp;".6","-"&amp;N212&amp;".5"),N235)</f>
        <v>-1.1.5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ht="15.6" customHeight="1" spans="1:44" x14ac:dyDescent="0.25">
      <c r="A258" s="3"/>
      <c r="B258" s="3"/>
      <c r="C258" s="3"/>
      <c r="D258" s="4"/>
      <c r="E258" s="24" t="s">
        <v>10</v>
      </c>
      <c r="F258" s="3"/>
      <c r="G258" s="3"/>
      <c r="H258" s="4"/>
      <c r="I258" s="8"/>
      <c r="J258" s="7"/>
      <c r="K258" s="7"/>
      <c r="L258" s="8"/>
      <c r="M258" s="19" t="s">
        <v>5</v>
      </c>
      <c r="N258" s="20">
        <f>IF(N257="-"&amp;N212&amp;".5",N236+1,IF(N235="-"&amp;N212&amp;".5",1,N236+1))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ht="15.6" customHeight="1" spans="1:44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ht="15.6" customHeight="1" spans="1:44" x14ac:dyDescent="0.25">
      <c r="A260" s="27"/>
      <c r="B260" s="28"/>
      <c r="C260" s="28"/>
      <c r="D260" s="29"/>
      <c r="E260" s="29"/>
      <c r="F260" s="28"/>
      <c r="G260" s="28"/>
      <c r="H260" s="29"/>
      <c r="I260" s="29"/>
      <c r="J260" s="28"/>
      <c r="K260" s="28"/>
      <c r="L260" s="29"/>
      <c r="M260" s="29"/>
      <c r="N260" s="28"/>
      <c r="O260" s="28"/>
      <c r="P260" s="29"/>
      <c r="Q260" s="29"/>
      <c r="R260" s="28"/>
      <c r="S260" s="28"/>
      <c r="T260" s="28"/>
      <c r="U260" s="28"/>
      <c r="V260" s="59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ht="15.6" customHeight="1" spans="1:44" x14ac:dyDescent="0.25">
      <c r="A261" s="30"/>
      <c r="B261" s="31"/>
      <c r="C261" s="31"/>
      <c r="D261" s="32">
        <v>1</v>
      </c>
      <c r="E261" s="33"/>
      <c r="F261" s="31"/>
      <c r="G261" s="31"/>
      <c r="H261" s="32">
        <v>2</v>
      </c>
      <c r="I261" s="33"/>
      <c r="J261" s="31"/>
      <c r="K261" s="31"/>
      <c r="L261" s="32">
        <v>3</v>
      </c>
      <c r="M261" s="33"/>
      <c r="N261" s="31"/>
      <c r="O261" s="31"/>
      <c r="P261" s="32">
        <v>4</v>
      </c>
      <c r="Q261" s="33"/>
      <c r="R261" s="31"/>
      <c r="S261" s="31"/>
      <c r="T261" s="31"/>
      <c r="U261" s="31"/>
      <c r="V261" s="60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ht="15.6" customHeight="1" spans="1:44" x14ac:dyDescent="0.25">
      <c r="A262" s="30"/>
      <c r="B262" s="31" t="s">
        <v>11</v>
      </c>
      <c r="C262" s="31"/>
      <c r="D262" s="32" t="s">
        <v>12</v>
      </c>
      <c r="E262" s="33"/>
      <c r="F262" s="31" t="s">
        <v>11</v>
      </c>
      <c r="G262" s="31"/>
      <c r="H262" s="32" t="s">
        <v>12</v>
      </c>
      <c r="I262" s="33"/>
      <c r="J262" s="31" t="s">
        <v>11</v>
      </c>
      <c r="K262" s="31"/>
      <c r="L262" s="32" t="s">
        <v>12</v>
      </c>
      <c r="M262" s="33"/>
      <c r="N262" s="31" t="s">
        <v>11</v>
      </c>
      <c r="O262" s="31"/>
      <c r="P262" s="32" t="s">
        <v>12</v>
      </c>
      <c r="Q262" s="33"/>
      <c r="R262" s="31"/>
      <c r="S262" s="31"/>
      <c r="T262" s="31"/>
      <c r="U262" s="31"/>
      <c r="V262" s="65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ht="15.6" customHeight="1" spans="1:44" x14ac:dyDescent="0.25">
      <c r="A263" s="30"/>
      <c r="B263" s="35"/>
      <c r="C263" s="35"/>
      <c r="D263" s="5"/>
      <c r="E263" s="5"/>
      <c r="F263" s="35"/>
      <c r="G263" s="35"/>
      <c r="H263" s="5"/>
      <c r="I263" s="5"/>
      <c r="J263" s="35"/>
      <c r="K263" s="35"/>
      <c r="L263" s="5"/>
      <c r="M263" s="5"/>
      <c r="N263" s="35"/>
      <c r="O263" s="35"/>
      <c r="P263" s="5"/>
      <c r="Q263" s="5"/>
      <c r="R263" s="35"/>
      <c r="S263" s="35"/>
      <c r="T263" s="35"/>
      <c r="U263" s="35"/>
      <c r="V263" s="65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ht="15.6" customHeight="1" spans="1:44" x14ac:dyDescent="0.25">
      <c r="A264" s="30"/>
      <c r="B264" s="31">
        <v>0</v>
      </c>
      <c r="C264" s="31"/>
      <c r="D264" s="37">
        <v>1</v>
      </c>
      <c r="E264" s="37"/>
      <c r="F264" s="31">
        <v>2</v>
      </c>
      <c r="G264" s="31"/>
      <c r="H264" s="37">
        <v>3</v>
      </c>
      <c r="I264" s="37"/>
      <c r="J264" s="31">
        <v>4</v>
      </c>
      <c r="K264" s="31"/>
      <c r="L264" s="37">
        <v>5</v>
      </c>
      <c r="M264" s="37"/>
      <c r="N264" s="31">
        <v>6</v>
      </c>
      <c r="O264" s="31"/>
      <c r="P264" s="37">
        <v>7</v>
      </c>
      <c r="Q264" s="37"/>
      <c r="R264" s="31">
        <v>8</v>
      </c>
      <c r="S264" s="31"/>
      <c r="T264" s="31">
        <v>9</v>
      </c>
      <c r="U264" s="31"/>
      <c r="V264" s="67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ht="15.6" customHeight="1" spans="1:44" x14ac:dyDescent="0.25">
      <c r="A265" s="30"/>
      <c r="B265" s="31" t="s">
        <v>13</v>
      </c>
      <c r="C265" s="31" t="s">
        <v>14</v>
      </c>
      <c r="D265" s="37" t="s">
        <v>15</v>
      </c>
      <c r="E265" s="37" t="s">
        <v>16</v>
      </c>
      <c r="F265" s="31" t="s">
        <v>13</v>
      </c>
      <c r="G265" s="31" t="s">
        <v>14</v>
      </c>
      <c r="H265" s="37" t="s">
        <v>15</v>
      </c>
      <c r="I265" s="37" t="s">
        <v>16</v>
      </c>
      <c r="J265" s="31" t="s">
        <v>13</v>
      </c>
      <c r="K265" s="31" t="s">
        <v>14</v>
      </c>
      <c r="L265" s="37" t="s">
        <v>15</v>
      </c>
      <c r="M265" s="37" t="s">
        <v>16</v>
      </c>
      <c r="N265" s="31" t="s">
        <v>13</v>
      </c>
      <c r="O265" s="31" t="s">
        <v>14</v>
      </c>
      <c r="P265" s="37" t="s">
        <v>15</v>
      </c>
      <c r="Q265" s="37" t="s">
        <v>16</v>
      </c>
      <c r="R265" s="31" t="s">
        <v>13</v>
      </c>
      <c r="S265" s="31" t="s">
        <v>14</v>
      </c>
      <c r="T265" s="31" t="s">
        <v>15</v>
      </c>
      <c r="U265" s="31" t="s">
        <v>16</v>
      </c>
      <c r="V265" s="67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ht="15.6" customHeight="1" spans="1:44" x14ac:dyDescent="0.25">
      <c r="A266" s="39"/>
      <c r="B266" s="40"/>
      <c r="C266" s="40"/>
      <c r="D266" s="41"/>
      <c r="E266" s="42"/>
      <c r="F266" s="40"/>
      <c r="G266" s="40"/>
      <c r="H266" s="41"/>
      <c r="I266" s="42"/>
      <c r="J266" s="40"/>
      <c r="K266" s="40"/>
      <c r="L266" s="41"/>
      <c r="M266" s="42"/>
      <c r="N266" s="40"/>
      <c r="O266" s="40"/>
      <c r="P266" s="41"/>
      <c r="Q266" s="42"/>
      <c r="R266" s="40"/>
      <c r="S266" s="40"/>
      <c r="T266" s="40"/>
      <c r="U266" s="40"/>
      <c r="V266" s="68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ht="15.6" customHeight="1" spans="1:44" x14ac:dyDescent="0.25">
      <c r="A267" s="3"/>
      <c r="B267" s="35"/>
      <c r="C267" s="35"/>
      <c r="D267" s="72"/>
      <c r="E267" s="5"/>
      <c r="F267" s="35"/>
      <c r="G267" s="35"/>
      <c r="H267" s="72"/>
      <c r="I267" s="5"/>
      <c r="J267" s="35"/>
      <c r="K267" s="35"/>
      <c r="L267" s="72"/>
      <c r="M267" s="5"/>
      <c r="N267" s="35"/>
      <c r="O267" s="35"/>
      <c r="P267" s="72"/>
      <c r="Q267" s="5"/>
      <c r="R267" s="35"/>
      <c r="S267" s="35"/>
      <c r="T267" s="35"/>
      <c r="U267" s="35"/>
      <c r="V267" s="38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ht="15.6" customHeight="1" spans="1:44" x14ac:dyDescent="0.25">
      <c r="A268" s="3"/>
      <c r="B268" s="76"/>
      <c r="C268" s="77"/>
      <c r="D268" s="78"/>
      <c r="E268" s="79"/>
      <c r="F268" s="76"/>
      <c r="G268" s="77"/>
      <c r="H268" s="78"/>
      <c r="I268" s="79"/>
      <c r="J268" s="76"/>
      <c r="K268" s="77"/>
      <c r="L268" s="78"/>
      <c r="M268" s="79"/>
      <c r="N268" s="76"/>
      <c r="O268" s="77"/>
      <c r="P268" s="78"/>
      <c r="Q268" s="79"/>
      <c r="R268" s="35"/>
      <c r="S268" s="35"/>
      <c r="T268" s="35"/>
      <c r="U268" s="35"/>
      <c r="V268" s="38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ht="15.6" customHeight="1" spans="1:44" x14ac:dyDescent="0.25">
      <c r="A269" s="3"/>
      <c r="B269" s="50">
        <f>IF(D268&lt;1,"","пом.")</f>
      </c>
      <c r="C269" s="50"/>
      <c r="D269" s="52"/>
      <c r="E269" s="53"/>
      <c r="F269" s="50">
        <f>IF(H268&lt;1,"","пом.")</f>
      </c>
      <c r="G269" s="50"/>
      <c r="H269" s="52"/>
      <c r="I269" s="53"/>
      <c r="J269" s="50">
        <f>IF(L268&lt;1,"","пом.")</f>
      </c>
      <c r="K269" s="50"/>
      <c r="L269" s="52"/>
      <c r="M269" s="53"/>
      <c r="N269" s="50">
        <f>IF(P268&lt;1,"","пом.")</f>
      </c>
      <c r="O269" s="50"/>
      <c r="P269" s="52"/>
      <c r="Q269" s="53"/>
      <c r="R269" s="35"/>
      <c r="S269" s="35"/>
      <c r="T269" s="35"/>
      <c r="U269" s="35"/>
      <c r="V269" s="38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ht="15.6" customHeight="1" spans="1:44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ht="15.6" customHeight="1" spans="1:44" x14ac:dyDescent="0.25">
      <c r="A271" s="3"/>
      <c r="B271" s="3"/>
      <c r="C271" s="3"/>
      <c r="D271" s="4"/>
      <c r="E271" s="5" t="s">
        <v>26</v>
      </c>
      <c r="F271" s="54" t="s">
        <v>27</v>
      </c>
      <c r="G271" s="54"/>
      <c r="H271" s="54"/>
      <c r="I271" s="100" t="s">
        <v>28</v>
      </c>
      <c r="J271" s="100"/>
      <c r="K271" s="100"/>
      <c r="L271" s="4"/>
      <c r="M271" s="4"/>
      <c r="N271" s="3"/>
      <c r="O271" s="35" t="s">
        <v>29</v>
      </c>
      <c r="P271" s="54" t="s">
        <v>30</v>
      </c>
      <c r="Q271" s="54"/>
      <c r="R271" s="54"/>
      <c r="S271" s="100" t="s">
        <v>31</v>
      </c>
      <c r="T271" s="100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ht="15.6" customHeight="1" spans="1:44" x14ac:dyDescent="0.25">
      <c r="A272" s="3"/>
      <c r="B272" s="3"/>
      <c r="C272" s="3"/>
      <c r="D272" s="4"/>
      <c r="E272" s="5" t="s">
        <v>32</v>
      </c>
      <c r="F272" s="54" t="s">
        <v>33</v>
      </c>
      <c r="G272" s="54"/>
      <c r="H272" s="54"/>
      <c r="I272" s="100" t="s">
        <v>34</v>
      </c>
      <c r="J272" s="100"/>
      <c r="K272" s="100"/>
      <c r="L272" s="4"/>
      <c r="M272" s="4"/>
      <c r="N272" s="3"/>
      <c r="O272" s="35" t="s">
        <v>35</v>
      </c>
      <c r="P272" s="54" t="s">
        <v>30</v>
      </c>
      <c r="Q272" s="54"/>
      <c r="R272" s="54"/>
      <c r="S272" s="101" t="s">
        <v>36</v>
      </c>
      <c r="T272" s="101"/>
      <c r="U272" s="101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ht="15.6" customHeight="1" spans="1:44" x14ac:dyDescent="0.25">
      <c r="A273" s="55"/>
      <c r="B273" s="55"/>
      <c r="C273" s="55"/>
      <c r="D273" s="56"/>
      <c r="E273" s="57"/>
      <c r="F273" s="55"/>
      <c r="G273" s="55"/>
      <c r="H273" s="56"/>
      <c r="I273" s="56"/>
      <c r="J273" s="55"/>
      <c r="K273" s="55"/>
      <c r="L273" s="56"/>
      <c r="M273" s="56"/>
      <c r="N273" s="55"/>
      <c r="O273" s="55"/>
      <c r="P273" s="56"/>
      <c r="Q273" s="56"/>
      <c r="R273" s="55"/>
      <c r="S273" s="55"/>
      <c r="T273" s="55"/>
      <c r="U273" s="55"/>
      <c r="V273" s="55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ht="15.6" customHeight="1" spans="1:44" x14ac:dyDescent="0.25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4" t="str">
        <f>N254</f>
        <v>1.1</v>
      </c>
      <c r="O274" s="14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ht="15.6" customHeight="1" spans="1:44" x14ac:dyDescent="0.25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5"/>
      <c r="K275" s="15"/>
      <c r="L275" s="16"/>
      <c r="M275" s="9" t="s">
        <v>5</v>
      </c>
      <c r="N275" s="18" t="str">
        <f>N255</f>
        <v>1.1.3</v>
      </c>
      <c r="O275" s="18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ht="15.6" customHeight="1" spans="1:44" x14ac:dyDescent="0.25">
      <c r="A276" s="3"/>
      <c r="B276" s="3"/>
      <c r="C276" s="3"/>
      <c r="D276" s="4"/>
      <c r="E276" s="4" t="s">
        <v>7</v>
      </c>
      <c r="F276" s="3"/>
      <c r="G276" s="3"/>
      <c r="H276" s="8"/>
      <c r="I276" s="8"/>
      <c r="J276" s="7"/>
      <c r="K276" s="7"/>
      <c r="L276" s="8"/>
      <c r="M276" s="19" t="s">
        <v>5</v>
      </c>
      <c r="N276" s="20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ht="15.6" customHeight="1" spans="1:44" x14ac:dyDescent="0.25">
      <c r="A277" s="3"/>
      <c r="B277" s="3"/>
      <c r="C277" s="3"/>
      <c r="D277" s="4"/>
      <c r="E277" s="4" t="s">
        <v>8</v>
      </c>
      <c r="F277" s="3"/>
      <c r="G277" s="3"/>
      <c r="H277" s="4"/>
      <c r="I277" s="4"/>
      <c r="J277" s="3"/>
      <c r="K277" s="3"/>
      <c r="L277" s="16"/>
      <c r="M277" s="19" t="s">
        <v>70</v>
      </c>
      <c r="N277" s="20" t="str">
        <f>IF(N257="-"&amp;N254&amp;".5",IF(N258=15,"-"&amp;N254&amp;".6","-"&amp;N254&amp;".5"),N257)</f>
        <v>-1.1.5</v>
      </c>
      <c r="O277" s="22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ht="15.6" customHeight="1" spans="1:44" x14ac:dyDescent="0.25">
      <c r="A278" s="3"/>
      <c r="B278" s="3"/>
      <c r="C278" s="3"/>
      <c r="D278" s="4"/>
      <c r="E278" s="24" t="s">
        <v>10</v>
      </c>
      <c r="F278" s="3"/>
      <c r="G278" s="3"/>
      <c r="H278" s="4"/>
      <c r="I278" s="8"/>
      <c r="J278" s="7"/>
      <c r="K278" s="7"/>
      <c r="L278" s="8"/>
      <c r="M278" s="19" t="s">
        <v>5</v>
      </c>
      <c r="N278" s="20">
        <f>IF(N277="-"&amp;N212&amp;".5",N258+1,IF(N257="-"&amp;N212&amp;".5",1,N258+1))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ht="7.9" customHeight="1" spans="1:44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ht="15.6" customHeight="1" spans="1:44" x14ac:dyDescent="0.25">
      <c r="A280" s="27"/>
      <c r="B280" s="28"/>
      <c r="C280" s="28"/>
      <c r="D280" s="29"/>
      <c r="E280" s="29"/>
      <c r="F280" s="28"/>
      <c r="G280" s="28"/>
      <c r="H280" s="29"/>
      <c r="I280" s="29"/>
      <c r="J280" s="28"/>
      <c r="K280" s="28"/>
      <c r="L280" s="29"/>
      <c r="M280" s="29"/>
      <c r="N280" s="28"/>
      <c r="O280" s="28"/>
      <c r="P280" s="29"/>
      <c r="Q280" s="29"/>
      <c r="R280" s="28"/>
      <c r="S280" s="28"/>
      <c r="T280" s="28"/>
      <c r="U280" s="28"/>
      <c r="V280" s="59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ht="15.6" customHeight="1" spans="1:44" x14ac:dyDescent="0.25">
      <c r="A281" s="30"/>
      <c r="B281" s="31"/>
      <c r="C281" s="31"/>
      <c r="D281" s="32">
        <v>1</v>
      </c>
      <c r="E281" s="33"/>
      <c r="F281" s="31"/>
      <c r="G281" s="31"/>
      <c r="H281" s="32">
        <v>2</v>
      </c>
      <c r="I281" s="33"/>
      <c r="J281" s="31"/>
      <c r="K281" s="31"/>
      <c r="L281" s="32">
        <v>3</v>
      </c>
      <c r="M281" s="33"/>
      <c r="N281" s="31"/>
      <c r="O281" s="31"/>
      <c r="P281" s="32">
        <v>4</v>
      </c>
      <c r="Q281" s="33"/>
      <c r="R281" s="31"/>
      <c r="S281" s="31"/>
      <c r="T281" s="31"/>
      <c r="U281" s="31"/>
      <c r="V281" s="60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ht="15.6" customHeight="1" spans="1:44" x14ac:dyDescent="0.25">
      <c r="A282" s="30"/>
      <c r="B282" s="31" t="s">
        <v>11</v>
      </c>
      <c r="C282" s="31"/>
      <c r="D282" s="32" t="s">
        <v>12</v>
      </c>
      <c r="E282" s="33"/>
      <c r="F282" s="31" t="s">
        <v>11</v>
      </c>
      <c r="G282" s="31"/>
      <c r="H282" s="32" t="s">
        <v>12</v>
      </c>
      <c r="I282" s="33"/>
      <c r="J282" s="31" t="s">
        <v>11</v>
      </c>
      <c r="K282" s="31"/>
      <c r="L282" s="32" t="s">
        <v>12</v>
      </c>
      <c r="M282" s="33"/>
      <c r="N282" s="31" t="s">
        <v>11</v>
      </c>
      <c r="O282" s="31"/>
      <c r="P282" s="32" t="s">
        <v>12</v>
      </c>
      <c r="Q282" s="33"/>
      <c r="R282" s="31"/>
      <c r="S282" s="31"/>
      <c r="T282" s="31"/>
      <c r="U282" s="31"/>
      <c r="V282" s="65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ht="15.6" customHeight="1" spans="1:44" x14ac:dyDescent="0.25">
      <c r="A283" s="30"/>
      <c r="B283" s="35"/>
      <c r="C283" s="35"/>
      <c r="D283" s="5"/>
      <c r="E283" s="5"/>
      <c r="F283" s="35"/>
      <c r="G283" s="35"/>
      <c r="H283" s="5"/>
      <c r="I283" s="5"/>
      <c r="J283" s="35"/>
      <c r="K283" s="35"/>
      <c r="L283" s="5"/>
      <c r="M283" s="5"/>
      <c r="N283" s="35"/>
      <c r="O283" s="35"/>
      <c r="P283" s="5"/>
      <c r="Q283" s="5"/>
      <c r="R283" s="35"/>
      <c r="S283" s="35"/>
      <c r="T283" s="35"/>
      <c r="U283" s="35"/>
      <c r="V283" s="65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ht="15.6" customHeight="1" spans="1:44" x14ac:dyDescent="0.25">
      <c r="A284" s="30"/>
      <c r="B284" s="31">
        <v>0</v>
      </c>
      <c r="C284" s="31"/>
      <c r="D284" s="37">
        <v>1</v>
      </c>
      <c r="E284" s="37"/>
      <c r="F284" s="31">
        <v>2</v>
      </c>
      <c r="G284" s="31"/>
      <c r="H284" s="37">
        <v>3</v>
      </c>
      <c r="I284" s="37"/>
      <c r="J284" s="31">
        <v>4</v>
      </c>
      <c r="K284" s="31"/>
      <c r="L284" s="37">
        <v>5</v>
      </c>
      <c r="M284" s="37"/>
      <c r="N284" s="31">
        <v>6</v>
      </c>
      <c r="O284" s="31"/>
      <c r="P284" s="37">
        <v>7</v>
      </c>
      <c r="Q284" s="37"/>
      <c r="R284" s="31">
        <v>8</v>
      </c>
      <c r="S284" s="31"/>
      <c r="T284" s="31">
        <v>9</v>
      </c>
      <c r="U284" s="31"/>
      <c r="V284" s="67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ht="15.6" customHeight="1" spans="1:44" x14ac:dyDescent="0.25">
      <c r="A285" s="30"/>
      <c r="B285" s="31" t="s">
        <v>13</v>
      </c>
      <c r="C285" s="31" t="s">
        <v>14</v>
      </c>
      <c r="D285" s="37" t="s">
        <v>15</v>
      </c>
      <c r="E285" s="37" t="s">
        <v>16</v>
      </c>
      <c r="F285" s="31" t="s">
        <v>13</v>
      </c>
      <c r="G285" s="31" t="s">
        <v>14</v>
      </c>
      <c r="H285" s="37" t="s">
        <v>15</v>
      </c>
      <c r="I285" s="37" t="s">
        <v>16</v>
      </c>
      <c r="J285" s="31" t="s">
        <v>13</v>
      </c>
      <c r="K285" s="31" t="s">
        <v>14</v>
      </c>
      <c r="L285" s="37" t="s">
        <v>15</v>
      </c>
      <c r="M285" s="37" t="s">
        <v>16</v>
      </c>
      <c r="N285" s="31" t="s">
        <v>13</v>
      </c>
      <c r="O285" s="31" t="s">
        <v>14</v>
      </c>
      <c r="P285" s="37" t="s">
        <v>15</v>
      </c>
      <c r="Q285" s="37" t="s">
        <v>16</v>
      </c>
      <c r="R285" s="31" t="s">
        <v>13</v>
      </c>
      <c r="S285" s="31" t="s">
        <v>14</v>
      </c>
      <c r="T285" s="31" t="s">
        <v>15</v>
      </c>
      <c r="U285" s="31" t="s">
        <v>16</v>
      </c>
      <c r="V285" s="67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ht="15.6" customHeight="1" spans="1:44" x14ac:dyDescent="0.25">
      <c r="A286" s="39"/>
      <c r="B286" s="40"/>
      <c r="C286" s="40"/>
      <c r="D286" s="41"/>
      <c r="E286" s="42"/>
      <c r="F286" s="40"/>
      <c r="G286" s="40"/>
      <c r="H286" s="41"/>
      <c r="I286" s="42"/>
      <c r="J286" s="40"/>
      <c r="K286" s="40"/>
      <c r="L286" s="41"/>
      <c r="M286" s="42"/>
      <c r="N286" s="40"/>
      <c r="O286" s="40"/>
      <c r="P286" s="41"/>
      <c r="Q286" s="42"/>
      <c r="R286" s="40"/>
      <c r="S286" s="40"/>
      <c r="T286" s="40"/>
      <c r="U286" s="40"/>
      <c r="V286" s="68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ht="6.6" customHeight="1" spans="1:44" x14ac:dyDescent="0.25">
      <c r="A287" s="3"/>
      <c r="B287" s="35"/>
      <c r="C287" s="35"/>
      <c r="D287" s="72"/>
      <c r="E287" s="5"/>
      <c r="F287" s="35"/>
      <c r="G287" s="35"/>
      <c r="H287" s="72"/>
      <c r="I287" s="5"/>
      <c r="J287" s="35"/>
      <c r="K287" s="35"/>
      <c r="L287" s="72"/>
      <c r="M287" s="5"/>
      <c r="N287" s="35"/>
      <c r="O287" s="35"/>
      <c r="P287" s="72"/>
      <c r="Q287" s="5"/>
      <c r="R287" s="35"/>
      <c r="S287" s="35"/>
      <c r="T287" s="35"/>
      <c r="U287" s="35"/>
      <c r="V287" s="38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ht="15.6" customHeight="1" spans="1:44" x14ac:dyDescent="0.25">
      <c r="A288" s="3"/>
      <c r="B288" s="76"/>
      <c r="C288" s="77"/>
      <c r="D288" s="78"/>
      <c r="E288" s="79"/>
      <c r="F288" s="76"/>
      <c r="G288" s="77"/>
      <c r="H288" s="78"/>
      <c r="I288" s="79"/>
      <c r="J288" s="76"/>
      <c r="K288" s="77"/>
      <c r="L288" s="78"/>
      <c r="M288" s="79"/>
      <c r="N288" s="76"/>
      <c r="O288" s="77"/>
      <c r="P288" s="78"/>
      <c r="Q288" s="79"/>
      <c r="R288" s="35"/>
      <c r="S288" s="35"/>
      <c r="T288" s="35"/>
      <c r="U288" s="35"/>
      <c r="V288" s="38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ht="15.6" customHeight="1" spans="1:44" x14ac:dyDescent="0.25">
      <c r="A289" s="3"/>
      <c r="B289" s="50">
        <f>IF(D288&lt;1,"","пом.")</f>
      </c>
      <c r="C289" s="50"/>
      <c r="D289" s="52"/>
      <c r="E289" s="53"/>
      <c r="F289" s="50">
        <f>IF(H288&lt;1,"","пом.")</f>
      </c>
      <c r="G289" s="50"/>
      <c r="H289" s="52"/>
      <c r="I289" s="53"/>
      <c r="J289" s="50">
        <f>IF(L288&lt;1,"","пом.")</f>
      </c>
      <c r="K289" s="50"/>
      <c r="L289" s="52"/>
      <c r="M289" s="53"/>
      <c r="N289" s="50">
        <f>IF(P288&lt;1,"","пом.")</f>
      </c>
      <c r="O289" s="50"/>
      <c r="P289" s="52"/>
      <c r="Q289" s="53"/>
      <c r="R289" s="35"/>
      <c r="S289" s="35"/>
      <c r="T289" s="35"/>
      <c r="U289" s="35"/>
      <c r="V289" s="38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ht="6.6" customHeight="1" spans="1:44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ht="15.6" customHeight="1" spans="1:44" x14ac:dyDescent="0.25">
      <c r="A291" s="3"/>
      <c r="B291" s="3"/>
      <c r="C291" s="3"/>
      <c r="D291" s="4"/>
      <c r="E291" s="5" t="s">
        <v>26</v>
      </c>
      <c r="F291" s="54" t="s">
        <v>27</v>
      </c>
      <c r="G291" s="54"/>
      <c r="H291" s="54"/>
      <c r="I291" s="100" t="s">
        <v>28</v>
      </c>
      <c r="J291" s="100"/>
      <c r="K291" s="100"/>
      <c r="L291" s="4"/>
      <c r="M291" s="4"/>
      <c r="N291" s="3"/>
      <c r="O291" s="35" t="s">
        <v>29</v>
      </c>
      <c r="P291" s="54" t="s">
        <v>30</v>
      </c>
      <c r="Q291" s="54"/>
      <c r="R291" s="54"/>
      <c r="S291" s="100" t="s">
        <v>31</v>
      </c>
      <c r="T291" s="100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ht="15.6" customHeight="1" spans="1:44" x14ac:dyDescent="0.25">
      <c r="A292" s="3"/>
      <c r="B292" s="3"/>
      <c r="C292" s="3"/>
      <c r="D292" s="4"/>
      <c r="E292" s="5" t="s">
        <v>32</v>
      </c>
      <c r="F292" s="54" t="s">
        <v>33</v>
      </c>
      <c r="G292" s="54"/>
      <c r="H292" s="54"/>
      <c r="I292" s="100" t="s">
        <v>34</v>
      </c>
      <c r="J292" s="100"/>
      <c r="K292" s="100"/>
      <c r="L292" s="4"/>
      <c r="M292" s="4"/>
      <c r="N292" s="3"/>
      <c r="O292" s="35" t="s">
        <v>35</v>
      </c>
      <c r="P292" s="54" t="s">
        <v>30</v>
      </c>
      <c r="Q292" s="54"/>
      <c r="R292" s="54"/>
      <c r="S292" s="101" t="s">
        <v>36</v>
      </c>
      <c r="T292" s="101"/>
      <c r="U292" s="101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ht="15.6" customHeight="1" spans="1:44" x14ac:dyDescent="0.25">
      <c r="A293" s="55"/>
      <c r="B293" s="55"/>
      <c r="C293" s="55"/>
      <c r="D293" s="56"/>
      <c r="E293" s="57"/>
      <c r="F293" s="55"/>
      <c r="G293" s="55"/>
      <c r="H293" s="56"/>
      <c r="I293" s="56"/>
      <c r="J293" s="55"/>
      <c r="K293" s="55"/>
      <c r="L293" s="56"/>
      <c r="M293" s="56"/>
      <c r="N293" s="55"/>
      <c r="O293" s="55"/>
      <c r="P293" s="56"/>
      <c r="Q293" s="56"/>
      <c r="R293" s="55"/>
      <c r="S293" s="55"/>
      <c r="T293" s="55"/>
      <c r="U293" s="55"/>
      <c r="V293" s="55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ht="15.6" customHeight="1" spans="1:44" x14ac:dyDescent="0.25">
      <c r="A294" s="55"/>
      <c r="B294" s="55"/>
      <c r="C294" s="55"/>
      <c r="D294" s="56"/>
      <c r="E294" s="57"/>
      <c r="F294" s="55"/>
      <c r="G294" s="55"/>
      <c r="H294" s="56"/>
      <c r="I294" s="56"/>
      <c r="J294" s="55"/>
      <c r="K294" s="55"/>
      <c r="L294" s="56"/>
      <c r="M294" s="56"/>
      <c r="N294" s="55"/>
      <c r="O294" s="55"/>
      <c r="P294" s="56"/>
      <c r="Q294" s="56"/>
      <c r="R294" s="55"/>
      <c r="S294" s="55"/>
      <c r="T294" s="55"/>
      <c r="U294" s="55"/>
      <c r="V294" s="55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ht="15.6" customHeight="1" hidden="1" spans="1:44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ht="15.6" customHeight="1" spans="1:44" x14ac:dyDescent="0.25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4" t="str">
        <f>N274</f>
        <v>1.1</v>
      </c>
      <c r="O296" s="14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ht="15.6" customHeight="1" spans="1:44" x14ac:dyDescent="0.25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5"/>
      <c r="K297" s="15"/>
      <c r="L297" s="16"/>
      <c r="M297" s="9" t="s">
        <v>5</v>
      </c>
      <c r="N297" s="18" t="str">
        <f>N296&amp;".3"</f>
        <v>1.1.3</v>
      </c>
      <c r="O297" s="18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ht="15.6" customHeight="1" spans="1:44" x14ac:dyDescent="0.25">
      <c r="A298" s="3"/>
      <c r="B298" s="3"/>
      <c r="C298" s="3"/>
      <c r="D298" s="4"/>
      <c r="E298" s="4" t="s">
        <v>7</v>
      </c>
      <c r="F298" s="3"/>
      <c r="G298" s="3"/>
      <c r="H298" s="8"/>
      <c r="I298" s="8"/>
      <c r="J298" s="7"/>
      <c r="K298" s="7"/>
      <c r="L298" s="8"/>
      <c r="M298" s="19" t="s">
        <v>5</v>
      </c>
      <c r="N298" s="20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ht="15.6" customHeight="1" spans="1:44" x14ac:dyDescent="0.25">
      <c r="A299" s="3"/>
      <c r="B299" s="3"/>
      <c r="C299" s="3"/>
      <c r="D299" s="4"/>
      <c r="E299" s="4" t="s">
        <v>8</v>
      </c>
      <c r="F299" s="3"/>
      <c r="G299" s="3"/>
      <c r="H299" s="4"/>
      <c r="I299" s="4"/>
      <c r="J299" s="3"/>
      <c r="K299" s="3"/>
      <c r="L299" s="16"/>
      <c r="M299" s="19" t="s">
        <v>70</v>
      </c>
      <c r="N299" s="20" t="str">
        <f>IF(N277="-"&amp;N254&amp;".5",IF(N278=15,"-"&amp;N254&amp;".6","-"&amp;N254&amp;".5"),N277)</f>
        <v>-1.1.5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ht="15.6" customHeight="1" spans="1:44" x14ac:dyDescent="0.25">
      <c r="A300" s="3"/>
      <c r="B300" s="3"/>
      <c r="C300" s="3"/>
      <c r="D300" s="4"/>
      <c r="E300" s="24" t="s">
        <v>10</v>
      </c>
      <c r="F300" s="3"/>
      <c r="G300" s="3"/>
      <c r="H300" s="4"/>
      <c r="I300" s="8"/>
      <c r="J300" s="7"/>
      <c r="K300" s="7"/>
      <c r="L300" s="8"/>
      <c r="M300" s="19" t="s">
        <v>5</v>
      </c>
      <c r="N300" s="20">
        <f>IF(N299="-"&amp;N254&amp;".5",N278+1,IF(N277="-"&amp;N254&amp;".5",1,N278+1))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ht="15.6" customHeight="1" spans="1:44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ht="15.6" customHeight="1" spans="1:44" x14ac:dyDescent="0.25">
      <c r="A302" s="27"/>
      <c r="B302" s="28"/>
      <c r="C302" s="28"/>
      <c r="D302" s="29"/>
      <c r="E302" s="29"/>
      <c r="F302" s="28"/>
      <c r="G302" s="28"/>
      <c r="H302" s="29"/>
      <c r="I302" s="29"/>
      <c r="J302" s="28"/>
      <c r="K302" s="28"/>
      <c r="L302" s="29"/>
      <c r="M302" s="29"/>
      <c r="N302" s="28"/>
      <c r="O302" s="28"/>
      <c r="P302" s="29"/>
      <c r="Q302" s="29"/>
      <c r="R302" s="28"/>
      <c r="S302" s="28"/>
      <c r="T302" s="28"/>
      <c r="U302" s="28"/>
      <c r="V302" s="59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ht="15.6" customHeight="1" spans="1:44" x14ac:dyDescent="0.25">
      <c r="A303" s="30"/>
      <c r="B303" s="31"/>
      <c r="C303" s="31"/>
      <c r="D303" s="32">
        <v>1</v>
      </c>
      <c r="E303" s="33"/>
      <c r="F303" s="31"/>
      <c r="G303" s="31"/>
      <c r="H303" s="32">
        <v>2</v>
      </c>
      <c r="I303" s="33"/>
      <c r="J303" s="31"/>
      <c r="K303" s="31"/>
      <c r="L303" s="32">
        <v>3</v>
      </c>
      <c r="M303" s="33"/>
      <c r="N303" s="31"/>
      <c r="O303" s="31"/>
      <c r="P303" s="32">
        <v>4</v>
      </c>
      <c r="Q303" s="33"/>
      <c r="R303" s="31"/>
      <c r="S303" s="31"/>
      <c r="T303" s="31"/>
      <c r="U303" s="31"/>
      <c r="V303" s="60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ht="15.6" customHeight="1" spans="1:44" x14ac:dyDescent="0.25">
      <c r="A304" s="30"/>
      <c r="B304" s="31" t="s">
        <v>11</v>
      </c>
      <c r="C304" s="31"/>
      <c r="D304" s="32" t="s">
        <v>12</v>
      </c>
      <c r="E304" s="33"/>
      <c r="F304" s="31" t="s">
        <v>11</v>
      </c>
      <c r="G304" s="31"/>
      <c r="H304" s="32" t="s">
        <v>12</v>
      </c>
      <c r="I304" s="33"/>
      <c r="J304" s="31" t="s">
        <v>11</v>
      </c>
      <c r="K304" s="31"/>
      <c r="L304" s="32" t="s">
        <v>12</v>
      </c>
      <c r="M304" s="33"/>
      <c r="N304" s="31" t="s">
        <v>11</v>
      </c>
      <c r="O304" s="31"/>
      <c r="P304" s="32" t="s">
        <v>12</v>
      </c>
      <c r="Q304" s="33"/>
      <c r="R304" s="31"/>
      <c r="S304" s="31"/>
      <c r="T304" s="31"/>
      <c r="U304" s="31"/>
      <c r="V304" s="65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ht="15.6" customHeight="1" spans="1:44" x14ac:dyDescent="0.25">
      <c r="A305" s="30"/>
      <c r="B305" s="35"/>
      <c r="C305" s="35"/>
      <c r="D305" s="5"/>
      <c r="E305" s="5"/>
      <c r="F305" s="35"/>
      <c r="G305" s="35"/>
      <c r="H305" s="5"/>
      <c r="I305" s="5"/>
      <c r="J305" s="35"/>
      <c r="K305" s="35"/>
      <c r="L305" s="5"/>
      <c r="M305" s="5"/>
      <c r="N305" s="35"/>
      <c r="O305" s="35"/>
      <c r="P305" s="5"/>
      <c r="Q305" s="5"/>
      <c r="R305" s="35"/>
      <c r="S305" s="35"/>
      <c r="T305" s="35"/>
      <c r="U305" s="35"/>
      <c r="V305" s="65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ht="15.6" customHeight="1" spans="1:44" x14ac:dyDescent="0.25">
      <c r="A306" s="30"/>
      <c r="B306" s="31">
        <v>0</v>
      </c>
      <c r="C306" s="31"/>
      <c r="D306" s="37">
        <v>1</v>
      </c>
      <c r="E306" s="37"/>
      <c r="F306" s="31">
        <v>2</v>
      </c>
      <c r="G306" s="31"/>
      <c r="H306" s="37">
        <v>3</v>
      </c>
      <c r="I306" s="37"/>
      <c r="J306" s="31">
        <v>4</v>
      </c>
      <c r="K306" s="31"/>
      <c r="L306" s="37">
        <v>5</v>
      </c>
      <c r="M306" s="37"/>
      <c r="N306" s="31">
        <v>6</v>
      </c>
      <c r="O306" s="31"/>
      <c r="P306" s="37">
        <v>7</v>
      </c>
      <c r="Q306" s="37"/>
      <c r="R306" s="31">
        <v>8</v>
      </c>
      <c r="S306" s="31"/>
      <c r="T306" s="31">
        <v>9</v>
      </c>
      <c r="U306" s="31"/>
      <c r="V306" s="67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ht="15.6" customHeight="1" spans="1:44" x14ac:dyDescent="0.25">
      <c r="A307" s="30"/>
      <c r="B307" s="31" t="s">
        <v>13</v>
      </c>
      <c r="C307" s="31" t="s">
        <v>14</v>
      </c>
      <c r="D307" s="37" t="s">
        <v>15</v>
      </c>
      <c r="E307" s="37" t="s">
        <v>16</v>
      </c>
      <c r="F307" s="31" t="s">
        <v>13</v>
      </c>
      <c r="G307" s="31" t="s">
        <v>14</v>
      </c>
      <c r="H307" s="37" t="s">
        <v>15</v>
      </c>
      <c r="I307" s="37" t="s">
        <v>16</v>
      </c>
      <c r="J307" s="31" t="s">
        <v>13</v>
      </c>
      <c r="K307" s="31" t="s">
        <v>14</v>
      </c>
      <c r="L307" s="37" t="s">
        <v>15</v>
      </c>
      <c r="M307" s="37" t="s">
        <v>16</v>
      </c>
      <c r="N307" s="31" t="s">
        <v>13</v>
      </c>
      <c r="O307" s="31" t="s">
        <v>14</v>
      </c>
      <c r="P307" s="37" t="s">
        <v>15</v>
      </c>
      <c r="Q307" s="37" t="s">
        <v>16</v>
      </c>
      <c r="R307" s="31" t="s">
        <v>13</v>
      </c>
      <c r="S307" s="31" t="s">
        <v>14</v>
      </c>
      <c r="T307" s="31" t="s">
        <v>15</v>
      </c>
      <c r="U307" s="31" t="s">
        <v>16</v>
      </c>
      <c r="V307" s="67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ht="15.6" customHeight="1" spans="1:44" x14ac:dyDescent="0.25">
      <c r="A308" s="39"/>
      <c r="B308" s="40"/>
      <c r="C308" s="40"/>
      <c r="D308" s="41"/>
      <c r="E308" s="42"/>
      <c r="F308" s="40"/>
      <c r="G308" s="40"/>
      <c r="H308" s="41"/>
      <c r="I308" s="42"/>
      <c r="J308" s="40"/>
      <c r="K308" s="40"/>
      <c r="L308" s="41"/>
      <c r="M308" s="42"/>
      <c r="N308" s="40"/>
      <c r="O308" s="40"/>
      <c r="P308" s="41"/>
      <c r="Q308" s="42"/>
      <c r="R308" s="40"/>
      <c r="S308" s="40"/>
      <c r="T308" s="40"/>
      <c r="U308" s="40"/>
      <c r="V308" s="68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ht="15.6" customHeight="1" spans="1:44" x14ac:dyDescent="0.25">
      <c r="A309" s="3"/>
      <c r="B309" s="35"/>
      <c r="C309" s="35"/>
      <c r="D309" s="72"/>
      <c r="E309" s="5"/>
      <c r="F309" s="35"/>
      <c r="G309" s="35"/>
      <c r="H309" s="72"/>
      <c r="I309" s="5"/>
      <c r="J309" s="35"/>
      <c r="K309" s="35"/>
      <c r="L309" s="72"/>
      <c r="M309" s="5"/>
      <c r="N309" s="35"/>
      <c r="O309" s="35"/>
      <c r="P309" s="72"/>
      <c r="Q309" s="5"/>
      <c r="R309" s="35"/>
      <c r="S309" s="35"/>
      <c r="T309" s="35"/>
      <c r="U309" s="35"/>
      <c r="V309" s="38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ht="15.6" customHeight="1" spans="1:44" x14ac:dyDescent="0.25">
      <c r="A310" s="3"/>
      <c r="B310" s="76"/>
      <c r="C310" s="77"/>
      <c r="D310" s="78"/>
      <c r="E310" s="79"/>
      <c r="F310" s="76"/>
      <c r="G310" s="77"/>
      <c r="H310" s="78"/>
      <c r="I310" s="79"/>
      <c r="J310" s="76"/>
      <c r="K310" s="77"/>
      <c r="L310" s="78"/>
      <c r="M310" s="79"/>
      <c r="N310" s="76"/>
      <c r="O310" s="77"/>
      <c r="P310" s="78"/>
      <c r="Q310" s="79"/>
      <c r="R310" s="35"/>
      <c r="S310" s="35"/>
      <c r="T310" s="35"/>
      <c r="U310" s="35"/>
      <c r="V310" s="38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ht="15.6" customHeight="1" spans="1:44" x14ac:dyDescent="0.25">
      <c r="A311" s="3"/>
      <c r="B311" s="50">
        <f>IF(D310&lt;1,"","пом.")</f>
      </c>
      <c r="C311" s="50"/>
      <c r="D311" s="52"/>
      <c r="E311" s="53"/>
      <c r="F311" s="50">
        <f>IF(H310&lt;1,"","пом.")</f>
      </c>
      <c r="G311" s="50"/>
      <c r="H311" s="52"/>
      <c r="I311" s="53"/>
      <c r="J311" s="50">
        <f>IF(L310&lt;1,"","пом.")</f>
      </c>
      <c r="K311" s="50"/>
      <c r="L311" s="52"/>
      <c r="M311" s="53"/>
      <c r="N311" s="50">
        <f>IF(P310&lt;1,"","пом.")</f>
      </c>
      <c r="O311" s="50"/>
      <c r="P311" s="52"/>
      <c r="Q311" s="53"/>
      <c r="R311" s="35"/>
      <c r="S311" s="35"/>
      <c r="T311" s="35"/>
      <c r="U311" s="35"/>
      <c r="V311" s="38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ht="15.6" customHeight="1" spans="1:44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ht="15.6" customHeight="1" spans="1:44" x14ac:dyDescent="0.25">
      <c r="A313" s="3"/>
      <c r="B313" s="3"/>
      <c r="C313" s="3"/>
      <c r="D313" s="4"/>
      <c r="E313" s="5" t="s">
        <v>26</v>
      </c>
      <c r="F313" s="54" t="s">
        <v>27</v>
      </c>
      <c r="G313" s="54"/>
      <c r="H313" s="54"/>
      <c r="I313" s="100" t="s">
        <v>28</v>
      </c>
      <c r="J313" s="100"/>
      <c r="K313" s="100"/>
      <c r="L313" s="4"/>
      <c r="M313" s="4"/>
      <c r="N313" s="3"/>
      <c r="O313" s="35" t="s">
        <v>29</v>
      </c>
      <c r="P313" s="54" t="s">
        <v>30</v>
      </c>
      <c r="Q313" s="54"/>
      <c r="R313" s="54"/>
      <c r="S313" s="100" t="s">
        <v>31</v>
      </c>
      <c r="T313" s="100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ht="15.6" customHeight="1" spans="1:44" x14ac:dyDescent="0.25">
      <c r="A314" s="3"/>
      <c r="B314" s="3"/>
      <c r="C314" s="3"/>
      <c r="D314" s="4"/>
      <c r="E314" s="5" t="s">
        <v>32</v>
      </c>
      <c r="F314" s="54" t="s">
        <v>33</v>
      </c>
      <c r="G314" s="54"/>
      <c r="H314" s="54"/>
      <c r="I314" s="100" t="s">
        <v>34</v>
      </c>
      <c r="J314" s="100"/>
      <c r="K314" s="100"/>
      <c r="L314" s="4"/>
      <c r="M314" s="4"/>
      <c r="N314" s="3"/>
      <c r="O314" s="35" t="s">
        <v>35</v>
      </c>
      <c r="P314" s="54" t="s">
        <v>30</v>
      </c>
      <c r="Q314" s="54"/>
      <c r="R314" s="54"/>
      <c r="S314" s="101" t="s">
        <v>36</v>
      </c>
      <c r="T314" s="101"/>
      <c r="U314" s="101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ht="15.6" customHeight="1" spans="1:44" x14ac:dyDescent="0.25">
      <c r="A315" s="55"/>
      <c r="B315" s="55"/>
      <c r="C315" s="55"/>
      <c r="D315" s="56"/>
      <c r="E315" s="57"/>
      <c r="F315" s="55"/>
      <c r="G315" s="55"/>
      <c r="H315" s="56"/>
      <c r="I315" s="56"/>
      <c r="J315" s="55"/>
      <c r="K315" s="55"/>
      <c r="L315" s="56"/>
      <c r="M315" s="56"/>
      <c r="N315" s="55"/>
      <c r="O315" s="55"/>
      <c r="P315" s="56"/>
      <c r="Q315" s="56"/>
      <c r="R315" s="55"/>
      <c r="S315" s="55"/>
      <c r="T315" s="55"/>
      <c r="U315" s="55"/>
      <c r="V315" s="55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ht="15.6" customHeight="1" spans="1:44" x14ac:dyDescent="0.25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4" t="str">
        <f>N296</f>
        <v>1.1</v>
      </c>
      <c r="O316" s="14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ht="15.6" customHeight="1" spans="1:44" x14ac:dyDescent="0.25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5"/>
      <c r="K317" s="15"/>
      <c r="L317" s="16"/>
      <c r="M317" s="9" t="s">
        <v>5</v>
      </c>
      <c r="N317" s="18" t="str">
        <f>N297</f>
        <v>1.1.3</v>
      </c>
      <c r="O317" s="18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ht="15.6" customHeight="1" spans="1:44" x14ac:dyDescent="0.25">
      <c r="A318" s="3"/>
      <c r="B318" s="3"/>
      <c r="C318" s="3"/>
      <c r="D318" s="4"/>
      <c r="E318" s="4" t="s">
        <v>7</v>
      </c>
      <c r="F318" s="3"/>
      <c r="G318" s="3"/>
      <c r="H318" s="8"/>
      <c r="I318" s="8"/>
      <c r="J318" s="7"/>
      <c r="K318" s="7"/>
      <c r="L318" s="8"/>
      <c r="M318" s="19" t="s">
        <v>5</v>
      </c>
      <c r="N318" s="20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ht="15.6" customHeight="1" spans="1:44" x14ac:dyDescent="0.25">
      <c r="A319" s="3"/>
      <c r="B319" s="3"/>
      <c r="C319" s="3"/>
      <c r="D319" s="4"/>
      <c r="E319" s="4" t="s">
        <v>8</v>
      </c>
      <c r="F319" s="3"/>
      <c r="G319" s="3"/>
      <c r="H319" s="4"/>
      <c r="I319" s="4"/>
      <c r="J319" s="3"/>
      <c r="K319" s="3"/>
      <c r="L319" s="16"/>
      <c r="M319" s="19" t="s">
        <v>70</v>
      </c>
      <c r="N319" s="20" t="str">
        <f>IF(N299="-"&amp;N296&amp;".5",IF(N300=15,"-"&amp;N296&amp;".6","-"&amp;N296&amp;".5"),N299)</f>
        <v>-1.1.6</v>
      </c>
      <c r="O319" s="22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ht="15.6" customHeight="1" spans="1:44" x14ac:dyDescent="0.25">
      <c r="A320" s="3"/>
      <c r="B320" s="3"/>
      <c r="C320" s="3"/>
      <c r="D320" s="4"/>
      <c r="E320" s="24" t="s">
        <v>10</v>
      </c>
      <c r="F320" s="3"/>
      <c r="G320" s="3"/>
      <c r="H320" s="4"/>
      <c r="I320" s="8"/>
      <c r="J320" s="7"/>
      <c r="K320" s="7"/>
      <c r="L320" s="8"/>
      <c r="M320" s="19" t="s">
        <v>5</v>
      </c>
      <c r="N320" s="20">
        <f>IF(N319="-"&amp;N254&amp;".5",N300+1,IF(N299="-"&amp;N254&amp;".5",1,N300+1))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ht="6.6" customHeight="1" spans="1:44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ht="15.6" customHeight="1" spans="1:44" x14ac:dyDescent="0.25">
      <c r="A322" s="27"/>
      <c r="B322" s="28"/>
      <c r="C322" s="28"/>
      <c r="D322" s="29"/>
      <c r="E322" s="29"/>
      <c r="F322" s="28"/>
      <c r="G322" s="28"/>
      <c r="H322" s="29"/>
      <c r="I322" s="29"/>
      <c r="J322" s="28"/>
      <c r="K322" s="28"/>
      <c r="L322" s="29"/>
      <c r="M322" s="29"/>
      <c r="N322" s="28"/>
      <c r="O322" s="28"/>
      <c r="P322" s="29"/>
      <c r="Q322" s="29"/>
      <c r="R322" s="28"/>
      <c r="S322" s="28"/>
      <c r="T322" s="28"/>
      <c r="U322" s="28"/>
      <c r="V322" s="59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ht="15.6" customHeight="1" spans="1:44" x14ac:dyDescent="0.25">
      <c r="A323" s="30"/>
      <c r="B323" s="31"/>
      <c r="C323" s="31"/>
      <c r="D323" s="32">
        <v>1</v>
      </c>
      <c r="E323" s="33"/>
      <c r="F323" s="31"/>
      <c r="G323" s="31"/>
      <c r="H323" s="32">
        <v>2</v>
      </c>
      <c r="I323" s="33"/>
      <c r="J323" s="31"/>
      <c r="K323" s="31"/>
      <c r="L323" s="32">
        <v>3</v>
      </c>
      <c r="M323" s="33"/>
      <c r="N323" s="31"/>
      <c r="O323" s="31"/>
      <c r="P323" s="32">
        <v>4</v>
      </c>
      <c r="Q323" s="33"/>
      <c r="R323" s="31"/>
      <c r="S323" s="31"/>
      <c r="T323" s="31"/>
      <c r="U323" s="31"/>
      <c r="V323" s="60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ht="15.6" customHeight="1" spans="1:44" x14ac:dyDescent="0.25">
      <c r="A324" s="30"/>
      <c r="B324" s="31" t="s">
        <v>11</v>
      </c>
      <c r="C324" s="31"/>
      <c r="D324" s="32" t="s">
        <v>12</v>
      </c>
      <c r="E324" s="33"/>
      <c r="F324" s="31" t="s">
        <v>11</v>
      </c>
      <c r="G324" s="31"/>
      <c r="H324" s="32" t="s">
        <v>12</v>
      </c>
      <c r="I324" s="33"/>
      <c r="J324" s="31" t="s">
        <v>11</v>
      </c>
      <c r="K324" s="31"/>
      <c r="L324" s="32" t="s">
        <v>12</v>
      </c>
      <c r="M324" s="33"/>
      <c r="N324" s="31" t="s">
        <v>11</v>
      </c>
      <c r="O324" s="31"/>
      <c r="P324" s="32" t="s">
        <v>12</v>
      </c>
      <c r="Q324" s="33"/>
      <c r="R324" s="31"/>
      <c r="S324" s="31"/>
      <c r="T324" s="31"/>
      <c r="U324" s="31"/>
      <c r="V324" s="65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ht="15.6" customHeight="1" spans="1:44" x14ac:dyDescent="0.25">
      <c r="A325" s="30"/>
      <c r="B325" s="35"/>
      <c r="C325" s="35"/>
      <c r="D325" s="5"/>
      <c r="E325" s="5"/>
      <c r="F325" s="35"/>
      <c r="G325" s="35"/>
      <c r="H325" s="5"/>
      <c r="I325" s="5"/>
      <c r="J325" s="35"/>
      <c r="K325" s="35"/>
      <c r="L325" s="5"/>
      <c r="M325" s="5"/>
      <c r="N325" s="35"/>
      <c r="O325" s="35"/>
      <c r="P325" s="5"/>
      <c r="Q325" s="5"/>
      <c r="R325" s="35"/>
      <c r="S325" s="35"/>
      <c r="T325" s="35"/>
      <c r="U325" s="35"/>
      <c r="V325" s="65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ht="15.6" customHeight="1" spans="1:44" x14ac:dyDescent="0.25">
      <c r="A326" s="30"/>
      <c r="B326" s="31">
        <v>0</v>
      </c>
      <c r="C326" s="31"/>
      <c r="D326" s="37">
        <v>1</v>
      </c>
      <c r="E326" s="37"/>
      <c r="F326" s="31">
        <v>2</v>
      </c>
      <c r="G326" s="31"/>
      <c r="H326" s="37">
        <v>3</v>
      </c>
      <c r="I326" s="37"/>
      <c r="J326" s="31">
        <v>4</v>
      </c>
      <c r="K326" s="31"/>
      <c r="L326" s="37">
        <v>5</v>
      </c>
      <c r="M326" s="37"/>
      <c r="N326" s="31">
        <v>6</v>
      </c>
      <c r="O326" s="31"/>
      <c r="P326" s="37">
        <v>7</v>
      </c>
      <c r="Q326" s="37"/>
      <c r="R326" s="31">
        <v>8</v>
      </c>
      <c r="S326" s="31"/>
      <c r="T326" s="31">
        <v>9</v>
      </c>
      <c r="U326" s="31"/>
      <c r="V326" s="67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ht="15.6" customHeight="1" spans="1:44" x14ac:dyDescent="0.25">
      <c r="A327" s="30"/>
      <c r="B327" s="31" t="s">
        <v>13</v>
      </c>
      <c r="C327" s="31" t="s">
        <v>14</v>
      </c>
      <c r="D327" s="37" t="s">
        <v>15</v>
      </c>
      <c r="E327" s="37" t="s">
        <v>16</v>
      </c>
      <c r="F327" s="31" t="s">
        <v>13</v>
      </c>
      <c r="G327" s="31" t="s">
        <v>14</v>
      </c>
      <c r="H327" s="37" t="s">
        <v>15</v>
      </c>
      <c r="I327" s="37" t="s">
        <v>16</v>
      </c>
      <c r="J327" s="31" t="s">
        <v>13</v>
      </c>
      <c r="K327" s="31" t="s">
        <v>14</v>
      </c>
      <c r="L327" s="37" t="s">
        <v>15</v>
      </c>
      <c r="M327" s="37" t="s">
        <v>16</v>
      </c>
      <c r="N327" s="31" t="s">
        <v>13</v>
      </c>
      <c r="O327" s="31" t="s">
        <v>14</v>
      </c>
      <c r="P327" s="37" t="s">
        <v>15</v>
      </c>
      <c r="Q327" s="37" t="s">
        <v>16</v>
      </c>
      <c r="R327" s="31" t="s">
        <v>13</v>
      </c>
      <c r="S327" s="31" t="s">
        <v>14</v>
      </c>
      <c r="T327" s="31" t="s">
        <v>15</v>
      </c>
      <c r="U327" s="31" t="s">
        <v>16</v>
      </c>
      <c r="V327" s="67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ht="15.6" customHeight="1" spans="1:44" x14ac:dyDescent="0.25">
      <c r="A328" s="39"/>
      <c r="B328" s="40"/>
      <c r="C328" s="40"/>
      <c r="D328" s="41"/>
      <c r="E328" s="42"/>
      <c r="F328" s="40"/>
      <c r="G328" s="40"/>
      <c r="H328" s="41"/>
      <c r="I328" s="42"/>
      <c r="J328" s="40"/>
      <c r="K328" s="40"/>
      <c r="L328" s="41"/>
      <c r="M328" s="42"/>
      <c r="N328" s="40"/>
      <c r="O328" s="40"/>
      <c r="P328" s="41"/>
      <c r="Q328" s="42"/>
      <c r="R328" s="40"/>
      <c r="S328" s="40"/>
      <c r="T328" s="40"/>
      <c r="U328" s="40"/>
      <c r="V328" s="68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ht="6.6" customHeight="1" spans="1:44" x14ac:dyDescent="0.25">
      <c r="A329" s="3"/>
      <c r="B329" s="35"/>
      <c r="C329" s="35"/>
      <c r="D329" s="72"/>
      <c r="E329" s="5"/>
      <c r="F329" s="35"/>
      <c r="G329" s="35"/>
      <c r="H329" s="72"/>
      <c r="I329" s="5"/>
      <c r="J329" s="35"/>
      <c r="K329" s="35"/>
      <c r="L329" s="72"/>
      <c r="M329" s="5"/>
      <c r="N329" s="35"/>
      <c r="O329" s="35"/>
      <c r="P329" s="72"/>
      <c r="Q329" s="5"/>
      <c r="R329" s="35"/>
      <c r="S329" s="35"/>
      <c r="T329" s="35"/>
      <c r="U329" s="35"/>
      <c r="V329" s="38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ht="15.6" customHeight="1" spans="1:44" x14ac:dyDescent="0.25">
      <c r="A330" s="3"/>
      <c r="B330" s="76"/>
      <c r="C330" s="77"/>
      <c r="D330" s="78"/>
      <c r="E330" s="79"/>
      <c r="F330" s="76"/>
      <c r="G330" s="77"/>
      <c r="H330" s="78"/>
      <c r="I330" s="79"/>
      <c r="J330" s="76"/>
      <c r="K330" s="77"/>
      <c r="L330" s="78"/>
      <c r="M330" s="79"/>
      <c r="N330" s="76"/>
      <c r="O330" s="77"/>
      <c r="P330" s="78"/>
      <c r="Q330" s="79"/>
      <c r="R330" s="35"/>
      <c r="S330" s="35"/>
      <c r="T330" s="35"/>
      <c r="U330" s="35"/>
      <c r="V330" s="38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ht="15.6" customHeight="1" spans="1:44" x14ac:dyDescent="0.25">
      <c r="A331" s="3"/>
      <c r="B331" s="50">
        <f>IF(D330&lt;1,"","пом.")</f>
      </c>
      <c r="C331" s="50"/>
      <c r="D331" s="52"/>
      <c r="E331" s="53"/>
      <c r="F331" s="50">
        <f>IF(H330&lt;1,"","пом.")</f>
      </c>
      <c r="G331" s="50"/>
      <c r="H331" s="52"/>
      <c r="I331" s="53"/>
      <c r="J331" s="50">
        <f>IF(L330&lt;1,"","пом.")</f>
      </c>
      <c r="K331" s="50"/>
      <c r="L331" s="52"/>
      <c r="M331" s="53"/>
      <c r="N331" s="50">
        <f>IF(P330&lt;1,"","пом.")</f>
      </c>
      <c r="O331" s="50"/>
      <c r="P331" s="52"/>
      <c r="Q331" s="53"/>
      <c r="R331" s="35"/>
      <c r="S331" s="35"/>
      <c r="T331" s="35"/>
      <c r="U331" s="35"/>
      <c r="V331" s="38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ht="7.9" customHeight="1" spans="1:44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ht="15.6" customHeight="1" spans="1:44" x14ac:dyDescent="0.25">
      <c r="A333" s="3"/>
      <c r="B333" s="3"/>
      <c r="C333" s="3"/>
      <c r="D333" s="4"/>
      <c r="E333" s="5" t="s">
        <v>26</v>
      </c>
      <c r="F333" s="54" t="s">
        <v>27</v>
      </c>
      <c r="G333" s="54"/>
      <c r="H333" s="54"/>
      <c r="I333" s="100" t="s">
        <v>28</v>
      </c>
      <c r="J333" s="100"/>
      <c r="K333" s="100"/>
      <c r="L333" s="4"/>
      <c r="M333" s="4"/>
      <c r="N333" s="3"/>
      <c r="O333" s="35" t="s">
        <v>29</v>
      </c>
      <c r="P333" s="54" t="s">
        <v>30</v>
      </c>
      <c r="Q333" s="54"/>
      <c r="R333" s="54"/>
      <c r="S333" s="100" t="s">
        <v>31</v>
      </c>
      <c r="T333" s="100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ht="15.6" customHeight="1" spans="1:44" x14ac:dyDescent="0.25">
      <c r="A334" s="3"/>
      <c r="B334" s="3"/>
      <c r="C334" s="3"/>
      <c r="D334" s="4"/>
      <c r="E334" s="5" t="s">
        <v>32</v>
      </c>
      <c r="F334" s="54" t="s">
        <v>33</v>
      </c>
      <c r="G334" s="54"/>
      <c r="H334" s="54"/>
      <c r="I334" s="100" t="s">
        <v>34</v>
      </c>
      <c r="J334" s="100"/>
      <c r="K334" s="100"/>
      <c r="L334" s="4"/>
      <c r="M334" s="4"/>
      <c r="N334" s="3"/>
      <c r="O334" s="35" t="s">
        <v>35</v>
      </c>
      <c r="P334" s="54" t="s">
        <v>30</v>
      </c>
      <c r="Q334" s="54"/>
      <c r="R334" s="54"/>
      <c r="S334" s="101" t="s">
        <v>36</v>
      </c>
      <c r="T334" s="101"/>
      <c r="U334" s="101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ht="15.6" customHeight="1" spans="1:44" x14ac:dyDescent="0.25">
      <c r="A335" s="55"/>
      <c r="B335" s="55"/>
      <c r="C335" s="55"/>
      <c r="D335" s="56"/>
      <c r="E335" s="57"/>
      <c r="F335" s="55"/>
      <c r="G335" s="55"/>
      <c r="H335" s="56"/>
      <c r="I335" s="56"/>
      <c r="J335" s="55"/>
      <c r="K335" s="55"/>
      <c r="L335" s="56"/>
      <c r="M335" s="56"/>
      <c r="N335" s="55"/>
      <c r="O335" s="55"/>
      <c r="P335" s="56"/>
      <c r="Q335" s="56"/>
      <c r="R335" s="55"/>
      <c r="S335" s="55"/>
      <c r="T335" s="55"/>
      <c r="U335" s="55"/>
      <c r="V335" s="55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ht="15.6" customHeight="1" spans="1:44" x14ac:dyDescent="0.25">
      <c r="A336" s="55"/>
      <c r="B336" s="55"/>
      <c r="C336" s="55"/>
      <c r="D336" s="56"/>
      <c r="E336" s="57"/>
      <c r="F336" s="55"/>
      <c r="G336" s="55"/>
      <c r="H336" s="56"/>
      <c r="I336" s="56"/>
      <c r="J336" s="55"/>
      <c r="K336" s="55"/>
      <c r="L336" s="56"/>
      <c r="M336" s="56"/>
      <c r="N336" s="55"/>
      <c r="O336" s="55"/>
      <c r="P336" s="56"/>
      <c r="Q336" s="56"/>
      <c r="R336" s="55"/>
      <c r="S336" s="55"/>
      <c r="T336" s="55"/>
      <c r="U336" s="55"/>
      <c r="V336" s="55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ht="15.6" customHeight="1" hidden="1" spans="1:44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ht="15.6" customHeight="1" spans="1:44" x14ac:dyDescent="0.25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4" t="str">
        <f>N316</f>
        <v>1.1</v>
      </c>
      <c r="O338" s="14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ht="15.6" customHeight="1" spans="1:44" x14ac:dyDescent="0.25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5"/>
      <c r="K339" s="15"/>
      <c r="L339" s="16"/>
      <c r="M339" s="9" t="s">
        <v>5</v>
      </c>
      <c r="N339" s="18" t="str">
        <f>N338&amp;".3"</f>
        <v>1.1.3</v>
      </c>
      <c r="O339" s="18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ht="15.6" customHeight="1" spans="1:44" x14ac:dyDescent="0.25">
      <c r="A340" s="3"/>
      <c r="B340" s="3"/>
      <c r="C340" s="3"/>
      <c r="D340" s="4"/>
      <c r="E340" s="4" t="s">
        <v>7</v>
      </c>
      <c r="F340" s="3"/>
      <c r="G340" s="3"/>
      <c r="H340" s="8"/>
      <c r="I340" s="8"/>
      <c r="J340" s="7"/>
      <c r="K340" s="7"/>
      <c r="L340" s="8"/>
      <c r="M340" s="19" t="s">
        <v>5</v>
      </c>
      <c r="N340" s="20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ht="15.6" customHeight="1" spans="1:44" x14ac:dyDescent="0.25">
      <c r="A341" s="3"/>
      <c r="B341" s="3"/>
      <c r="C341" s="3"/>
      <c r="D341" s="4"/>
      <c r="E341" s="4" t="s">
        <v>8</v>
      </c>
      <c r="F341" s="3"/>
      <c r="G341" s="3"/>
      <c r="H341" s="4"/>
      <c r="I341" s="4"/>
      <c r="J341" s="3"/>
      <c r="K341" s="3"/>
      <c r="L341" s="16"/>
      <c r="M341" s="19" t="s">
        <v>70</v>
      </c>
      <c r="N341" s="20" t="str">
        <f>IF(N319="-"&amp;N296&amp;".5",IF(N320=15,"-"&amp;N296&amp;".6","-"&amp;N296&amp;".5"),N319)</f>
        <v>-1.1.6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ht="15.6" customHeight="1" spans="1:44" x14ac:dyDescent="0.25">
      <c r="A342" s="3"/>
      <c r="B342" s="3"/>
      <c r="C342" s="3"/>
      <c r="D342" s="4"/>
      <c r="E342" s="24" t="s">
        <v>10</v>
      </c>
      <c r="F342" s="3"/>
      <c r="G342" s="3"/>
      <c r="H342" s="4"/>
      <c r="I342" s="8"/>
      <c r="J342" s="7"/>
      <c r="K342" s="7"/>
      <c r="L342" s="8"/>
      <c r="M342" s="19" t="s">
        <v>5</v>
      </c>
      <c r="N342" s="20">
        <f>IF(N341="-"&amp;N296&amp;".5",N320+1,IF(N319="-"&amp;N296&amp;".5",1,N320+1))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ht="15.6" customHeight="1" spans="1:44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ht="15.6" customHeight="1" spans="1:44" x14ac:dyDescent="0.25">
      <c r="A344" s="27"/>
      <c r="B344" s="28"/>
      <c r="C344" s="28"/>
      <c r="D344" s="29"/>
      <c r="E344" s="29"/>
      <c r="F344" s="28"/>
      <c r="G344" s="28"/>
      <c r="H344" s="29"/>
      <c r="I344" s="29"/>
      <c r="J344" s="28"/>
      <c r="K344" s="28"/>
      <c r="L344" s="29"/>
      <c r="M344" s="29"/>
      <c r="N344" s="28"/>
      <c r="O344" s="28"/>
      <c r="P344" s="29"/>
      <c r="Q344" s="29"/>
      <c r="R344" s="28"/>
      <c r="S344" s="28"/>
      <c r="T344" s="28"/>
      <c r="U344" s="28"/>
      <c r="V344" s="59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ht="15.6" customHeight="1" spans="1:44" x14ac:dyDescent="0.25">
      <c r="A345" s="30"/>
      <c r="B345" s="31"/>
      <c r="C345" s="31"/>
      <c r="D345" s="32">
        <v>1</v>
      </c>
      <c r="E345" s="33"/>
      <c r="F345" s="31"/>
      <c r="G345" s="31"/>
      <c r="H345" s="32">
        <v>2</v>
      </c>
      <c r="I345" s="33"/>
      <c r="J345" s="31"/>
      <c r="K345" s="31"/>
      <c r="L345" s="32">
        <v>3</v>
      </c>
      <c r="M345" s="33"/>
      <c r="N345" s="31"/>
      <c r="O345" s="31"/>
      <c r="P345" s="32">
        <v>4</v>
      </c>
      <c r="Q345" s="33"/>
      <c r="R345" s="31"/>
      <c r="S345" s="31"/>
      <c r="T345" s="31"/>
      <c r="U345" s="31"/>
      <c r="V345" s="60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ht="15.6" customHeight="1" spans="1:44" x14ac:dyDescent="0.25">
      <c r="A346" s="30"/>
      <c r="B346" s="31" t="s">
        <v>11</v>
      </c>
      <c r="C346" s="31"/>
      <c r="D346" s="32" t="s">
        <v>12</v>
      </c>
      <c r="E346" s="33"/>
      <c r="F346" s="31" t="s">
        <v>11</v>
      </c>
      <c r="G346" s="31"/>
      <c r="H346" s="32" t="s">
        <v>12</v>
      </c>
      <c r="I346" s="33"/>
      <c r="J346" s="31" t="s">
        <v>11</v>
      </c>
      <c r="K346" s="31"/>
      <c r="L346" s="32" t="s">
        <v>12</v>
      </c>
      <c r="M346" s="33"/>
      <c r="N346" s="31" t="s">
        <v>11</v>
      </c>
      <c r="O346" s="31"/>
      <c r="P346" s="32" t="s">
        <v>12</v>
      </c>
      <c r="Q346" s="33"/>
      <c r="R346" s="31"/>
      <c r="S346" s="31"/>
      <c r="T346" s="31"/>
      <c r="U346" s="31"/>
      <c r="V346" s="65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ht="15.6" customHeight="1" spans="1:44" x14ac:dyDescent="0.25">
      <c r="A347" s="30"/>
      <c r="B347" s="35"/>
      <c r="C347" s="35"/>
      <c r="D347" s="5"/>
      <c r="E347" s="5"/>
      <c r="F347" s="35"/>
      <c r="G347" s="35"/>
      <c r="H347" s="5"/>
      <c r="I347" s="5"/>
      <c r="J347" s="35"/>
      <c r="K347" s="35"/>
      <c r="L347" s="5"/>
      <c r="M347" s="5"/>
      <c r="N347" s="35"/>
      <c r="O347" s="35"/>
      <c r="P347" s="5"/>
      <c r="Q347" s="5"/>
      <c r="R347" s="35"/>
      <c r="S347" s="35"/>
      <c r="T347" s="35"/>
      <c r="U347" s="35"/>
      <c r="V347" s="65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ht="15.6" customHeight="1" spans="1:44" x14ac:dyDescent="0.25">
      <c r="A348" s="30"/>
      <c r="B348" s="31">
        <v>0</v>
      </c>
      <c r="C348" s="31"/>
      <c r="D348" s="37">
        <v>1</v>
      </c>
      <c r="E348" s="37"/>
      <c r="F348" s="31">
        <v>2</v>
      </c>
      <c r="G348" s="31"/>
      <c r="H348" s="37">
        <v>3</v>
      </c>
      <c r="I348" s="37"/>
      <c r="J348" s="31">
        <v>4</v>
      </c>
      <c r="K348" s="31"/>
      <c r="L348" s="37">
        <v>5</v>
      </c>
      <c r="M348" s="37"/>
      <c r="N348" s="31">
        <v>6</v>
      </c>
      <c r="O348" s="31"/>
      <c r="P348" s="37">
        <v>7</v>
      </c>
      <c r="Q348" s="37"/>
      <c r="R348" s="31">
        <v>8</v>
      </c>
      <c r="S348" s="31"/>
      <c r="T348" s="31">
        <v>9</v>
      </c>
      <c r="U348" s="31"/>
      <c r="V348" s="67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ht="15.6" customHeight="1" spans="1:44" x14ac:dyDescent="0.25">
      <c r="A349" s="30"/>
      <c r="B349" s="31" t="s">
        <v>13</v>
      </c>
      <c r="C349" s="31" t="s">
        <v>14</v>
      </c>
      <c r="D349" s="37" t="s">
        <v>15</v>
      </c>
      <c r="E349" s="37" t="s">
        <v>16</v>
      </c>
      <c r="F349" s="31" t="s">
        <v>13</v>
      </c>
      <c r="G349" s="31" t="s">
        <v>14</v>
      </c>
      <c r="H349" s="37" t="s">
        <v>15</v>
      </c>
      <c r="I349" s="37" t="s">
        <v>16</v>
      </c>
      <c r="J349" s="31" t="s">
        <v>13</v>
      </c>
      <c r="K349" s="31" t="s">
        <v>14</v>
      </c>
      <c r="L349" s="37" t="s">
        <v>15</v>
      </c>
      <c r="M349" s="37" t="s">
        <v>16</v>
      </c>
      <c r="N349" s="31" t="s">
        <v>13</v>
      </c>
      <c r="O349" s="31" t="s">
        <v>14</v>
      </c>
      <c r="P349" s="37" t="s">
        <v>15</v>
      </c>
      <c r="Q349" s="37" t="s">
        <v>16</v>
      </c>
      <c r="R349" s="31" t="s">
        <v>13</v>
      </c>
      <c r="S349" s="31" t="s">
        <v>14</v>
      </c>
      <c r="T349" s="31" t="s">
        <v>15</v>
      </c>
      <c r="U349" s="31" t="s">
        <v>16</v>
      </c>
      <c r="V349" s="67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ht="15.6" customHeight="1" spans="1:44" x14ac:dyDescent="0.25">
      <c r="A350" s="39"/>
      <c r="B350" s="40"/>
      <c r="C350" s="40"/>
      <c r="D350" s="41"/>
      <c r="E350" s="42"/>
      <c r="F350" s="40"/>
      <c r="G350" s="40"/>
      <c r="H350" s="41"/>
      <c r="I350" s="42"/>
      <c r="J350" s="40"/>
      <c r="K350" s="40"/>
      <c r="L350" s="41"/>
      <c r="M350" s="42"/>
      <c r="N350" s="40"/>
      <c r="O350" s="40"/>
      <c r="P350" s="41"/>
      <c r="Q350" s="42"/>
      <c r="R350" s="40"/>
      <c r="S350" s="40"/>
      <c r="T350" s="40"/>
      <c r="U350" s="40"/>
      <c r="V350" s="68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ht="15.6" customHeight="1" spans="1:44" x14ac:dyDescent="0.25">
      <c r="A351" s="3"/>
      <c r="B351" s="35"/>
      <c r="C351" s="35"/>
      <c r="D351" s="72"/>
      <c r="E351" s="5"/>
      <c r="F351" s="35"/>
      <c r="G351" s="35"/>
      <c r="H351" s="72"/>
      <c r="I351" s="5"/>
      <c r="J351" s="35"/>
      <c r="K351" s="35"/>
      <c r="L351" s="72"/>
      <c r="M351" s="5"/>
      <c r="N351" s="35"/>
      <c r="O351" s="35"/>
      <c r="P351" s="72"/>
      <c r="Q351" s="5"/>
      <c r="R351" s="35"/>
      <c r="S351" s="35"/>
      <c r="T351" s="35"/>
      <c r="U351" s="35"/>
      <c r="V351" s="38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ht="15.6" customHeight="1" spans="1:44" x14ac:dyDescent="0.25">
      <c r="A352" s="3"/>
      <c r="B352" s="76"/>
      <c r="C352" s="77"/>
      <c r="D352" s="78"/>
      <c r="E352" s="79"/>
      <c r="F352" s="76"/>
      <c r="G352" s="77"/>
      <c r="H352" s="78"/>
      <c r="I352" s="79"/>
      <c r="J352" s="76"/>
      <c r="K352" s="77"/>
      <c r="L352" s="78"/>
      <c r="M352" s="79"/>
      <c r="N352" s="76"/>
      <c r="O352" s="77"/>
      <c r="P352" s="78"/>
      <c r="Q352" s="79"/>
      <c r="R352" s="35"/>
      <c r="S352" s="35"/>
      <c r="T352" s="35"/>
      <c r="U352" s="35"/>
      <c r="V352" s="38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ht="15.6" customHeight="1" spans="1:44" x14ac:dyDescent="0.25">
      <c r="A353" s="3"/>
      <c r="B353" s="50">
        <f>IF(D352&lt;1,"","пом.")</f>
      </c>
      <c r="C353" s="50"/>
      <c r="D353" s="52"/>
      <c r="E353" s="53"/>
      <c r="F353" s="50">
        <f>IF(H352&lt;1,"","пом.")</f>
      </c>
      <c r="G353" s="50"/>
      <c r="H353" s="52"/>
      <c r="I353" s="53"/>
      <c r="J353" s="50">
        <f>IF(L352&lt;1,"","пом.")</f>
      </c>
      <c r="K353" s="50"/>
      <c r="L353" s="52"/>
      <c r="M353" s="53"/>
      <c r="N353" s="50">
        <f>IF(P352&lt;1,"","пом.")</f>
      </c>
      <c r="O353" s="50"/>
      <c r="P353" s="52"/>
      <c r="Q353" s="53"/>
      <c r="R353" s="35"/>
      <c r="S353" s="35"/>
      <c r="T353" s="35"/>
      <c r="U353" s="35"/>
      <c r="V353" s="38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ht="15.6" customHeight="1" spans="1:44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ht="15.6" customHeight="1" spans="1:44" x14ac:dyDescent="0.25">
      <c r="A355" s="3"/>
      <c r="B355" s="3"/>
      <c r="C355" s="3"/>
      <c r="D355" s="4"/>
      <c r="E355" s="5" t="s">
        <v>26</v>
      </c>
      <c r="F355" s="54" t="s">
        <v>27</v>
      </c>
      <c r="G355" s="54"/>
      <c r="H355" s="54"/>
      <c r="I355" s="100" t="s">
        <v>28</v>
      </c>
      <c r="J355" s="100"/>
      <c r="K355" s="100"/>
      <c r="L355" s="4"/>
      <c r="M355" s="4"/>
      <c r="N355" s="3"/>
      <c r="O355" s="35" t="s">
        <v>29</v>
      </c>
      <c r="P355" s="54" t="s">
        <v>30</v>
      </c>
      <c r="Q355" s="54"/>
      <c r="R355" s="54"/>
      <c r="S355" s="100" t="s">
        <v>31</v>
      </c>
      <c r="T355" s="100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ht="15.6" customHeight="1" spans="1:44" x14ac:dyDescent="0.25">
      <c r="A356" s="3"/>
      <c r="B356" s="3"/>
      <c r="C356" s="3"/>
      <c r="D356" s="4"/>
      <c r="E356" s="5" t="s">
        <v>32</v>
      </c>
      <c r="F356" s="54" t="s">
        <v>33</v>
      </c>
      <c r="G356" s="54"/>
      <c r="H356" s="54"/>
      <c r="I356" s="100" t="s">
        <v>34</v>
      </c>
      <c r="J356" s="100"/>
      <c r="K356" s="100"/>
      <c r="L356" s="4"/>
      <c r="M356" s="4"/>
      <c r="N356" s="3"/>
      <c r="O356" s="35" t="s">
        <v>35</v>
      </c>
      <c r="P356" s="54" t="s">
        <v>30</v>
      </c>
      <c r="Q356" s="54"/>
      <c r="R356" s="54"/>
      <c r="S356" s="101" t="s">
        <v>36</v>
      </c>
      <c r="T356" s="101"/>
      <c r="U356" s="101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ht="15.6" customHeight="1" spans="1:44" x14ac:dyDescent="0.25">
      <c r="A357" s="55"/>
      <c r="B357" s="55"/>
      <c r="C357" s="55"/>
      <c r="D357" s="56"/>
      <c r="E357" s="57"/>
      <c r="F357" s="55"/>
      <c r="G357" s="55"/>
      <c r="H357" s="56"/>
      <c r="I357" s="56"/>
      <c r="J357" s="55"/>
      <c r="K357" s="55"/>
      <c r="L357" s="56"/>
      <c r="M357" s="56"/>
      <c r="N357" s="55"/>
      <c r="O357" s="55"/>
      <c r="P357" s="56"/>
      <c r="Q357" s="56"/>
      <c r="R357" s="55"/>
      <c r="S357" s="55"/>
      <c r="T357" s="55"/>
      <c r="U357" s="55"/>
      <c r="V357" s="55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ht="15.6" customHeight="1" spans="1:44" x14ac:dyDescent="0.25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4" t="str">
        <f>N338</f>
        <v>1.1</v>
      </c>
      <c r="O358" s="14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ht="15.6" customHeight="1" spans="1:44" x14ac:dyDescent="0.25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5"/>
      <c r="K359" s="15"/>
      <c r="L359" s="16"/>
      <c r="M359" s="9" t="s">
        <v>5</v>
      </c>
      <c r="N359" s="18" t="str">
        <f>N339</f>
        <v>1.1.3</v>
      </c>
      <c r="O359" s="18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ht="15.6" customHeight="1" spans="1:44" x14ac:dyDescent="0.25">
      <c r="A360" s="3"/>
      <c r="B360" s="3"/>
      <c r="C360" s="3"/>
      <c r="D360" s="4"/>
      <c r="E360" s="4" t="s">
        <v>7</v>
      </c>
      <c r="F360" s="3"/>
      <c r="G360" s="3"/>
      <c r="H360" s="8"/>
      <c r="I360" s="8"/>
      <c r="J360" s="7"/>
      <c r="K360" s="7"/>
      <c r="L360" s="8"/>
      <c r="M360" s="19" t="s">
        <v>5</v>
      </c>
      <c r="N360" s="20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ht="15.6" customHeight="1" spans="1:44" x14ac:dyDescent="0.25">
      <c r="A361" s="3"/>
      <c r="B361" s="3"/>
      <c r="C361" s="3"/>
      <c r="D361" s="4"/>
      <c r="E361" s="4" t="s">
        <v>8</v>
      </c>
      <c r="F361" s="3"/>
      <c r="G361" s="3"/>
      <c r="H361" s="4"/>
      <c r="I361" s="4"/>
      <c r="J361" s="3"/>
      <c r="K361" s="3"/>
      <c r="L361" s="16"/>
      <c r="M361" s="19" t="s">
        <v>70</v>
      </c>
      <c r="N361" s="20" t="str">
        <f>IF(N341="-"&amp;N338&amp;".5",IF(N342=15,"-"&amp;N338&amp;".6","-"&amp;N338&amp;".5"),N341)</f>
        <v>-1.1.6</v>
      </c>
      <c r="O361" s="22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ht="15.6" customHeight="1" spans="1:44" x14ac:dyDescent="0.25">
      <c r="A362" s="3"/>
      <c r="B362" s="3"/>
      <c r="C362" s="3"/>
      <c r="D362" s="4"/>
      <c r="E362" s="24" t="s">
        <v>10</v>
      </c>
      <c r="F362" s="3"/>
      <c r="G362" s="3"/>
      <c r="H362" s="4"/>
      <c r="I362" s="8"/>
      <c r="J362" s="7"/>
      <c r="K362" s="7"/>
      <c r="L362" s="8"/>
      <c r="M362" s="19" t="s">
        <v>5</v>
      </c>
      <c r="N362" s="20">
        <f>IF(N361="-"&amp;N296&amp;".5",N342+1,IF(N341="-"&amp;N296&amp;".5",1,N342+1))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ht="7.9" customHeight="1" spans="1:44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ht="15.6" customHeight="1" spans="1:44" x14ac:dyDescent="0.25">
      <c r="A364" s="27"/>
      <c r="B364" s="28"/>
      <c r="C364" s="28"/>
      <c r="D364" s="29"/>
      <c r="E364" s="29"/>
      <c r="F364" s="28"/>
      <c r="G364" s="28"/>
      <c r="H364" s="29"/>
      <c r="I364" s="29"/>
      <c r="J364" s="28"/>
      <c r="K364" s="28"/>
      <c r="L364" s="29"/>
      <c r="M364" s="29"/>
      <c r="N364" s="28"/>
      <c r="O364" s="28"/>
      <c r="P364" s="29"/>
      <c r="Q364" s="29"/>
      <c r="R364" s="28"/>
      <c r="S364" s="28"/>
      <c r="T364" s="28"/>
      <c r="U364" s="28"/>
      <c r="V364" s="59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ht="15.6" customHeight="1" spans="1:44" x14ac:dyDescent="0.25">
      <c r="A365" s="30"/>
      <c r="B365" s="31"/>
      <c r="C365" s="31"/>
      <c r="D365" s="32">
        <v>1</v>
      </c>
      <c r="E365" s="33"/>
      <c r="F365" s="31"/>
      <c r="G365" s="31"/>
      <c r="H365" s="32">
        <v>2</v>
      </c>
      <c r="I365" s="33"/>
      <c r="J365" s="31"/>
      <c r="K365" s="31"/>
      <c r="L365" s="32">
        <v>3</v>
      </c>
      <c r="M365" s="33"/>
      <c r="N365" s="31"/>
      <c r="O365" s="31"/>
      <c r="P365" s="32">
        <v>4</v>
      </c>
      <c r="Q365" s="33"/>
      <c r="R365" s="31"/>
      <c r="S365" s="31"/>
      <c r="T365" s="31"/>
      <c r="U365" s="31"/>
      <c r="V365" s="60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ht="15.6" customHeight="1" spans="1:44" x14ac:dyDescent="0.25">
      <c r="A366" s="30"/>
      <c r="B366" s="31" t="s">
        <v>11</v>
      </c>
      <c r="C366" s="31"/>
      <c r="D366" s="32" t="s">
        <v>12</v>
      </c>
      <c r="E366" s="33"/>
      <c r="F366" s="31" t="s">
        <v>11</v>
      </c>
      <c r="G366" s="31"/>
      <c r="H366" s="32" t="s">
        <v>12</v>
      </c>
      <c r="I366" s="33"/>
      <c r="J366" s="31" t="s">
        <v>11</v>
      </c>
      <c r="K366" s="31"/>
      <c r="L366" s="32" t="s">
        <v>12</v>
      </c>
      <c r="M366" s="33"/>
      <c r="N366" s="31" t="s">
        <v>11</v>
      </c>
      <c r="O366" s="31"/>
      <c r="P366" s="32" t="s">
        <v>12</v>
      </c>
      <c r="Q366" s="33"/>
      <c r="R366" s="31"/>
      <c r="S366" s="31"/>
      <c r="T366" s="31"/>
      <c r="U366" s="31"/>
      <c r="V366" s="65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ht="15.6" customHeight="1" spans="1:44" x14ac:dyDescent="0.25">
      <c r="A367" s="30"/>
      <c r="B367" s="35"/>
      <c r="C367" s="35"/>
      <c r="D367" s="5"/>
      <c r="E367" s="5"/>
      <c r="F367" s="35"/>
      <c r="G367" s="35"/>
      <c r="H367" s="5"/>
      <c r="I367" s="5"/>
      <c r="J367" s="35"/>
      <c r="K367" s="35"/>
      <c r="L367" s="5"/>
      <c r="M367" s="5"/>
      <c r="N367" s="35"/>
      <c r="O367" s="35"/>
      <c r="P367" s="5"/>
      <c r="Q367" s="5"/>
      <c r="R367" s="35"/>
      <c r="S367" s="35"/>
      <c r="T367" s="35"/>
      <c r="U367" s="35"/>
      <c r="V367" s="65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ht="15.6" customHeight="1" spans="1:44" x14ac:dyDescent="0.25">
      <c r="A368" s="30"/>
      <c r="B368" s="31">
        <v>0</v>
      </c>
      <c r="C368" s="31"/>
      <c r="D368" s="37">
        <v>1</v>
      </c>
      <c r="E368" s="37"/>
      <c r="F368" s="31">
        <v>2</v>
      </c>
      <c r="G368" s="31"/>
      <c r="H368" s="37">
        <v>3</v>
      </c>
      <c r="I368" s="37"/>
      <c r="J368" s="31">
        <v>4</v>
      </c>
      <c r="K368" s="31"/>
      <c r="L368" s="37">
        <v>5</v>
      </c>
      <c r="M368" s="37"/>
      <c r="N368" s="31">
        <v>6</v>
      </c>
      <c r="O368" s="31"/>
      <c r="P368" s="37">
        <v>7</v>
      </c>
      <c r="Q368" s="37"/>
      <c r="R368" s="31">
        <v>8</v>
      </c>
      <c r="S368" s="31"/>
      <c r="T368" s="31">
        <v>9</v>
      </c>
      <c r="U368" s="31"/>
      <c r="V368" s="67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ht="15.6" customHeight="1" spans="1:44" x14ac:dyDescent="0.25">
      <c r="A369" s="30"/>
      <c r="B369" s="31" t="s">
        <v>13</v>
      </c>
      <c r="C369" s="31" t="s">
        <v>14</v>
      </c>
      <c r="D369" s="37" t="s">
        <v>15</v>
      </c>
      <c r="E369" s="37" t="s">
        <v>16</v>
      </c>
      <c r="F369" s="31" t="s">
        <v>13</v>
      </c>
      <c r="G369" s="31" t="s">
        <v>14</v>
      </c>
      <c r="H369" s="37" t="s">
        <v>15</v>
      </c>
      <c r="I369" s="37" t="s">
        <v>16</v>
      </c>
      <c r="J369" s="31" t="s">
        <v>13</v>
      </c>
      <c r="K369" s="31" t="s">
        <v>14</v>
      </c>
      <c r="L369" s="37" t="s">
        <v>15</v>
      </c>
      <c r="M369" s="37" t="s">
        <v>16</v>
      </c>
      <c r="N369" s="31" t="s">
        <v>13</v>
      </c>
      <c r="O369" s="31" t="s">
        <v>14</v>
      </c>
      <c r="P369" s="37" t="s">
        <v>15</v>
      </c>
      <c r="Q369" s="37" t="s">
        <v>16</v>
      </c>
      <c r="R369" s="31" t="s">
        <v>13</v>
      </c>
      <c r="S369" s="31" t="s">
        <v>14</v>
      </c>
      <c r="T369" s="31" t="s">
        <v>15</v>
      </c>
      <c r="U369" s="31" t="s">
        <v>16</v>
      </c>
      <c r="V369" s="67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ht="15.6" customHeight="1" spans="1:44" x14ac:dyDescent="0.25">
      <c r="A370" s="39"/>
      <c r="B370" s="40"/>
      <c r="C370" s="40"/>
      <c r="D370" s="41"/>
      <c r="E370" s="42"/>
      <c r="F370" s="40"/>
      <c r="G370" s="40"/>
      <c r="H370" s="41"/>
      <c r="I370" s="42"/>
      <c r="J370" s="40"/>
      <c r="K370" s="40"/>
      <c r="L370" s="41"/>
      <c r="M370" s="42"/>
      <c r="N370" s="40"/>
      <c r="O370" s="40"/>
      <c r="P370" s="41"/>
      <c r="Q370" s="42"/>
      <c r="R370" s="40"/>
      <c r="S370" s="40"/>
      <c r="T370" s="40"/>
      <c r="U370" s="40"/>
      <c r="V370" s="68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ht="7.15" customHeight="1" spans="1:44" x14ac:dyDescent="0.25">
      <c r="A371" s="3"/>
      <c r="B371" s="35"/>
      <c r="C371" s="35"/>
      <c r="D371" s="72"/>
      <c r="E371" s="5"/>
      <c r="F371" s="35"/>
      <c r="G371" s="35"/>
      <c r="H371" s="72"/>
      <c r="I371" s="5"/>
      <c r="J371" s="35"/>
      <c r="K371" s="35"/>
      <c r="L371" s="72"/>
      <c r="M371" s="5"/>
      <c r="N371" s="35"/>
      <c r="O371" s="35"/>
      <c r="P371" s="72"/>
      <c r="Q371" s="5"/>
      <c r="R371" s="35"/>
      <c r="S371" s="35"/>
      <c r="T371" s="35"/>
      <c r="U371" s="35"/>
      <c r="V371" s="38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ht="15.6" customHeight="1" spans="1:44" x14ac:dyDescent="0.25">
      <c r="A372" s="3"/>
      <c r="B372" s="76"/>
      <c r="C372" s="77"/>
      <c r="D372" s="78"/>
      <c r="E372" s="79"/>
      <c r="F372" s="76"/>
      <c r="G372" s="77"/>
      <c r="H372" s="78"/>
      <c r="I372" s="79"/>
      <c r="J372" s="76"/>
      <c r="K372" s="77"/>
      <c r="L372" s="78"/>
      <c r="M372" s="79"/>
      <c r="N372" s="76"/>
      <c r="O372" s="77"/>
      <c r="P372" s="78"/>
      <c r="Q372" s="79"/>
      <c r="R372" s="35"/>
      <c r="S372" s="35"/>
      <c r="T372" s="35"/>
      <c r="U372" s="35"/>
      <c r="V372" s="38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ht="15.6" customHeight="1" spans="1:44" x14ac:dyDescent="0.25">
      <c r="A373" s="3"/>
      <c r="B373" s="50">
        <f>IF(D372&lt;1,"","пом.")</f>
      </c>
      <c r="C373" s="50"/>
      <c r="D373" s="52"/>
      <c r="E373" s="53"/>
      <c r="F373" s="50">
        <f>IF(H372&lt;1,"","пом.")</f>
      </c>
      <c r="G373" s="50"/>
      <c r="H373" s="52"/>
      <c r="I373" s="53"/>
      <c r="J373" s="50">
        <f>IF(L372&lt;1,"","пом.")</f>
      </c>
      <c r="K373" s="50"/>
      <c r="L373" s="52"/>
      <c r="M373" s="53"/>
      <c r="N373" s="50">
        <f>IF(P372&lt;1,"","пом.")</f>
      </c>
      <c r="O373" s="50"/>
      <c r="P373" s="52"/>
      <c r="Q373" s="53"/>
      <c r="R373" s="35"/>
      <c r="S373" s="35"/>
      <c r="T373" s="35"/>
      <c r="U373" s="35"/>
      <c r="V373" s="38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ht="7.9" customHeight="1" spans="1:44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ht="15.6" customHeight="1" spans="1:44" x14ac:dyDescent="0.25">
      <c r="A375" s="3"/>
      <c r="B375" s="3"/>
      <c r="C375" s="3"/>
      <c r="D375" s="4"/>
      <c r="E375" s="5" t="s">
        <v>26</v>
      </c>
      <c r="F375" s="54" t="s">
        <v>27</v>
      </c>
      <c r="G375" s="54"/>
      <c r="H375" s="54"/>
      <c r="I375" s="100" t="s">
        <v>28</v>
      </c>
      <c r="J375" s="100"/>
      <c r="K375" s="100"/>
      <c r="L375" s="4"/>
      <c r="M375" s="4"/>
      <c r="N375" s="3"/>
      <c r="O375" s="35" t="s">
        <v>29</v>
      </c>
      <c r="P375" s="54" t="s">
        <v>30</v>
      </c>
      <c r="Q375" s="54"/>
      <c r="R375" s="54"/>
      <c r="S375" s="100" t="s">
        <v>31</v>
      </c>
      <c r="T375" s="100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ht="15.6" customHeight="1" spans="1:44" x14ac:dyDescent="0.25">
      <c r="A376" s="3"/>
      <c r="B376" s="3"/>
      <c r="C376" s="3"/>
      <c r="D376" s="4"/>
      <c r="E376" s="5" t="s">
        <v>32</v>
      </c>
      <c r="F376" s="54" t="s">
        <v>33</v>
      </c>
      <c r="G376" s="54"/>
      <c r="H376" s="54"/>
      <c r="I376" s="100" t="s">
        <v>34</v>
      </c>
      <c r="J376" s="100"/>
      <c r="K376" s="100"/>
      <c r="L376" s="4"/>
      <c r="M376" s="4"/>
      <c r="N376" s="3"/>
      <c r="O376" s="35" t="s">
        <v>35</v>
      </c>
      <c r="P376" s="54" t="s">
        <v>30</v>
      </c>
      <c r="Q376" s="54"/>
      <c r="R376" s="54"/>
      <c r="S376" s="101" t="s">
        <v>36</v>
      </c>
      <c r="T376" s="101"/>
      <c r="U376" s="101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ht="15.6" customHeight="1" spans="1:44" x14ac:dyDescent="0.25">
      <c r="A377" s="55"/>
      <c r="B377" s="55"/>
      <c r="C377" s="55"/>
      <c r="D377" s="56"/>
      <c r="E377" s="57"/>
      <c r="F377" s="55"/>
      <c r="G377" s="55"/>
      <c r="H377" s="56"/>
      <c r="I377" s="56"/>
      <c r="J377" s="55"/>
      <c r="K377" s="55"/>
      <c r="L377" s="56"/>
      <c r="M377" s="56"/>
      <c r="N377" s="55"/>
      <c r="O377" s="55"/>
      <c r="P377" s="56"/>
      <c r="Q377" s="56"/>
      <c r="R377" s="55"/>
      <c r="S377" s="55"/>
      <c r="T377" s="55"/>
      <c r="U377" s="55"/>
      <c r="V377" s="55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ht="15.6" customHeight="1" spans="1:44" x14ac:dyDescent="0.25">
      <c r="A378" s="55"/>
      <c r="B378" s="55"/>
      <c r="C378" s="55"/>
      <c r="D378" s="56"/>
      <c r="E378" s="57"/>
      <c r="F378" s="55"/>
      <c r="G378" s="55"/>
      <c r="H378" s="56"/>
      <c r="I378" s="56"/>
      <c r="J378" s="55"/>
      <c r="K378" s="55"/>
      <c r="L378" s="56"/>
      <c r="M378" s="56"/>
      <c r="N378" s="55"/>
      <c r="O378" s="55"/>
      <c r="P378" s="56"/>
      <c r="Q378" s="56"/>
      <c r="R378" s="55"/>
      <c r="S378" s="55"/>
      <c r="T378" s="55"/>
      <c r="U378" s="55"/>
      <c r="V378" s="55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ht="15.6" customHeight="1" hidden="1" spans="1:44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ht="15.6" customHeight="1" spans="1:44" x14ac:dyDescent="0.25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4" t="str">
        <f>N358</f>
        <v>1.1</v>
      </c>
      <c r="O380" s="14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ht="15.6" customHeight="1" spans="1:44" x14ac:dyDescent="0.25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5"/>
      <c r="K381" s="15"/>
      <c r="L381" s="16"/>
      <c r="M381" s="9" t="s">
        <v>5</v>
      </c>
      <c r="N381" s="18" t="str">
        <f>N380&amp;".3"</f>
        <v>1.1.3</v>
      </c>
      <c r="O381" s="18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ht="15.6" customHeight="1" spans="1:44" x14ac:dyDescent="0.25">
      <c r="A382" s="3"/>
      <c r="B382" s="3"/>
      <c r="C382" s="3"/>
      <c r="D382" s="4"/>
      <c r="E382" s="4" t="s">
        <v>7</v>
      </c>
      <c r="F382" s="3"/>
      <c r="G382" s="3"/>
      <c r="H382" s="8"/>
      <c r="I382" s="8"/>
      <c r="J382" s="7"/>
      <c r="K382" s="7"/>
      <c r="L382" s="8"/>
      <c r="M382" s="19" t="s">
        <v>5</v>
      </c>
      <c r="N382" s="20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ht="15.6" customHeight="1" spans="1:44" x14ac:dyDescent="0.25">
      <c r="A383" s="3"/>
      <c r="B383" s="3"/>
      <c r="C383" s="3"/>
      <c r="D383" s="4"/>
      <c r="E383" s="4" t="s">
        <v>8</v>
      </c>
      <c r="F383" s="3"/>
      <c r="G383" s="3"/>
      <c r="H383" s="4"/>
      <c r="I383" s="4"/>
      <c r="J383" s="3"/>
      <c r="K383" s="3"/>
      <c r="L383" s="16"/>
      <c r="M383" s="19" t="s">
        <v>70</v>
      </c>
      <c r="N383" s="20" t="str">
        <f>IF(N361="-"&amp;N338&amp;".5",IF(N362=15,"-"&amp;N338&amp;".6","-"&amp;N338&amp;".5"),N361)</f>
        <v>-1.1.6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ht="15.6" customHeight="1" spans="1:44" x14ac:dyDescent="0.25">
      <c r="A384" s="3"/>
      <c r="B384" s="3"/>
      <c r="C384" s="3"/>
      <c r="D384" s="4"/>
      <c r="E384" s="24" t="s">
        <v>10</v>
      </c>
      <c r="F384" s="3"/>
      <c r="G384" s="3"/>
      <c r="H384" s="4"/>
      <c r="I384" s="8"/>
      <c r="J384" s="7"/>
      <c r="K384" s="7"/>
      <c r="L384" s="8"/>
      <c r="M384" s="19" t="s">
        <v>5</v>
      </c>
      <c r="N384" s="20">
        <f>IF(N383="-"&amp;N338&amp;".5",N362+1,IF(N361="-"&amp;N338&amp;".5",1,N362+1))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ht="15.6" customHeight="1" spans="1:44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ht="15.6" customHeight="1" spans="1:44" x14ac:dyDescent="0.25">
      <c r="A386" s="27"/>
      <c r="B386" s="28"/>
      <c r="C386" s="28"/>
      <c r="D386" s="29"/>
      <c r="E386" s="29"/>
      <c r="F386" s="28"/>
      <c r="G386" s="28"/>
      <c r="H386" s="29"/>
      <c r="I386" s="29"/>
      <c r="J386" s="28"/>
      <c r="K386" s="28"/>
      <c r="L386" s="29"/>
      <c r="M386" s="29"/>
      <c r="N386" s="28"/>
      <c r="O386" s="28"/>
      <c r="P386" s="29"/>
      <c r="Q386" s="29"/>
      <c r="R386" s="28"/>
      <c r="S386" s="28"/>
      <c r="T386" s="28"/>
      <c r="U386" s="28"/>
      <c r="V386" s="59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ht="15.6" customHeight="1" spans="1:44" x14ac:dyDescent="0.25">
      <c r="A387" s="30"/>
      <c r="B387" s="31"/>
      <c r="C387" s="31"/>
      <c r="D387" s="32">
        <v>1</v>
      </c>
      <c r="E387" s="33"/>
      <c r="F387" s="31"/>
      <c r="G387" s="31"/>
      <c r="H387" s="32">
        <v>2</v>
      </c>
      <c r="I387" s="33"/>
      <c r="J387" s="31"/>
      <c r="K387" s="31"/>
      <c r="L387" s="32">
        <v>3</v>
      </c>
      <c r="M387" s="33"/>
      <c r="N387" s="31"/>
      <c r="O387" s="31"/>
      <c r="P387" s="32">
        <v>4</v>
      </c>
      <c r="Q387" s="33"/>
      <c r="R387" s="31"/>
      <c r="S387" s="31"/>
      <c r="T387" s="31"/>
      <c r="U387" s="31"/>
      <c r="V387" s="60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ht="15.6" customHeight="1" spans="1:44" x14ac:dyDescent="0.25">
      <c r="A388" s="30"/>
      <c r="B388" s="31" t="s">
        <v>11</v>
      </c>
      <c r="C388" s="31"/>
      <c r="D388" s="32" t="s">
        <v>12</v>
      </c>
      <c r="E388" s="33"/>
      <c r="F388" s="31" t="s">
        <v>11</v>
      </c>
      <c r="G388" s="31"/>
      <c r="H388" s="32" t="s">
        <v>12</v>
      </c>
      <c r="I388" s="33"/>
      <c r="J388" s="31" t="s">
        <v>11</v>
      </c>
      <c r="K388" s="31"/>
      <c r="L388" s="32" t="s">
        <v>12</v>
      </c>
      <c r="M388" s="33"/>
      <c r="N388" s="31" t="s">
        <v>11</v>
      </c>
      <c r="O388" s="31"/>
      <c r="P388" s="32" t="s">
        <v>12</v>
      </c>
      <c r="Q388" s="33"/>
      <c r="R388" s="31"/>
      <c r="S388" s="31"/>
      <c r="T388" s="31"/>
      <c r="U388" s="31"/>
      <c r="V388" s="65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ht="15.6" customHeight="1" spans="1:44" x14ac:dyDescent="0.25">
      <c r="A389" s="30"/>
      <c r="B389" s="35"/>
      <c r="C389" s="35"/>
      <c r="D389" s="5"/>
      <c r="E389" s="5"/>
      <c r="F389" s="35"/>
      <c r="G389" s="35"/>
      <c r="H389" s="5"/>
      <c r="I389" s="5"/>
      <c r="J389" s="35"/>
      <c r="K389" s="35"/>
      <c r="L389" s="5"/>
      <c r="M389" s="5"/>
      <c r="N389" s="35"/>
      <c r="O389" s="35"/>
      <c r="P389" s="5"/>
      <c r="Q389" s="5"/>
      <c r="R389" s="35"/>
      <c r="S389" s="35"/>
      <c r="T389" s="35"/>
      <c r="U389" s="35"/>
      <c r="V389" s="65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ht="15.6" customHeight="1" spans="1:44" x14ac:dyDescent="0.25">
      <c r="A390" s="30"/>
      <c r="B390" s="31">
        <v>0</v>
      </c>
      <c r="C390" s="31"/>
      <c r="D390" s="37">
        <v>1</v>
      </c>
      <c r="E390" s="37"/>
      <c r="F390" s="31">
        <v>2</v>
      </c>
      <c r="G390" s="31"/>
      <c r="H390" s="37">
        <v>3</v>
      </c>
      <c r="I390" s="37"/>
      <c r="J390" s="31">
        <v>4</v>
      </c>
      <c r="K390" s="31"/>
      <c r="L390" s="37">
        <v>5</v>
      </c>
      <c r="M390" s="37"/>
      <c r="N390" s="31">
        <v>6</v>
      </c>
      <c r="O390" s="31"/>
      <c r="P390" s="37">
        <v>7</v>
      </c>
      <c r="Q390" s="37"/>
      <c r="R390" s="31">
        <v>8</v>
      </c>
      <c r="S390" s="31"/>
      <c r="T390" s="31">
        <v>9</v>
      </c>
      <c r="U390" s="31"/>
      <c r="V390" s="67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ht="15.6" customHeight="1" spans="1:44" x14ac:dyDescent="0.25">
      <c r="A391" s="30"/>
      <c r="B391" s="31" t="s">
        <v>13</v>
      </c>
      <c r="C391" s="31" t="s">
        <v>14</v>
      </c>
      <c r="D391" s="37" t="s">
        <v>15</v>
      </c>
      <c r="E391" s="37" t="s">
        <v>16</v>
      </c>
      <c r="F391" s="31" t="s">
        <v>13</v>
      </c>
      <c r="G391" s="31" t="s">
        <v>14</v>
      </c>
      <c r="H391" s="37" t="s">
        <v>15</v>
      </c>
      <c r="I391" s="37" t="s">
        <v>16</v>
      </c>
      <c r="J391" s="31" t="s">
        <v>13</v>
      </c>
      <c r="K391" s="31" t="s">
        <v>14</v>
      </c>
      <c r="L391" s="37" t="s">
        <v>15</v>
      </c>
      <c r="M391" s="37" t="s">
        <v>16</v>
      </c>
      <c r="N391" s="31" t="s">
        <v>13</v>
      </c>
      <c r="O391" s="31" t="s">
        <v>14</v>
      </c>
      <c r="P391" s="37" t="s">
        <v>15</v>
      </c>
      <c r="Q391" s="37" t="s">
        <v>16</v>
      </c>
      <c r="R391" s="31" t="s">
        <v>13</v>
      </c>
      <c r="S391" s="31" t="s">
        <v>14</v>
      </c>
      <c r="T391" s="31" t="s">
        <v>15</v>
      </c>
      <c r="U391" s="31" t="s">
        <v>16</v>
      </c>
      <c r="V391" s="67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ht="15.6" customHeight="1" spans="1:44" x14ac:dyDescent="0.25">
      <c r="A392" s="39"/>
      <c r="B392" s="40"/>
      <c r="C392" s="40"/>
      <c r="D392" s="41"/>
      <c r="E392" s="42"/>
      <c r="F392" s="40"/>
      <c r="G392" s="40"/>
      <c r="H392" s="41"/>
      <c r="I392" s="42"/>
      <c r="J392" s="40"/>
      <c r="K392" s="40"/>
      <c r="L392" s="41"/>
      <c r="M392" s="42"/>
      <c r="N392" s="40"/>
      <c r="O392" s="40"/>
      <c r="P392" s="41"/>
      <c r="Q392" s="42"/>
      <c r="R392" s="40"/>
      <c r="S392" s="40"/>
      <c r="T392" s="40"/>
      <c r="U392" s="40"/>
      <c r="V392" s="68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ht="15.6" customHeight="1" spans="1:44" x14ac:dyDescent="0.25">
      <c r="A393" s="3"/>
      <c r="B393" s="35"/>
      <c r="C393" s="35"/>
      <c r="D393" s="72"/>
      <c r="E393" s="5"/>
      <c r="F393" s="35"/>
      <c r="G393" s="35"/>
      <c r="H393" s="72"/>
      <c r="I393" s="5"/>
      <c r="J393" s="35"/>
      <c r="K393" s="35"/>
      <c r="L393" s="72"/>
      <c r="M393" s="5"/>
      <c r="N393" s="35"/>
      <c r="O393" s="35"/>
      <c r="P393" s="72"/>
      <c r="Q393" s="5"/>
      <c r="R393" s="35"/>
      <c r="S393" s="35"/>
      <c r="T393" s="35"/>
      <c r="U393" s="35"/>
      <c r="V393" s="38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ht="15.6" customHeight="1" spans="1:44" x14ac:dyDescent="0.25">
      <c r="A394" s="3"/>
      <c r="B394" s="76"/>
      <c r="C394" s="77"/>
      <c r="D394" s="78"/>
      <c r="E394" s="79"/>
      <c r="F394" s="76"/>
      <c r="G394" s="77"/>
      <c r="H394" s="78"/>
      <c r="I394" s="79"/>
      <c r="J394" s="76"/>
      <c r="K394" s="77"/>
      <c r="L394" s="78"/>
      <c r="M394" s="79"/>
      <c r="N394" s="76"/>
      <c r="O394" s="77"/>
      <c r="P394" s="78"/>
      <c r="Q394" s="79"/>
      <c r="R394" s="35"/>
      <c r="S394" s="35"/>
      <c r="T394" s="35"/>
      <c r="U394" s="35"/>
      <c r="V394" s="38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ht="15.6" customHeight="1" spans="1:44" x14ac:dyDescent="0.25">
      <c r="A395" s="3"/>
      <c r="B395" s="50">
        <f>IF(D394&lt;1,"","пом.")</f>
      </c>
      <c r="C395" s="50"/>
      <c r="D395" s="52"/>
      <c r="E395" s="53"/>
      <c r="F395" s="50">
        <f>IF(H394&lt;1,"","пом.")</f>
      </c>
      <c r="G395" s="50"/>
      <c r="H395" s="52"/>
      <c r="I395" s="53"/>
      <c r="J395" s="50">
        <f>IF(L394&lt;1,"","пом.")</f>
      </c>
      <c r="K395" s="50"/>
      <c r="L395" s="52"/>
      <c r="M395" s="53"/>
      <c r="N395" s="50">
        <f>IF(P394&lt;1,"","пом.")</f>
      </c>
      <c r="O395" s="50"/>
      <c r="P395" s="52"/>
      <c r="Q395" s="53"/>
      <c r="R395" s="35"/>
      <c r="S395" s="35"/>
      <c r="T395" s="35"/>
      <c r="U395" s="35"/>
      <c r="V395" s="38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ht="15.6" customHeight="1" spans="1:44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ht="15.6" customHeight="1" spans="1:44" x14ac:dyDescent="0.25">
      <c r="A397" s="3"/>
      <c r="B397" s="3"/>
      <c r="C397" s="3"/>
      <c r="D397" s="4"/>
      <c r="E397" s="5" t="s">
        <v>26</v>
      </c>
      <c r="F397" s="54" t="s">
        <v>27</v>
      </c>
      <c r="G397" s="54"/>
      <c r="H397" s="54"/>
      <c r="I397" s="100" t="s">
        <v>28</v>
      </c>
      <c r="J397" s="100"/>
      <c r="K397" s="100"/>
      <c r="L397" s="4"/>
      <c r="M397" s="4"/>
      <c r="N397" s="3"/>
      <c r="O397" s="35" t="s">
        <v>29</v>
      </c>
      <c r="P397" s="54" t="s">
        <v>30</v>
      </c>
      <c r="Q397" s="54"/>
      <c r="R397" s="54"/>
      <c r="S397" s="100" t="s">
        <v>31</v>
      </c>
      <c r="T397" s="100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ht="15.6" customHeight="1" spans="1:44" x14ac:dyDescent="0.25">
      <c r="A398" s="3"/>
      <c r="B398" s="3"/>
      <c r="C398" s="3"/>
      <c r="D398" s="4"/>
      <c r="E398" s="5" t="s">
        <v>32</v>
      </c>
      <c r="F398" s="54" t="s">
        <v>33</v>
      </c>
      <c r="G398" s="54"/>
      <c r="H398" s="54"/>
      <c r="I398" s="100" t="s">
        <v>34</v>
      </c>
      <c r="J398" s="100"/>
      <c r="K398" s="100"/>
      <c r="L398" s="4"/>
      <c r="M398" s="4"/>
      <c r="N398" s="3"/>
      <c r="O398" s="35" t="s">
        <v>35</v>
      </c>
      <c r="P398" s="54" t="s">
        <v>30</v>
      </c>
      <c r="Q398" s="54"/>
      <c r="R398" s="54"/>
      <c r="S398" s="101" t="s">
        <v>36</v>
      </c>
      <c r="T398" s="101"/>
      <c r="U398" s="101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ht="15.6" customHeight="1" spans="1:44" x14ac:dyDescent="0.25">
      <c r="A399" s="55"/>
      <c r="B399" s="55"/>
      <c r="C399" s="55"/>
      <c r="D399" s="56"/>
      <c r="E399" s="57"/>
      <c r="F399" s="55"/>
      <c r="G399" s="55"/>
      <c r="H399" s="56"/>
      <c r="I399" s="56"/>
      <c r="J399" s="55"/>
      <c r="K399" s="55"/>
      <c r="L399" s="56"/>
      <c r="M399" s="56"/>
      <c r="N399" s="55"/>
      <c r="O399" s="55"/>
      <c r="P399" s="56"/>
      <c r="Q399" s="56"/>
      <c r="R399" s="55"/>
      <c r="S399" s="55"/>
      <c r="T399" s="55"/>
      <c r="U399" s="55"/>
      <c r="V399" s="55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ht="15.6" customHeight="1" spans="1:44" x14ac:dyDescent="0.25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4" t="str">
        <f>N380</f>
        <v>1.1</v>
      </c>
      <c r="O400" s="14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ht="15.6" customHeight="1" spans="1:44" x14ac:dyDescent="0.25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5"/>
      <c r="K401" s="15"/>
      <c r="L401" s="16"/>
      <c r="M401" s="9" t="s">
        <v>5</v>
      </c>
      <c r="N401" s="18" t="str">
        <f>N381</f>
        <v>1.1.3</v>
      </c>
      <c r="O401" s="18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ht="15.6" customHeight="1" spans="1:44" x14ac:dyDescent="0.25">
      <c r="A402" s="3"/>
      <c r="B402" s="3"/>
      <c r="C402" s="3"/>
      <c r="D402" s="4"/>
      <c r="E402" s="4" t="s">
        <v>7</v>
      </c>
      <c r="F402" s="3"/>
      <c r="G402" s="3"/>
      <c r="H402" s="8"/>
      <c r="I402" s="8"/>
      <c r="J402" s="7"/>
      <c r="K402" s="7"/>
      <c r="L402" s="8"/>
      <c r="M402" s="19" t="s">
        <v>5</v>
      </c>
      <c r="N402" s="20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ht="15.6" customHeight="1" spans="1:44" x14ac:dyDescent="0.25">
      <c r="A403" s="3"/>
      <c r="B403" s="3"/>
      <c r="C403" s="3"/>
      <c r="D403" s="4"/>
      <c r="E403" s="4" t="s">
        <v>8</v>
      </c>
      <c r="F403" s="3"/>
      <c r="G403" s="3"/>
      <c r="H403" s="4"/>
      <c r="I403" s="4"/>
      <c r="J403" s="3"/>
      <c r="K403" s="3"/>
      <c r="L403" s="16"/>
      <c r="M403" s="19" t="s">
        <v>70</v>
      </c>
      <c r="N403" s="20" t="str">
        <f>IF(N383="-"&amp;N380&amp;".5",IF(N384=15,"-"&amp;N380&amp;".6","-"&amp;N380&amp;".5"),N383)</f>
        <v>-1.1.6</v>
      </c>
      <c r="O403" s="22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ht="15.6" customHeight="1" spans="1:44" x14ac:dyDescent="0.25">
      <c r="A404" s="3"/>
      <c r="B404" s="3"/>
      <c r="C404" s="3"/>
      <c r="D404" s="4"/>
      <c r="E404" s="24" t="s">
        <v>10</v>
      </c>
      <c r="F404" s="3"/>
      <c r="G404" s="3"/>
      <c r="H404" s="4"/>
      <c r="I404" s="8"/>
      <c r="J404" s="7"/>
      <c r="K404" s="7"/>
      <c r="L404" s="8"/>
      <c r="M404" s="19" t="s">
        <v>5</v>
      </c>
      <c r="N404" s="20">
        <f>IF(N403="-"&amp;N338&amp;".5",N384+1,IF(N383="-"&amp;N338&amp;".5",1,N384+1))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ht="6.6" customHeight="1" spans="1:44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ht="15.6" customHeight="1" spans="1:44" x14ac:dyDescent="0.25">
      <c r="A406" s="27"/>
      <c r="B406" s="28"/>
      <c r="C406" s="28"/>
      <c r="D406" s="29"/>
      <c r="E406" s="29"/>
      <c r="F406" s="28"/>
      <c r="G406" s="28"/>
      <c r="H406" s="29"/>
      <c r="I406" s="29"/>
      <c r="J406" s="28"/>
      <c r="K406" s="28"/>
      <c r="L406" s="29"/>
      <c r="M406" s="29"/>
      <c r="N406" s="28"/>
      <c r="O406" s="28"/>
      <c r="P406" s="29"/>
      <c r="Q406" s="29"/>
      <c r="R406" s="28"/>
      <c r="S406" s="28"/>
      <c r="T406" s="28"/>
      <c r="U406" s="28"/>
      <c r="V406" s="59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ht="15.6" customHeight="1" spans="1:44" x14ac:dyDescent="0.25">
      <c r="A407" s="30"/>
      <c r="B407" s="31"/>
      <c r="C407" s="31"/>
      <c r="D407" s="32">
        <v>1</v>
      </c>
      <c r="E407" s="33"/>
      <c r="F407" s="31"/>
      <c r="G407" s="31"/>
      <c r="H407" s="32">
        <v>2</v>
      </c>
      <c r="I407" s="33"/>
      <c r="J407" s="31"/>
      <c r="K407" s="31"/>
      <c r="L407" s="32">
        <v>3</v>
      </c>
      <c r="M407" s="33"/>
      <c r="N407" s="31"/>
      <c r="O407" s="31"/>
      <c r="P407" s="32">
        <v>4</v>
      </c>
      <c r="Q407" s="33"/>
      <c r="R407" s="31"/>
      <c r="S407" s="31"/>
      <c r="T407" s="31"/>
      <c r="U407" s="31"/>
      <c r="V407" s="60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ht="15.6" customHeight="1" spans="1:44" x14ac:dyDescent="0.25">
      <c r="A408" s="30"/>
      <c r="B408" s="31" t="s">
        <v>11</v>
      </c>
      <c r="C408" s="31"/>
      <c r="D408" s="32" t="s">
        <v>12</v>
      </c>
      <c r="E408" s="33"/>
      <c r="F408" s="31" t="s">
        <v>11</v>
      </c>
      <c r="G408" s="31"/>
      <c r="H408" s="32" t="s">
        <v>12</v>
      </c>
      <c r="I408" s="33"/>
      <c r="J408" s="31" t="s">
        <v>11</v>
      </c>
      <c r="K408" s="31"/>
      <c r="L408" s="32" t="s">
        <v>12</v>
      </c>
      <c r="M408" s="33"/>
      <c r="N408" s="31" t="s">
        <v>11</v>
      </c>
      <c r="O408" s="31"/>
      <c r="P408" s="32" t="s">
        <v>12</v>
      </c>
      <c r="Q408" s="33"/>
      <c r="R408" s="31"/>
      <c r="S408" s="31"/>
      <c r="T408" s="31"/>
      <c r="U408" s="31"/>
      <c r="V408" s="65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ht="15.6" customHeight="1" spans="1:44" x14ac:dyDescent="0.25">
      <c r="A409" s="30"/>
      <c r="B409" s="35"/>
      <c r="C409" s="35"/>
      <c r="D409" s="5"/>
      <c r="E409" s="5"/>
      <c r="F409" s="35"/>
      <c r="G409" s="35"/>
      <c r="H409" s="5"/>
      <c r="I409" s="5"/>
      <c r="J409" s="35"/>
      <c r="K409" s="35"/>
      <c r="L409" s="5"/>
      <c r="M409" s="5"/>
      <c r="N409" s="35"/>
      <c r="O409" s="35"/>
      <c r="P409" s="5"/>
      <c r="Q409" s="5"/>
      <c r="R409" s="35"/>
      <c r="S409" s="35"/>
      <c r="T409" s="35"/>
      <c r="U409" s="35"/>
      <c r="V409" s="65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ht="15.6" customHeight="1" spans="1:44" x14ac:dyDescent="0.25">
      <c r="A410" s="30"/>
      <c r="B410" s="31">
        <v>0</v>
      </c>
      <c r="C410" s="31"/>
      <c r="D410" s="37">
        <v>1</v>
      </c>
      <c r="E410" s="37"/>
      <c r="F410" s="31">
        <v>2</v>
      </c>
      <c r="G410" s="31"/>
      <c r="H410" s="37">
        <v>3</v>
      </c>
      <c r="I410" s="37"/>
      <c r="J410" s="31">
        <v>4</v>
      </c>
      <c r="K410" s="31"/>
      <c r="L410" s="37">
        <v>5</v>
      </c>
      <c r="M410" s="37"/>
      <c r="N410" s="31">
        <v>6</v>
      </c>
      <c r="O410" s="31"/>
      <c r="P410" s="37">
        <v>7</v>
      </c>
      <c r="Q410" s="37"/>
      <c r="R410" s="31">
        <v>8</v>
      </c>
      <c r="S410" s="31"/>
      <c r="T410" s="31">
        <v>9</v>
      </c>
      <c r="U410" s="31"/>
      <c r="V410" s="67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ht="15.6" customHeight="1" spans="1:44" x14ac:dyDescent="0.25">
      <c r="A411" s="30"/>
      <c r="B411" s="31" t="s">
        <v>13</v>
      </c>
      <c r="C411" s="31" t="s">
        <v>14</v>
      </c>
      <c r="D411" s="37" t="s">
        <v>15</v>
      </c>
      <c r="E411" s="37" t="s">
        <v>16</v>
      </c>
      <c r="F411" s="31" t="s">
        <v>13</v>
      </c>
      <c r="G411" s="31" t="s">
        <v>14</v>
      </c>
      <c r="H411" s="37" t="s">
        <v>15</v>
      </c>
      <c r="I411" s="37" t="s">
        <v>16</v>
      </c>
      <c r="J411" s="31" t="s">
        <v>13</v>
      </c>
      <c r="K411" s="31" t="s">
        <v>14</v>
      </c>
      <c r="L411" s="37" t="s">
        <v>15</v>
      </c>
      <c r="M411" s="37" t="s">
        <v>16</v>
      </c>
      <c r="N411" s="31" t="s">
        <v>13</v>
      </c>
      <c r="O411" s="31" t="s">
        <v>14</v>
      </c>
      <c r="P411" s="37" t="s">
        <v>15</v>
      </c>
      <c r="Q411" s="37" t="s">
        <v>16</v>
      </c>
      <c r="R411" s="31" t="s">
        <v>13</v>
      </c>
      <c r="S411" s="31" t="s">
        <v>14</v>
      </c>
      <c r="T411" s="31" t="s">
        <v>15</v>
      </c>
      <c r="U411" s="31" t="s">
        <v>16</v>
      </c>
      <c r="V411" s="67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ht="15.6" customHeight="1" spans="1:44" x14ac:dyDescent="0.25">
      <c r="A412" s="39"/>
      <c r="B412" s="40"/>
      <c r="C412" s="40"/>
      <c r="D412" s="41"/>
      <c r="E412" s="42"/>
      <c r="F412" s="40"/>
      <c r="G412" s="40"/>
      <c r="H412" s="41"/>
      <c r="I412" s="42"/>
      <c r="J412" s="40"/>
      <c r="K412" s="40"/>
      <c r="L412" s="41"/>
      <c r="M412" s="42"/>
      <c r="N412" s="40"/>
      <c r="O412" s="40"/>
      <c r="P412" s="41"/>
      <c r="Q412" s="42"/>
      <c r="R412" s="40"/>
      <c r="S412" s="40"/>
      <c r="T412" s="40"/>
      <c r="U412" s="40"/>
      <c r="V412" s="68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ht="6" customHeight="1" spans="1:44" x14ac:dyDescent="0.25">
      <c r="A413" s="3"/>
      <c r="B413" s="35"/>
      <c r="C413" s="35"/>
      <c r="D413" s="72"/>
      <c r="E413" s="5"/>
      <c r="F413" s="35"/>
      <c r="G413" s="35"/>
      <c r="H413" s="72"/>
      <c r="I413" s="5"/>
      <c r="J413" s="35"/>
      <c r="K413" s="35"/>
      <c r="L413" s="72"/>
      <c r="M413" s="5"/>
      <c r="N413" s="35"/>
      <c r="O413" s="35"/>
      <c r="P413" s="72"/>
      <c r="Q413" s="5"/>
      <c r="R413" s="35"/>
      <c r="S413" s="35"/>
      <c r="T413" s="35"/>
      <c r="U413" s="35"/>
      <c r="V413" s="38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ht="15.6" customHeight="1" spans="1:44" x14ac:dyDescent="0.25">
      <c r="A414" s="3"/>
      <c r="B414" s="76"/>
      <c r="C414" s="77"/>
      <c r="D414" s="78"/>
      <c r="E414" s="79"/>
      <c r="F414" s="76"/>
      <c r="G414" s="77"/>
      <c r="H414" s="78"/>
      <c r="I414" s="79"/>
      <c r="J414" s="76"/>
      <c r="K414" s="77"/>
      <c r="L414" s="78"/>
      <c r="M414" s="79"/>
      <c r="N414" s="76"/>
      <c r="O414" s="77"/>
      <c r="P414" s="78"/>
      <c r="Q414" s="79"/>
      <c r="R414" s="35"/>
      <c r="S414" s="35"/>
      <c r="T414" s="35"/>
      <c r="U414" s="35"/>
      <c r="V414" s="38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ht="15.6" customHeight="1" spans="1:44" x14ac:dyDescent="0.25">
      <c r="A415" s="3"/>
      <c r="B415" s="50">
        <f>IF(D414&lt;1,"","пом.")</f>
      </c>
      <c r="C415" s="50"/>
      <c r="D415" s="52"/>
      <c r="E415" s="53"/>
      <c r="F415" s="50">
        <f>IF(H414&lt;1,"","пом.")</f>
      </c>
      <c r="G415" s="50"/>
      <c r="H415" s="52"/>
      <c r="I415" s="53"/>
      <c r="J415" s="50">
        <f>IF(L414&lt;1,"","пом.")</f>
      </c>
      <c r="K415" s="50"/>
      <c r="L415" s="52"/>
      <c r="M415" s="53"/>
      <c r="N415" s="50">
        <f>IF(P414&lt;1,"","пом.")</f>
      </c>
      <c r="O415" s="50"/>
      <c r="P415" s="52"/>
      <c r="Q415" s="53"/>
      <c r="R415" s="35"/>
      <c r="S415" s="35"/>
      <c r="T415" s="35"/>
      <c r="U415" s="35"/>
      <c r="V415" s="38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ht="15.6" customHeight="1" spans="1:44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ht="15.6" customHeight="1" spans="1:44" x14ac:dyDescent="0.25">
      <c r="A417" s="3"/>
      <c r="B417" s="3"/>
      <c r="C417" s="3"/>
      <c r="D417" s="4"/>
      <c r="E417" s="5" t="s">
        <v>26</v>
      </c>
      <c r="F417" s="54" t="s">
        <v>27</v>
      </c>
      <c r="G417" s="54"/>
      <c r="H417" s="54"/>
      <c r="I417" s="100" t="s">
        <v>28</v>
      </c>
      <c r="J417" s="100"/>
      <c r="K417" s="100"/>
      <c r="L417" s="4"/>
      <c r="M417" s="4"/>
      <c r="N417" s="3"/>
      <c r="O417" s="35" t="s">
        <v>29</v>
      </c>
      <c r="P417" s="54" t="s">
        <v>30</v>
      </c>
      <c r="Q417" s="54"/>
      <c r="R417" s="54"/>
      <c r="S417" s="100" t="s">
        <v>31</v>
      </c>
      <c r="T417" s="100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ht="15.6" customHeight="1" spans="1:44" x14ac:dyDescent="0.25">
      <c r="A418" s="3"/>
      <c r="B418" s="3"/>
      <c r="C418" s="3"/>
      <c r="D418" s="4"/>
      <c r="E418" s="5" t="s">
        <v>32</v>
      </c>
      <c r="F418" s="54" t="s">
        <v>33</v>
      </c>
      <c r="G418" s="54"/>
      <c r="H418" s="54"/>
      <c r="I418" s="100" t="s">
        <v>34</v>
      </c>
      <c r="J418" s="100"/>
      <c r="K418" s="100"/>
      <c r="L418" s="4"/>
      <c r="M418" s="4"/>
      <c r="N418" s="3"/>
      <c r="O418" s="35" t="s">
        <v>35</v>
      </c>
      <c r="P418" s="54" t="s">
        <v>30</v>
      </c>
      <c r="Q418" s="54"/>
      <c r="R418" s="54"/>
      <c r="S418" s="101" t="s">
        <v>36</v>
      </c>
      <c r="T418" s="101"/>
      <c r="U418" s="101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ht="15.6" customHeight="1" spans="1:44" x14ac:dyDescent="0.25">
      <c r="A419" s="55"/>
      <c r="B419" s="55"/>
      <c r="C419" s="55"/>
      <c r="D419" s="56"/>
      <c r="E419" s="57"/>
      <c r="F419" s="55"/>
      <c r="G419" s="55"/>
      <c r="H419" s="56"/>
      <c r="I419" s="56"/>
      <c r="J419" s="55"/>
      <c r="K419" s="55"/>
      <c r="L419" s="56"/>
      <c r="M419" s="56"/>
      <c r="N419" s="55"/>
      <c r="O419" s="55"/>
      <c r="P419" s="56"/>
      <c r="Q419" s="56"/>
      <c r="R419" s="55"/>
      <c r="S419" s="55"/>
      <c r="T419" s="55"/>
      <c r="U419" s="55"/>
      <c r="V419" s="55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ht="15.6" customHeight="1" spans="1:44" x14ac:dyDescent="0.25">
      <c r="A420" s="55"/>
      <c r="B420" s="55"/>
      <c r="C420" s="55"/>
      <c r="D420" s="56"/>
      <c r="E420" s="57"/>
      <c r="F420" s="55"/>
      <c r="G420" s="55"/>
      <c r="H420" s="56"/>
      <c r="I420" s="56"/>
      <c r="J420" s="55"/>
      <c r="K420" s="55"/>
      <c r="L420" s="56"/>
      <c r="M420" s="56"/>
      <c r="N420" s="55"/>
      <c r="O420" s="55"/>
      <c r="P420" s="56"/>
      <c r="Q420" s="56"/>
      <c r="R420" s="55"/>
      <c r="S420" s="55"/>
      <c r="T420" s="55"/>
      <c r="U420" s="55"/>
      <c r="V420" s="55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ht="15.6" customHeight="1" hidden="1" spans="1:44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ht="15.6" customHeight="1" spans="1:44" x14ac:dyDescent="0.25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4" t="str">
        <f>N400</f>
        <v>1.1</v>
      </c>
      <c r="O422" s="14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ht="15.6" customHeight="1" spans="1:44" x14ac:dyDescent="0.25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5"/>
      <c r="K423" s="15"/>
      <c r="L423" s="16"/>
      <c r="M423" s="9" t="s">
        <v>5</v>
      </c>
      <c r="N423" s="18" t="str">
        <f>N422&amp;".3"</f>
        <v>1.1.3</v>
      </c>
      <c r="O423" s="18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ht="15.6" customHeight="1" spans="1:44" x14ac:dyDescent="0.25">
      <c r="A424" s="3"/>
      <c r="B424" s="3"/>
      <c r="C424" s="3"/>
      <c r="D424" s="4"/>
      <c r="E424" s="4" t="s">
        <v>7</v>
      </c>
      <c r="F424" s="3"/>
      <c r="G424" s="3"/>
      <c r="H424" s="8"/>
      <c r="I424" s="8"/>
      <c r="J424" s="7"/>
      <c r="K424" s="7"/>
      <c r="L424" s="8"/>
      <c r="M424" s="19" t="s">
        <v>5</v>
      </c>
      <c r="N424" s="20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ht="15.6" customHeight="1" spans="1:44" x14ac:dyDescent="0.25">
      <c r="A425" s="3"/>
      <c r="B425" s="3"/>
      <c r="C425" s="3"/>
      <c r="D425" s="4"/>
      <c r="E425" s="4" t="s">
        <v>8</v>
      </c>
      <c r="F425" s="3"/>
      <c r="G425" s="3"/>
      <c r="H425" s="4"/>
      <c r="I425" s="4"/>
      <c r="J425" s="3"/>
      <c r="K425" s="3"/>
      <c r="L425" s="16"/>
      <c r="M425" s="19" t="s">
        <v>70</v>
      </c>
      <c r="N425" s="20" t="str">
        <f>IF(N403="-"&amp;N380&amp;".5",IF(N404=15,"-"&amp;N380&amp;".6","-"&amp;N380&amp;".5"),N403)</f>
        <v>-1.1.6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ht="15.6" customHeight="1" spans="1:44" x14ac:dyDescent="0.25">
      <c r="A426" s="3"/>
      <c r="B426" s="3"/>
      <c r="C426" s="3"/>
      <c r="D426" s="4"/>
      <c r="E426" s="24" t="s">
        <v>10</v>
      </c>
      <c r="F426" s="3"/>
      <c r="G426" s="3"/>
      <c r="H426" s="4"/>
      <c r="I426" s="8"/>
      <c r="J426" s="7"/>
      <c r="K426" s="7"/>
      <c r="L426" s="8"/>
      <c r="M426" s="19" t="s">
        <v>5</v>
      </c>
      <c r="N426" s="20">
        <f>IF(N425="-"&amp;N380&amp;".5",N404+1,IF(N403="-"&amp;N380&amp;".5",1,N404+1))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ht="15.6" customHeight="1" spans="1:44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ht="15.6" customHeight="1" spans="1:44" x14ac:dyDescent="0.25">
      <c r="A428" s="27"/>
      <c r="B428" s="28"/>
      <c r="C428" s="28"/>
      <c r="D428" s="29"/>
      <c r="E428" s="29"/>
      <c r="F428" s="28"/>
      <c r="G428" s="28"/>
      <c r="H428" s="29"/>
      <c r="I428" s="29"/>
      <c r="J428" s="28"/>
      <c r="K428" s="28"/>
      <c r="L428" s="29"/>
      <c r="M428" s="29"/>
      <c r="N428" s="28"/>
      <c r="O428" s="28"/>
      <c r="P428" s="29"/>
      <c r="Q428" s="29"/>
      <c r="R428" s="28"/>
      <c r="S428" s="28"/>
      <c r="T428" s="28"/>
      <c r="U428" s="28"/>
      <c r="V428" s="59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ht="15.6" customHeight="1" spans="1:44" x14ac:dyDescent="0.25">
      <c r="A429" s="30"/>
      <c r="B429" s="31"/>
      <c r="C429" s="31"/>
      <c r="D429" s="32">
        <v>1</v>
      </c>
      <c r="E429" s="33"/>
      <c r="F429" s="31"/>
      <c r="G429" s="31"/>
      <c r="H429" s="32">
        <v>2</v>
      </c>
      <c r="I429" s="33"/>
      <c r="J429" s="31"/>
      <c r="K429" s="31"/>
      <c r="L429" s="32">
        <v>3</v>
      </c>
      <c r="M429" s="33"/>
      <c r="N429" s="31"/>
      <c r="O429" s="31"/>
      <c r="P429" s="32">
        <v>4</v>
      </c>
      <c r="Q429" s="33"/>
      <c r="R429" s="31"/>
      <c r="S429" s="31"/>
      <c r="T429" s="31"/>
      <c r="U429" s="31"/>
      <c r="V429" s="60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ht="15.6" customHeight="1" spans="1:44" x14ac:dyDescent="0.25">
      <c r="A430" s="30"/>
      <c r="B430" s="31" t="s">
        <v>11</v>
      </c>
      <c r="C430" s="31"/>
      <c r="D430" s="32" t="s">
        <v>12</v>
      </c>
      <c r="E430" s="33"/>
      <c r="F430" s="31" t="s">
        <v>11</v>
      </c>
      <c r="G430" s="31"/>
      <c r="H430" s="32" t="s">
        <v>12</v>
      </c>
      <c r="I430" s="33"/>
      <c r="J430" s="31" t="s">
        <v>11</v>
      </c>
      <c r="K430" s="31"/>
      <c r="L430" s="32" t="s">
        <v>12</v>
      </c>
      <c r="M430" s="33"/>
      <c r="N430" s="31" t="s">
        <v>11</v>
      </c>
      <c r="O430" s="31"/>
      <c r="P430" s="32" t="s">
        <v>12</v>
      </c>
      <c r="Q430" s="33"/>
      <c r="R430" s="31"/>
      <c r="S430" s="31"/>
      <c r="T430" s="31"/>
      <c r="U430" s="31"/>
      <c r="V430" s="65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ht="15.6" customHeight="1" spans="1:44" x14ac:dyDescent="0.25">
      <c r="A431" s="30"/>
      <c r="B431" s="35"/>
      <c r="C431" s="35"/>
      <c r="D431" s="5"/>
      <c r="E431" s="5"/>
      <c r="F431" s="35"/>
      <c r="G431" s="35"/>
      <c r="H431" s="5"/>
      <c r="I431" s="5"/>
      <c r="J431" s="35"/>
      <c r="K431" s="35"/>
      <c r="L431" s="5"/>
      <c r="M431" s="5"/>
      <c r="N431" s="35"/>
      <c r="O431" s="35"/>
      <c r="P431" s="5"/>
      <c r="Q431" s="5"/>
      <c r="R431" s="35"/>
      <c r="S431" s="35"/>
      <c r="T431" s="35"/>
      <c r="U431" s="35"/>
      <c r="V431" s="65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ht="15.6" customHeight="1" spans="1:44" x14ac:dyDescent="0.25">
      <c r="A432" s="30"/>
      <c r="B432" s="31">
        <v>0</v>
      </c>
      <c r="C432" s="31"/>
      <c r="D432" s="37">
        <v>1</v>
      </c>
      <c r="E432" s="37"/>
      <c r="F432" s="31">
        <v>2</v>
      </c>
      <c r="G432" s="31"/>
      <c r="H432" s="37">
        <v>3</v>
      </c>
      <c r="I432" s="37"/>
      <c r="J432" s="31">
        <v>4</v>
      </c>
      <c r="K432" s="31"/>
      <c r="L432" s="37">
        <v>5</v>
      </c>
      <c r="M432" s="37"/>
      <c r="N432" s="31">
        <v>6</v>
      </c>
      <c r="O432" s="31"/>
      <c r="P432" s="37">
        <v>7</v>
      </c>
      <c r="Q432" s="37"/>
      <c r="R432" s="31">
        <v>8</v>
      </c>
      <c r="S432" s="31"/>
      <c r="T432" s="31">
        <v>9</v>
      </c>
      <c r="U432" s="31"/>
      <c r="V432" s="67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ht="15.6" customHeight="1" spans="1:44" x14ac:dyDescent="0.25">
      <c r="A433" s="30"/>
      <c r="B433" s="31" t="s">
        <v>13</v>
      </c>
      <c r="C433" s="31" t="s">
        <v>14</v>
      </c>
      <c r="D433" s="37" t="s">
        <v>15</v>
      </c>
      <c r="E433" s="37" t="s">
        <v>16</v>
      </c>
      <c r="F433" s="31" t="s">
        <v>13</v>
      </c>
      <c r="G433" s="31" t="s">
        <v>14</v>
      </c>
      <c r="H433" s="37" t="s">
        <v>15</v>
      </c>
      <c r="I433" s="37" t="s">
        <v>16</v>
      </c>
      <c r="J433" s="31" t="s">
        <v>13</v>
      </c>
      <c r="K433" s="31" t="s">
        <v>14</v>
      </c>
      <c r="L433" s="37" t="s">
        <v>15</v>
      </c>
      <c r="M433" s="37" t="s">
        <v>16</v>
      </c>
      <c r="N433" s="31" t="s">
        <v>13</v>
      </c>
      <c r="O433" s="31" t="s">
        <v>14</v>
      </c>
      <c r="P433" s="37" t="s">
        <v>15</v>
      </c>
      <c r="Q433" s="37" t="s">
        <v>16</v>
      </c>
      <c r="R433" s="31" t="s">
        <v>13</v>
      </c>
      <c r="S433" s="31" t="s">
        <v>14</v>
      </c>
      <c r="T433" s="31" t="s">
        <v>15</v>
      </c>
      <c r="U433" s="31" t="s">
        <v>16</v>
      </c>
      <c r="V433" s="67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ht="15.6" customHeight="1" spans="1:44" x14ac:dyDescent="0.25">
      <c r="A434" s="39"/>
      <c r="B434" s="40"/>
      <c r="C434" s="40"/>
      <c r="D434" s="41"/>
      <c r="E434" s="42"/>
      <c r="F434" s="40"/>
      <c r="G434" s="40"/>
      <c r="H434" s="41"/>
      <c r="I434" s="42"/>
      <c r="J434" s="40"/>
      <c r="K434" s="40"/>
      <c r="L434" s="41"/>
      <c r="M434" s="42"/>
      <c r="N434" s="40"/>
      <c r="O434" s="40"/>
      <c r="P434" s="41"/>
      <c r="Q434" s="42"/>
      <c r="R434" s="40"/>
      <c r="S434" s="40"/>
      <c r="T434" s="40"/>
      <c r="U434" s="40"/>
      <c r="V434" s="68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ht="15.6" customHeight="1" spans="1:44" x14ac:dyDescent="0.25">
      <c r="A435" s="3"/>
      <c r="B435" s="35"/>
      <c r="C435" s="35"/>
      <c r="D435" s="72"/>
      <c r="E435" s="5"/>
      <c r="F435" s="35"/>
      <c r="G435" s="35"/>
      <c r="H435" s="72"/>
      <c r="I435" s="5"/>
      <c r="J435" s="35"/>
      <c r="K435" s="35"/>
      <c r="L435" s="72"/>
      <c r="M435" s="5"/>
      <c r="N435" s="35"/>
      <c r="O435" s="35"/>
      <c r="P435" s="72"/>
      <c r="Q435" s="5"/>
      <c r="R435" s="35"/>
      <c r="S435" s="35"/>
      <c r="T435" s="35"/>
      <c r="U435" s="35"/>
      <c r="V435" s="38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ht="15.6" customHeight="1" spans="1:44" x14ac:dyDescent="0.25">
      <c r="A436" s="3"/>
      <c r="B436" s="76"/>
      <c r="C436" s="77"/>
      <c r="D436" s="78"/>
      <c r="E436" s="79"/>
      <c r="F436" s="76"/>
      <c r="G436" s="77"/>
      <c r="H436" s="78"/>
      <c r="I436" s="79"/>
      <c r="J436" s="76"/>
      <c r="K436" s="77"/>
      <c r="L436" s="78"/>
      <c r="M436" s="79"/>
      <c r="N436" s="76"/>
      <c r="O436" s="77"/>
      <c r="P436" s="78"/>
      <c r="Q436" s="79"/>
      <c r="R436" s="35"/>
      <c r="S436" s="35"/>
      <c r="T436" s="35"/>
      <c r="U436" s="35"/>
      <c r="V436" s="38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ht="15.6" customHeight="1" spans="1:44" x14ac:dyDescent="0.25">
      <c r="A437" s="3"/>
      <c r="B437" s="50">
        <f>IF(D436&lt;1,"","пом.")</f>
      </c>
      <c r="C437" s="50"/>
      <c r="D437" s="52"/>
      <c r="E437" s="53"/>
      <c r="F437" s="50">
        <f>IF(H436&lt;1,"","пом.")</f>
      </c>
      <c r="G437" s="50"/>
      <c r="H437" s="52"/>
      <c r="I437" s="53"/>
      <c r="J437" s="50">
        <f>IF(L436&lt;1,"","пом.")</f>
      </c>
      <c r="K437" s="50"/>
      <c r="L437" s="52"/>
      <c r="M437" s="53"/>
      <c r="N437" s="50">
        <f>IF(P436&lt;1,"","пом.")</f>
      </c>
      <c r="O437" s="50"/>
      <c r="P437" s="52"/>
      <c r="Q437" s="53"/>
      <c r="R437" s="35"/>
      <c r="S437" s="35"/>
      <c r="T437" s="35"/>
      <c r="U437" s="35"/>
      <c r="V437" s="38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ht="15.6" customHeight="1" spans="1:44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ht="15.6" customHeight="1" spans="1:44" x14ac:dyDescent="0.25">
      <c r="A439" s="3"/>
      <c r="B439" s="3"/>
      <c r="C439" s="3"/>
      <c r="D439" s="4"/>
      <c r="E439" s="5" t="s">
        <v>26</v>
      </c>
      <c r="F439" s="54" t="s">
        <v>27</v>
      </c>
      <c r="G439" s="54"/>
      <c r="H439" s="54"/>
      <c r="I439" s="100" t="s">
        <v>28</v>
      </c>
      <c r="J439" s="100"/>
      <c r="K439" s="100"/>
      <c r="L439" s="4"/>
      <c r="M439" s="4"/>
      <c r="N439" s="3"/>
      <c r="O439" s="35" t="s">
        <v>29</v>
      </c>
      <c r="P439" s="54" t="s">
        <v>30</v>
      </c>
      <c r="Q439" s="54"/>
      <c r="R439" s="54"/>
      <c r="S439" s="100" t="s">
        <v>31</v>
      </c>
      <c r="T439" s="100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ht="15.6" customHeight="1" spans="1:44" x14ac:dyDescent="0.25">
      <c r="A440" s="3"/>
      <c r="B440" s="3"/>
      <c r="C440" s="3"/>
      <c r="D440" s="4"/>
      <c r="E440" s="5" t="s">
        <v>32</v>
      </c>
      <c r="F440" s="54" t="s">
        <v>33</v>
      </c>
      <c r="G440" s="54"/>
      <c r="H440" s="54"/>
      <c r="I440" s="100" t="s">
        <v>34</v>
      </c>
      <c r="J440" s="100"/>
      <c r="K440" s="100"/>
      <c r="L440" s="4"/>
      <c r="M440" s="4"/>
      <c r="N440" s="3"/>
      <c r="O440" s="35" t="s">
        <v>35</v>
      </c>
      <c r="P440" s="54" t="s">
        <v>30</v>
      </c>
      <c r="Q440" s="54"/>
      <c r="R440" s="54"/>
      <c r="S440" s="101" t="s">
        <v>36</v>
      </c>
      <c r="T440" s="101"/>
      <c r="U440" s="101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ht="15.6" customHeight="1" spans="1:44" x14ac:dyDescent="0.25">
      <c r="A441" s="55"/>
      <c r="B441" s="55"/>
      <c r="C441" s="55"/>
      <c r="D441" s="56"/>
      <c r="E441" s="57"/>
      <c r="F441" s="55"/>
      <c r="G441" s="55"/>
      <c r="H441" s="56"/>
      <c r="I441" s="56"/>
      <c r="J441" s="55"/>
      <c r="K441" s="55"/>
      <c r="L441" s="56"/>
      <c r="M441" s="56"/>
      <c r="N441" s="55"/>
      <c r="O441" s="55"/>
      <c r="P441" s="56"/>
      <c r="Q441" s="56"/>
      <c r="R441" s="55"/>
      <c r="S441" s="55"/>
      <c r="T441" s="55"/>
      <c r="U441" s="55"/>
      <c r="V441" s="55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ht="15.6" customHeight="1" spans="1:44" x14ac:dyDescent="0.25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4" t="str">
        <f>N422</f>
        <v>1.1</v>
      </c>
      <c r="O442" s="14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ht="15.6" customHeight="1" spans="1:44" x14ac:dyDescent="0.25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5"/>
      <c r="K443" s="15"/>
      <c r="L443" s="16"/>
      <c r="M443" s="9" t="s">
        <v>5</v>
      </c>
      <c r="N443" s="18" t="str">
        <f>N423</f>
        <v>1.1.3</v>
      </c>
      <c r="O443" s="18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ht="15.6" customHeight="1" spans="1:44" x14ac:dyDescent="0.25">
      <c r="A444" s="3"/>
      <c r="B444" s="3"/>
      <c r="C444" s="3"/>
      <c r="D444" s="4"/>
      <c r="E444" s="4" t="s">
        <v>7</v>
      </c>
      <c r="F444" s="3"/>
      <c r="G444" s="3"/>
      <c r="H444" s="8"/>
      <c r="I444" s="8"/>
      <c r="J444" s="7"/>
      <c r="K444" s="7"/>
      <c r="L444" s="8"/>
      <c r="M444" s="19" t="s">
        <v>5</v>
      </c>
      <c r="N444" s="20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ht="15.6" customHeight="1" spans="1:44" x14ac:dyDescent="0.25">
      <c r="A445" s="3"/>
      <c r="B445" s="3"/>
      <c r="C445" s="3"/>
      <c r="D445" s="4"/>
      <c r="E445" s="4" t="s">
        <v>8</v>
      </c>
      <c r="F445" s="3"/>
      <c r="G445" s="3"/>
      <c r="H445" s="4"/>
      <c r="I445" s="4"/>
      <c r="J445" s="3"/>
      <c r="K445" s="3"/>
      <c r="L445" s="16"/>
      <c r="M445" s="19" t="s">
        <v>70</v>
      </c>
      <c r="N445" s="20" t="str">
        <f>IF(N425="-"&amp;N422&amp;".5",IF(N426=15,"-"&amp;N422&amp;".6","-"&amp;N422&amp;".5"),N425)</f>
        <v>-1.1.6</v>
      </c>
      <c r="O445" s="22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ht="15.6" customHeight="1" spans="1:44" x14ac:dyDescent="0.25">
      <c r="A446" s="3"/>
      <c r="B446" s="3"/>
      <c r="C446" s="3"/>
      <c r="D446" s="4"/>
      <c r="E446" s="24" t="s">
        <v>10</v>
      </c>
      <c r="F446" s="3"/>
      <c r="G446" s="3"/>
      <c r="H446" s="4"/>
      <c r="I446" s="8"/>
      <c r="J446" s="7"/>
      <c r="K446" s="7"/>
      <c r="L446" s="8"/>
      <c r="M446" s="19" t="s">
        <v>5</v>
      </c>
      <c r="N446" s="20">
        <f>IF(N445="-"&amp;N380&amp;".5",N426+1,IF(N425="-"&amp;N380&amp;".5",1,N426+1))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ht="15.6" customHeight="1" spans="1:44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ht="15.6" customHeight="1" spans="1:44" x14ac:dyDescent="0.25">
      <c r="A448" s="27"/>
      <c r="B448" s="28"/>
      <c r="C448" s="28"/>
      <c r="D448" s="29"/>
      <c r="E448" s="29"/>
      <c r="F448" s="28"/>
      <c r="G448" s="28"/>
      <c r="H448" s="29"/>
      <c r="I448" s="29"/>
      <c r="J448" s="28"/>
      <c r="K448" s="28"/>
      <c r="L448" s="29"/>
      <c r="M448" s="29"/>
      <c r="N448" s="28"/>
      <c r="O448" s="28"/>
      <c r="P448" s="29"/>
      <c r="Q448" s="29"/>
      <c r="R448" s="28"/>
      <c r="S448" s="28"/>
      <c r="T448" s="28"/>
      <c r="U448" s="28"/>
      <c r="V448" s="59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ht="15.6" customHeight="1" spans="1:44" x14ac:dyDescent="0.25">
      <c r="A449" s="30"/>
      <c r="B449" s="31"/>
      <c r="C449" s="31"/>
      <c r="D449" s="32">
        <v>1</v>
      </c>
      <c r="E449" s="33"/>
      <c r="F449" s="31"/>
      <c r="G449" s="31"/>
      <c r="H449" s="32">
        <v>2</v>
      </c>
      <c r="I449" s="33"/>
      <c r="J449" s="31"/>
      <c r="K449" s="31"/>
      <c r="L449" s="32">
        <v>3</v>
      </c>
      <c r="M449" s="33"/>
      <c r="N449" s="31"/>
      <c r="O449" s="31"/>
      <c r="P449" s="32">
        <v>4</v>
      </c>
      <c r="Q449" s="33"/>
      <c r="R449" s="31"/>
      <c r="S449" s="31"/>
      <c r="T449" s="31"/>
      <c r="U449" s="31"/>
      <c r="V449" s="60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ht="15.6" customHeight="1" spans="1:44" x14ac:dyDescent="0.25">
      <c r="A450" s="30"/>
      <c r="B450" s="31" t="s">
        <v>11</v>
      </c>
      <c r="C450" s="31"/>
      <c r="D450" s="32" t="s">
        <v>12</v>
      </c>
      <c r="E450" s="33"/>
      <c r="F450" s="31" t="s">
        <v>11</v>
      </c>
      <c r="G450" s="31"/>
      <c r="H450" s="32" t="s">
        <v>12</v>
      </c>
      <c r="I450" s="33"/>
      <c r="J450" s="31" t="s">
        <v>11</v>
      </c>
      <c r="K450" s="31"/>
      <c r="L450" s="32" t="s">
        <v>12</v>
      </c>
      <c r="M450" s="33"/>
      <c r="N450" s="31" t="s">
        <v>11</v>
      </c>
      <c r="O450" s="31"/>
      <c r="P450" s="32" t="s">
        <v>12</v>
      </c>
      <c r="Q450" s="33"/>
      <c r="R450" s="31"/>
      <c r="S450" s="31"/>
      <c r="T450" s="31"/>
      <c r="U450" s="31"/>
      <c r="V450" s="65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ht="15.6" customHeight="1" spans="1:44" x14ac:dyDescent="0.25">
      <c r="A451" s="30"/>
      <c r="B451" s="35"/>
      <c r="C451" s="35"/>
      <c r="D451" s="5"/>
      <c r="E451" s="5"/>
      <c r="F451" s="35"/>
      <c r="G451" s="35"/>
      <c r="H451" s="5"/>
      <c r="I451" s="5"/>
      <c r="J451" s="35"/>
      <c r="K451" s="35"/>
      <c r="L451" s="5"/>
      <c r="M451" s="5"/>
      <c r="N451" s="35"/>
      <c r="O451" s="35"/>
      <c r="P451" s="5"/>
      <c r="Q451" s="5"/>
      <c r="R451" s="35"/>
      <c r="S451" s="35"/>
      <c r="T451" s="35"/>
      <c r="U451" s="35"/>
      <c r="V451" s="65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ht="15.6" customHeight="1" spans="1:44" x14ac:dyDescent="0.25">
      <c r="A452" s="30"/>
      <c r="B452" s="31">
        <v>0</v>
      </c>
      <c r="C452" s="31"/>
      <c r="D452" s="37">
        <v>1</v>
      </c>
      <c r="E452" s="37"/>
      <c r="F452" s="31">
        <v>2</v>
      </c>
      <c r="G452" s="31"/>
      <c r="H452" s="37">
        <v>3</v>
      </c>
      <c r="I452" s="37"/>
      <c r="J452" s="31">
        <v>4</v>
      </c>
      <c r="K452" s="31"/>
      <c r="L452" s="37">
        <v>5</v>
      </c>
      <c r="M452" s="37"/>
      <c r="N452" s="31">
        <v>6</v>
      </c>
      <c r="O452" s="31"/>
      <c r="P452" s="37">
        <v>7</v>
      </c>
      <c r="Q452" s="37"/>
      <c r="R452" s="31">
        <v>8</v>
      </c>
      <c r="S452" s="31"/>
      <c r="T452" s="31">
        <v>9</v>
      </c>
      <c r="U452" s="31"/>
      <c r="V452" s="67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ht="15.6" customHeight="1" spans="1:44" x14ac:dyDescent="0.25">
      <c r="A453" s="30"/>
      <c r="B453" s="31" t="s">
        <v>13</v>
      </c>
      <c r="C453" s="31" t="s">
        <v>14</v>
      </c>
      <c r="D453" s="37" t="s">
        <v>15</v>
      </c>
      <c r="E453" s="37" t="s">
        <v>16</v>
      </c>
      <c r="F453" s="31" t="s">
        <v>13</v>
      </c>
      <c r="G453" s="31" t="s">
        <v>14</v>
      </c>
      <c r="H453" s="37" t="s">
        <v>15</v>
      </c>
      <c r="I453" s="37" t="s">
        <v>16</v>
      </c>
      <c r="J453" s="31" t="s">
        <v>13</v>
      </c>
      <c r="K453" s="31" t="s">
        <v>14</v>
      </c>
      <c r="L453" s="37" t="s">
        <v>15</v>
      </c>
      <c r="M453" s="37" t="s">
        <v>16</v>
      </c>
      <c r="N453" s="31" t="s">
        <v>13</v>
      </c>
      <c r="O453" s="31" t="s">
        <v>14</v>
      </c>
      <c r="P453" s="37" t="s">
        <v>15</v>
      </c>
      <c r="Q453" s="37" t="s">
        <v>16</v>
      </c>
      <c r="R453" s="31" t="s">
        <v>13</v>
      </c>
      <c r="S453" s="31" t="s">
        <v>14</v>
      </c>
      <c r="T453" s="31" t="s">
        <v>15</v>
      </c>
      <c r="U453" s="31" t="s">
        <v>16</v>
      </c>
      <c r="V453" s="67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ht="15.6" customHeight="1" spans="1:44" x14ac:dyDescent="0.25">
      <c r="A454" s="39"/>
      <c r="B454" s="40"/>
      <c r="C454" s="40"/>
      <c r="D454" s="41"/>
      <c r="E454" s="42"/>
      <c r="F454" s="40"/>
      <c r="G454" s="40"/>
      <c r="H454" s="41"/>
      <c r="I454" s="42"/>
      <c r="J454" s="40"/>
      <c r="K454" s="40"/>
      <c r="L454" s="41"/>
      <c r="M454" s="42"/>
      <c r="N454" s="40"/>
      <c r="O454" s="40"/>
      <c r="P454" s="41"/>
      <c r="Q454" s="42"/>
      <c r="R454" s="40"/>
      <c r="S454" s="40"/>
      <c r="T454" s="40"/>
      <c r="U454" s="40"/>
      <c r="V454" s="68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ht="7.9" customHeight="1" spans="1:44" x14ac:dyDescent="0.25">
      <c r="A455" s="3"/>
      <c r="B455" s="35"/>
      <c r="C455" s="35"/>
      <c r="D455" s="72"/>
      <c r="E455" s="5"/>
      <c r="F455" s="35"/>
      <c r="G455" s="35"/>
      <c r="H455" s="72"/>
      <c r="I455" s="5"/>
      <c r="J455" s="35"/>
      <c r="K455" s="35"/>
      <c r="L455" s="72"/>
      <c r="M455" s="5"/>
      <c r="N455" s="35"/>
      <c r="O455" s="35"/>
      <c r="P455" s="72"/>
      <c r="Q455" s="5"/>
      <c r="R455" s="35"/>
      <c r="S455" s="35"/>
      <c r="T455" s="35"/>
      <c r="U455" s="35"/>
      <c r="V455" s="38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ht="15.6" customHeight="1" spans="1:44" x14ac:dyDescent="0.25">
      <c r="A456" s="3"/>
      <c r="B456" s="76"/>
      <c r="C456" s="77"/>
      <c r="D456" s="78"/>
      <c r="E456" s="79"/>
      <c r="F456" s="76"/>
      <c r="G456" s="77"/>
      <c r="H456" s="78"/>
      <c r="I456" s="79"/>
      <c r="J456" s="76"/>
      <c r="K456" s="77"/>
      <c r="L456" s="78"/>
      <c r="M456" s="79"/>
      <c r="N456" s="76"/>
      <c r="O456" s="77"/>
      <c r="P456" s="78"/>
      <c r="Q456" s="79"/>
      <c r="R456" s="35"/>
      <c r="S456" s="35"/>
      <c r="T456" s="35"/>
      <c r="U456" s="35"/>
      <c r="V456" s="38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ht="15.6" customHeight="1" spans="1:44" x14ac:dyDescent="0.25">
      <c r="A457" s="3"/>
      <c r="B457" s="50">
        <f>IF(D456&lt;1,"","пом.")</f>
      </c>
      <c r="C457" s="50"/>
      <c r="D457" s="52"/>
      <c r="E457" s="53"/>
      <c r="F457" s="50">
        <f>IF(H456&lt;1,"","пом.")</f>
      </c>
      <c r="G457" s="50"/>
      <c r="H457" s="52"/>
      <c r="I457" s="53"/>
      <c r="J457" s="50">
        <f>IF(L456&lt;1,"","пом.")</f>
      </c>
      <c r="K457" s="50"/>
      <c r="L457" s="52"/>
      <c r="M457" s="53"/>
      <c r="N457" s="50">
        <f>IF(P456&lt;1,"","пом.")</f>
      </c>
      <c r="O457" s="50"/>
      <c r="P457" s="52"/>
      <c r="Q457" s="53"/>
      <c r="R457" s="35"/>
      <c r="S457" s="35"/>
      <c r="T457" s="35"/>
      <c r="U457" s="35"/>
      <c r="V457" s="38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ht="6.6" customHeight="1" spans="1:44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ht="15.6" customHeight="1" spans="1:44" x14ac:dyDescent="0.25">
      <c r="A459" s="3"/>
      <c r="B459" s="3"/>
      <c r="C459" s="3"/>
      <c r="D459" s="4"/>
      <c r="E459" s="5" t="s">
        <v>26</v>
      </c>
      <c r="F459" s="54" t="s">
        <v>27</v>
      </c>
      <c r="G459" s="54"/>
      <c r="H459" s="54"/>
      <c r="I459" s="100" t="s">
        <v>28</v>
      </c>
      <c r="J459" s="100"/>
      <c r="K459" s="100"/>
      <c r="L459" s="4"/>
      <c r="M459" s="4"/>
      <c r="N459" s="3"/>
      <c r="O459" s="35" t="s">
        <v>29</v>
      </c>
      <c r="P459" s="54" t="s">
        <v>30</v>
      </c>
      <c r="Q459" s="54"/>
      <c r="R459" s="54"/>
      <c r="S459" s="100" t="s">
        <v>31</v>
      </c>
      <c r="T459" s="100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ht="15.6" customHeight="1" spans="1:44" x14ac:dyDescent="0.25">
      <c r="A460" s="3"/>
      <c r="B460" s="3"/>
      <c r="C460" s="3"/>
      <c r="D460" s="4"/>
      <c r="E460" s="5" t="s">
        <v>32</v>
      </c>
      <c r="F460" s="54" t="s">
        <v>33</v>
      </c>
      <c r="G460" s="54"/>
      <c r="H460" s="54"/>
      <c r="I460" s="100" t="s">
        <v>34</v>
      </c>
      <c r="J460" s="100"/>
      <c r="K460" s="100"/>
      <c r="L460" s="4"/>
      <c r="M460" s="4"/>
      <c r="N460" s="3"/>
      <c r="O460" s="35" t="s">
        <v>35</v>
      </c>
      <c r="P460" s="54" t="s">
        <v>30</v>
      </c>
      <c r="Q460" s="54"/>
      <c r="R460" s="54"/>
      <c r="S460" s="101" t="s">
        <v>36</v>
      </c>
      <c r="T460" s="101"/>
      <c r="U460" s="101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ht="15.6" customHeight="1" spans="1:44" x14ac:dyDescent="0.25">
      <c r="A461" s="55"/>
      <c r="B461" s="55"/>
      <c r="C461" s="55"/>
      <c r="D461" s="56"/>
      <c r="E461" s="57"/>
      <c r="F461" s="55"/>
      <c r="G461" s="55"/>
      <c r="H461" s="56"/>
      <c r="I461" s="56"/>
      <c r="J461" s="55"/>
      <c r="K461" s="55"/>
      <c r="L461" s="56"/>
      <c r="M461" s="56"/>
      <c r="N461" s="55"/>
      <c r="O461" s="55"/>
      <c r="P461" s="56"/>
      <c r="Q461" s="56"/>
      <c r="R461" s="55"/>
      <c r="S461" s="55"/>
      <c r="T461" s="55"/>
      <c r="U461" s="55"/>
      <c r="V461" s="55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ht="15.6" customHeight="1" spans="1:44" x14ac:dyDescent="0.25">
      <c r="A462" s="55"/>
      <c r="B462" s="55"/>
      <c r="C462" s="55"/>
      <c r="D462" s="56"/>
      <c r="E462" s="57"/>
      <c r="F462" s="55"/>
      <c r="G462" s="55"/>
      <c r="H462" s="56"/>
      <c r="I462" s="56"/>
      <c r="J462" s="55"/>
      <c r="K462" s="55"/>
      <c r="L462" s="56"/>
      <c r="M462" s="56"/>
      <c r="N462" s="55"/>
      <c r="O462" s="55"/>
      <c r="P462" s="56"/>
      <c r="Q462" s="56"/>
      <c r="R462" s="55"/>
      <c r="S462" s="55"/>
      <c r="T462" s="55"/>
      <c r="U462" s="55"/>
      <c r="V462" s="55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ht="15.6" customHeight="1" hidden="1" spans="1:44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ht="15.6" customHeight="1" spans="1:44" x14ac:dyDescent="0.25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4" t="str">
        <f>N442</f>
        <v>1.1</v>
      </c>
      <c r="O464" s="14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ht="15.6" customHeight="1" spans="1:44" x14ac:dyDescent="0.25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5"/>
      <c r="K465" s="15"/>
      <c r="L465" s="16"/>
      <c r="M465" s="9" t="s">
        <v>5</v>
      </c>
      <c r="N465" s="18" t="str">
        <f>N464&amp;".3"</f>
        <v>1.1.3</v>
      </c>
      <c r="O465" s="18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ht="15.6" customHeight="1" spans="1:44" x14ac:dyDescent="0.25">
      <c r="A466" s="3"/>
      <c r="B466" s="3"/>
      <c r="C466" s="3"/>
      <c r="D466" s="4"/>
      <c r="E466" s="4" t="s">
        <v>7</v>
      </c>
      <c r="F466" s="3"/>
      <c r="G466" s="3"/>
      <c r="H466" s="8"/>
      <c r="I466" s="8"/>
      <c r="J466" s="7"/>
      <c r="K466" s="7"/>
      <c r="L466" s="8"/>
      <c r="M466" s="19" t="s">
        <v>5</v>
      </c>
      <c r="N466" s="20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ht="15.6" customHeight="1" spans="1:44" x14ac:dyDescent="0.25">
      <c r="A467" s="3"/>
      <c r="B467" s="3"/>
      <c r="C467" s="3"/>
      <c r="D467" s="4"/>
      <c r="E467" s="4" t="s">
        <v>8</v>
      </c>
      <c r="F467" s="3"/>
      <c r="G467" s="3"/>
      <c r="H467" s="4"/>
      <c r="I467" s="4"/>
      <c r="J467" s="3"/>
      <c r="K467" s="3"/>
      <c r="L467" s="16"/>
      <c r="M467" s="19" t="s">
        <v>70</v>
      </c>
      <c r="N467" s="20" t="str">
        <f>IF(N445="-"&amp;N422&amp;".5",IF(N446=15,"-"&amp;N422&amp;".6","-"&amp;N422&amp;".5"),N445)</f>
        <v>-1.1.6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ht="15.6" customHeight="1" spans="1:44" x14ac:dyDescent="0.25">
      <c r="A468" s="3"/>
      <c r="B468" s="3"/>
      <c r="C468" s="3"/>
      <c r="D468" s="4"/>
      <c r="E468" s="24" t="s">
        <v>10</v>
      </c>
      <c r="F468" s="3"/>
      <c r="G468" s="3"/>
      <c r="H468" s="4"/>
      <c r="I468" s="8"/>
      <c r="J468" s="7"/>
      <c r="K468" s="7"/>
      <c r="L468" s="8"/>
      <c r="M468" s="19" t="s">
        <v>5</v>
      </c>
      <c r="N468" s="20">
        <f>IF(N467="-"&amp;N422&amp;".5",N446+1,IF(N445="-"&amp;N422&amp;".5",1,N446+1))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ht="15.6" customHeight="1" spans="1:44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ht="15.6" customHeight="1" spans="1:44" x14ac:dyDescent="0.25">
      <c r="A470" s="27"/>
      <c r="B470" s="28"/>
      <c r="C470" s="28"/>
      <c r="D470" s="29"/>
      <c r="E470" s="29"/>
      <c r="F470" s="28"/>
      <c r="G470" s="28"/>
      <c r="H470" s="29"/>
      <c r="I470" s="29"/>
      <c r="J470" s="28"/>
      <c r="K470" s="28"/>
      <c r="L470" s="29"/>
      <c r="M470" s="29"/>
      <c r="N470" s="28"/>
      <c r="O470" s="28"/>
      <c r="P470" s="29"/>
      <c r="Q470" s="29"/>
      <c r="R470" s="28"/>
      <c r="S470" s="28"/>
      <c r="T470" s="28"/>
      <c r="U470" s="28"/>
      <c r="V470" s="59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ht="15.6" customHeight="1" spans="1:44" x14ac:dyDescent="0.25">
      <c r="A471" s="30"/>
      <c r="B471" s="31"/>
      <c r="C471" s="31"/>
      <c r="D471" s="32">
        <v>1</v>
      </c>
      <c r="E471" s="33"/>
      <c r="F471" s="31"/>
      <c r="G471" s="31"/>
      <c r="H471" s="32">
        <v>2</v>
      </c>
      <c r="I471" s="33"/>
      <c r="J471" s="31"/>
      <c r="K471" s="31"/>
      <c r="L471" s="32">
        <v>3</v>
      </c>
      <c r="M471" s="33"/>
      <c r="N471" s="31"/>
      <c r="O471" s="31"/>
      <c r="P471" s="32">
        <v>4</v>
      </c>
      <c r="Q471" s="33"/>
      <c r="R471" s="31"/>
      <c r="S471" s="31"/>
      <c r="T471" s="31"/>
      <c r="U471" s="31"/>
      <c r="V471" s="60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ht="15.6" customHeight="1" spans="1:44" x14ac:dyDescent="0.25">
      <c r="A472" s="30"/>
      <c r="B472" s="31" t="s">
        <v>11</v>
      </c>
      <c r="C472" s="31"/>
      <c r="D472" s="32" t="s">
        <v>12</v>
      </c>
      <c r="E472" s="33"/>
      <c r="F472" s="31" t="s">
        <v>11</v>
      </c>
      <c r="G472" s="31"/>
      <c r="H472" s="32" t="s">
        <v>12</v>
      </c>
      <c r="I472" s="33"/>
      <c r="J472" s="31" t="s">
        <v>11</v>
      </c>
      <c r="K472" s="31"/>
      <c r="L472" s="32" t="s">
        <v>12</v>
      </c>
      <c r="M472" s="33"/>
      <c r="N472" s="31" t="s">
        <v>11</v>
      </c>
      <c r="O472" s="31"/>
      <c r="P472" s="32" t="s">
        <v>12</v>
      </c>
      <c r="Q472" s="33"/>
      <c r="R472" s="31"/>
      <c r="S472" s="31"/>
      <c r="T472" s="31"/>
      <c r="U472" s="31"/>
      <c r="V472" s="65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ht="15.6" customHeight="1" spans="1:44" x14ac:dyDescent="0.25">
      <c r="A473" s="30"/>
      <c r="B473" s="35"/>
      <c r="C473" s="35"/>
      <c r="D473" s="5"/>
      <c r="E473" s="5"/>
      <c r="F473" s="35"/>
      <c r="G473" s="35"/>
      <c r="H473" s="5"/>
      <c r="I473" s="5"/>
      <c r="J473" s="35"/>
      <c r="K473" s="35"/>
      <c r="L473" s="5"/>
      <c r="M473" s="5"/>
      <c r="N473" s="35"/>
      <c r="O473" s="35"/>
      <c r="P473" s="5"/>
      <c r="Q473" s="5"/>
      <c r="R473" s="35"/>
      <c r="S473" s="35"/>
      <c r="T473" s="35"/>
      <c r="U473" s="35"/>
      <c r="V473" s="65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ht="15.6" customHeight="1" spans="1:44" x14ac:dyDescent="0.25">
      <c r="A474" s="30"/>
      <c r="B474" s="31">
        <v>0</v>
      </c>
      <c r="C474" s="31"/>
      <c r="D474" s="37">
        <v>1</v>
      </c>
      <c r="E474" s="37"/>
      <c r="F474" s="31">
        <v>2</v>
      </c>
      <c r="G474" s="31"/>
      <c r="H474" s="37">
        <v>3</v>
      </c>
      <c r="I474" s="37"/>
      <c r="J474" s="31">
        <v>4</v>
      </c>
      <c r="K474" s="31"/>
      <c r="L474" s="37">
        <v>5</v>
      </c>
      <c r="M474" s="37"/>
      <c r="N474" s="31">
        <v>6</v>
      </c>
      <c r="O474" s="31"/>
      <c r="P474" s="37">
        <v>7</v>
      </c>
      <c r="Q474" s="37"/>
      <c r="R474" s="31">
        <v>8</v>
      </c>
      <c r="S474" s="31"/>
      <c r="T474" s="31">
        <v>9</v>
      </c>
      <c r="U474" s="31"/>
      <c r="V474" s="67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ht="15.6" customHeight="1" spans="1:44" x14ac:dyDescent="0.25">
      <c r="A475" s="30"/>
      <c r="B475" s="31" t="s">
        <v>13</v>
      </c>
      <c r="C475" s="31" t="s">
        <v>14</v>
      </c>
      <c r="D475" s="37" t="s">
        <v>15</v>
      </c>
      <c r="E475" s="37" t="s">
        <v>16</v>
      </c>
      <c r="F475" s="31" t="s">
        <v>13</v>
      </c>
      <c r="G475" s="31" t="s">
        <v>14</v>
      </c>
      <c r="H475" s="37" t="s">
        <v>15</v>
      </c>
      <c r="I475" s="37" t="s">
        <v>16</v>
      </c>
      <c r="J475" s="31" t="s">
        <v>13</v>
      </c>
      <c r="K475" s="31" t="s">
        <v>14</v>
      </c>
      <c r="L475" s="37" t="s">
        <v>15</v>
      </c>
      <c r="M475" s="37" t="s">
        <v>16</v>
      </c>
      <c r="N475" s="31" t="s">
        <v>13</v>
      </c>
      <c r="O475" s="31" t="s">
        <v>14</v>
      </c>
      <c r="P475" s="37" t="s">
        <v>15</v>
      </c>
      <c r="Q475" s="37" t="s">
        <v>16</v>
      </c>
      <c r="R475" s="31" t="s">
        <v>13</v>
      </c>
      <c r="S475" s="31" t="s">
        <v>14</v>
      </c>
      <c r="T475" s="31" t="s">
        <v>15</v>
      </c>
      <c r="U475" s="31" t="s">
        <v>16</v>
      </c>
      <c r="V475" s="67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ht="15.6" customHeight="1" spans="1:44" x14ac:dyDescent="0.25">
      <c r="A476" s="39"/>
      <c r="B476" s="40"/>
      <c r="C476" s="40"/>
      <c r="D476" s="41"/>
      <c r="E476" s="42"/>
      <c r="F476" s="40"/>
      <c r="G476" s="40"/>
      <c r="H476" s="41"/>
      <c r="I476" s="42"/>
      <c r="J476" s="40"/>
      <c r="K476" s="40"/>
      <c r="L476" s="41"/>
      <c r="M476" s="42"/>
      <c r="N476" s="40"/>
      <c r="O476" s="40"/>
      <c r="P476" s="41"/>
      <c r="Q476" s="42"/>
      <c r="R476" s="40"/>
      <c r="S476" s="40"/>
      <c r="T476" s="40"/>
      <c r="U476" s="40"/>
      <c r="V476" s="68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ht="15.6" customHeight="1" spans="1:44" x14ac:dyDescent="0.25">
      <c r="A477" s="3"/>
      <c r="B477" s="35"/>
      <c r="C477" s="35"/>
      <c r="D477" s="72"/>
      <c r="E477" s="5"/>
      <c r="F477" s="35"/>
      <c r="G477" s="35"/>
      <c r="H477" s="72"/>
      <c r="I477" s="5"/>
      <c r="J477" s="35"/>
      <c r="K477" s="35"/>
      <c r="L477" s="72"/>
      <c r="M477" s="5"/>
      <c r="N477" s="35"/>
      <c r="O477" s="35"/>
      <c r="P477" s="72"/>
      <c r="Q477" s="5"/>
      <c r="R477" s="35"/>
      <c r="S477" s="35"/>
      <c r="T477" s="35"/>
      <c r="U477" s="35"/>
      <c r="V477" s="38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ht="15.6" customHeight="1" spans="1:44" x14ac:dyDescent="0.25">
      <c r="A478" s="3"/>
      <c r="B478" s="76"/>
      <c r="C478" s="77"/>
      <c r="D478" s="78"/>
      <c r="E478" s="79"/>
      <c r="F478" s="76"/>
      <c r="G478" s="77"/>
      <c r="H478" s="78"/>
      <c r="I478" s="79"/>
      <c r="J478" s="76"/>
      <c r="K478" s="77"/>
      <c r="L478" s="78"/>
      <c r="M478" s="79"/>
      <c r="N478" s="76"/>
      <c r="O478" s="77"/>
      <c r="P478" s="78"/>
      <c r="Q478" s="79"/>
      <c r="R478" s="35"/>
      <c r="S478" s="35"/>
      <c r="T478" s="35"/>
      <c r="U478" s="35"/>
      <c r="V478" s="38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ht="15.6" customHeight="1" spans="1:44" x14ac:dyDescent="0.25">
      <c r="A479" s="3"/>
      <c r="B479" s="50">
        <f>IF(D478&lt;1,"","пом.")</f>
      </c>
      <c r="C479" s="50"/>
      <c r="D479" s="52"/>
      <c r="E479" s="53"/>
      <c r="F479" s="50">
        <f>IF(H478&lt;1,"","пом.")</f>
      </c>
      <c r="G479" s="50"/>
      <c r="H479" s="52"/>
      <c r="I479" s="53"/>
      <c r="J479" s="50">
        <f>IF(L478&lt;1,"","пом.")</f>
      </c>
      <c r="K479" s="50"/>
      <c r="L479" s="52"/>
      <c r="M479" s="53"/>
      <c r="N479" s="50">
        <f>IF(P478&lt;1,"","пом.")</f>
      </c>
      <c r="O479" s="50"/>
      <c r="P479" s="52"/>
      <c r="Q479" s="53"/>
      <c r="R479" s="35"/>
      <c r="S479" s="35"/>
      <c r="T479" s="35"/>
      <c r="U479" s="35"/>
      <c r="V479" s="38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ht="15.6" customHeight="1" spans="1:44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ht="15.6" customHeight="1" spans="1:44" x14ac:dyDescent="0.25">
      <c r="A481" s="3"/>
      <c r="B481" s="3"/>
      <c r="C481" s="3"/>
      <c r="D481" s="4"/>
      <c r="E481" s="5" t="s">
        <v>26</v>
      </c>
      <c r="F481" s="54" t="s">
        <v>27</v>
      </c>
      <c r="G481" s="54"/>
      <c r="H481" s="54"/>
      <c r="I481" s="100" t="s">
        <v>28</v>
      </c>
      <c r="J481" s="100"/>
      <c r="K481" s="100"/>
      <c r="L481" s="4"/>
      <c r="M481" s="4"/>
      <c r="N481" s="3"/>
      <c r="O481" s="35" t="s">
        <v>29</v>
      </c>
      <c r="P481" s="54" t="s">
        <v>30</v>
      </c>
      <c r="Q481" s="54"/>
      <c r="R481" s="54"/>
      <c r="S481" s="100" t="s">
        <v>31</v>
      </c>
      <c r="T481" s="100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ht="15.6" customHeight="1" spans="1:44" x14ac:dyDescent="0.25">
      <c r="A482" s="3"/>
      <c r="B482" s="3"/>
      <c r="C482" s="3"/>
      <c r="D482" s="4"/>
      <c r="E482" s="5" t="s">
        <v>32</v>
      </c>
      <c r="F482" s="54" t="s">
        <v>33</v>
      </c>
      <c r="G482" s="54"/>
      <c r="H482" s="54"/>
      <c r="I482" s="100" t="s">
        <v>34</v>
      </c>
      <c r="J482" s="100"/>
      <c r="K482" s="100"/>
      <c r="L482" s="4"/>
      <c r="M482" s="4"/>
      <c r="N482" s="3"/>
      <c r="O482" s="35" t="s">
        <v>35</v>
      </c>
      <c r="P482" s="54" t="s">
        <v>30</v>
      </c>
      <c r="Q482" s="54"/>
      <c r="R482" s="54"/>
      <c r="S482" s="101" t="s">
        <v>36</v>
      </c>
      <c r="T482" s="101"/>
      <c r="U482" s="101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ht="15.6" customHeight="1" spans="1:44" x14ac:dyDescent="0.25">
      <c r="A483" s="55"/>
      <c r="B483" s="55"/>
      <c r="C483" s="55"/>
      <c r="D483" s="56"/>
      <c r="E483" s="57"/>
      <c r="F483" s="55"/>
      <c r="G483" s="55"/>
      <c r="H483" s="56"/>
      <c r="I483" s="56"/>
      <c r="J483" s="55"/>
      <c r="K483" s="55"/>
      <c r="L483" s="56"/>
      <c r="M483" s="56"/>
      <c r="N483" s="55"/>
      <c r="O483" s="55"/>
      <c r="P483" s="56"/>
      <c r="Q483" s="56"/>
      <c r="R483" s="55"/>
      <c r="S483" s="55"/>
      <c r="T483" s="55"/>
      <c r="U483" s="55"/>
      <c r="V483" s="55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ht="15.6" customHeight="1" spans="1:44" x14ac:dyDescent="0.25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4" t="str">
        <f>N464</f>
        <v>1.1</v>
      </c>
      <c r="O484" s="14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ht="15.6" customHeight="1" spans="1:44" x14ac:dyDescent="0.25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5"/>
      <c r="K485" s="15"/>
      <c r="L485" s="16"/>
      <c r="M485" s="9" t="s">
        <v>5</v>
      </c>
      <c r="N485" s="18" t="str">
        <f>N465</f>
        <v>1.1.3</v>
      </c>
      <c r="O485" s="18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ht="15.6" customHeight="1" spans="1:44" x14ac:dyDescent="0.25">
      <c r="A486" s="3"/>
      <c r="B486" s="3"/>
      <c r="C486" s="3"/>
      <c r="D486" s="4"/>
      <c r="E486" s="4" t="s">
        <v>7</v>
      </c>
      <c r="F486" s="3"/>
      <c r="G486" s="3"/>
      <c r="H486" s="8"/>
      <c r="I486" s="8"/>
      <c r="J486" s="7"/>
      <c r="K486" s="7"/>
      <c r="L486" s="8"/>
      <c r="M486" s="19" t="s">
        <v>5</v>
      </c>
      <c r="N486" s="20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ht="15.6" customHeight="1" spans="1:44" x14ac:dyDescent="0.25">
      <c r="A487" s="3"/>
      <c r="B487" s="3"/>
      <c r="C487" s="3"/>
      <c r="D487" s="4"/>
      <c r="E487" s="4" t="s">
        <v>8</v>
      </c>
      <c r="F487" s="3"/>
      <c r="G487" s="3"/>
      <c r="H487" s="4"/>
      <c r="I487" s="4"/>
      <c r="J487" s="3"/>
      <c r="K487" s="3"/>
      <c r="L487" s="16"/>
      <c r="M487" s="19" t="s">
        <v>70</v>
      </c>
      <c r="N487" s="20" t="str">
        <f>IF(N467="-"&amp;N464&amp;".5",IF(N468=15,"-"&amp;N464&amp;".6","-"&amp;N464&amp;".5"),N467)</f>
        <v>-1.1.6</v>
      </c>
      <c r="O487" s="22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ht="15.6" customHeight="1" spans="1:44" x14ac:dyDescent="0.25">
      <c r="A488" s="3"/>
      <c r="B488" s="3"/>
      <c r="C488" s="3"/>
      <c r="D488" s="4"/>
      <c r="E488" s="24" t="s">
        <v>10</v>
      </c>
      <c r="F488" s="3"/>
      <c r="G488" s="3"/>
      <c r="H488" s="4"/>
      <c r="I488" s="8"/>
      <c r="J488" s="7"/>
      <c r="K488" s="7"/>
      <c r="L488" s="8"/>
      <c r="M488" s="19" t="s">
        <v>5</v>
      </c>
      <c r="N488" s="20">
        <f>IF(N487="-"&amp;N422&amp;".5",N468+1,IF(N467="-"&amp;N422&amp;".5",1,N468+1))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ht="6" customHeight="1" spans="1:44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ht="15.6" customHeight="1" spans="1:44" x14ac:dyDescent="0.25">
      <c r="A490" s="27"/>
      <c r="B490" s="28"/>
      <c r="C490" s="28"/>
      <c r="D490" s="29"/>
      <c r="E490" s="29"/>
      <c r="F490" s="28"/>
      <c r="G490" s="28"/>
      <c r="H490" s="29"/>
      <c r="I490" s="29"/>
      <c r="J490" s="28"/>
      <c r="K490" s="28"/>
      <c r="L490" s="29"/>
      <c r="M490" s="29"/>
      <c r="N490" s="28"/>
      <c r="O490" s="28"/>
      <c r="P490" s="29"/>
      <c r="Q490" s="29"/>
      <c r="R490" s="28"/>
      <c r="S490" s="28"/>
      <c r="T490" s="28"/>
      <c r="U490" s="28"/>
      <c r="V490" s="59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ht="15.6" customHeight="1" spans="1:44" x14ac:dyDescent="0.25">
      <c r="A491" s="30"/>
      <c r="B491" s="31"/>
      <c r="C491" s="31"/>
      <c r="D491" s="32">
        <v>1</v>
      </c>
      <c r="E491" s="33"/>
      <c r="F491" s="31"/>
      <c r="G491" s="31"/>
      <c r="H491" s="32">
        <v>2</v>
      </c>
      <c r="I491" s="33"/>
      <c r="J491" s="31"/>
      <c r="K491" s="31"/>
      <c r="L491" s="32">
        <v>3</v>
      </c>
      <c r="M491" s="33"/>
      <c r="N491" s="31"/>
      <c r="O491" s="31"/>
      <c r="P491" s="32">
        <v>4</v>
      </c>
      <c r="Q491" s="33"/>
      <c r="R491" s="31"/>
      <c r="S491" s="31"/>
      <c r="T491" s="31"/>
      <c r="U491" s="31"/>
      <c r="V491" s="60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ht="15.6" customHeight="1" spans="1:44" x14ac:dyDescent="0.25">
      <c r="A492" s="30"/>
      <c r="B492" s="31" t="s">
        <v>11</v>
      </c>
      <c r="C492" s="31"/>
      <c r="D492" s="32" t="s">
        <v>12</v>
      </c>
      <c r="E492" s="33"/>
      <c r="F492" s="31" t="s">
        <v>11</v>
      </c>
      <c r="G492" s="31"/>
      <c r="H492" s="32" t="s">
        <v>12</v>
      </c>
      <c r="I492" s="33"/>
      <c r="J492" s="31" t="s">
        <v>11</v>
      </c>
      <c r="K492" s="31"/>
      <c r="L492" s="32" t="s">
        <v>12</v>
      </c>
      <c r="M492" s="33"/>
      <c r="N492" s="31" t="s">
        <v>11</v>
      </c>
      <c r="O492" s="31"/>
      <c r="P492" s="32" t="s">
        <v>12</v>
      </c>
      <c r="Q492" s="33"/>
      <c r="R492" s="31"/>
      <c r="S492" s="31"/>
      <c r="T492" s="31"/>
      <c r="U492" s="31"/>
      <c r="V492" s="65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ht="15.6" customHeight="1" spans="1:44" x14ac:dyDescent="0.25">
      <c r="A493" s="30"/>
      <c r="B493" s="35"/>
      <c r="C493" s="35"/>
      <c r="D493" s="5"/>
      <c r="E493" s="5"/>
      <c r="F493" s="35"/>
      <c r="G493" s="35"/>
      <c r="H493" s="5"/>
      <c r="I493" s="5"/>
      <c r="J493" s="35"/>
      <c r="K493" s="35"/>
      <c r="L493" s="5"/>
      <c r="M493" s="5"/>
      <c r="N493" s="35"/>
      <c r="O493" s="35"/>
      <c r="P493" s="5"/>
      <c r="Q493" s="5"/>
      <c r="R493" s="35"/>
      <c r="S493" s="35"/>
      <c r="T493" s="35"/>
      <c r="U493" s="35"/>
      <c r="V493" s="65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ht="15.6" customHeight="1" spans="1:44" x14ac:dyDescent="0.25">
      <c r="A494" s="30"/>
      <c r="B494" s="31">
        <v>0</v>
      </c>
      <c r="C494" s="31"/>
      <c r="D494" s="37">
        <v>1</v>
      </c>
      <c r="E494" s="37"/>
      <c r="F494" s="31">
        <v>2</v>
      </c>
      <c r="G494" s="31"/>
      <c r="H494" s="37">
        <v>3</v>
      </c>
      <c r="I494" s="37"/>
      <c r="J494" s="31">
        <v>4</v>
      </c>
      <c r="K494" s="31"/>
      <c r="L494" s="37">
        <v>5</v>
      </c>
      <c r="M494" s="37"/>
      <c r="N494" s="31">
        <v>6</v>
      </c>
      <c r="O494" s="31"/>
      <c r="P494" s="37">
        <v>7</v>
      </c>
      <c r="Q494" s="37"/>
      <c r="R494" s="31">
        <v>8</v>
      </c>
      <c r="S494" s="31"/>
      <c r="T494" s="31">
        <v>9</v>
      </c>
      <c r="U494" s="31"/>
      <c r="V494" s="67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ht="15.6" customHeight="1" spans="1:44" x14ac:dyDescent="0.25">
      <c r="A495" s="30"/>
      <c r="B495" s="31" t="s">
        <v>13</v>
      </c>
      <c r="C495" s="31" t="s">
        <v>14</v>
      </c>
      <c r="D495" s="37" t="s">
        <v>15</v>
      </c>
      <c r="E495" s="37" t="s">
        <v>16</v>
      </c>
      <c r="F495" s="31" t="s">
        <v>13</v>
      </c>
      <c r="G495" s="31" t="s">
        <v>14</v>
      </c>
      <c r="H495" s="37" t="s">
        <v>15</v>
      </c>
      <c r="I495" s="37" t="s">
        <v>16</v>
      </c>
      <c r="J495" s="31" t="s">
        <v>13</v>
      </c>
      <c r="K495" s="31" t="s">
        <v>14</v>
      </c>
      <c r="L495" s="37" t="s">
        <v>15</v>
      </c>
      <c r="M495" s="37" t="s">
        <v>16</v>
      </c>
      <c r="N495" s="31" t="s">
        <v>13</v>
      </c>
      <c r="O495" s="31" t="s">
        <v>14</v>
      </c>
      <c r="P495" s="37" t="s">
        <v>15</v>
      </c>
      <c r="Q495" s="37" t="s">
        <v>16</v>
      </c>
      <c r="R495" s="31" t="s">
        <v>13</v>
      </c>
      <c r="S495" s="31" t="s">
        <v>14</v>
      </c>
      <c r="T495" s="31" t="s">
        <v>15</v>
      </c>
      <c r="U495" s="31" t="s">
        <v>16</v>
      </c>
      <c r="V495" s="67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ht="15.6" customHeight="1" spans="1:44" x14ac:dyDescent="0.25">
      <c r="A496" s="39"/>
      <c r="B496" s="40"/>
      <c r="C496" s="40"/>
      <c r="D496" s="41"/>
      <c r="E496" s="42"/>
      <c r="F496" s="40"/>
      <c r="G496" s="40"/>
      <c r="H496" s="41"/>
      <c r="I496" s="42"/>
      <c r="J496" s="40"/>
      <c r="K496" s="40"/>
      <c r="L496" s="41"/>
      <c r="M496" s="42"/>
      <c r="N496" s="40"/>
      <c r="O496" s="40"/>
      <c r="P496" s="41"/>
      <c r="Q496" s="42"/>
      <c r="R496" s="40"/>
      <c r="S496" s="40"/>
      <c r="T496" s="40"/>
      <c r="U496" s="40"/>
      <c r="V496" s="68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ht="9" customHeight="1" spans="1:44" x14ac:dyDescent="0.25">
      <c r="A497" s="3"/>
      <c r="B497" s="35"/>
      <c r="C497" s="35"/>
      <c r="D497" s="72"/>
      <c r="E497" s="5"/>
      <c r="F497" s="35"/>
      <c r="G497" s="35"/>
      <c r="H497" s="72"/>
      <c r="I497" s="5"/>
      <c r="J497" s="35"/>
      <c r="K497" s="35"/>
      <c r="L497" s="72"/>
      <c r="M497" s="5"/>
      <c r="N497" s="35"/>
      <c r="O497" s="35"/>
      <c r="P497" s="72"/>
      <c r="Q497" s="5"/>
      <c r="R497" s="35"/>
      <c r="S497" s="35"/>
      <c r="T497" s="35"/>
      <c r="U497" s="35"/>
      <c r="V497" s="38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ht="15.6" customHeight="1" spans="1:44" x14ac:dyDescent="0.25">
      <c r="A498" s="3"/>
      <c r="B498" s="76"/>
      <c r="C498" s="77"/>
      <c r="D498" s="78"/>
      <c r="E498" s="79"/>
      <c r="F498" s="76"/>
      <c r="G498" s="77"/>
      <c r="H498" s="78"/>
      <c r="I498" s="79"/>
      <c r="J498" s="76"/>
      <c r="K498" s="77"/>
      <c r="L498" s="78"/>
      <c r="M498" s="79"/>
      <c r="N498" s="76"/>
      <c r="O498" s="77"/>
      <c r="P498" s="78"/>
      <c r="Q498" s="79"/>
      <c r="R498" s="35"/>
      <c r="S498" s="35"/>
      <c r="T498" s="35"/>
      <c r="U498" s="35"/>
      <c r="V498" s="38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ht="15.6" customHeight="1" spans="1:44" x14ac:dyDescent="0.25">
      <c r="A499" s="3"/>
      <c r="B499" s="50">
        <f>IF(D498&lt;1,"","пом.")</f>
      </c>
      <c r="C499" s="50"/>
      <c r="D499" s="52"/>
      <c r="E499" s="53"/>
      <c r="F499" s="50">
        <f>IF(H498&lt;1,"","пом.")</f>
      </c>
      <c r="G499" s="50"/>
      <c r="H499" s="52"/>
      <c r="I499" s="53"/>
      <c r="J499" s="50">
        <f>IF(L498&lt;1,"","пом.")</f>
      </c>
      <c r="K499" s="50"/>
      <c r="L499" s="52"/>
      <c r="M499" s="53"/>
      <c r="N499" s="50">
        <f>IF(P498&lt;1,"","пом.")</f>
      </c>
      <c r="O499" s="50"/>
      <c r="P499" s="52"/>
      <c r="Q499" s="53"/>
      <c r="R499" s="35"/>
      <c r="S499" s="35"/>
      <c r="T499" s="35"/>
      <c r="U499" s="35"/>
      <c r="V499" s="38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ht="15.6" customHeight="1" spans="1:44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ht="15.6" customHeight="1" spans="1:44" x14ac:dyDescent="0.25">
      <c r="A501" s="3"/>
      <c r="B501" s="3"/>
      <c r="C501" s="3"/>
      <c r="D501" s="4"/>
      <c r="E501" s="5" t="s">
        <v>26</v>
      </c>
      <c r="F501" s="54" t="s">
        <v>27</v>
      </c>
      <c r="G501" s="54"/>
      <c r="H501" s="54"/>
      <c r="I501" s="100" t="s">
        <v>28</v>
      </c>
      <c r="J501" s="100"/>
      <c r="K501" s="100"/>
      <c r="L501" s="4"/>
      <c r="M501" s="4"/>
      <c r="N501" s="3"/>
      <c r="O501" s="35" t="s">
        <v>29</v>
      </c>
      <c r="P501" s="54" t="s">
        <v>30</v>
      </c>
      <c r="Q501" s="54"/>
      <c r="R501" s="54"/>
      <c r="S501" s="100" t="s">
        <v>31</v>
      </c>
      <c r="T501" s="100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ht="15.6" customHeight="1" spans="1:44" x14ac:dyDescent="0.25">
      <c r="A502" s="3"/>
      <c r="B502" s="3"/>
      <c r="C502" s="3"/>
      <c r="D502" s="4"/>
      <c r="E502" s="5" t="s">
        <v>32</v>
      </c>
      <c r="F502" s="54" t="s">
        <v>33</v>
      </c>
      <c r="G502" s="54"/>
      <c r="H502" s="54"/>
      <c r="I502" s="100" t="s">
        <v>34</v>
      </c>
      <c r="J502" s="100"/>
      <c r="K502" s="100"/>
      <c r="L502" s="4"/>
      <c r="M502" s="4"/>
      <c r="N502" s="3"/>
      <c r="O502" s="35" t="s">
        <v>35</v>
      </c>
      <c r="P502" s="54" t="s">
        <v>30</v>
      </c>
      <c r="Q502" s="54"/>
      <c r="R502" s="54"/>
      <c r="S502" s="101" t="s">
        <v>36</v>
      </c>
      <c r="T502" s="101"/>
      <c r="U502" s="101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ht="15.6" customHeight="1" spans="1:44" x14ac:dyDescent="0.25">
      <c r="A503" s="55"/>
      <c r="B503" s="55"/>
      <c r="C503" s="55"/>
      <c r="D503" s="56"/>
      <c r="E503" s="57"/>
      <c r="F503" s="55"/>
      <c r="G503" s="55"/>
      <c r="H503" s="56"/>
      <c r="I503" s="56"/>
      <c r="J503" s="55"/>
      <c r="K503" s="55"/>
      <c r="L503" s="56"/>
      <c r="M503" s="56"/>
      <c r="N503" s="55"/>
      <c r="O503" s="55"/>
      <c r="P503" s="56"/>
      <c r="Q503" s="56"/>
      <c r="R503" s="55"/>
      <c r="S503" s="55"/>
      <c r="T503" s="55"/>
      <c r="U503" s="55"/>
      <c r="V503" s="55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ht="15.6" customHeight="1" spans="1:44" x14ac:dyDescent="0.25">
      <c r="A504" s="55"/>
      <c r="B504" s="55"/>
      <c r="C504" s="55"/>
      <c r="D504" s="56"/>
      <c r="E504" s="57"/>
      <c r="F504" s="55"/>
      <c r="G504" s="55"/>
      <c r="H504" s="56"/>
      <c r="I504" s="56"/>
      <c r="J504" s="55"/>
      <c r="K504" s="55"/>
      <c r="L504" s="56"/>
      <c r="M504" s="56"/>
      <c r="N504" s="55"/>
      <c r="O504" s="55"/>
      <c r="P504" s="56"/>
      <c r="Q504" s="56"/>
      <c r="R504" s="55"/>
      <c r="S504" s="55"/>
      <c r="T504" s="55"/>
      <c r="U504" s="55"/>
      <c r="V504" s="55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ht="15.6" customHeight="1" hidden="1" spans="1:44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ht="15.6" customHeight="1" spans="1:44" x14ac:dyDescent="0.25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4" t="str">
        <f>N484</f>
        <v>1.1</v>
      </c>
      <c r="O506" s="14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ht="15.6" customHeight="1" spans="1:44" x14ac:dyDescent="0.25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5"/>
      <c r="K507" s="15"/>
      <c r="L507" s="16"/>
      <c r="M507" s="9" t="s">
        <v>5</v>
      </c>
      <c r="N507" s="18" t="str">
        <f>N506&amp;".3"</f>
        <v>1.1.3</v>
      </c>
      <c r="O507" s="18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ht="15.6" customHeight="1" spans="1:44" x14ac:dyDescent="0.25">
      <c r="A508" s="3"/>
      <c r="B508" s="3"/>
      <c r="C508" s="3"/>
      <c r="D508" s="4"/>
      <c r="E508" s="4" t="s">
        <v>7</v>
      </c>
      <c r="F508" s="3"/>
      <c r="G508" s="3"/>
      <c r="H508" s="8"/>
      <c r="I508" s="8"/>
      <c r="J508" s="7"/>
      <c r="K508" s="7"/>
      <c r="L508" s="8"/>
      <c r="M508" s="19" t="s">
        <v>5</v>
      </c>
      <c r="N508" s="20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ht="15.6" customHeight="1" spans="1:44" x14ac:dyDescent="0.25">
      <c r="A509" s="3"/>
      <c r="B509" s="3"/>
      <c r="C509" s="3"/>
      <c r="D509" s="4"/>
      <c r="E509" s="4" t="s">
        <v>8</v>
      </c>
      <c r="F509" s="3"/>
      <c r="G509" s="3"/>
      <c r="H509" s="4"/>
      <c r="I509" s="4"/>
      <c r="J509" s="3"/>
      <c r="K509" s="3"/>
      <c r="L509" s="16"/>
      <c r="M509" s="19" t="s">
        <v>70</v>
      </c>
      <c r="N509" s="20" t="str">
        <f>IF(N487="-"&amp;N464&amp;".5",IF(N488=15,"-"&amp;N464&amp;".6","-"&amp;N464&amp;".5"),N487)</f>
        <v>-1.1.6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ht="15.6" customHeight="1" spans="1:44" x14ac:dyDescent="0.25">
      <c r="A510" s="3"/>
      <c r="B510" s="3"/>
      <c r="C510" s="3"/>
      <c r="D510" s="4"/>
      <c r="E510" s="24" t="s">
        <v>10</v>
      </c>
      <c r="F510" s="3"/>
      <c r="G510" s="3"/>
      <c r="H510" s="4"/>
      <c r="I510" s="8"/>
      <c r="J510" s="7"/>
      <c r="K510" s="7"/>
      <c r="L510" s="8"/>
      <c r="M510" s="19" t="s">
        <v>5</v>
      </c>
      <c r="N510" s="20">
        <f>IF(N509="-"&amp;N464&amp;".5",N488+1,IF(N487="-"&amp;N464&amp;".5",1,N488+1))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ht="15.6" customHeight="1" spans="1:44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ht="15.6" customHeight="1" spans="1:44" x14ac:dyDescent="0.25">
      <c r="A512" s="27"/>
      <c r="B512" s="28"/>
      <c r="C512" s="28"/>
      <c r="D512" s="29"/>
      <c r="E512" s="29"/>
      <c r="F512" s="28"/>
      <c r="G512" s="28"/>
      <c r="H512" s="29"/>
      <c r="I512" s="29"/>
      <c r="J512" s="28"/>
      <c r="K512" s="28"/>
      <c r="L512" s="29"/>
      <c r="M512" s="29"/>
      <c r="N512" s="28"/>
      <c r="O512" s="28"/>
      <c r="P512" s="29"/>
      <c r="Q512" s="29"/>
      <c r="R512" s="28"/>
      <c r="S512" s="28"/>
      <c r="T512" s="28"/>
      <c r="U512" s="28"/>
      <c r="V512" s="59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ht="15.6" customHeight="1" spans="1:44" x14ac:dyDescent="0.25">
      <c r="A513" s="30"/>
      <c r="B513" s="31"/>
      <c r="C513" s="31"/>
      <c r="D513" s="32">
        <v>1</v>
      </c>
      <c r="E513" s="33"/>
      <c r="F513" s="31"/>
      <c r="G513" s="31"/>
      <c r="H513" s="32">
        <v>2</v>
      </c>
      <c r="I513" s="33"/>
      <c r="J513" s="31"/>
      <c r="K513" s="31"/>
      <c r="L513" s="32">
        <v>3</v>
      </c>
      <c r="M513" s="33"/>
      <c r="N513" s="31"/>
      <c r="O513" s="31"/>
      <c r="P513" s="32">
        <v>4</v>
      </c>
      <c r="Q513" s="33"/>
      <c r="R513" s="31"/>
      <c r="S513" s="31"/>
      <c r="T513" s="31"/>
      <c r="U513" s="31"/>
      <c r="V513" s="60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ht="15.6" customHeight="1" spans="1:44" x14ac:dyDescent="0.25">
      <c r="A514" s="30"/>
      <c r="B514" s="31" t="s">
        <v>11</v>
      </c>
      <c r="C514" s="31"/>
      <c r="D514" s="32" t="s">
        <v>12</v>
      </c>
      <c r="E514" s="33"/>
      <c r="F514" s="31" t="s">
        <v>11</v>
      </c>
      <c r="G514" s="31"/>
      <c r="H514" s="32" t="s">
        <v>12</v>
      </c>
      <c r="I514" s="33"/>
      <c r="J514" s="31" t="s">
        <v>11</v>
      </c>
      <c r="K514" s="31"/>
      <c r="L514" s="32" t="s">
        <v>12</v>
      </c>
      <c r="M514" s="33"/>
      <c r="N514" s="31" t="s">
        <v>11</v>
      </c>
      <c r="O514" s="31"/>
      <c r="P514" s="32" t="s">
        <v>12</v>
      </c>
      <c r="Q514" s="33"/>
      <c r="R514" s="31"/>
      <c r="S514" s="31"/>
      <c r="T514" s="31"/>
      <c r="U514" s="31"/>
      <c r="V514" s="65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ht="15.6" customHeight="1" spans="1:44" x14ac:dyDescent="0.25">
      <c r="A515" s="30"/>
      <c r="B515" s="35"/>
      <c r="C515" s="35"/>
      <c r="D515" s="5"/>
      <c r="E515" s="5"/>
      <c r="F515" s="35"/>
      <c r="G515" s="35"/>
      <c r="H515" s="5"/>
      <c r="I515" s="5"/>
      <c r="J515" s="35"/>
      <c r="K515" s="35"/>
      <c r="L515" s="5"/>
      <c r="M515" s="5"/>
      <c r="N515" s="35"/>
      <c r="O515" s="35"/>
      <c r="P515" s="5"/>
      <c r="Q515" s="5"/>
      <c r="R515" s="35"/>
      <c r="S515" s="35"/>
      <c r="T515" s="35"/>
      <c r="U515" s="35"/>
      <c r="V515" s="65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ht="15.6" customHeight="1" spans="1:44" x14ac:dyDescent="0.25">
      <c r="A516" s="30"/>
      <c r="B516" s="31">
        <v>0</v>
      </c>
      <c r="C516" s="31"/>
      <c r="D516" s="37">
        <v>1</v>
      </c>
      <c r="E516" s="37"/>
      <c r="F516" s="31">
        <v>2</v>
      </c>
      <c r="G516" s="31"/>
      <c r="H516" s="37">
        <v>3</v>
      </c>
      <c r="I516" s="37"/>
      <c r="J516" s="31">
        <v>4</v>
      </c>
      <c r="K516" s="31"/>
      <c r="L516" s="37">
        <v>5</v>
      </c>
      <c r="M516" s="37"/>
      <c r="N516" s="31">
        <v>6</v>
      </c>
      <c r="O516" s="31"/>
      <c r="P516" s="37">
        <v>7</v>
      </c>
      <c r="Q516" s="37"/>
      <c r="R516" s="31">
        <v>8</v>
      </c>
      <c r="S516" s="31"/>
      <c r="T516" s="31">
        <v>9</v>
      </c>
      <c r="U516" s="31"/>
      <c r="V516" s="67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ht="15.6" customHeight="1" spans="1:44" x14ac:dyDescent="0.25">
      <c r="A517" s="30"/>
      <c r="B517" s="31" t="s">
        <v>13</v>
      </c>
      <c r="C517" s="31" t="s">
        <v>14</v>
      </c>
      <c r="D517" s="37" t="s">
        <v>15</v>
      </c>
      <c r="E517" s="37" t="s">
        <v>16</v>
      </c>
      <c r="F517" s="31" t="s">
        <v>13</v>
      </c>
      <c r="G517" s="31" t="s">
        <v>14</v>
      </c>
      <c r="H517" s="37" t="s">
        <v>15</v>
      </c>
      <c r="I517" s="37" t="s">
        <v>16</v>
      </c>
      <c r="J517" s="31" t="s">
        <v>13</v>
      </c>
      <c r="K517" s="31" t="s">
        <v>14</v>
      </c>
      <c r="L517" s="37" t="s">
        <v>15</v>
      </c>
      <c r="M517" s="37" t="s">
        <v>16</v>
      </c>
      <c r="N517" s="31" t="s">
        <v>13</v>
      </c>
      <c r="O517" s="31" t="s">
        <v>14</v>
      </c>
      <c r="P517" s="37" t="s">
        <v>15</v>
      </c>
      <c r="Q517" s="37" t="s">
        <v>16</v>
      </c>
      <c r="R517" s="31" t="s">
        <v>13</v>
      </c>
      <c r="S517" s="31" t="s">
        <v>14</v>
      </c>
      <c r="T517" s="31" t="s">
        <v>15</v>
      </c>
      <c r="U517" s="31" t="s">
        <v>16</v>
      </c>
      <c r="V517" s="67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ht="15.6" customHeight="1" spans="1:44" x14ac:dyDescent="0.25">
      <c r="A518" s="39"/>
      <c r="B518" s="40"/>
      <c r="C518" s="40"/>
      <c r="D518" s="41"/>
      <c r="E518" s="42"/>
      <c r="F518" s="40"/>
      <c r="G518" s="40"/>
      <c r="H518" s="41"/>
      <c r="I518" s="42"/>
      <c r="J518" s="40"/>
      <c r="K518" s="40"/>
      <c r="L518" s="41"/>
      <c r="M518" s="42"/>
      <c r="N518" s="40"/>
      <c r="O518" s="40"/>
      <c r="P518" s="41"/>
      <c r="Q518" s="42"/>
      <c r="R518" s="40"/>
      <c r="S518" s="40"/>
      <c r="T518" s="40"/>
      <c r="U518" s="40"/>
      <c r="V518" s="68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ht="15.6" customHeight="1" spans="1:44" x14ac:dyDescent="0.25">
      <c r="A519" s="3"/>
      <c r="B519" s="35"/>
      <c r="C519" s="35"/>
      <c r="D519" s="72"/>
      <c r="E519" s="5"/>
      <c r="F519" s="35"/>
      <c r="G519" s="35"/>
      <c r="H519" s="72"/>
      <c r="I519" s="5"/>
      <c r="J519" s="35"/>
      <c r="K519" s="35"/>
      <c r="L519" s="72"/>
      <c r="M519" s="5"/>
      <c r="N519" s="35"/>
      <c r="O519" s="35"/>
      <c r="P519" s="72"/>
      <c r="Q519" s="5"/>
      <c r="R519" s="35"/>
      <c r="S519" s="35"/>
      <c r="T519" s="35"/>
      <c r="U519" s="35"/>
      <c r="V519" s="38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ht="15.6" customHeight="1" spans="1:44" x14ac:dyDescent="0.25">
      <c r="A520" s="3"/>
      <c r="B520" s="76"/>
      <c r="C520" s="77"/>
      <c r="D520" s="78"/>
      <c r="E520" s="79"/>
      <c r="F520" s="76"/>
      <c r="G520" s="77"/>
      <c r="H520" s="78"/>
      <c r="I520" s="79"/>
      <c r="J520" s="76"/>
      <c r="K520" s="77"/>
      <c r="L520" s="78"/>
      <c r="M520" s="79"/>
      <c r="N520" s="76"/>
      <c r="O520" s="77"/>
      <c r="P520" s="78"/>
      <c r="Q520" s="79"/>
      <c r="R520" s="35"/>
      <c r="S520" s="35"/>
      <c r="T520" s="35"/>
      <c r="U520" s="35"/>
      <c r="V520" s="38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ht="15.6" customHeight="1" spans="1:44" x14ac:dyDescent="0.25">
      <c r="A521" s="3"/>
      <c r="B521" s="50">
        <f>IF(D520&lt;1,"","пом.")</f>
      </c>
      <c r="C521" s="50"/>
      <c r="D521" s="52"/>
      <c r="E521" s="53"/>
      <c r="F521" s="50">
        <f>IF(H520&lt;1,"","пом.")</f>
      </c>
      <c r="G521" s="50"/>
      <c r="H521" s="52"/>
      <c r="I521" s="53"/>
      <c r="J521" s="50">
        <f>IF(L520&lt;1,"","пом.")</f>
      </c>
      <c r="K521" s="50"/>
      <c r="L521" s="52"/>
      <c r="M521" s="53"/>
      <c r="N521" s="50">
        <f>IF(P520&lt;1,"","пом.")</f>
      </c>
      <c r="O521" s="50"/>
      <c r="P521" s="52"/>
      <c r="Q521" s="53"/>
      <c r="R521" s="35"/>
      <c r="S521" s="35"/>
      <c r="T521" s="35"/>
      <c r="U521" s="35"/>
      <c r="V521" s="38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ht="15.6" customHeight="1" spans="1:44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ht="15.6" customHeight="1" spans="1:44" x14ac:dyDescent="0.25">
      <c r="A523" s="3"/>
      <c r="B523" s="3"/>
      <c r="C523" s="3"/>
      <c r="D523" s="4"/>
      <c r="E523" s="5" t="s">
        <v>26</v>
      </c>
      <c r="F523" s="54" t="s">
        <v>27</v>
      </c>
      <c r="G523" s="54"/>
      <c r="H523" s="54"/>
      <c r="I523" s="100" t="s">
        <v>28</v>
      </c>
      <c r="J523" s="100"/>
      <c r="K523" s="100"/>
      <c r="L523" s="4"/>
      <c r="M523" s="4"/>
      <c r="N523" s="3"/>
      <c r="O523" s="35" t="s">
        <v>29</v>
      </c>
      <c r="P523" s="54" t="s">
        <v>30</v>
      </c>
      <c r="Q523" s="54"/>
      <c r="R523" s="54"/>
      <c r="S523" s="100" t="s">
        <v>31</v>
      </c>
      <c r="T523" s="100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ht="15.6" customHeight="1" spans="1:44" x14ac:dyDescent="0.25">
      <c r="A524" s="3"/>
      <c r="B524" s="3"/>
      <c r="C524" s="3"/>
      <c r="D524" s="4"/>
      <c r="E524" s="5" t="s">
        <v>32</v>
      </c>
      <c r="F524" s="54" t="s">
        <v>33</v>
      </c>
      <c r="G524" s="54"/>
      <c r="H524" s="54"/>
      <c r="I524" s="100" t="s">
        <v>34</v>
      </c>
      <c r="J524" s="100"/>
      <c r="K524" s="100"/>
      <c r="L524" s="4"/>
      <c r="M524" s="4"/>
      <c r="N524" s="3"/>
      <c r="O524" s="35" t="s">
        <v>35</v>
      </c>
      <c r="P524" s="54" t="s">
        <v>30</v>
      </c>
      <c r="Q524" s="54"/>
      <c r="R524" s="54"/>
      <c r="S524" s="101" t="s">
        <v>36</v>
      </c>
      <c r="T524" s="101"/>
      <c r="U524" s="101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ht="15.6" customHeight="1" spans="1:44" x14ac:dyDescent="0.25">
      <c r="A525" s="55"/>
      <c r="B525" s="55"/>
      <c r="C525" s="55"/>
      <c r="D525" s="56"/>
      <c r="E525" s="57"/>
      <c r="F525" s="55"/>
      <c r="G525" s="55"/>
      <c r="H525" s="56"/>
      <c r="I525" s="56"/>
      <c r="J525" s="55"/>
      <c r="K525" s="55"/>
      <c r="L525" s="56"/>
      <c r="M525" s="56"/>
      <c r="N525" s="55"/>
      <c r="O525" s="55"/>
      <c r="P525" s="56"/>
      <c r="Q525" s="56"/>
      <c r="R525" s="55"/>
      <c r="S525" s="55"/>
      <c r="T525" s="55"/>
      <c r="U525" s="55"/>
      <c r="V525" s="55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ht="15.6" customHeight="1" spans="1:44" x14ac:dyDescent="0.25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4" t="str">
        <f>N506</f>
        <v>1.1</v>
      </c>
      <c r="O526" s="14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ht="15.6" customHeight="1" spans="1:44" x14ac:dyDescent="0.25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5"/>
      <c r="K527" s="15"/>
      <c r="L527" s="16"/>
      <c r="M527" s="9" t="s">
        <v>5</v>
      </c>
      <c r="N527" s="18" t="str">
        <f>N507</f>
        <v>1.1.3</v>
      </c>
      <c r="O527" s="18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ht="15.6" customHeight="1" spans="1:44" x14ac:dyDescent="0.25">
      <c r="A528" s="3"/>
      <c r="B528" s="3"/>
      <c r="C528" s="3"/>
      <c r="D528" s="4"/>
      <c r="E528" s="4" t="s">
        <v>7</v>
      </c>
      <c r="F528" s="3"/>
      <c r="G528" s="3"/>
      <c r="H528" s="8"/>
      <c r="I528" s="8"/>
      <c r="J528" s="7"/>
      <c r="K528" s="7"/>
      <c r="L528" s="8"/>
      <c r="M528" s="19" t="s">
        <v>5</v>
      </c>
      <c r="N528" s="20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ht="15.6" customHeight="1" spans="1:44" x14ac:dyDescent="0.25">
      <c r="A529" s="3"/>
      <c r="B529" s="3"/>
      <c r="C529" s="3"/>
      <c r="D529" s="4"/>
      <c r="E529" s="4" t="s">
        <v>8</v>
      </c>
      <c r="F529" s="3"/>
      <c r="G529" s="3"/>
      <c r="H529" s="4"/>
      <c r="I529" s="4"/>
      <c r="J529" s="3"/>
      <c r="K529" s="3"/>
      <c r="L529" s="16"/>
      <c r="M529" s="19" t="s">
        <v>70</v>
      </c>
      <c r="N529" s="20" t="str">
        <f>IF(N509="-"&amp;N506&amp;".5",IF(N510=15,"-"&amp;N506&amp;".6","-"&amp;N506&amp;".5"),N509)</f>
        <v>-1.1.6</v>
      </c>
      <c r="O529" s="22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ht="15.6" customHeight="1" spans="1:44" x14ac:dyDescent="0.25">
      <c r="A530" s="3"/>
      <c r="B530" s="3"/>
      <c r="C530" s="3"/>
      <c r="D530" s="4"/>
      <c r="E530" s="24" t="s">
        <v>10</v>
      </c>
      <c r="F530" s="3"/>
      <c r="G530" s="3"/>
      <c r="H530" s="4"/>
      <c r="I530" s="8"/>
      <c r="J530" s="7"/>
      <c r="K530" s="7"/>
      <c r="L530" s="8"/>
      <c r="M530" s="19" t="s">
        <v>5</v>
      </c>
      <c r="N530" s="20">
        <f>IF(N529="-"&amp;N464&amp;".5",N510+1,IF(N509="-"&amp;N464&amp;".5",1,N510+1))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ht="15.6" customHeight="1" spans="1:44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ht="15.6" customHeight="1" spans="1:44" x14ac:dyDescent="0.25">
      <c r="A532" s="27"/>
      <c r="B532" s="28"/>
      <c r="C532" s="28"/>
      <c r="D532" s="29"/>
      <c r="E532" s="29"/>
      <c r="F532" s="28"/>
      <c r="G532" s="28"/>
      <c r="H532" s="29"/>
      <c r="I532" s="29"/>
      <c r="J532" s="28"/>
      <c r="K532" s="28"/>
      <c r="L532" s="29"/>
      <c r="M532" s="29"/>
      <c r="N532" s="28"/>
      <c r="O532" s="28"/>
      <c r="P532" s="29"/>
      <c r="Q532" s="29"/>
      <c r="R532" s="28"/>
      <c r="S532" s="28"/>
      <c r="T532" s="28"/>
      <c r="U532" s="28"/>
      <c r="V532" s="59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ht="15.6" customHeight="1" spans="1:44" x14ac:dyDescent="0.25">
      <c r="A533" s="30"/>
      <c r="B533" s="31"/>
      <c r="C533" s="31"/>
      <c r="D533" s="32">
        <v>1</v>
      </c>
      <c r="E533" s="33"/>
      <c r="F533" s="31"/>
      <c r="G533" s="31"/>
      <c r="H533" s="32">
        <v>2</v>
      </c>
      <c r="I533" s="33"/>
      <c r="J533" s="31"/>
      <c r="K533" s="31"/>
      <c r="L533" s="32">
        <v>3</v>
      </c>
      <c r="M533" s="33"/>
      <c r="N533" s="31"/>
      <c r="O533" s="31"/>
      <c r="P533" s="32">
        <v>4</v>
      </c>
      <c r="Q533" s="33"/>
      <c r="R533" s="31"/>
      <c r="S533" s="31"/>
      <c r="T533" s="31"/>
      <c r="U533" s="31"/>
      <c r="V533" s="60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ht="15.6" customHeight="1" spans="1:44" x14ac:dyDescent="0.25">
      <c r="A534" s="30"/>
      <c r="B534" s="31" t="s">
        <v>11</v>
      </c>
      <c r="C534" s="31"/>
      <c r="D534" s="32" t="s">
        <v>12</v>
      </c>
      <c r="E534" s="33"/>
      <c r="F534" s="31" t="s">
        <v>11</v>
      </c>
      <c r="G534" s="31"/>
      <c r="H534" s="32" t="s">
        <v>12</v>
      </c>
      <c r="I534" s="33"/>
      <c r="J534" s="31" t="s">
        <v>11</v>
      </c>
      <c r="K534" s="31"/>
      <c r="L534" s="32" t="s">
        <v>12</v>
      </c>
      <c r="M534" s="33"/>
      <c r="N534" s="31" t="s">
        <v>11</v>
      </c>
      <c r="O534" s="31"/>
      <c r="P534" s="32" t="s">
        <v>12</v>
      </c>
      <c r="Q534" s="33"/>
      <c r="R534" s="31"/>
      <c r="S534" s="31"/>
      <c r="T534" s="31"/>
      <c r="U534" s="31"/>
      <c r="V534" s="65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ht="15.6" customHeight="1" spans="1:44" x14ac:dyDescent="0.25">
      <c r="A535" s="30"/>
      <c r="B535" s="35"/>
      <c r="C535" s="35"/>
      <c r="D535" s="5"/>
      <c r="E535" s="5"/>
      <c r="F535" s="35"/>
      <c r="G535" s="35"/>
      <c r="H535" s="5"/>
      <c r="I535" s="5"/>
      <c r="J535" s="35"/>
      <c r="K535" s="35"/>
      <c r="L535" s="5"/>
      <c r="M535" s="5"/>
      <c r="N535" s="35"/>
      <c r="O535" s="35"/>
      <c r="P535" s="5"/>
      <c r="Q535" s="5"/>
      <c r="R535" s="35"/>
      <c r="S535" s="35"/>
      <c r="T535" s="35"/>
      <c r="U535" s="35"/>
      <c r="V535" s="65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ht="15.6" customHeight="1" spans="1:44" x14ac:dyDescent="0.25">
      <c r="A536" s="30"/>
      <c r="B536" s="31">
        <v>0</v>
      </c>
      <c r="C536" s="31"/>
      <c r="D536" s="37">
        <v>1</v>
      </c>
      <c r="E536" s="37"/>
      <c r="F536" s="31">
        <v>2</v>
      </c>
      <c r="G536" s="31"/>
      <c r="H536" s="37">
        <v>3</v>
      </c>
      <c r="I536" s="37"/>
      <c r="J536" s="31">
        <v>4</v>
      </c>
      <c r="K536" s="31"/>
      <c r="L536" s="37">
        <v>5</v>
      </c>
      <c r="M536" s="37"/>
      <c r="N536" s="31">
        <v>6</v>
      </c>
      <c r="O536" s="31"/>
      <c r="P536" s="37">
        <v>7</v>
      </c>
      <c r="Q536" s="37"/>
      <c r="R536" s="31">
        <v>8</v>
      </c>
      <c r="S536" s="31"/>
      <c r="T536" s="31">
        <v>9</v>
      </c>
      <c r="U536" s="31"/>
      <c r="V536" s="67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ht="15.6" customHeight="1" spans="1:44" x14ac:dyDescent="0.25">
      <c r="A537" s="30"/>
      <c r="B537" s="31" t="s">
        <v>13</v>
      </c>
      <c r="C537" s="31" t="s">
        <v>14</v>
      </c>
      <c r="D537" s="37" t="s">
        <v>15</v>
      </c>
      <c r="E537" s="37" t="s">
        <v>16</v>
      </c>
      <c r="F537" s="31" t="s">
        <v>13</v>
      </c>
      <c r="G537" s="31" t="s">
        <v>14</v>
      </c>
      <c r="H537" s="37" t="s">
        <v>15</v>
      </c>
      <c r="I537" s="37" t="s">
        <v>16</v>
      </c>
      <c r="J537" s="31" t="s">
        <v>13</v>
      </c>
      <c r="K537" s="31" t="s">
        <v>14</v>
      </c>
      <c r="L537" s="37" t="s">
        <v>15</v>
      </c>
      <c r="M537" s="37" t="s">
        <v>16</v>
      </c>
      <c r="N537" s="31" t="s">
        <v>13</v>
      </c>
      <c r="O537" s="31" t="s">
        <v>14</v>
      </c>
      <c r="P537" s="37" t="s">
        <v>15</v>
      </c>
      <c r="Q537" s="37" t="s">
        <v>16</v>
      </c>
      <c r="R537" s="31" t="s">
        <v>13</v>
      </c>
      <c r="S537" s="31" t="s">
        <v>14</v>
      </c>
      <c r="T537" s="31" t="s">
        <v>15</v>
      </c>
      <c r="U537" s="31" t="s">
        <v>16</v>
      </c>
      <c r="V537" s="67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ht="15.6" customHeight="1" spans="1:44" x14ac:dyDescent="0.25">
      <c r="A538" s="39"/>
      <c r="B538" s="40"/>
      <c r="C538" s="40"/>
      <c r="D538" s="41"/>
      <c r="E538" s="42"/>
      <c r="F538" s="40"/>
      <c r="G538" s="40"/>
      <c r="H538" s="41"/>
      <c r="I538" s="42"/>
      <c r="J538" s="40"/>
      <c r="K538" s="40"/>
      <c r="L538" s="41"/>
      <c r="M538" s="42"/>
      <c r="N538" s="40"/>
      <c r="O538" s="40"/>
      <c r="P538" s="41"/>
      <c r="Q538" s="42"/>
      <c r="R538" s="40"/>
      <c r="S538" s="40"/>
      <c r="T538" s="40"/>
      <c r="U538" s="40"/>
      <c r="V538" s="68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ht="7.9" customHeight="1" spans="1:44" x14ac:dyDescent="0.25">
      <c r="A539" s="3"/>
      <c r="B539" s="35"/>
      <c r="C539" s="35"/>
      <c r="D539" s="72"/>
      <c r="E539" s="5"/>
      <c r="F539" s="35"/>
      <c r="G539" s="35"/>
      <c r="H539" s="72"/>
      <c r="I539" s="5"/>
      <c r="J539" s="35"/>
      <c r="K539" s="35"/>
      <c r="L539" s="72"/>
      <c r="M539" s="5"/>
      <c r="N539" s="35"/>
      <c r="O539" s="35"/>
      <c r="P539" s="72"/>
      <c r="Q539" s="5"/>
      <c r="R539" s="35"/>
      <c r="S539" s="35"/>
      <c r="T539" s="35"/>
      <c r="U539" s="35"/>
      <c r="V539" s="38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ht="15.6" customHeight="1" spans="1:44" x14ac:dyDescent="0.25">
      <c r="A540" s="3"/>
      <c r="B540" s="76"/>
      <c r="C540" s="77"/>
      <c r="D540" s="78"/>
      <c r="E540" s="79"/>
      <c r="F540" s="76"/>
      <c r="G540" s="77"/>
      <c r="H540" s="78"/>
      <c r="I540" s="79"/>
      <c r="J540" s="76"/>
      <c r="K540" s="77"/>
      <c r="L540" s="78"/>
      <c r="M540" s="79"/>
      <c r="N540" s="76"/>
      <c r="O540" s="77"/>
      <c r="P540" s="78"/>
      <c r="Q540" s="79"/>
      <c r="R540" s="35"/>
      <c r="S540" s="35"/>
      <c r="T540" s="35"/>
      <c r="U540" s="35"/>
      <c r="V540" s="38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ht="15.6" customHeight="1" spans="1:44" x14ac:dyDescent="0.25">
      <c r="A541" s="3"/>
      <c r="B541" s="50">
        <f>IF(D540&lt;1,"","пом.")</f>
      </c>
      <c r="C541" s="50"/>
      <c r="D541" s="52"/>
      <c r="E541" s="53"/>
      <c r="F541" s="50">
        <f>IF(H540&lt;1,"","пом.")</f>
      </c>
      <c r="G541" s="50"/>
      <c r="H541" s="52"/>
      <c r="I541" s="53"/>
      <c r="J541" s="50">
        <f>IF(L540&lt;1,"","пом.")</f>
      </c>
      <c r="K541" s="50"/>
      <c r="L541" s="52"/>
      <c r="M541" s="53"/>
      <c r="N541" s="50">
        <f>IF(P540&lt;1,"","пом.")</f>
      </c>
      <c r="O541" s="50"/>
      <c r="P541" s="52"/>
      <c r="Q541" s="53"/>
      <c r="R541" s="35"/>
      <c r="S541" s="35"/>
      <c r="T541" s="35"/>
      <c r="U541" s="35"/>
      <c r="V541" s="38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ht="7.15" customHeight="1" spans="1:44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ht="15.6" customHeight="1" spans="1:44" x14ac:dyDescent="0.25">
      <c r="A543" s="3"/>
      <c r="B543" s="3"/>
      <c r="C543" s="3"/>
      <c r="D543" s="4"/>
      <c r="E543" s="5" t="s">
        <v>26</v>
      </c>
      <c r="F543" s="54" t="s">
        <v>27</v>
      </c>
      <c r="G543" s="54"/>
      <c r="H543" s="54"/>
      <c r="I543" s="100" t="s">
        <v>28</v>
      </c>
      <c r="J543" s="100"/>
      <c r="K543" s="100"/>
      <c r="L543" s="4"/>
      <c r="M543" s="4"/>
      <c r="N543" s="3"/>
      <c r="O543" s="35" t="s">
        <v>29</v>
      </c>
      <c r="P543" s="54" t="s">
        <v>30</v>
      </c>
      <c r="Q543" s="54"/>
      <c r="R543" s="54"/>
      <c r="S543" s="100" t="s">
        <v>31</v>
      </c>
      <c r="T543" s="100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ht="15.6" customHeight="1" spans="1:44" x14ac:dyDescent="0.25">
      <c r="A544" s="3"/>
      <c r="B544" s="3"/>
      <c r="C544" s="3"/>
      <c r="D544" s="4"/>
      <c r="E544" s="5" t="s">
        <v>32</v>
      </c>
      <c r="F544" s="54" t="s">
        <v>33</v>
      </c>
      <c r="G544" s="54"/>
      <c r="H544" s="54"/>
      <c r="I544" s="100" t="s">
        <v>34</v>
      </c>
      <c r="J544" s="100"/>
      <c r="K544" s="100"/>
      <c r="L544" s="4"/>
      <c r="M544" s="4"/>
      <c r="N544" s="3"/>
      <c r="O544" s="35" t="s">
        <v>35</v>
      </c>
      <c r="P544" s="54" t="s">
        <v>30</v>
      </c>
      <c r="Q544" s="54"/>
      <c r="R544" s="54"/>
      <c r="S544" s="101" t="s">
        <v>36</v>
      </c>
      <c r="T544" s="101"/>
      <c r="U544" s="101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ht="15.6" customHeight="1" spans="1:44" x14ac:dyDescent="0.25">
      <c r="A545" s="55"/>
      <c r="B545" s="55"/>
      <c r="C545" s="55"/>
      <c r="D545" s="56"/>
      <c r="E545" s="57"/>
      <c r="F545" s="55"/>
      <c r="G545" s="55"/>
      <c r="H545" s="56"/>
      <c r="I545" s="56"/>
      <c r="J545" s="55"/>
      <c r="K545" s="55"/>
      <c r="L545" s="56"/>
      <c r="M545" s="56"/>
      <c r="N545" s="55"/>
      <c r="O545" s="55"/>
      <c r="P545" s="56"/>
      <c r="Q545" s="56"/>
      <c r="R545" s="55"/>
      <c r="S545" s="55"/>
      <c r="T545" s="55"/>
      <c r="U545" s="55"/>
      <c r="V545" s="55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ht="15.6" customHeight="1" spans="1:44" x14ac:dyDescent="0.25">
      <c r="A546" s="55"/>
      <c r="B546" s="55"/>
      <c r="C546" s="55"/>
      <c r="D546" s="56"/>
      <c r="E546" s="57"/>
      <c r="F546" s="55"/>
      <c r="G546" s="55"/>
      <c r="H546" s="56"/>
      <c r="I546" s="56"/>
      <c r="J546" s="55"/>
      <c r="K546" s="55"/>
      <c r="L546" s="56"/>
      <c r="M546" s="56"/>
      <c r="N546" s="55"/>
      <c r="O546" s="55"/>
      <c r="P546" s="56"/>
      <c r="Q546" s="56"/>
      <c r="R546" s="55"/>
      <c r="S546" s="55"/>
      <c r="T546" s="55"/>
      <c r="U546" s="55"/>
      <c r="V546" s="55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ht="15.6" customHeight="1" hidden="1" spans="1:44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ht="15.6" customHeight="1" spans="1:44" x14ac:dyDescent="0.25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4" t="str">
        <f>N526</f>
        <v>1.1</v>
      </c>
      <c r="O548" s="14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ht="15.6" customHeight="1" spans="1:44" x14ac:dyDescent="0.25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5"/>
      <c r="K549" s="15"/>
      <c r="L549" s="16"/>
      <c r="M549" s="9" t="s">
        <v>5</v>
      </c>
      <c r="N549" s="18" t="str">
        <f>N548&amp;".3"</f>
        <v>1.1.3</v>
      </c>
      <c r="O549" s="18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ht="15.6" customHeight="1" spans="1:44" x14ac:dyDescent="0.25">
      <c r="A550" s="3"/>
      <c r="B550" s="3"/>
      <c r="C550" s="3"/>
      <c r="D550" s="4"/>
      <c r="E550" s="4" t="s">
        <v>7</v>
      </c>
      <c r="F550" s="3"/>
      <c r="G550" s="3"/>
      <c r="H550" s="8"/>
      <c r="I550" s="8"/>
      <c r="J550" s="7"/>
      <c r="K550" s="7"/>
      <c r="L550" s="8"/>
      <c r="M550" s="19" t="s">
        <v>5</v>
      </c>
      <c r="N550" s="20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ht="15.6" customHeight="1" spans="1:44" x14ac:dyDescent="0.25">
      <c r="A551" s="3"/>
      <c r="B551" s="3"/>
      <c r="C551" s="3"/>
      <c r="D551" s="4"/>
      <c r="E551" s="4" t="s">
        <v>8</v>
      </c>
      <c r="F551" s="3"/>
      <c r="G551" s="3"/>
      <c r="H551" s="4"/>
      <c r="I551" s="4"/>
      <c r="J551" s="3"/>
      <c r="K551" s="3"/>
      <c r="L551" s="16"/>
      <c r="M551" s="19" t="s">
        <v>70</v>
      </c>
      <c r="N551" s="20" t="str">
        <f>IF(N529="-"&amp;N506&amp;".5",IF(N530=15,"-"&amp;N506&amp;".6","-"&amp;N506&amp;".5"),N529)</f>
        <v>-1.1.6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ht="15.6" customHeight="1" spans="1:44" x14ac:dyDescent="0.25">
      <c r="A552" s="3"/>
      <c r="B552" s="3"/>
      <c r="C552" s="3"/>
      <c r="D552" s="4"/>
      <c r="E552" s="24" t="s">
        <v>10</v>
      </c>
      <c r="F552" s="3"/>
      <c r="G552" s="3"/>
      <c r="H552" s="4"/>
      <c r="I552" s="8"/>
      <c r="J552" s="7"/>
      <c r="K552" s="7"/>
      <c r="L552" s="8"/>
      <c r="M552" s="19" t="s">
        <v>5</v>
      </c>
      <c r="N552" s="20">
        <f>IF(N551="-"&amp;N506&amp;".5",N530+1,IF(N529="-"&amp;N506&amp;".5",1,N530+1))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ht="15.6" customHeight="1" spans="1:44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ht="15.6" customHeight="1" spans="1:44" x14ac:dyDescent="0.25">
      <c r="A554" s="27"/>
      <c r="B554" s="28"/>
      <c r="C554" s="28"/>
      <c r="D554" s="29"/>
      <c r="E554" s="29"/>
      <c r="F554" s="28"/>
      <c r="G554" s="28"/>
      <c r="H554" s="29"/>
      <c r="I554" s="29"/>
      <c r="J554" s="28"/>
      <c r="K554" s="28"/>
      <c r="L554" s="29"/>
      <c r="M554" s="29"/>
      <c r="N554" s="28"/>
      <c r="O554" s="28"/>
      <c r="P554" s="29"/>
      <c r="Q554" s="29"/>
      <c r="R554" s="28"/>
      <c r="S554" s="28"/>
      <c r="T554" s="28"/>
      <c r="U554" s="28"/>
      <c r="V554" s="59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ht="15.6" customHeight="1" spans="1:44" x14ac:dyDescent="0.25">
      <c r="A555" s="30"/>
      <c r="B555" s="31"/>
      <c r="C555" s="31"/>
      <c r="D555" s="32">
        <v>1</v>
      </c>
      <c r="E555" s="33"/>
      <c r="F555" s="31"/>
      <c r="G555" s="31"/>
      <c r="H555" s="32">
        <v>2</v>
      </c>
      <c r="I555" s="33"/>
      <c r="J555" s="31"/>
      <c r="K555" s="31"/>
      <c r="L555" s="32">
        <v>3</v>
      </c>
      <c r="M555" s="33"/>
      <c r="N555" s="31"/>
      <c r="O555" s="31"/>
      <c r="P555" s="32">
        <v>4</v>
      </c>
      <c r="Q555" s="33"/>
      <c r="R555" s="31"/>
      <c r="S555" s="31"/>
      <c r="T555" s="31"/>
      <c r="U555" s="31"/>
      <c r="V555" s="60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ht="15.6" customHeight="1" spans="1:44" x14ac:dyDescent="0.25">
      <c r="A556" s="30"/>
      <c r="B556" s="31" t="s">
        <v>11</v>
      </c>
      <c r="C556" s="31"/>
      <c r="D556" s="32" t="s">
        <v>12</v>
      </c>
      <c r="E556" s="33"/>
      <c r="F556" s="31" t="s">
        <v>11</v>
      </c>
      <c r="G556" s="31"/>
      <c r="H556" s="32" t="s">
        <v>12</v>
      </c>
      <c r="I556" s="33"/>
      <c r="J556" s="31" t="s">
        <v>11</v>
      </c>
      <c r="K556" s="31"/>
      <c r="L556" s="32" t="s">
        <v>12</v>
      </c>
      <c r="M556" s="33"/>
      <c r="N556" s="31" t="s">
        <v>11</v>
      </c>
      <c r="O556" s="31"/>
      <c r="P556" s="32" t="s">
        <v>12</v>
      </c>
      <c r="Q556" s="33"/>
      <c r="R556" s="31"/>
      <c r="S556" s="31"/>
      <c r="T556" s="31"/>
      <c r="U556" s="31"/>
      <c r="V556" s="65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ht="15.6" customHeight="1" spans="1:44" x14ac:dyDescent="0.25">
      <c r="A557" s="30"/>
      <c r="B557" s="35"/>
      <c r="C557" s="35"/>
      <c r="D557" s="5"/>
      <c r="E557" s="5"/>
      <c r="F557" s="35"/>
      <c r="G557" s="35"/>
      <c r="H557" s="5"/>
      <c r="I557" s="5"/>
      <c r="J557" s="35"/>
      <c r="K557" s="35"/>
      <c r="L557" s="5"/>
      <c r="M557" s="5"/>
      <c r="N557" s="35"/>
      <c r="O557" s="35"/>
      <c r="P557" s="5"/>
      <c r="Q557" s="5"/>
      <c r="R557" s="35"/>
      <c r="S557" s="35"/>
      <c r="T557" s="35"/>
      <c r="U557" s="35"/>
      <c r="V557" s="65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ht="15.6" customHeight="1" spans="1:44" x14ac:dyDescent="0.25">
      <c r="A558" s="30"/>
      <c r="B558" s="31">
        <v>0</v>
      </c>
      <c r="C558" s="31"/>
      <c r="D558" s="37">
        <v>1</v>
      </c>
      <c r="E558" s="37"/>
      <c r="F558" s="31">
        <v>2</v>
      </c>
      <c r="G558" s="31"/>
      <c r="H558" s="37">
        <v>3</v>
      </c>
      <c r="I558" s="37"/>
      <c r="J558" s="31">
        <v>4</v>
      </c>
      <c r="K558" s="31"/>
      <c r="L558" s="37">
        <v>5</v>
      </c>
      <c r="M558" s="37"/>
      <c r="N558" s="31">
        <v>6</v>
      </c>
      <c r="O558" s="31"/>
      <c r="P558" s="37">
        <v>7</v>
      </c>
      <c r="Q558" s="37"/>
      <c r="R558" s="31">
        <v>8</v>
      </c>
      <c r="S558" s="31"/>
      <c r="T558" s="31">
        <v>9</v>
      </c>
      <c r="U558" s="31"/>
      <c r="V558" s="67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ht="15.6" customHeight="1" spans="1:44" x14ac:dyDescent="0.25">
      <c r="A559" s="30"/>
      <c r="B559" s="31" t="s">
        <v>13</v>
      </c>
      <c r="C559" s="31" t="s">
        <v>14</v>
      </c>
      <c r="D559" s="37" t="s">
        <v>15</v>
      </c>
      <c r="E559" s="37" t="s">
        <v>16</v>
      </c>
      <c r="F559" s="31" t="s">
        <v>13</v>
      </c>
      <c r="G559" s="31" t="s">
        <v>14</v>
      </c>
      <c r="H559" s="37" t="s">
        <v>15</v>
      </c>
      <c r="I559" s="37" t="s">
        <v>16</v>
      </c>
      <c r="J559" s="31" t="s">
        <v>13</v>
      </c>
      <c r="K559" s="31" t="s">
        <v>14</v>
      </c>
      <c r="L559" s="37" t="s">
        <v>15</v>
      </c>
      <c r="M559" s="37" t="s">
        <v>16</v>
      </c>
      <c r="N559" s="31" t="s">
        <v>13</v>
      </c>
      <c r="O559" s="31" t="s">
        <v>14</v>
      </c>
      <c r="P559" s="37" t="s">
        <v>15</v>
      </c>
      <c r="Q559" s="37" t="s">
        <v>16</v>
      </c>
      <c r="R559" s="31" t="s">
        <v>13</v>
      </c>
      <c r="S559" s="31" t="s">
        <v>14</v>
      </c>
      <c r="T559" s="31" t="s">
        <v>15</v>
      </c>
      <c r="U559" s="31" t="s">
        <v>16</v>
      </c>
      <c r="V559" s="67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ht="15.6" customHeight="1" spans="1:44" x14ac:dyDescent="0.25">
      <c r="A560" s="39"/>
      <c r="B560" s="40"/>
      <c r="C560" s="40"/>
      <c r="D560" s="41"/>
      <c r="E560" s="42"/>
      <c r="F560" s="40"/>
      <c r="G560" s="40"/>
      <c r="H560" s="41"/>
      <c r="I560" s="42"/>
      <c r="J560" s="40"/>
      <c r="K560" s="40"/>
      <c r="L560" s="41"/>
      <c r="M560" s="42"/>
      <c r="N560" s="40"/>
      <c r="O560" s="40"/>
      <c r="P560" s="41"/>
      <c r="Q560" s="42"/>
      <c r="R560" s="40"/>
      <c r="S560" s="40"/>
      <c r="T560" s="40"/>
      <c r="U560" s="40"/>
      <c r="V560" s="68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ht="15.6" customHeight="1" spans="1:44" x14ac:dyDescent="0.25">
      <c r="A561" s="3"/>
      <c r="B561" s="35"/>
      <c r="C561" s="35"/>
      <c r="D561" s="72"/>
      <c r="E561" s="5"/>
      <c r="F561" s="35"/>
      <c r="G561" s="35"/>
      <c r="H561" s="72"/>
      <c r="I561" s="5"/>
      <c r="J561" s="35"/>
      <c r="K561" s="35"/>
      <c r="L561" s="72"/>
      <c r="M561" s="5"/>
      <c r="N561" s="35"/>
      <c r="O561" s="35"/>
      <c r="P561" s="72"/>
      <c r="Q561" s="5"/>
      <c r="R561" s="35"/>
      <c r="S561" s="35"/>
      <c r="T561" s="35"/>
      <c r="U561" s="35"/>
      <c r="V561" s="38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ht="15.6" customHeight="1" spans="1:44" x14ac:dyDescent="0.25">
      <c r="A562" s="3"/>
      <c r="B562" s="76"/>
      <c r="C562" s="77"/>
      <c r="D562" s="78"/>
      <c r="E562" s="79"/>
      <c r="F562" s="76"/>
      <c r="G562" s="77"/>
      <c r="H562" s="78"/>
      <c r="I562" s="79"/>
      <c r="J562" s="76"/>
      <c r="K562" s="77"/>
      <c r="L562" s="78"/>
      <c r="M562" s="79"/>
      <c r="N562" s="76"/>
      <c r="O562" s="77"/>
      <c r="P562" s="78"/>
      <c r="Q562" s="79"/>
      <c r="R562" s="35"/>
      <c r="S562" s="35"/>
      <c r="T562" s="35"/>
      <c r="U562" s="35"/>
      <c r="V562" s="38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ht="15.6" customHeight="1" spans="1:44" x14ac:dyDescent="0.25">
      <c r="A563" s="3"/>
      <c r="B563" s="50">
        <f>IF(D562&lt;1,"","пом.")</f>
      </c>
      <c r="C563" s="50"/>
      <c r="D563" s="52"/>
      <c r="E563" s="53"/>
      <c r="F563" s="50">
        <f>IF(H562&lt;1,"","пом.")</f>
      </c>
      <c r="G563" s="50"/>
      <c r="H563" s="52"/>
      <c r="I563" s="53"/>
      <c r="J563" s="50">
        <f>IF(L562&lt;1,"","пом.")</f>
      </c>
      <c r="K563" s="50"/>
      <c r="L563" s="52"/>
      <c r="M563" s="53"/>
      <c r="N563" s="50">
        <f>IF(P562&lt;1,"","пом.")</f>
      </c>
      <c r="O563" s="50"/>
      <c r="P563" s="52"/>
      <c r="Q563" s="53"/>
      <c r="R563" s="35"/>
      <c r="S563" s="35"/>
      <c r="T563" s="35"/>
      <c r="U563" s="35"/>
      <c r="V563" s="38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ht="15.6" customHeight="1" spans="1:44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ht="15.6" customHeight="1" spans="1:44" x14ac:dyDescent="0.25">
      <c r="A565" s="3"/>
      <c r="B565" s="3"/>
      <c r="C565" s="3"/>
      <c r="D565" s="4"/>
      <c r="E565" s="5" t="s">
        <v>26</v>
      </c>
      <c r="F565" s="54" t="s">
        <v>27</v>
      </c>
      <c r="G565" s="54"/>
      <c r="H565" s="54"/>
      <c r="I565" s="100" t="s">
        <v>28</v>
      </c>
      <c r="J565" s="100"/>
      <c r="K565" s="100"/>
      <c r="L565" s="4"/>
      <c r="M565" s="4"/>
      <c r="N565" s="3"/>
      <c r="O565" s="35" t="s">
        <v>29</v>
      </c>
      <c r="P565" s="54" t="s">
        <v>30</v>
      </c>
      <c r="Q565" s="54"/>
      <c r="R565" s="54"/>
      <c r="S565" s="100" t="s">
        <v>31</v>
      </c>
      <c r="T565" s="100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ht="15.6" customHeight="1" spans="1:44" x14ac:dyDescent="0.25">
      <c r="A566" s="3"/>
      <c r="B566" s="3"/>
      <c r="C566" s="3"/>
      <c r="D566" s="4"/>
      <c r="E566" s="5" t="s">
        <v>32</v>
      </c>
      <c r="F566" s="54" t="s">
        <v>33</v>
      </c>
      <c r="G566" s="54"/>
      <c r="H566" s="54"/>
      <c r="I566" s="100" t="s">
        <v>34</v>
      </c>
      <c r="J566" s="100"/>
      <c r="K566" s="100"/>
      <c r="L566" s="4"/>
      <c r="M566" s="4"/>
      <c r="N566" s="3"/>
      <c r="O566" s="35" t="s">
        <v>35</v>
      </c>
      <c r="P566" s="54" t="s">
        <v>30</v>
      </c>
      <c r="Q566" s="54"/>
      <c r="R566" s="54"/>
      <c r="S566" s="101" t="s">
        <v>36</v>
      </c>
      <c r="T566" s="101"/>
      <c r="U566" s="101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ht="15.6" customHeight="1" spans="1:44" x14ac:dyDescent="0.25">
      <c r="A567" s="55"/>
      <c r="B567" s="55"/>
      <c r="C567" s="55"/>
      <c r="D567" s="56"/>
      <c r="E567" s="57"/>
      <c r="F567" s="55"/>
      <c r="G567" s="55"/>
      <c r="H567" s="56"/>
      <c r="I567" s="56"/>
      <c r="J567" s="55"/>
      <c r="K567" s="55"/>
      <c r="L567" s="56"/>
      <c r="M567" s="56"/>
      <c r="N567" s="55"/>
      <c r="O567" s="55"/>
      <c r="P567" s="56"/>
      <c r="Q567" s="56"/>
      <c r="R567" s="55"/>
      <c r="S567" s="55"/>
      <c r="T567" s="55"/>
      <c r="U567" s="55"/>
      <c r="V567" s="55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ht="15.6" customHeight="1" spans="1:44" x14ac:dyDescent="0.25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4" t="str">
        <f>N548</f>
        <v>1.1</v>
      </c>
      <c r="O568" s="14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ht="15.6" customHeight="1" spans="1:44" x14ac:dyDescent="0.25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5"/>
      <c r="K569" s="15"/>
      <c r="L569" s="16"/>
      <c r="M569" s="9" t="s">
        <v>5</v>
      </c>
      <c r="N569" s="18" t="str">
        <f>N549</f>
        <v>1.1.3</v>
      </c>
      <c r="O569" s="18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ht="15.6" customHeight="1" spans="1:44" x14ac:dyDescent="0.25">
      <c r="A570" s="3"/>
      <c r="B570" s="3"/>
      <c r="C570" s="3"/>
      <c r="D570" s="4"/>
      <c r="E570" s="4" t="s">
        <v>7</v>
      </c>
      <c r="F570" s="3"/>
      <c r="G570" s="3"/>
      <c r="H570" s="8"/>
      <c r="I570" s="8"/>
      <c r="J570" s="7"/>
      <c r="K570" s="7"/>
      <c r="L570" s="8"/>
      <c r="M570" s="19" t="s">
        <v>5</v>
      </c>
      <c r="N570" s="20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ht="15.6" customHeight="1" spans="1:44" x14ac:dyDescent="0.25">
      <c r="A571" s="3"/>
      <c r="B571" s="3"/>
      <c r="C571" s="3"/>
      <c r="D571" s="4"/>
      <c r="E571" s="4" t="s">
        <v>8</v>
      </c>
      <c r="F571" s="3"/>
      <c r="G571" s="3"/>
      <c r="H571" s="4"/>
      <c r="I571" s="4"/>
      <c r="J571" s="3"/>
      <c r="K571" s="3"/>
      <c r="L571" s="16"/>
      <c r="M571" s="19" t="s">
        <v>70</v>
      </c>
      <c r="N571" s="20" t="str">
        <f>IF(N551="-"&amp;N548&amp;".5",IF(N552=15,"-"&amp;N548&amp;".6","-"&amp;N548&amp;".5"),N551)</f>
        <v>-1.1.6</v>
      </c>
      <c r="O571" s="22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ht="15.6" customHeight="1" spans="1:44" x14ac:dyDescent="0.25">
      <c r="A572" s="3"/>
      <c r="B572" s="3"/>
      <c r="C572" s="3"/>
      <c r="D572" s="4"/>
      <c r="E572" s="24" t="s">
        <v>10</v>
      </c>
      <c r="F572" s="3"/>
      <c r="G572" s="3"/>
      <c r="H572" s="4"/>
      <c r="I572" s="8"/>
      <c r="J572" s="7"/>
      <c r="K572" s="7"/>
      <c r="L572" s="8"/>
      <c r="M572" s="19" t="s">
        <v>5</v>
      </c>
      <c r="N572" s="20">
        <f>IF(N571="-"&amp;N506&amp;".5",N552+1,IF(N551="-"&amp;N506&amp;".5",1,N552+1))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ht="6" customHeight="1" spans="1:44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ht="15.6" customHeight="1" spans="1:44" x14ac:dyDescent="0.25">
      <c r="A574" s="27"/>
      <c r="B574" s="28"/>
      <c r="C574" s="28"/>
      <c r="D574" s="29"/>
      <c r="E574" s="29"/>
      <c r="F574" s="28"/>
      <c r="G574" s="28"/>
      <c r="H574" s="29"/>
      <c r="I574" s="29"/>
      <c r="J574" s="28"/>
      <c r="K574" s="28"/>
      <c r="L574" s="29"/>
      <c r="M574" s="29"/>
      <c r="N574" s="28"/>
      <c r="O574" s="28"/>
      <c r="P574" s="29"/>
      <c r="Q574" s="29"/>
      <c r="R574" s="28"/>
      <c r="S574" s="28"/>
      <c r="T574" s="28"/>
      <c r="U574" s="28"/>
      <c r="V574" s="59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ht="15.6" customHeight="1" spans="1:44" x14ac:dyDescent="0.25">
      <c r="A575" s="30"/>
      <c r="B575" s="31"/>
      <c r="C575" s="31"/>
      <c r="D575" s="32">
        <v>1</v>
      </c>
      <c r="E575" s="33"/>
      <c r="F575" s="31"/>
      <c r="G575" s="31"/>
      <c r="H575" s="32">
        <v>2</v>
      </c>
      <c r="I575" s="33"/>
      <c r="J575" s="31"/>
      <c r="K575" s="31"/>
      <c r="L575" s="32">
        <v>3</v>
      </c>
      <c r="M575" s="33"/>
      <c r="N575" s="31"/>
      <c r="O575" s="31"/>
      <c r="P575" s="32">
        <v>4</v>
      </c>
      <c r="Q575" s="33"/>
      <c r="R575" s="31"/>
      <c r="S575" s="31"/>
      <c r="T575" s="31"/>
      <c r="U575" s="31"/>
      <c r="V575" s="60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ht="15.6" customHeight="1" spans="1:44" x14ac:dyDescent="0.25">
      <c r="A576" s="30"/>
      <c r="B576" s="31" t="s">
        <v>11</v>
      </c>
      <c r="C576" s="31"/>
      <c r="D576" s="32" t="s">
        <v>12</v>
      </c>
      <c r="E576" s="33"/>
      <c r="F576" s="31" t="s">
        <v>11</v>
      </c>
      <c r="G576" s="31"/>
      <c r="H576" s="32" t="s">
        <v>12</v>
      </c>
      <c r="I576" s="33"/>
      <c r="J576" s="31" t="s">
        <v>11</v>
      </c>
      <c r="K576" s="31"/>
      <c r="L576" s="32" t="s">
        <v>12</v>
      </c>
      <c r="M576" s="33"/>
      <c r="N576" s="31" t="s">
        <v>11</v>
      </c>
      <c r="O576" s="31"/>
      <c r="P576" s="32" t="s">
        <v>12</v>
      </c>
      <c r="Q576" s="33"/>
      <c r="R576" s="31"/>
      <c r="S576" s="31"/>
      <c r="T576" s="31"/>
      <c r="U576" s="31"/>
      <c r="V576" s="65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ht="15.6" customHeight="1" spans="1:44" x14ac:dyDescent="0.25">
      <c r="A577" s="30"/>
      <c r="B577" s="35"/>
      <c r="C577" s="35"/>
      <c r="D577" s="5"/>
      <c r="E577" s="5"/>
      <c r="F577" s="35"/>
      <c r="G577" s="35"/>
      <c r="H577" s="5"/>
      <c r="I577" s="5"/>
      <c r="J577" s="35"/>
      <c r="K577" s="35"/>
      <c r="L577" s="5"/>
      <c r="M577" s="5"/>
      <c r="N577" s="35"/>
      <c r="O577" s="35"/>
      <c r="P577" s="5"/>
      <c r="Q577" s="5"/>
      <c r="R577" s="35"/>
      <c r="S577" s="35"/>
      <c r="T577" s="35"/>
      <c r="U577" s="35"/>
      <c r="V577" s="65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ht="15.6" customHeight="1" spans="1:44" x14ac:dyDescent="0.25">
      <c r="A578" s="30"/>
      <c r="B578" s="31">
        <v>0</v>
      </c>
      <c r="C578" s="31"/>
      <c r="D578" s="37">
        <v>1</v>
      </c>
      <c r="E578" s="37"/>
      <c r="F578" s="31">
        <v>2</v>
      </c>
      <c r="G578" s="31"/>
      <c r="H578" s="37">
        <v>3</v>
      </c>
      <c r="I578" s="37"/>
      <c r="J578" s="31">
        <v>4</v>
      </c>
      <c r="K578" s="31"/>
      <c r="L578" s="37">
        <v>5</v>
      </c>
      <c r="M578" s="37"/>
      <c r="N578" s="31">
        <v>6</v>
      </c>
      <c r="O578" s="31"/>
      <c r="P578" s="37">
        <v>7</v>
      </c>
      <c r="Q578" s="37"/>
      <c r="R578" s="31">
        <v>8</v>
      </c>
      <c r="S578" s="31"/>
      <c r="T578" s="31">
        <v>9</v>
      </c>
      <c r="U578" s="31"/>
      <c r="V578" s="67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ht="15.6" customHeight="1" spans="1:44" x14ac:dyDescent="0.25">
      <c r="A579" s="30"/>
      <c r="B579" s="31" t="s">
        <v>13</v>
      </c>
      <c r="C579" s="31" t="s">
        <v>14</v>
      </c>
      <c r="D579" s="37" t="s">
        <v>15</v>
      </c>
      <c r="E579" s="37" t="s">
        <v>16</v>
      </c>
      <c r="F579" s="31" t="s">
        <v>13</v>
      </c>
      <c r="G579" s="31" t="s">
        <v>14</v>
      </c>
      <c r="H579" s="37" t="s">
        <v>15</v>
      </c>
      <c r="I579" s="37" t="s">
        <v>16</v>
      </c>
      <c r="J579" s="31" t="s">
        <v>13</v>
      </c>
      <c r="K579" s="31" t="s">
        <v>14</v>
      </c>
      <c r="L579" s="37" t="s">
        <v>15</v>
      </c>
      <c r="M579" s="37" t="s">
        <v>16</v>
      </c>
      <c r="N579" s="31" t="s">
        <v>13</v>
      </c>
      <c r="O579" s="31" t="s">
        <v>14</v>
      </c>
      <c r="P579" s="37" t="s">
        <v>15</v>
      </c>
      <c r="Q579" s="37" t="s">
        <v>16</v>
      </c>
      <c r="R579" s="31" t="s">
        <v>13</v>
      </c>
      <c r="S579" s="31" t="s">
        <v>14</v>
      </c>
      <c r="T579" s="31" t="s">
        <v>15</v>
      </c>
      <c r="U579" s="31" t="s">
        <v>16</v>
      </c>
      <c r="V579" s="67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ht="15.6" customHeight="1" spans="1:44" x14ac:dyDescent="0.25">
      <c r="A580" s="39"/>
      <c r="B580" s="40"/>
      <c r="C580" s="40"/>
      <c r="D580" s="41"/>
      <c r="E580" s="42"/>
      <c r="F580" s="40"/>
      <c r="G580" s="40"/>
      <c r="H580" s="41"/>
      <c r="I580" s="42"/>
      <c r="J580" s="40"/>
      <c r="K580" s="40"/>
      <c r="L580" s="41"/>
      <c r="M580" s="42"/>
      <c r="N580" s="40"/>
      <c r="O580" s="40"/>
      <c r="P580" s="41"/>
      <c r="Q580" s="42"/>
      <c r="R580" s="40"/>
      <c r="S580" s="40"/>
      <c r="T580" s="40"/>
      <c r="U580" s="40"/>
      <c r="V580" s="68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ht="4.9" customHeight="1" spans="1:44" x14ac:dyDescent="0.25">
      <c r="A581" s="3"/>
      <c r="B581" s="35"/>
      <c r="C581" s="35"/>
      <c r="D581" s="72"/>
      <c r="E581" s="5"/>
      <c r="F581" s="35"/>
      <c r="G581" s="35"/>
      <c r="H581" s="72"/>
      <c r="I581" s="5"/>
      <c r="J581" s="35"/>
      <c r="K581" s="35"/>
      <c r="L581" s="72"/>
      <c r="M581" s="5"/>
      <c r="N581" s="35"/>
      <c r="O581" s="35"/>
      <c r="P581" s="72"/>
      <c r="Q581" s="5"/>
      <c r="R581" s="35"/>
      <c r="S581" s="35"/>
      <c r="T581" s="35"/>
      <c r="U581" s="35"/>
      <c r="V581" s="38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ht="15.6" customHeight="1" spans="1:44" x14ac:dyDescent="0.25">
      <c r="A582" s="3"/>
      <c r="B582" s="76"/>
      <c r="C582" s="77"/>
      <c r="D582" s="78"/>
      <c r="E582" s="79"/>
      <c r="F582" s="76"/>
      <c r="G582" s="77"/>
      <c r="H582" s="78"/>
      <c r="I582" s="79"/>
      <c r="J582" s="76"/>
      <c r="K582" s="77"/>
      <c r="L582" s="78"/>
      <c r="M582" s="79"/>
      <c r="N582" s="76"/>
      <c r="O582" s="77"/>
      <c r="P582" s="78"/>
      <c r="Q582" s="79"/>
      <c r="R582" s="35"/>
      <c r="S582" s="35"/>
      <c r="T582" s="35"/>
      <c r="U582" s="35"/>
      <c r="V582" s="38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ht="15.6" customHeight="1" spans="1:44" x14ac:dyDescent="0.25">
      <c r="A583" s="3"/>
      <c r="B583" s="50">
        <f>IF(D582&lt;1,"","пом.")</f>
      </c>
      <c r="C583" s="50"/>
      <c r="D583" s="52"/>
      <c r="E583" s="53"/>
      <c r="F583" s="50">
        <f>IF(H582&lt;1,"","пом.")</f>
      </c>
      <c r="G583" s="50"/>
      <c r="H583" s="52"/>
      <c r="I583" s="53"/>
      <c r="J583" s="50">
        <f>IF(L582&lt;1,"","пом.")</f>
      </c>
      <c r="K583" s="50"/>
      <c r="L583" s="52"/>
      <c r="M583" s="53"/>
      <c r="N583" s="50">
        <f>IF(P582&lt;1,"","пом.")</f>
      </c>
      <c r="O583" s="50"/>
      <c r="P583" s="52"/>
      <c r="Q583" s="53"/>
      <c r="R583" s="35"/>
      <c r="S583" s="35"/>
      <c r="T583" s="35"/>
      <c r="U583" s="35"/>
      <c r="V583" s="38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ht="7.15" customHeight="1" spans="1:44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ht="15.6" customHeight="1" spans="1:44" x14ac:dyDescent="0.25">
      <c r="A585" s="3"/>
      <c r="B585" s="3"/>
      <c r="C585" s="3"/>
      <c r="D585" s="4"/>
      <c r="E585" s="5" t="s">
        <v>26</v>
      </c>
      <c r="F585" s="54" t="s">
        <v>27</v>
      </c>
      <c r="G585" s="54"/>
      <c r="H585" s="54"/>
      <c r="I585" s="100" t="s">
        <v>28</v>
      </c>
      <c r="J585" s="100"/>
      <c r="K585" s="100"/>
      <c r="L585" s="4"/>
      <c r="M585" s="4"/>
      <c r="N585" s="3"/>
      <c r="O585" s="35" t="s">
        <v>29</v>
      </c>
      <c r="P585" s="54" t="s">
        <v>30</v>
      </c>
      <c r="Q585" s="54"/>
      <c r="R585" s="54"/>
      <c r="S585" s="100" t="s">
        <v>31</v>
      </c>
      <c r="T585" s="100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ht="15.6" customHeight="1" spans="1:44" x14ac:dyDescent="0.25">
      <c r="A586" s="3"/>
      <c r="B586" s="3"/>
      <c r="C586" s="3"/>
      <c r="D586" s="4"/>
      <c r="E586" s="5" t="s">
        <v>32</v>
      </c>
      <c r="F586" s="54" t="s">
        <v>33</v>
      </c>
      <c r="G586" s="54"/>
      <c r="H586" s="54"/>
      <c r="I586" s="100" t="s">
        <v>34</v>
      </c>
      <c r="J586" s="100"/>
      <c r="K586" s="100"/>
      <c r="L586" s="4"/>
      <c r="M586" s="4"/>
      <c r="N586" s="3"/>
      <c r="O586" s="35" t="s">
        <v>35</v>
      </c>
      <c r="P586" s="54" t="s">
        <v>30</v>
      </c>
      <c r="Q586" s="54"/>
      <c r="R586" s="54"/>
      <c r="S586" s="101" t="s">
        <v>36</v>
      </c>
      <c r="T586" s="101"/>
      <c r="U586" s="101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ht="15.6" customHeight="1" spans="1:44" x14ac:dyDescent="0.25">
      <c r="A587" s="55"/>
      <c r="B587" s="55"/>
      <c r="C587" s="55"/>
      <c r="D587" s="56"/>
      <c r="E587" s="57"/>
      <c r="F587" s="55"/>
      <c r="G587" s="55"/>
      <c r="H587" s="56"/>
      <c r="I587" s="56"/>
      <c r="J587" s="55"/>
      <c r="K587" s="55"/>
      <c r="L587" s="56"/>
      <c r="M587" s="56"/>
      <c r="N587" s="55"/>
      <c r="O587" s="55"/>
      <c r="P587" s="56"/>
      <c r="Q587" s="56"/>
      <c r="R587" s="55"/>
      <c r="S587" s="55"/>
      <c r="T587" s="55"/>
      <c r="U587" s="55"/>
      <c r="V587" s="55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ht="15.6" customHeight="1" spans="1:44" x14ac:dyDescent="0.25">
      <c r="A588" s="55"/>
      <c r="B588" s="55"/>
      <c r="C588" s="55"/>
      <c r="D588" s="56"/>
      <c r="E588" s="57"/>
      <c r="F588" s="55"/>
      <c r="G588" s="55"/>
      <c r="H588" s="56"/>
      <c r="I588" s="56"/>
      <c r="J588" s="55"/>
      <c r="K588" s="55"/>
      <c r="L588" s="56"/>
      <c r="M588" s="56"/>
      <c r="N588" s="55"/>
      <c r="O588" s="55"/>
      <c r="P588" s="56"/>
      <c r="Q588" s="56"/>
      <c r="R588" s="55"/>
      <c r="S588" s="55"/>
      <c r="T588" s="55"/>
      <c r="U588" s="55"/>
      <c r="V588" s="55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ht="15.6" customHeight="1" hidden="1" spans="1:44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ht="15.6" customHeight="1" spans="1:44" x14ac:dyDescent="0.25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4" t="str">
        <f>N568</f>
        <v>1.1</v>
      </c>
      <c r="O590" s="14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ht="15.6" customHeight="1" spans="1:44" x14ac:dyDescent="0.25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5"/>
      <c r="K591" s="15"/>
      <c r="L591" s="16"/>
      <c r="M591" s="9" t="s">
        <v>5</v>
      </c>
      <c r="N591" s="18" t="str">
        <f>N590&amp;".3"</f>
        <v>1.1.3</v>
      </c>
      <c r="O591" s="18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ht="15.6" customHeight="1" spans="1:44" x14ac:dyDescent="0.25">
      <c r="A592" s="3"/>
      <c r="B592" s="3"/>
      <c r="C592" s="3"/>
      <c r="D592" s="4"/>
      <c r="E592" s="4" t="s">
        <v>7</v>
      </c>
      <c r="F592" s="3"/>
      <c r="G592" s="3"/>
      <c r="H592" s="8"/>
      <c r="I592" s="8"/>
      <c r="J592" s="7"/>
      <c r="K592" s="7"/>
      <c r="L592" s="8"/>
      <c r="M592" s="19" t="s">
        <v>5</v>
      </c>
      <c r="N592" s="20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ht="15.6" customHeight="1" spans="1:44" x14ac:dyDescent="0.25">
      <c r="A593" s="3"/>
      <c r="B593" s="3"/>
      <c r="C593" s="3"/>
      <c r="D593" s="4"/>
      <c r="E593" s="4" t="s">
        <v>8</v>
      </c>
      <c r="F593" s="3"/>
      <c r="G593" s="3"/>
      <c r="H593" s="4"/>
      <c r="I593" s="4"/>
      <c r="J593" s="3"/>
      <c r="K593" s="3"/>
      <c r="L593" s="16"/>
      <c r="M593" s="19" t="s">
        <v>70</v>
      </c>
      <c r="N593" s="20" t="str">
        <f>IF(N571="-"&amp;N548&amp;".5",IF(N572=15,"-"&amp;N548&amp;".6","-"&amp;N548&amp;".5"),N571)</f>
        <v>-1.1.6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ht="15.6" customHeight="1" spans="1:44" x14ac:dyDescent="0.25">
      <c r="A594" s="3"/>
      <c r="B594" s="3"/>
      <c r="C594" s="3"/>
      <c r="D594" s="4"/>
      <c r="E594" s="24" t="s">
        <v>10</v>
      </c>
      <c r="F594" s="3"/>
      <c r="G594" s="3"/>
      <c r="H594" s="4"/>
      <c r="I594" s="8"/>
      <c r="J594" s="7"/>
      <c r="K594" s="7"/>
      <c r="L594" s="8"/>
      <c r="M594" s="19" t="s">
        <v>5</v>
      </c>
      <c r="N594" s="20">
        <f>IF(N593="-"&amp;N548&amp;".5",N572+1,IF(N571="-"&amp;N548&amp;".5",1,N572+1))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ht="15.6" customHeight="1" spans="1:44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ht="15.6" customHeight="1" spans="1:44" x14ac:dyDescent="0.25">
      <c r="A596" s="27"/>
      <c r="B596" s="28"/>
      <c r="C596" s="28"/>
      <c r="D596" s="29"/>
      <c r="E596" s="29"/>
      <c r="F596" s="28"/>
      <c r="G596" s="28"/>
      <c r="H596" s="29"/>
      <c r="I596" s="29"/>
      <c r="J596" s="28"/>
      <c r="K596" s="28"/>
      <c r="L596" s="29"/>
      <c r="M596" s="29"/>
      <c r="N596" s="28"/>
      <c r="O596" s="28"/>
      <c r="P596" s="29"/>
      <c r="Q596" s="29"/>
      <c r="R596" s="28"/>
      <c r="S596" s="28"/>
      <c r="T596" s="28"/>
      <c r="U596" s="28"/>
      <c r="V596" s="59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ht="15.6" customHeight="1" spans="1:44" x14ac:dyDescent="0.25">
      <c r="A597" s="30"/>
      <c r="B597" s="31"/>
      <c r="C597" s="31"/>
      <c r="D597" s="32">
        <v>1</v>
      </c>
      <c r="E597" s="33"/>
      <c r="F597" s="31"/>
      <c r="G597" s="31"/>
      <c r="H597" s="32">
        <v>2</v>
      </c>
      <c r="I597" s="33"/>
      <c r="J597" s="31"/>
      <c r="K597" s="31"/>
      <c r="L597" s="32">
        <v>3</v>
      </c>
      <c r="M597" s="33"/>
      <c r="N597" s="31"/>
      <c r="O597" s="31"/>
      <c r="P597" s="32">
        <v>4</v>
      </c>
      <c r="Q597" s="33"/>
      <c r="R597" s="31"/>
      <c r="S597" s="31"/>
      <c r="T597" s="31"/>
      <c r="U597" s="31"/>
      <c r="V597" s="60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ht="15.6" customHeight="1" spans="1:44" x14ac:dyDescent="0.25">
      <c r="A598" s="30"/>
      <c r="B598" s="31" t="s">
        <v>11</v>
      </c>
      <c r="C598" s="31"/>
      <c r="D598" s="32" t="s">
        <v>12</v>
      </c>
      <c r="E598" s="33"/>
      <c r="F598" s="31" t="s">
        <v>11</v>
      </c>
      <c r="G598" s="31"/>
      <c r="H598" s="32" t="s">
        <v>12</v>
      </c>
      <c r="I598" s="33"/>
      <c r="J598" s="31" t="s">
        <v>11</v>
      </c>
      <c r="K598" s="31"/>
      <c r="L598" s="32" t="s">
        <v>12</v>
      </c>
      <c r="M598" s="33"/>
      <c r="N598" s="31" t="s">
        <v>11</v>
      </c>
      <c r="O598" s="31"/>
      <c r="P598" s="32" t="s">
        <v>12</v>
      </c>
      <c r="Q598" s="33"/>
      <c r="R598" s="31"/>
      <c r="S598" s="31"/>
      <c r="T598" s="31"/>
      <c r="U598" s="31"/>
      <c r="V598" s="65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ht="15.6" customHeight="1" spans="1:44" x14ac:dyDescent="0.25">
      <c r="A599" s="30"/>
      <c r="B599" s="35"/>
      <c r="C599" s="35"/>
      <c r="D599" s="5"/>
      <c r="E599" s="5"/>
      <c r="F599" s="35"/>
      <c r="G599" s="35"/>
      <c r="H599" s="5"/>
      <c r="I599" s="5"/>
      <c r="J599" s="35"/>
      <c r="K599" s="35"/>
      <c r="L599" s="5"/>
      <c r="M599" s="5"/>
      <c r="N599" s="35"/>
      <c r="O599" s="35"/>
      <c r="P599" s="5"/>
      <c r="Q599" s="5"/>
      <c r="R599" s="35"/>
      <c r="S599" s="35"/>
      <c r="T599" s="35"/>
      <c r="U599" s="35"/>
      <c r="V599" s="65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ht="15.6" customHeight="1" spans="1:44" x14ac:dyDescent="0.25">
      <c r="A600" s="30"/>
      <c r="B600" s="31">
        <v>0</v>
      </c>
      <c r="C600" s="31"/>
      <c r="D600" s="37">
        <v>1</v>
      </c>
      <c r="E600" s="37"/>
      <c r="F600" s="31">
        <v>2</v>
      </c>
      <c r="G600" s="31"/>
      <c r="H600" s="37">
        <v>3</v>
      </c>
      <c r="I600" s="37"/>
      <c r="J600" s="31">
        <v>4</v>
      </c>
      <c r="K600" s="31"/>
      <c r="L600" s="37">
        <v>5</v>
      </c>
      <c r="M600" s="37"/>
      <c r="N600" s="31">
        <v>6</v>
      </c>
      <c r="O600" s="31"/>
      <c r="P600" s="37">
        <v>7</v>
      </c>
      <c r="Q600" s="37"/>
      <c r="R600" s="31">
        <v>8</v>
      </c>
      <c r="S600" s="31"/>
      <c r="T600" s="31">
        <v>9</v>
      </c>
      <c r="U600" s="31"/>
      <c r="V600" s="67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ht="15.6" customHeight="1" spans="1:44" x14ac:dyDescent="0.25">
      <c r="A601" s="30"/>
      <c r="B601" s="31" t="s">
        <v>13</v>
      </c>
      <c r="C601" s="31" t="s">
        <v>14</v>
      </c>
      <c r="D601" s="37" t="s">
        <v>15</v>
      </c>
      <c r="E601" s="37" t="s">
        <v>16</v>
      </c>
      <c r="F601" s="31" t="s">
        <v>13</v>
      </c>
      <c r="G601" s="31" t="s">
        <v>14</v>
      </c>
      <c r="H601" s="37" t="s">
        <v>15</v>
      </c>
      <c r="I601" s="37" t="s">
        <v>16</v>
      </c>
      <c r="J601" s="31" t="s">
        <v>13</v>
      </c>
      <c r="K601" s="31" t="s">
        <v>14</v>
      </c>
      <c r="L601" s="37" t="s">
        <v>15</v>
      </c>
      <c r="M601" s="37" t="s">
        <v>16</v>
      </c>
      <c r="N601" s="31" t="s">
        <v>13</v>
      </c>
      <c r="O601" s="31" t="s">
        <v>14</v>
      </c>
      <c r="P601" s="37" t="s">
        <v>15</v>
      </c>
      <c r="Q601" s="37" t="s">
        <v>16</v>
      </c>
      <c r="R601" s="31" t="s">
        <v>13</v>
      </c>
      <c r="S601" s="31" t="s">
        <v>14</v>
      </c>
      <c r="T601" s="31" t="s">
        <v>15</v>
      </c>
      <c r="U601" s="31" t="s">
        <v>16</v>
      </c>
      <c r="V601" s="67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ht="15.6" customHeight="1" spans="1:44" x14ac:dyDescent="0.25">
      <c r="A602" s="39"/>
      <c r="B602" s="40"/>
      <c r="C602" s="40"/>
      <c r="D602" s="41"/>
      <c r="E602" s="42"/>
      <c r="F602" s="40"/>
      <c r="G602" s="40"/>
      <c r="H602" s="41"/>
      <c r="I602" s="42"/>
      <c r="J602" s="40"/>
      <c r="K602" s="40"/>
      <c r="L602" s="41"/>
      <c r="M602" s="42"/>
      <c r="N602" s="40"/>
      <c r="O602" s="40"/>
      <c r="P602" s="41"/>
      <c r="Q602" s="42"/>
      <c r="R602" s="40"/>
      <c r="S602" s="40"/>
      <c r="T602" s="40"/>
      <c r="U602" s="40"/>
      <c r="V602" s="68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ht="15.6" customHeight="1" spans="1:44" x14ac:dyDescent="0.25">
      <c r="A603" s="3"/>
      <c r="B603" s="35"/>
      <c r="C603" s="35"/>
      <c r="D603" s="72"/>
      <c r="E603" s="5"/>
      <c r="F603" s="35"/>
      <c r="G603" s="35"/>
      <c r="H603" s="72"/>
      <c r="I603" s="5"/>
      <c r="J603" s="35"/>
      <c r="K603" s="35"/>
      <c r="L603" s="72"/>
      <c r="M603" s="5"/>
      <c r="N603" s="35"/>
      <c r="O603" s="35"/>
      <c r="P603" s="72"/>
      <c r="Q603" s="5"/>
      <c r="R603" s="35"/>
      <c r="S603" s="35"/>
      <c r="T603" s="35"/>
      <c r="U603" s="35"/>
      <c r="V603" s="38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ht="15.6" customHeight="1" spans="1:44" x14ac:dyDescent="0.25">
      <c r="A604" s="3"/>
      <c r="B604" s="76"/>
      <c r="C604" s="77"/>
      <c r="D604" s="78"/>
      <c r="E604" s="79"/>
      <c r="F604" s="76"/>
      <c r="G604" s="77"/>
      <c r="H604" s="78"/>
      <c r="I604" s="79"/>
      <c r="J604" s="76"/>
      <c r="K604" s="77"/>
      <c r="L604" s="78"/>
      <c r="M604" s="79"/>
      <c r="N604" s="76"/>
      <c r="O604" s="77"/>
      <c r="P604" s="78"/>
      <c r="Q604" s="79"/>
      <c r="R604" s="35"/>
      <c r="S604" s="35"/>
      <c r="T604" s="35"/>
      <c r="U604" s="35"/>
      <c r="V604" s="38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ht="15.6" customHeight="1" spans="1:44" x14ac:dyDescent="0.25">
      <c r="A605" s="3"/>
      <c r="B605" s="50">
        <f>IF(D604&lt;1,"","пом.")</f>
      </c>
      <c r="C605" s="50"/>
      <c r="D605" s="52"/>
      <c r="E605" s="53"/>
      <c r="F605" s="50">
        <f>IF(H604&lt;1,"","пом.")</f>
      </c>
      <c r="G605" s="50"/>
      <c r="H605" s="52"/>
      <c r="I605" s="53"/>
      <c r="J605" s="50">
        <f>IF(L604&lt;1,"","пом.")</f>
      </c>
      <c r="K605" s="50"/>
      <c r="L605" s="52"/>
      <c r="M605" s="53"/>
      <c r="N605" s="50">
        <f>IF(P604&lt;1,"","пом.")</f>
      </c>
      <c r="O605" s="50"/>
      <c r="P605" s="52"/>
      <c r="Q605" s="53"/>
      <c r="R605" s="35"/>
      <c r="S605" s="35"/>
      <c r="T605" s="35"/>
      <c r="U605" s="35"/>
      <c r="V605" s="38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ht="15.6" customHeight="1" spans="1:44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ht="15.6" customHeight="1" spans="1:44" x14ac:dyDescent="0.25">
      <c r="A607" s="3"/>
      <c r="B607" s="3"/>
      <c r="C607" s="3"/>
      <c r="D607" s="4"/>
      <c r="E607" s="5" t="s">
        <v>26</v>
      </c>
      <c r="F607" s="54" t="s">
        <v>27</v>
      </c>
      <c r="G607" s="54"/>
      <c r="H607" s="54"/>
      <c r="I607" s="100" t="s">
        <v>28</v>
      </c>
      <c r="J607" s="100"/>
      <c r="K607" s="100"/>
      <c r="L607" s="4"/>
      <c r="M607" s="4"/>
      <c r="N607" s="3"/>
      <c r="O607" s="35" t="s">
        <v>29</v>
      </c>
      <c r="P607" s="54" t="s">
        <v>30</v>
      </c>
      <c r="Q607" s="54"/>
      <c r="R607" s="54"/>
      <c r="S607" s="100" t="s">
        <v>31</v>
      </c>
      <c r="T607" s="100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ht="15.6" customHeight="1" spans="1:44" x14ac:dyDescent="0.25">
      <c r="A608" s="3"/>
      <c r="B608" s="3"/>
      <c r="C608" s="3"/>
      <c r="D608" s="4"/>
      <c r="E608" s="5" t="s">
        <v>32</v>
      </c>
      <c r="F608" s="54" t="s">
        <v>33</v>
      </c>
      <c r="G608" s="54"/>
      <c r="H608" s="54"/>
      <c r="I608" s="100" t="s">
        <v>34</v>
      </c>
      <c r="J608" s="100"/>
      <c r="K608" s="100"/>
      <c r="L608" s="4"/>
      <c r="M608" s="4"/>
      <c r="N608" s="3"/>
      <c r="O608" s="35" t="s">
        <v>35</v>
      </c>
      <c r="P608" s="54" t="s">
        <v>30</v>
      </c>
      <c r="Q608" s="54"/>
      <c r="R608" s="54"/>
      <c r="S608" s="101" t="s">
        <v>36</v>
      </c>
      <c r="T608" s="101"/>
      <c r="U608" s="101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ht="15.6" customHeight="1" spans="1:44" x14ac:dyDescent="0.25">
      <c r="A609" s="55"/>
      <c r="B609" s="55"/>
      <c r="C609" s="55"/>
      <c r="D609" s="56"/>
      <c r="E609" s="57"/>
      <c r="F609" s="55"/>
      <c r="G609" s="55"/>
      <c r="H609" s="56"/>
      <c r="I609" s="56"/>
      <c r="J609" s="55"/>
      <c r="K609" s="55"/>
      <c r="L609" s="56"/>
      <c r="M609" s="56"/>
      <c r="N609" s="55"/>
      <c r="O609" s="55"/>
      <c r="P609" s="56"/>
      <c r="Q609" s="56"/>
      <c r="R609" s="55"/>
      <c r="S609" s="55"/>
      <c r="T609" s="55"/>
      <c r="U609" s="55"/>
      <c r="V609" s="55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ht="15.6" customHeight="1" spans="1:44" x14ac:dyDescent="0.25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4" t="str">
        <f>N590</f>
        <v>1.1</v>
      </c>
      <c r="O610" s="14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ht="15.6" customHeight="1" spans="1:44" x14ac:dyDescent="0.25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5"/>
      <c r="K611" s="15"/>
      <c r="L611" s="16"/>
      <c r="M611" s="9" t="s">
        <v>5</v>
      </c>
      <c r="N611" s="18" t="str">
        <f>N591</f>
        <v>1.1.3</v>
      </c>
      <c r="O611" s="18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ht="15.6" customHeight="1" spans="1:44" x14ac:dyDescent="0.25">
      <c r="A612" s="3"/>
      <c r="B612" s="3"/>
      <c r="C612" s="3"/>
      <c r="D612" s="4"/>
      <c r="E612" s="4" t="s">
        <v>7</v>
      </c>
      <c r="F612" s="3"/>
      <c r="G612" s="3"/>
      <c r="H612" s="8"/>
      <c r="I612" s="8"/>
      <c r="J612" s="7"/>
      <c r="K612" s="7"/>
      <c r="L612" s="8"/>
      <c r="M612" s="19" t="s">
        <v>5</v>
      </c>
      <c r="N612" s="20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ht="15.6" customHeight="1" spans="1:44" x14ac:dyDescent="0.25">
      <c r="A613" s="3"/>
      <c r="B613" s="3"/>
      <c r="C613" s="3"/>
      <c r="D613" s="4"/>
      <c r="E613" s="4" t="s">
        <v>8</v>
      </c>
      <c r="F613" s="3"/>
      <c r="G613" s="3"/>
      <c r="H613" s="4"/>
      <c r="I613" s="4"/>
      <c r="J613" s="3"/>
      <c r="K613" s="3"/>
      <c r="L613" s="16"/>
      <c r="M613" s="19" t="s">
        <v>70</v>
      </c>
      <c r="N613" s="20" t="str">
        <f>IF(N593="-"&amp;N590&amp;".5",IF(N594=15,"-"&amp;N590&amp;".6","-"&amp;N590&amp;".5"),N593)</f>
        <v>-1.1.6</v>
      </c>
      <c r="O613" s="22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ht="15.6" customHeight="1" spans="1:44" x14ac:dyDescent="0.25">
      <c r="A614" s="3"/>
      <c r="B614" s="3"/>
      <c r="C614" s="3"/>
      <c r="D614" s="4"/>
      <c r="E614" s="24" t="s">
        <v>10</v>
      </c>
      <c r="F614" s="3"/>
      <c r="G614" s="3"/>
      <c r="H614" s="4"/>
      <c r="I614" s="8"/>
      <c r="J614" s="7"/>
      <c r="K614" s="7"/>
      <c r="L614" s="8"/>
      <c r="M614" s="19" t="s">
        <v>5</v>
      </c>
      <c r="N614" s="20">
        <f>IF(N613="-"&amp;N548&amp;".5",N594+1,IF(N593="-"&amp;N548&amp;".5",1,N594+1))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ht="7.9" customHeight="1" spans="1:44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ht="15.6" customHeight="1" spans="1:44" x14ac:dyDescent="0.25">
      <c r="A616" s="27"/>
      <c r="B616" s="28"/>
      <c r="C616" s="28"/>
      <c r="D616" s="29"/>
      <c r="E616" s="29"/>
      <c r="F616" s="28"/>
      <c r="G616" s="28"/>
      <c r="H616" s="29"/>
      <c r="I616" s="29"/>
      <c r="J616" s="28"/>
      <c r="K616" s="28"/>
      <c r="L616" s="29"/>
      <c r="M616" s="29"/>
      <c r="N616" s="28"/>
      <c r="O616" s="28"/>
      <c r="P616" s="29"/>
      <c r="Q616" s="29"/>
      <c r="R616" s="28"/>
      <c r="S616" s="28"/>
      <c r="T616" s="28"/>
      <c r="U616" s="28"/>
      <c r="V616" s="59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ht="15.6" customHeight="1" spans="1:44" x14ac:dyDescent="0.25">
      <c r="A617" s="30"/>
      <c r="B617" s="31"/>
      <c r="C617" s="31"/>
      <c r="D617" s="32">
        <v>1</v>
      </c>
      <c r="E617" s="33"/>
      <c r="F617" s="31"/>
      <c r="G617" s="31"/>
      <c r="H617" s="32">
        <v>2</v>
      </c>
      <c r="I617" s="33"/>
      <c r="J617" s="31"/>
      <c r="K617" s="31"/>
      <c r="L617" s="32">
        <v>3</v>
      </c>
      <c r="M617" s="33"/>
      <c r="N617" s="31"/>
      <c r="O617" s="31"/>
      <c r="P617" s="32">
        <v>4</v>
      </c>
      <c r="Q617" s="33"/>
      <c r="R617" s="31"/>
      <c r="S617" s="31"/>
      <c r="T617" s="31"/>
      <c r="U617" s="31"/>
      <c r="V617" s="60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ht="15.6" customHeight="1" spans="1:44" x14ac:dyDescent="0.25">
      <c r="A618" s="30"/>
      <c r="B618" s="31" t="s">
        <v>11</v>
      </c>
      <c r="C618" s="31"/>
      <c r="D618" s="32" t="s">
        <v>12</v>
      </c>
      <c r="E618" s="33"/>
      <c r="F618" s="31" t="s">
        <v>11</v>
      </c>
      <c r="G618" s="31"/>
      <c r="H618" s="32" t="s">
        <v>12</v>
      </c>
      <c r="I618" s="33"/>
      <c r="J618" s="31" t="s">
        <v>11</v>
      </c>
      <c r="K618" s="31"/>
      <c r="L618" s="32" t="s">
        <v>12</v>
      </c>
      <c r="M618" s="33"/>
      <c r="N618" s="31" t="s">
        <v>11</v>
      </c>
      <c r="O618" s="31"/>
      <c r="P618" s="32" t="s">
        <v>12</v>
      </c>
      <c r="Q618" s="33"/>
      <c r="R618" s="31"/>
      <c r="S618" s="31"/>
      <c r="T618" s="31"/>
      <c r="U618" s="31"/>
      <c r="V618" s="65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ht="15.6" customHeight="1" spans="1:44" x14ac:dyDescent="0.25">
      <c r="A619" s="30"/>
      <c r="B619" s="35"/>
      <c r="C619" s="35"/>
      <c r="D619" s="5"/>
      <c r="E619" s="5"/>
      <c r="F619" s="35"/>
      <c r="G619" s="35"/>
      <c r="H619" s="5"/>
      <c r="I619" s="5"/>
      <c r="J619" s="35"/>
      <c r="K619" s="35"/>
      <c r="L619" s="5"/>
      <c r="M619" s="5"/>
      <c r="N619" s="35"/>
      <c r="O619" s="35"/>
      <c r="P619" s="5"/>
      <c r="Q619" s="5"/>
      <c r="R619" s="35"/>
      <c r="S619" s="35"/>
      <c r="T619" s="35"/>
      <c r="U619" s="35"/>
      <c r="V619" s="65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ht="15.6" customHeight="1" spans="1:44" x14ac:dyDescent="0.25">
      <c r="A620" s="30"/>
      <c r="B620" s="31">
        <v>0</v>
      </c>
      <c r="C620" s="31"/>
      <c r="D620" s="37">
        <v>1</v>
      </c>
      <c r="E620" s="37"/>
      <c r="F620" s="31">
        <v>2</v>
      </c>
      <c r="G620" s="31"/>
      <c r="H620" s="37">
        <v>3</v>
      </c>
      <c r="I620" s="37"/>
      <c r="J620" s="31">
        <v>4</v>
      </c>
      <c r="K620" s="31"/>
      <c r="L620" s="37">
        <v>5</v>
      </c>
      <c r="M620" s="37"/>
      <c r="N620" s="31">
        <v>6</v>
      </c>
      <c r="O620" s="31"/>
      <c r="P620" s="37">
        <v>7</v>
      </c>
      <c r="Q620" s="37"/>
      <c r="R620" s="31">
        <v>8</v>
      </c>
      <c r="S620" s="31"/>
      <c r="T620" s="31">
        <v>9</v>
      </c>
      <c r="U620" s="31"/>
      <c r="V620" s="67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ht="15.6" customHeight="1" spans="1:44" x14ac:dyDescent="0.25">
      <c r="A621" s="30"/>
      <c r="B621" s="31" t="s">
        <v>13</v>
      </c>
      <c r="C621" s="31" t="s">
        <v>14</v>
      </c>
      <c r="D621" s="37" t="s">
        <v>15</v>
      </c>
      <c r="E621" s="37" t="s">
        <v>16</v>
      </c>
      <c r="F621" s="31" t="s">
        <v>13</v>
      </c>
      <c r="G621" s="31" t="s">
        <v>14</v>
      </c>
      <c r="H621" s="37" t="s">
        <v>15</v>
      </c>
      <c r="I621" s="37" t="s">
        <v>16</v>
      </c>
      <c r="J621" s="31" t="s">
        <v>13</v>
      </c>
      <c r="K621" s="31" t="s">
        <v>14</v>
      </c>
      <c r="L621" s="37" t="s">
        <v>15</v>
      </c>
      <c r="M621" s="37" t="s">
        <v>16</v>
      </c>
      <c r="N621" s="31" t="s">
        <v>13</v>
      </c>
      <c r="O621" s="31" t="s">
        <v>14</v>
      </c>
      <c r="P621" s="37" t="s">
        <v>15</v>
      </c>
      <c r="Q621" s="37" t="s">
        <v>16</v>
      </c>
      <c r="R621" s="31" t="s">
        <v>13</v>
      </c>
      <c r="S621" s="31" t="s">
        <v>14</v>
      </c>
      <c r="T621" s="31" t="s">
        <v>15</v>
      </c>
      <c r="U621" s="31" t="s">
        <v>16</v>
      </c>
      <c r="V621" s="67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ht="15.6" customHeight="1" spans="1:44" x14ac:dyDescent="0.25">
      <c r="A622" s="39"/>
      <c r="B622" s="40"/>
      <c r="C622" s="40"/>
      <c r="D622" s="41"/>
      <c r="E622" s="42"/>
      <c r="F622" s="40"/>
      <c r="G622" s="40"/>
      <c r="H622" s="41"/>
      <c r="I622" s="42"/>
      <c r="J622" s="40"/>
      <c r="K622" s="40"/>
      <c r="L622" s="41"/>
      <c r="M622" s="42"/>
      <c r="N622" s="40"/>
      <c r="O622" s="40"/>
      <c r="P622" s="41"/>
      <c r="Q622" s="42"/>
      <c r="R622" s="40"/>
      <c r="S622" s="40"/>
      <c r="T622" s="40"/>
      <c r="U622" s="40"/>
      <c r="V622" s="68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ht="6" customHeight="1" spans="1:44" x14ac:dyDescent="0.25">
      <c r="A623" s="3"/>
      <c r="B623" s="35"/>
      <c r="C623" s="35"/>
      <c r="D623" s="72"/>
      <c r="E623" s="5"/>
      <c r="F623" s="35"/>
      <c r="G623" s="35"/>
      <c r="H623" s="72"/>
      <c r="I623" s="5"/>
      <c r="J623" s="35"/>
      <c r="K623" s="35"/>
      <c r="L623" s="72"/>
      <c r="M623" s="5"/>
      <c r="N623" s="35"/>
      <c r="O623" s="35"/>
      <c r="P623" s="72"/>
      <c r="Q623" s="5"/>
      <c r="R623" s="35"/>
      <c r="S623" s="35"/>
      <c r="T623" s="35"/>
      <c r="U623" s="35"/>
      <c r="V623" s="38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ht="15.6" customHeight="1" spans="1:44" x14ac:dyDescent="0.25">
      <c r="A624" s="3"/>
      <c r="B624" s="76"/>
      <c r="C624" s="77"/>
      <c r="D624" s="78"/>
      <c r="E624" s="79"/>
      <c r="F624" s="76"/>
      <c r="G624" s="77"/>
      <c r="H624" s="78"/>
      <c r="I624" s="79"/>
      <c r="J624" s="76"/>
      <c r="K624" s="77"/>
      <c r="L624" s="78"/>
      <c r="M624" s="79"/>
      <c r="N624" s="76"/>
      <c r="O624" s="77"/>
      <c r="P624" s="78"/>
      <c r="Q624" s="79"/>
      <c r="R624" s="35"/>
      <c r="S624" s="35"/>
      <c r="T624" s="35"/>
      <c r="U624" s="35"/>
      <c r="V624" s="38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ht="15.6" customHeight="1" spans="1:44" x14ac:dyDescent="0.25">
      <c r="A625" s="3"/>
      <c r="B625" s="50">
        <f>IF(D624&lt;1,"","пом.")</f>
      </c>
      <c r="C625" s="50"/>
      <c r="D625" s="52"/>
      <c r="E625" s="53"/>
      <c r="F625" s="50">
        <f>IF(H624&lt;1,"","пом.")</f>
      </c>
      <c r="G625" s="50"/>
      <c r="H625" s="52"/>
      <c r="I625" s="53"/>
      <c r="J625" s="50">
        <f>IF(L624&lt;1,"","пом.")</f>
      </c>
      <c r="K625" s="50"/>
      <c r="L625" s="52"/>
      <c r="M625" s="53"/>
      <c r="N625" s="50">
        <f>IF(P624&lt;1,"","пом.")</f>
      </c>
      <c r="O625" s="50"/>
      <c r="P625" s="52"/>
      <c r="Q625" s="53"/>
      <c r="R625" s="35"/>
      <c r="S625" s="35"/>
      <c r="T625" s="35"/>
      <c r="U625" s="35"/>
      <c r="V625" s="38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ht="15.6" customHeight="1" spans="1:44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ht="15.6" customHeight="1" spans="1:44" x14ac:dyDescent="0.25">
      <c r="A627" s="3"/>
      <c r="B627" s="3"/>
      <c r="C627" s="3"/>
      <c r="D627" s="4"/>
      <c r="E627" s="5" t="s">
        <v>26</v>
      </c>
      <c r="F627" s="54" t="s">
        <v>27</v>
      </c>
      <c r="G627" s="54"/>
      <c r="H627" s="54"/>
      <c r="I627" s="100" t="s">
        <v>28</v>
      </c>
      <c r="J627" s="100"/>
      <c r="K627" s="100"/>
      <c r="L627" s="4"/>
      <c r="M627" s="4"/>
      <c r="N627" s="3"/>
      <c r="O627" s="35" t="s">
        <v>29</v>
      </c>
      <c r="P627" s="54" t="s">
        <v>30</v>
      </c>
      <c r="Q627" s="54"/>
      <c r="R627" s="54"/>
      <c r="S627" s="100" t="s">
        <v>31</v>
      </c>
      <c r="T627" s="100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ht="15.6" customHeight="1" spans="1:44" x14ac:dyDescent="0.25">
      <c r="A628" s="3"/>
      <c r="B628" s="3"/>
      <c r="C628" s="3"/>
      <c r="D628" s="4"/>
      <c r="E628" s="5" t="s">
        <v>32</v>
      </c>
      <c r="F628" s="54" t="s">
        <v>33</v>
      </c>
      <c r="G628" s="54"/>
      <c r="H628" s="54"/>
      <c r="I628" s="100" t="s">
        <v>34</v>
      </c>
      <c r="J628" s="100"/>
      <c r="K628" s="100"/>
      <c r="L628" s="4"/>
      <c r="M628" s="4"/>
      <c r="N628" s="3"/>
      <c r="O628" s="35" t="s">
        <v>35</v>
      </c>
      <c r="P628" s="54" t="s">
        <v>30</v>
      </c>
      <c r="Q628" s="54"/>
      <c r="R628" s="54"/>
      <c r="S628" s="101" t="s">
        <v>36</v>
      </c>
      <c r="T628" s="101"/>
      <c r="U628" s="101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ht="15.6" customHeight="1" spans="1:44" x14ac:dyDescent="0.25">
      <c r="A629" s="55"/>
      <c r="B629" s="55"/>
      <c r="C629" s="55"/>
      <c r="D629" s="56"/>
      <c r="E629" s="57"/>
      <c r="F629" s="55"/>
      <c r="G629" s="55"/>
      <c r="H629" s="56"/>
      <c r="I629" s="56"/>
      <c r="J629" s="55"/>
      <c r="K629" s="55"/>
      <c r="L629" s="56"/>
      <c r="M629" s="56"/>
      <c r="N629" s="55"/>
      <c r="O629" s="55"/>
      <c r="P629" s="56"/>
      <c r="Q629" s="56"/>
      <c r="R629" s="55"/>
      <c r="S629" s="55"/>
      <c r="T629" s="55"/>
      <c r="U629" s="55"/>
      <c r="V629" s="55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ht="15.6" customHeight="1" spans="1:44" x14ac:dyDescent="0.25">
      <c r="A630" s="55"/>
      <c r="B630" s="55"/>
      <c r="C630" s="55"/>
      <c r="D630" s="56"/>
      <c r="E630" s="57"/>
      <c r="F630" s="55"/>
      <c r="G630" s="55"/>
      <c r="H630" s="56"/>
      <c r="I630" s="56"/>
      <c r="J630" s="55"/>
      <c r="K630" s="55"/>
      <c r="L630" s="56"/>
      <c r="M630" s="56"/>
      <c r="N630" s="55"/>
      <c r="O630" s="55"/>
      <c r="P630" s="56"/>
      <c r="Q630" s="56"/>
      <c r="R630" s="55"/>
      <c r="S630" s="55"/>
      <c r="T630" s="55"/>
      <c r="U630" s="55"/>
      <c r="V630" s="55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ht="15.6" customHeight="1" hidden="1" spans="1:44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ht="15.6" customHeight="1" spans="1:44" x14ac:dyDescent="0.25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4" t="str">
        <f>N610</f>
        <v>1.1</v>
      </c>
      <c r="O632" s="14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ht="15.6" customHeight="1" spans="1:44" x14ac:dyDescent="0.25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5"/>
      <c r="K633" s="15"/>
      <c r="L633" s="16"/>
      <c r="M633" s="9" t="s">
        <v>5</v>
      </c>
      <c r="N633" s="18" t="str">
        <f>N632&amp;".3"</f>
        <v>1.1.3</v>
      </c>
      <c r="O633" s="18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ht="15.6" customHeight="1" spans="1:44" x14ac:dyDescent="0.25">
      <c r="A634" s="3"/>
      <c r="B634" s="3"/>
      <c r="C634" s="3"/>
      <c r="D634" s="4"/>
      <c r="E634" s="4" t="s">
        <v>7</v>
      </c>
      <c r="F634" s="3"/>
      <c r="G634" s="3"/>
      <c r="H634" s="8"/>
      <c r="I634" s="8"/>
      <c r="J634" s="7"/>
      <c r="K634" s="7"/>
      <c r="L634" s="8"/>
      <c r="M634" s="19" t="s">
        <v>5</v>
      </c>
      <c r="N634" s="20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ht="15.6" customHeight="1" spans="1:44" x14ac:dyDescent="0.25">
      <c r="A635" s="3"/>
      <c r="B635" s="3"/>
      <c r="C635" s="3"/>
      <c r="D635" s="4"/>
      <c r="E635" s="4" t="s">
        <v>8</v>
      </c>
      <c r="F635" s="3"/>
      <c r="G635" s="3"/>
      <c r="H635" s="4"/>
      <c r="I635" s="4"/>
      <c r="J635" s="3"/>
      <c r="K635" s="3"/>
      <c r="L635" s="16"/>
      <c r="M635" s="19" t="s">
        <v>70</v>
      </c>
      <c r="N635" s="20" t="str">
        <f>IF(N613="-"&amp;N590&amp;".5",IF(N614=15,"-"&amp;N590&amp;".6","-"&amp;N590&amp;".5"),N613)</f>
        <v>-1.1.6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ht="15.6" customHeight="1" spans="1:44" x14ac:dyDescent="0.25">
      <c r="A636" s="3"/>
      <c r="B636" s="3"/>
      <c r="C636" s="3"/>
      <c r="D636" s="4"/>
      <c r="E636" s="24" t="s">
        <v>10</v>
      </c>
      <c r="F636" s="3"/>
      <c r="G636" s="3"/>
      <c r="H636" s="4"/>
      <c r="I636" s="8"/>
      <c r="J636" s="7"/>
      <c r="K636" s="7"/>
      <c r="L636" s="8"/>
      <c r="M636" s="19" t="s">
        <v>5</v>
      </c>
      <c r="N636" s="20">
        <f>IF(N635="-"&amp;N590&amp;".5",N614+1,IF(N613="-"&amp;N590&amp;".5",1,N614+1))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ht="15.6" customHeight="1" spans="1:44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ht="15.6" customHeight="1" spans="1:44" x14ac:dyDescent="0.25">
      <c r="A638" s="27"/>
      <c r="B638" s="28"/>
      <c r="C638" s="28"/>
      <c r="D638" s="29"/>
      <c r="E638" s="29"/>
      <c r="F638" s="28"/>
      <c r="G638" s="28"/>
      <c r="H638" s="29"/>
      <c r="I638" s="29"/>
      <c r="J638" s="28"/>
      <c r="K638" s="28"/>
      <c r="L638" s="29"/>
      <c r="M638" s="29"/>
      <c r="N638" s="28"/>
      <c r="O638" s="28"/>
      <c r="P638" s="29"/>
      <c r="Q638" s="29"/>
      <c r="R638" s="28"/>
      <c r="S638" s="28"/>
      <c r="T638" s="28"/>
      <c r="U638" s="28"/>
      <c r="V638" s="59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ht="15.6" customHeight="1" spans="1:44" x14ac:dyDescent="0.25">
      <c r="A639" s="30"/>
      <c r="B639" s="31"/>
      <c r="C639" s="31"/>
      <c r="D639" s="32">
        <v>1</v>
      </c>
      <c r="E639" s="33"/>
      <c r="F639" s="31"/>
      <c r="G639" s="31"/>
      <c r="H639" s="32">
        <v>2</v>
      </c>
      <c r="I639" s="33"/>
      <c r="J639" s="31"/>
      <c r="K639" s="31"/>
      <c r="L639" s="32">
        <v>3</v>
      </c>
      <c r="M639" s="33"/>
      <c r="N639" s="31"/>
      <c r="O639" s="31"/>
      <c r="P639" s="32">
        <v>4</v>
      </c>
      <c r="Q639" s="33"/>
      <c r="R639" s="31"/>
      <c r="S639" s="31"/>
      <c r="T639" s="31"/>
      <c r="U639" s="31"/>
      <c r="V639" s="60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ht="15.6" customHeight="1" spans="1:44" x14ac:dyDescent="0.25">
      <c r="A640" s="30"/>
      <c r="B640" s="31" t="s">
        <v>11</v>
      </c>
      <c r="C640" s="31"/>
      <c r="D640" s="32" t="s">
        <v>12</v>
      </c>
      <c r="E640" s="33"/>
      <c r="F640" s="31" t="s">
        <v>11</v>
      </c>
      <c r="G640" s="31"/>
      <c r="H640" s="32" t="s">
        <v>12</v>
      </c>
      <c r="I640" s="33"/>
      <c r="J640" s="31" t="s">
        <v>11</v>
      </c>
      <c r="K640" s="31"/>
      <c r="L640" s="32" t="s">
        <v>12</v>
      </c>
      <c r="M640" s="33"/>
      <c r="N640" s="31" t="s">
        <v>11</v>
      </c>
      <c r="O640" s="31"/>
      <c r="P640" s="32" t="s">
        <v>12</v>
      </c>
      <c r="Q640" s="33"/>
      <c r="R640" s="31"/>
      <c r="S640" s="31"/>
      <c r="T640" s="31"/>
      <c r="U640" s="31"/>
      <c r="V640" s="65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ht="15.6" customHeight="1" spans="1:44" x14ac:dyDescent="0.25">
      <c r="A641" s="30"/>
      <c r="B641" s="35"/>
      <c r="C641" s="35"/>
      <c r="D641" s="5"/>
      <c r="E641" s="5"/>
      <c r="F641" s="35"/>
      <c r="G641" s="35"/>
      <c r="H641" s="5"/>
      <c r="I641" s="5"/>
      <c r="J641" s="35"/>
      <c r="K641" s="35"/>
      <c r="L641" s="5"/>
      <c r="M641" s="5"/>
      <c r="N641" s="35"/>
      <c r="O641" s="35"/>
      <c r="P641" s="5"/>
      <c r="Q641" s="5"/>
      <c r="R641" s="35"/>
      <c r="S641" s="35"/>
      <c r="T641" s="35"/>
      <c r="U641" s="35"/>
      <c r="V641" s="65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ht="15.6" customHeight="1" spans="1:44" x14ac:dyDescent="0.25">
      <c r="A642" s="30"/>
      <c r="B642" s="31">
        <v>0</v>
      </c>
      <c r="C642" s="31"/>
      <c r="D642" s="37">
        <v>1</v>
      </c>
      <c r="E642" s="37"/>
      <c r="F642" s="31">
        <v>2</v>
      </c>
      <c r="G642" s="31"/>
      <c r="H642" s="37">
        <v>3</v>
      </c>
      <c r="I642" s="37"/>
      <c r="J642" s="31">
        <v>4</v>
      </c>
      <c r="K642" s="31"/>
      <c r="L642" s="37">
        <v>5</v>
      </c>
      <c r="M642" s="37"/>
      <c r="N642" s="31">
        <v>6</v>
      </c>
      <c r="O642" s="31"/>
      <c r="P642" s="37">
        <v>7</v>
      </c>
      <c r="Q642" s="37"/>
      <c r="R642" s="31">
        <v>8</v>
      </c>
      <c r="S642" s="31"/>
      <c r="T642" s="31">
        <v>9</v>
      </c>
      <c r="U642" s="31"/>
      <c r="V642" s="67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ht="15.6" customHeight="1" spans="1:44" x14ac:dyDescent="0.25">
      <c r="A643" s="30"/>
      <c r="B643" s="31" t="s">
        <v>13</v>
      </c>
      <c r="C643" s="31" t="s">
        <v>14</v>
      </c>
      <c r="D643" s="37" t="s">
        <v>15</v>
      </c>
      <c r="E643" s="37" t="s">
        <v>16</v>
      </c>
      <c r="F643" s="31" t="s">
        <v>13</v>
      </c>
      <c r="G643" s="31" t="s">
        <v>14</v>
      </c>
      <c r="H643" s="37" t="s">
        <v>15</v>
      </c>
      <c r="I643" s="37" t="s">
        <v>16</v>
      </c>
      <c r="J643" s="31" t="s">
        <v>13</v>
      </c>
      <c r="K643" s="31" t="s">
        <v>14</v>
      </c>
      <c r="L643" s="37" t="s">
        <v>15</v>
      </c>
      <c r="M643" s="37" t="s">
        <v>16</v>
      </c>
      <c r="N643" s="31" t="s">
        <v>13</v>
      </c>
      <c r="O643" s="31" t="s">
        <v>14</v>
      </c>
      <c r="P643" s="37" t="s">
        <v>15</v>
      </c>
      <c r="Q643" s="37" t="s">
        <v>16</v>
      </c>
      <c r="R643" s="31" t="s">
        <v>13</v>
      </c>
      <c r="S643" s="31" t="s">
        <v>14</v>
      </c>
      <c r="T643" s="31" t="s">
        <v>15</v>
      </c>
      <c r="U643" s="31" t="s">
        <v>16</v>
      </c>
      <c r="V643" s="67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ht="15.6" customHeight="1" spans="1:44" x14ac:dyDescent="0.25">
      <c r="A644" s="39"/>
      <c r="B644" s="40"/>
      <c r="C644" s="40"/>
      <c r="D644" s="41"/>
      <c r="E644" s="42"/>
      <c r="F644" s="40"/>
      <c r="G644" s="40"/>
      <c r="H644" s="41"/>
      <c r="I644" s="42"/>
      <c r="J644" s="40"/>
      <c r="K644" s="40"/>
      <c r="L644" s="41"/>
      <c r="M644" s="42"/>
      <c r="N644" s="40"/>
      <c r="O644" s="40"/>
      <c r="P644" s="41"/>
      <c r="Q644" s="42"/>
      <c r="R644" s="40"/>
      <c r="S644" s="40"/>
      <c r="T644" s="40"/>
      <c r="U644" s="40"/>
      <c r="V644" s="68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ht="15.6" customHeight="1" spans="1:44" x14ac:dyDescent="0.25">
      <c r="A645" s="3"/>
      <c r="B645" s="35"/>
      <c r="C645" s="35"/>
      <c r="D645" s="72"/>
      <c r="E645" s="5"/>
      <c r="F645" s="35"/>
      <c r="G645" s="35"/>
      <c r="H645" s="72"/>
      <c r="I645" s="5"/>
      <c r="J645" s="35"/>
      <c r="K645" s="35"/>
      <c r="L645" s="72"/>
      <c r="M645" s="5"/>
      <c r="N645" s="35"/>
      <c r="O645" s="35"/>
      <c r="P645" s="72"/>
      <c r="Q645" s="5"/>
      <c r="R645" s="35"/>
      <c r="S645" s="35"/>
      <c r="T645" s="35"/>
      <c r="U645" s="35"/>
      <c r="V645" s="38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ht="15.6" customHeight="1" spans="1:44" x14ac:dyDescent="0.25">
      <c r="A646" s="3"/>
      <c r="B646" s="76"/>
      <c r="C646" s="77"/>
      <c r="D646" s="78"/>
      <c r="E646" s="79"/>
      <c r="F646" s="76"/>
      <c r="G646" s="77"/>
      <c r="H646" s="78"/>
      <c r="I646" s="79"/>
      <c r="J646" s="76"/>
      <c r="K646" s="77"/>
      <c r="L646" s="78"/>
      <c r="M646" s="79"/>
      <c r="N646" s="76"/>
      <c r="O646" s="77"/>
      <c r="P646" s="78"/>
      <c r="Q646" s="79"/>
      <c r="R646" s="35"/>
      <c r="S646" s="35"/>
      <c r="T646" s="35"/>
      <c r="U646" s="35"/>
      <c r="V646" s="38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ht="15.6" customHeight="1" spans="1:44" x14ac:dyDescent="0.25">
      <c r="A647" s="3"/>
      <c r="B647" s="50">
        <f>IF(D646&lt;1,"","пом.")</f>
      </c>
      <c r="C647" s="50"/>
      <c r="D647" s="52"/>
      <c r="E647" s="53"/>
      <c r="F647" s="50">
        <f>IF(H646&lt;1,"","пом.")</f>
      </c>
      <c r="G647" s="50"/>
      <c r="H647" s="52"/>
      <c r="I647" s="53"/>
      <c r="J647" s="50">
        <f>IF(L646&lt;1,"","пом.")</f>
      </c>
      <c r="K647" s="50"/>
      <c r="L647" s="52"/>
      <c r="M647" s="53"/>
      <c r="N647" s="50">
        <f>IF(P646&lt;1,"","пом.")</f>
      </c>
      <c r="O647" s="50"/>
      <c r="P647" s="52"/>
      <c r="Q647" s="53"/>
      <c r="R647" s="35"/>
      <c r="S647" s="35"/>
      <c r="T647" s="35"/>
      <c r="U647" s="35"/>
      <c r="V647" s="38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ht="15.6" customHeight="1" spans="1:44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ht="15.6" customHeight="1" spans="1:44" x14ac:dyDescent="0.25">
      <c r="A649" s="3"/>
      <c r="B649" s="3"/>
      <c r="C649" s="3"/>
      <c r="D649" s="4"/>
      <c r="E649" s="5" t="s">
        <v>26</v>
      </c>
      <c r="F649" s="54" t="s">
        <v>27</v>
      </c>
      <c r="G649" s="54"/>
      <c r="H649" s="54"/>
      <c r="I649" s="100" t="s">
        <v>28</v>
      </c>
      <c r="J649" s="100"/>
      <c r="K649" s="100"/>
      <c r="L649" s="4"/>
      <c r="M649" s="4"/>
      <c r="N649" s="3"/>
      <c r="O649" s="35" t="s">
        <v>29</v>
      </c>
      <c r="P649" s="54" t="s">
        <v>30</v>
      </c>
      <c r="Q649" s="54"/>
      <c r="R649" s="54"/>
      <c r="S649" s="100" t="s">
        <v>31</v>
      </c>
      <c r="T649" s="100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ht="15.6" customHeight="1" spans="1:44" x14ac:dyDescent="0.25">
      <c r="A650" s="3"/>
      <c r="B650" s="3"/>
      <c r="C650" s="3"/>
      <c r="D650" s="4"/>
      <c r="E650" s="5" t="s">
        <v>32</v>
      </c>
      <c r="F650" s="54" t="s">
        <v>33</v>
      </c>
      <c r="G650" s="54"/>
      <c r="H650" s="54"/>
      <c r="I650" s="100" t="s">
        <v>34</v>
      </c>
      <c r="J650" s="100"/>
      <c r="K650" s="100"/>
      <c r="L650" s="4"/>
      <c r="M650" s="4"/>
      <c r="N650" s="3"/>
      <c r="O650" s="35" t="s">
        <v>35</v>
      </c>
      <c r="P650" s="54" t="s">
        <v>30</v>
      </c>
      <c r="Q650" s="54"/>
      <c r="R650" s="54"/>
      <c r="S650" s="101" t="s">
        <v>36</v>
      </c>
      <c r="T650" s="101"/>
      <c r="U650" s="101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ht="15.6" customHeight="1" spans="1:44" x14ac:dyDescent="0.25">
      <c r="A651" s="55"/>
      <c r="B651" s="55"/>
      <c r="C651" s="55"/>
      <c r="D651" s="56"/>
      <c r="E651" s="57"/>
      <c r="F651" s="55"/>
      <c r="G651" s="55"/>
      <c r="H651" s="56"/>
      <c r="I651" s="56"/>
      <c r="J651" s="55"/>
      <c r="K651" s="55"/>
      <c r="L651" s="56"/>
      <c r="M651" s="56"/>
      <c r="N651" s="55"/>
      <c r="O651" s="55"/>
      <c r="P651" s="56"/>
      <c r="Q651" s="56"/>
      <c r="R651" s="55"/>
      <c r="S651" s="55"/>
      <c r="T651" s="55"/>
      <c r="U651" s="55"/>
      <c r="V651" s="55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ht="15.6" customHeight="1" spans="1:44" x14ac:dyDescent="0.25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4" t="str">
        <f>N632</f>
        <v>1.1</v>
      </c>
      <c r="O652" s="14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ht="15.6" customHeight="1" spans="1:44" x14ac:dyDescent="0.25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5"/>
      <c r="K653" s="15"/>
      <c r="L653" s="16"/>
      <c r="M653" s="9" t="s">
        <v>5</v>
      </c>
      <c r="N653" s="18" t="str">
        <f>N633</f>
        <v>1.1.3</v>
      </c>
      <c r="O653" s="18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ht="15.6" customHeight="1" spans="1:44" x14ac:dyDescent="0.25">
      <c r="A654" s="3"/>
      <c r="B654" s="3"/>
      <c r="C654" s="3"/>
      <c r="D654" s="4"/>
      <c r="E654" s="4" t="s">
        <v>7</v>
      </c>
      <c r="F654" s="3"/>
      <c r="G654" s="3"/>
      <c r="H654" s="8"/>
      <c r="I654" s="8"/>
      <c r="J654" s="7"/>
      <c r="K654" s="7"/>
      <c r="L654" s="8"/>
      <c r="M654" s="19" t="s">
        <v>5</v>
      </c>
      <c r="N654" s="20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ht="15.6" customHeight="1" spans="1:44" x14ac:dyDescent="0.25">
      <c r="A655" s="3"/>
      <c r="B655" s="3"/>
      <c r="C655" s="3"/>
      <c r="D655" s="4"/>
      <c r="E655" s="4" t="s">
        <v>8</v>
      </c>
      <c r="F655" s="3"/>
      <c r="G655" s="3"/>
      <c r="H655" s="4"/>
      <c r="I655" s="4"/>
      <c r="J655" s="3"/>
      <c r="K655" s="3"/>
      <c r="L655" s="16"/>
      <c r="M655" s="19" t="s">
        <v>70</v>
      </c>
      <c r="N655" s="20" t="str">
        <f>IF(N635="-"&amp;N632&amp;".5",IF(N636=15,"-"&amp;N632&amp;".6","-"&amp;N632&amp;".5"),N635)</f>
        <v>-1.1.6</v>
      </c>
      <c r="O655" s="22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ht="15.6" customHeight="1" spans="1:44" x14ac:dyDescent="0.25">
      <c r="A656" s="3"/>
      <c r="B656" s="3"/>
      <c r="C656" s="3"/>
      <c r="D656" s="4"/>
      <c r="E656" s="24" t="s">
        <v>10</v>
      </c>
      <c r="F656" s="3"/>
      <c r="G656" s="3"/>
      <c r="H656" s="4"/>
      <c r="I656" s="8"/>
      <c r="J656" s="7"/>
      <c r="K656" s="7"/>
      <c r="L656" s="8"/>
      <c r="M656" s="19" t="s">
        <v>5</v>
      </c>
      <c r="N656" s="20">
        <f>IF(N655="-"&amp;N590&amp;".5",N636+1,IF(N635="-"&amp;N590&amp;".5",1,N636+1))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ht="7.15" customHeight="1" spans="1:44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ht="15.6" customHeight="1" spans="1:44" x14ac:dyDescent="0.25">
      <c r="A658" s="27"/>
      <c r="B658" s="28"/>
      <c r="C658" s="28"/>
      <c r="D658" s="29"/>
      <c r="E658" s="29"/>
      <c r="F658" s="28"/>
      <c r="G658" s="28"/>
      <c r="H658" s="29"/>
      <c r="I658" s="29"/>
      <c r="J658" s="28"/>
      <c r="K658" s="28"/>
      <c r="L658" s="29"/>
      <c r="M658" s="29"/>
      <c r="N658" s="28"/>
      <c r="O658" s="28"/>
      <c r="P658" s="29"/>
      <c r="Q658" s="29"/>
      <c r="R658" s="28"/>
      <c r="S658" s="28"/>
      <c r="T658" s="28"/>
      <c r="U658" s="28"/>
      <c r="V658" s="59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ht="15.6" customHeight="1" spans="1:44" x14ac:dyDescent="0.25">
      <c r="A659" s="30"/>
      <c r="B659" s="31"/>
      <c r="C659" s="31"/>
      <c r="D659" s="32">
        <v>1</v>
      </c>
      <c r="E659" s="33"/>
      <c r="F659" s="31"/>
      <c r="G659" s="31"/>
      <c r="H659" s="32">
        <v>2</v>
      </c>
      <c r="I659" s="33"/>
      <c r="J659" s="31"/>
      <c r="K659" s="31"/>
      <c r="L659" s="32">
        <v>3</v>
      </c>
      <c r="M659" s="33"/>
      <c r="N659" s="31"/>
      <c r="O659" s="31"/>
      <c r="P659" s="32">
        <v>4</v>
      </c>
      <c r="Q659" s="33"/>
      <c r="R659" s="31"/>
      <c r="S659" s="31"/>
      <c r="T659" s="31"/>
      <c r="U659" s="31"/>
      <c r="V659" s="60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ht="15.6" customHeight="1" spans="1:44" x14ac:dyDescent="0.25">
      <c r="A660" s="30"/>
      <c r="B660" s="31" t="s">
        <v>11</v>
      </c>
      <c r="C660" s="31"/>
      <c r="D660" s="32" t="s">
        <v>12</v>
      </c>
      <c r="E660" s="33"/>
      <c r="F660" s="31" t="s">
        <v>11</v>
      </c>
      <c r="G660" s="31"/>
      <c r="H660" s="32" t="s">
        <v>12</v>
      </c>
      <c r="I660" s="33"/>
      <c r="J660" s="31" t="s">
        <v>11</v>
      </c>
      <c r="K660" s="31"/>
      <c r="L660" s="32" t="s">
        <v>12</v>
      </c>
      <c r="M660" s="33"/>
      <c r="N660" s="31" t="s">
        <v>11</v>
      </c>
      <c r="O660" s="31"/>
      <c r="P660" s="32" t="s">
        <v>12</v>
      </c>
      <c r="Q660" s="33"/>
      <c r="R660" s="31"/>
      <c r="S660" s="31"/>
      <c r="T660" s="31"/>
      <c r="U660" s="31"/>
      <c r="V660" s="65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ht="15.6" customHeight="1" spans="1:44" x14ac:dyDescent="0.25">
      <c r="A661" s="30"/>
      <c r="B661" s="35"/>
      <c r="C661" s="35"/>
      <c r="D661" s="5"/>
      <c r="E661" s="5"/>
      <c r="F661" s="35"/>
      <c r="G661" s="35"/>
      <c r="H661" s="5"/>
      <c r="I661" s="5"/>
      <c r="J661" s="35"/>
      <c r="K661" s="35"/>
      <c r="L661" s="5"/>
      <c r="M661" s="5"/>
      <c r="N661" s="35"/>
      <c r="O661" s="35"/>
      <c r="P661" s="5"/>
      <c r="Q661" s="5"/>
      <c r="R661" s="35"/>
      <c r="S661" s="35"/>
      <c r="T661" s="35"/>
      <c r="U661" s="35"/>
      <c r="V661" s="65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ht="15.6" customHeight="1" spans="1:44" x14ac:dyDescent="0.25">
      <c r="A662" s="30"/>
      <c r="B662" s="31">
        <v>0</v>
      </c>
      <c r="C662" s="31"/>
      <c r="D662" s="37">
        <v>1</v>
      </c>
      <c r="E662" s="37"/>
      <c r="F662" s="31">
        <v>2</v>
      </c>
      <c r="G662" s="31"/>
      <c r="H662" s="37">
        <v>3</v>
      </c>
      <c r="I662" s="37"/>
      <c r="J662" s="31">
        <v>4</v>
      </c>
      <c r="K662" s="31"/>
      <c r="L662" s="37">
        <v>5</v>
      </c>
      <c r="M662" s="37"/>
      <c r="N662" s="31">
        <v>6</v>
      </c>
      <c r="O662" s="31"/>
      <c r="P662" s="37">
        <v>7</v>
      </c>
      <c r="Q662" s="37"/>
      <c r="R662" s="31">
        <v>8</v>
      </c>
      <c r="S662" s="31"/>
      <c r="T662" s="31">
        <v>9</v>
      </c>
      <c r="U662" s="31"/>
      <c r="V662" s="67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ht="15.6" customHeight="1" spans="1:44" x14ac:dyDescent="0.25">
      <c r="A663" s="30"/>
      <c r="B663" s="31" t="s">
        <v>13</v>
      </c>
      <c r="C663" s="31" t="s">
        <v>14</v>
      </c>
      <c r="D663" s="37" t="s">
        <v>15</v>
      </c>
      <c r="E663" s="37" t="s">
        <v>16</v>
      </c>
      <c r="F663" s="31" t="s">
        <v>13</v>
      </c>
      <c r="G663" s="31" t="s">
        <v>14</v>
      </c>
      <c r="H663" s="37" t="s">
        <v>15</v>
      </c>
      <c r="I663" s="37" t="s">
        <v>16</v>
      </c>
      <c r="J663" s="31" t="s">
        <v>13</v>
      </c>
      <c r="K663" s="31" t="s">
        <v>14</v>
      </c>
      <c r="L663" s="37" t="s">
        <v>15</v>
      </c>
      <c r="M663" s="37" t="s">
        <v>16</v>
      </c>
      <c r="N663" s="31" t="s">
        <v>13</v>
      </c>
      <c r="O663" s="31" t="s">
        <v>14</v>
      </c>
      <c r="P663" s="37" t="s">
        <v>15</v>
      </c>
      <c r="Q663" s="37" t="s">
        <v>16</v>
      </c>
      <c r="R663" s="31" t="s">
        <v>13</v>
      </c>
      <c r="S663" s="31" t="s">
        <v>14</v>
      </c>
      <c r="T663" s="31" t="s">
        <v>15</v>
      </c>
      <c r="U663" s="31" t="s">
        <v>16</v>
      </c>
      <c r="V663" s="67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ht="15.6" customHeight="1" spans="1:44" x14ac:dyDescent="0.25">
      <c r="A664" s="39"/>
      <c r="B664" s="40"/>
      <c r="C664" s="40"/>
      <c r="D664" s="41"/>
      <c r="E664" s="42"/>
      <c r="F664" s="40"/>
      <c r="G664" s="40"/>
      <c r="H664" s="41"/>
      <c r="I664" s="42"/>
      <c r="J664" s="40"/>
      <c r="K664" s="40"/>
      <c r="L664" s="41"/>
      <c r="M664" s="42"/>
      <c r="N664" s="40"/>
      <c r="O664" s="40"/>
      <c r="P664" s="41"/>
      <c r="Q664" s="42"/>
      <c r="R664" s="40"/>
      <c r="S664" s="40"/>
      <c r="T664" s="40"/>
      <c r="U664" s="40"/>
      <c r="V664" s="68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ht="7.15" customHeight="1" spans="1:44" x14ac:dyDescent="0.25">
      <c r="A665" s="3"/>
      <c r="B665" s="35"/>
      <c r="C665" s="35"/>
      <c r="D665" s="72"/>
      <c r="E665" s="5"/>
      <c r="F665" s="35"/>
      <c r="G665" s="35"/>
      <c r="H665" s="72"/>
      <c r="I665" s="5"/>
      <c r="J665" s="35"/>
      <c r="K665" s="35"/>
      <c r="L665" s="72"/>
      <c r="M665" s="5"/>
      <c r="N665" s="35"/>
      <c r="O665" s="35"/>
      <c r="P665" s="72"/>
      <c r="Q665" s="5"/>
      <c r="R665" s="35"/>
      <c r="S665" s="35"/>
      <c r="T665" s="35"/>
      <c r="U665" s="35"/>
      <c r="V665" s="38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ht="15.6" customHeight="1" spans="1:44" x14ac:dyDescent="0.25">
      <c r="A666" s="3"/>
      <c r="B666" s="76"/>
      <c r="C666" s="77"/>
      <c r="D666" s="78"/>
      <c r="E666" s="79"/>
      <c r="F666" s="76"/>
      <c r="G666" s="77"/>
      <c r="H666" s="78"/>
      <c r="I666" s="79"/>
      <c r="J666" s="76"/>
      <c r="K666" s="77"/>
      <c r="L666" s="78"/>
      <c r="M666" s="79"/>
      <c r="N666" s="76"/>
      <c r="O666" s="77"/>
      <c r="P666" s="78"/>
      <c r="Q666" s="79"/>
      <c r="R666" s="35"/>
      <c r="S666" s="35"/>
      <c r="T666" s="35"/>
      <c r="U666" s="35"/>
      <c r="V666" s="38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ht="15.6" customHeight="1" spans="1:44" x14ac:dyDescent="0.25">
      <c r="A667" s="3"/>
      <c r="B667" s="50">
        <f>IF(D666&lt;1,"","пом.")</f>
      </c>
      <c r="C667" s="50"/>
      <c r="D667" s="52"/>
      <c r="E667" s="53"/>
      <c r="F667" s="50">
        <f>IF(H666&lt;1,"","пом.")</f>
      </c>
      <c r="G667" s="50"/>
      <c r="H667" s="52"/>
      <c r="I667" s="53"/>
      <c r="J667" s="50">
        <f>IF(L666&lt;1,"","пом.")</f>
      </c>
      <c r="K667" s="50"/>
      <c r="L667" s="52"/>
      <c r="M667" s="53"/>
      <c r="N667" s="50">
        <f>IF(P666&lt;1,"","пом.")</f>
      </c>
      <c r="O667" s="50"/>
      <c r="P667" s="52"/>
      <c r="Q667" s="53"/>
      <c r="R667" s="35"/>
      <c r="S667" s="35"/>
      <c r="T667" s="35"/>
      <c r="U667" s="35"/>
      <c r="V667" s="38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ht="9" customHeight="1" spans="1:44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ht="15.6" customHeight="1" spans="1:44" x14ac:dyDescent="0.25">
      <c r="A669" s="3"/>
      <c r="B669" s="3"/>
      <c r="C669" s="3"/>
      <c r="D669" s="4"/>
      <c r="E669" s="5" t="s">
        <v>26</v>
      </c>
      <c r="F669" s="54" t="s">
        <v>27</v>
      </c>
      <c r="G669" s="54"/>
      <c r="H669" s="54"/>
      <c r="I669" s="100" t="s">
        <v>28</v>
      </c>
      <c r="J669" s="100"/>
      <c r="K669" s="100"/>
      <c r="L669" s="4"/>
      <c r="M669" s="4"/>
      <c r="N669" s="3"/>
      <c r="O669" s="35" t="s">
        <v>29</v>
      </c>
      <c r="P669" s="54" t="s">
        <v>30</v>
      </c>
      <c r="Q669" s="54"/>
      <c r="R669" s="54"/>
      <c r="S669" s="100" t="s">
        <v>31</v>
      </c>
      <c r="T669" s="100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ht="15.6" customHeight="1" spans="1:44" x14ac:dyDescent="0.25">
      <c r="A670" s="3"/>
      <c r="B670" s="3"/>
      <c r="C670" s="3"/>
      <c r="D670" s="4"/>
      <c r="E670" s="5" t="s">
        <v>32</v>
      </c>
      <c r="F670" s="54" t="s">
        <v>33</v>
      </c>
      <c r="G670" s="54"/>
      <c r="H670" s="54"/>
      <c r="I670" s="100" t="s">
        <v>34</v>
      </c>
      <c r="J670" s="100"/>
      <c r="K670" s="100"/>
      <c r="L670" s="4"/>
      <c r="M670" s="4"/>
      <c r="N670" s="3"/>
      <c r="O670" s="35" t="s">
        <v>35</v>
      </c>
      <c r="P670" s="54" t="s">
        <v>30</v>
      </c>
      <c r="Q670" s="54"/>
      <c r="R670" s="54"/>
      <c r="S670" s="101" t="s">
        <v>36</v>
      </c>
      <c r="T670" s="101"/>
      <c r="U670" s="101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ht="15.6" customHeight="1" spans="1:44" x14ac:dyDescent="0.25">
      <c r="A671" s="55"/>
      <c r="B671" s="55"/>
      <c r="C671" s="55"/>
      <c r="D671" s="56"/>
      <c r="E671" s="57"/>
      <c r="F671" s="55"/>
      <c r="G671" s="55"/>
      <c r="H671" s="56"/>
      <c r="I671" s="56"/>
      <c r="J671" s="55"/>
      <c r="K671" s="55"/>
      <c r="L671" s="56"/>
      <c r="M671" s="56"/>
      <c r="N671" s="55"/>
      <c r="O671" s="55"/>
      <c r="P671" s="56"/>
      <c r="Q671" s="56"/>
      <c r="R671" s="55"/>
      <c r="S671" s="55"/>
      <c r="T671" s="55"/>
      <c r="U671" s="55"/>
      <c r="V671" s="55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ht="15.6" customHeight="1" spans="1:22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ht="15.6" customHeight="1" spans="1:22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8:C58"/>
    <mergeCell ref="D58:E58"/>
    <mergeCell ref="F58:G58"/>
    <mergeCell ref="H58:I58"/>
    <mergeCell ref="J58:K58"/>
    <mergeCell ref="L58:M58"/>
    <mergeCell ref="N58:O58"/>
    <mergeCell ref="P58:Q58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B78:C78"/>
    <mergeCell ref="D78:E78"/>
    <mergeCell ref="F78:G78"/>
    <mergeCell ref="H78:I78"/>
    <mergeCell ref="J78:K78"/>
    <mergeCell ref="L78:M78"/>
    <mergeCell ref="N78:O78"/>
    <mergeCell ref="P78:Q78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  <mergeCell ref="N666:O666"/>
    <mergeCell ref="P666:Q666"/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</mergeCells>
  <pageMargins left="0.984251968503937" right="0.3937007874015748" top="0.3937007874015748" bottom="2.5590551181102366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6"/>
  <sheetViews>
    <sheetView workbookViewId="0" zoomScale="100" zoomScaleNormal="100">
      <selection activeCell="E14" sqref="E14"/>
    </sheetView>
  </sheetViews>
  <sheetFormatPr defaultRowHeight="15" outlineLevelRow="0" outlineLevelCol="0" x14ac:dyDescent="0.25"/>
  <cols>
    <col min="2" max="2" width="9.28515625" customWidth="1"/>
    <col min="3" max="3" width="5" customWidth="1"/>
  </cols>
  <sheetData>
    <row r="2" spans="3:3" x14ac:dyDescent="0.25">
      <c r="C2" t="s">
        <v>102</v>
      </c>
    </row>
    <row r="3" spans="2:2" x14ac:dyDescent="0.25">
      <c r="B3" t="s">
        <v>103</v>
      </c>
    </row>
    <row r="4" spans="1:5" x14ac:dyDescent="0.25">
      <c r="A4">
        <v>1</v>
      </c>
      <c r="B4" t="str">
        <f>IF('SV777-2 (SV004)'!B16&lt;1,"резерв",'SV777-2 (SV004)'!B16)</f>
        <v>резерв</v>
      </c>
      <c r="C4" s="102">
        <f>'SV777-2 (SV004)'!B17</f>
        <v>0</v>
      </c>
      <c r="D4" s="103">
        <f>IF(B4="резерв","",'SV777-2 (SV004)'!D17)</f>
      </c>
      <c r="E4">
        <f>IF('SV777-2 (SV004)'!D16&lt;1,"","ШЛ."&amp;'SV777-2 (SV004)'!D16)</f>
      </c>
    </row>
    <row r="5" spans="1:5" x14ac:dyDescent="0.25">
      <c r="A5">
        <v>2</v>
      </c>
      <c r="B5" t="str">
        <f>IF('SV777-2 (SV004)'!F16&lt;1,"резерв",'SV777-2 (SV004)'!F16)</f>
        <v>резерв</v>
      </c>
      <c r="C5" s="102">
        <f>'SV777-2 (SV004)'!F17</f>
      </c>
      <c r="D5" s="103">
        <f>IF(B5="резерв","",'SV777-2 (SV004)'!H17)</f>
      </c>
      <c r="E5">
        <f>IF('SV777-2 (SV004)'!H16&lt;1,"","ШЛ."&amp;'SV777-2 (SV004)'!H16)</f>
      </c>
    </row>
    <row r="6" spans="1:5" x14ac:dyDescent="0.25">
      <c r="A6">
        <v>3</v>
      </c>
      <c r="B6" t="str">
        <f>IF('SV777-2 (SV004)'!J16&lt;1,"резерв",'SV777-2 (SV004)'!J16)</f>
        <v>резерв</v>
      </c>
      <c r="C6" s="102">
        <f>'SV777-2 (SV004)'!J17</f>
      </c>
      <c r="D6" s="103">
        <f>IF(B6="резерв","",'SV777-2 (SV004)'!L17)</f>
      </c>
      <c r="E6">
        <f>IF('SV777-2 (SV004)'!L16&lt;1,"","ШЛ."&amp;'SV777-2 (SV004)'!L16)</f>
      </c>
    </row>
    <row r="7" spans="1:5" x14ac:dyDescent="0.25">
      <c r="A7">
        <v>4</v>
      </c>
      <c r="B7" t="str">
        <f>IF('SV777-2 (SV004)'!N16&lt;1,"резерв",'SV777-2 (SV004)'!N16)</f>
        <v>резерв</v>
      </c>
      <c r="C7" s="102">
        <f>'SV777-2 (SV004)'!N17</f>
      </c>
      <c r="D7" s="103">
        <f>IF(B7="резерв","",'SV777-2 (SV004)'!P17)</f>
      </c>
      <c r="E7">
        <f>IF('SV777-2 (SV004)'!P16&lt;1,"","ШЛ."&amp;'SV777-2 (SV004)'!P16)</f>
      </c>
    </row>
    <row r="8" spans="1:5" x14ac:dyDescent="0.25">
      <c r="A8">
        <v>5</v>
      </c>
      <c r="B8" t="str">
        <f>IF('SV777-2 (SV004)'!B36&lt;1,"резерв",'SV777-2 (SV004)'!B36)</f>
        <v>резерв</v>
      </c>
      <c r="C8" s="102">
        <f>'SV777-2 (SV004)'!B37</f>
      </c>
      <c r="D8" s="103">
        <f>IF(B8="резерв","",'SV777-2 (SV004)'!D37)</f>
      </c>
      <c r="E8">
        <f>IF('SV777-2 (SV004)'!D36&lt;1,"","ШЛ."&amp;'SV777-2 (SV004)'!D36)</f>
      </c>
    </row>
    <row r="9" spans="1:5" x14ac:dyDescent="0.25">
      <c r="A9">
        <v>6</v>
      </c>
      <c r="B9" t="str">
        <f>IF('SV777-2 (SV004)'!F36&lt;1,"резерв",'SV777-2 (SV004)'!F36)</f>
        <v>резерв</v>
      </c>
      <c r="C9" s="102">
        <f>'SV777-2 (SV004)'!F37</f>
      </c>
      <c r="D9" s="103">
        <f>IF(B9="резерв","",'SV777-2 (SV004)'!H37)</f>
      </c>
      <c r="E9">
        <f>IF('SV777-2 (SV004)'!H36&lt;1,"","ШЛ."&amp;'SV777-2 (SV004)'!H36)</f>
      </c>
    </row>
    <row r="10" spans="1:5" x14ac:dyDescent="0.25">
      <c r="A10">
        <v>7</v>
      </c>
      <c r="B10" t="str">
        <f>IF('SV777-2 (SV004)'!J36&lt;1,"резерв",'SV777-2 (SV004)'!J36)</f>
        <v>резерв</v>
      </c>
      <c r="C10" s="102">
        <f>'SV777-2 (SV004)'!J37</f>
      </c>
      <c r="D10" s="103">
        <f>IF(B10="резерв","",'SV777-2 (SV004)'!L37)</f>
      </c>
      <c r="E10">
        <f>IF('SV777-2 (SV004)'!L36&lt;1,"","ШЛ."&amp;'SV777-2 (SV004)'!L36)</f>
      </c>
    </row>
    <row r="11" spans="1:5" x14ac:dyDescent="0.25">
      <c r="A11">
        <v>8</v>
      </c>
      <c r="B11" t="str">
        <f>IF('SV777-2 (SV004)'!N36&lt;1,"резерв",'SV777-2 (SV004)'!N36)</f>
        <v>резерв</v>
      </c>
      <c r="C11" s="102">
        <f>'SV777-2 (SV004)'!N37</f>
      </c>
      <c r="D11" s="103">
        <f>IF(B11="резерв","",'SV777-2 (SV004)'!P37)</f>
      </c>
      <c r="E11">
        <f>IF('SV777-2 (SV004)'!P36&lt;1,"","ШЛ."&amp;'SV777-2 (SV004)'!P36)</f>
      </c>
    </row>
    <row r="12" spans="2:2" x14ac:dyDescent="0.25">
      <c r="B12" t="s">
        <v>87</v>
      </c>
    </row>
    <row r="13" spans="1:5" x14ac:dyDescent="0.25">
      <c r="A13">
        <v>1</v>
      </c>
      <c r="B13" t="str">
        <f>IF('SV777-2 (SV004)'!B58&lt;1,"резерв",'SV777-2 (SV004)'!B58)</f>
        <v>резерв</v>
      </c>
      <c r="C13" s="102">
        <f>'SV777-2 (SV004)'!B59</f>
      </c>
      <c r="D13" s="103">
        <f>IF(B13="резерв","",'SV777-2 (SV004)'!D59)</f>
      </c>
      <c r="E13">
        <f>IF('SV777-2 (SV004)'!D58&lt;1,"","ШЛ."&amp;'SV777-2 (SV004)'!D58)</f>
      </c>
    </row>
    <row r="14" spans="1:5" x14ac:dyDescent="0.25">
      <c r="A14">
        <v>2</v>
      </c>
      <c r="B14" t="str">
        <f>IF('SV777-2 (SV004)'!F58&lt;1,"резерв",'SV777-2 (SV004)'!F58)</f>
        <v>резерв</v>
      </c>
      <c r="C14" s="102">
        <f>'SV777-2 (SV004)'!F59</f>
      </c>
      <c r="D14" s="103">
        <f>IF(B14="резерв","",'SV777-2 (SV004)'!H59)</f>
      </c>
      <c r="E14">
        <f>IF('SV777-2 (SV004)'!H58&lt;1,"","ШЛ."&amp;'SV777-2 (SV004)'!H58)</f>
      </c>
    </row>
    <row r="15" spans="1:5" x14ac:dyDescent="0.25">
      <c r="A15">
        <v>3</v>
      </c>
      <c r="B15" t="str">
        <f>IF('SV777-2 (SV004)'!J58&lt;1,"резерв",'SV777-2 (SV004)'!J58)</f>
        <v>резерв</v>
      </c>
      <c r="C15" s="102">
        <f>'SV777-2 (SV004)'!J59</f>
      </c>
      <c r="D15" s="103">
        <f>IF(B15="резерв","",'SV777-2 (SV004)'!L59)</f>
      </c>
      <c r="E15">
        <f>IF('SV777-2 (SV004)'!L58&lt;1,"","ШЛ."&amp;'SV777-2 (SV004)'!L58)</f>
      </c>
    </row>
    <row r="16" spans="1:5" x14ac:dyDescent="0.25">
      <c r="A16">
        <v>4</v>
      </c>
      <c r="B16" t="str">
        <f>IF('SV777-2 (SV004)'!N58&lt;1,"резерв",'SV777-2 (SV004)'!N58)</f>
        <v>резерв</v>
      </c>
      <c r="C16" s="102">
        <f>'SV777-2 (SV004)'!N59</f>
      </c>
      <c r="D16" s="103">
        <f>IF(B16="резерв","",'SV777-2 (SV004)'!P59)</f>
      </c>
      <c r="E16">
        <f>IF('SV777-2 (SV004)'!P58&lt;1,"","ШЛ."&amp;'SV777-2 (SV004)'!P58)</f>
      </c>
    </row>
    <row r="17" spans="1:5" x14ac:dyDescent="0.25">
      <c r="A17">
        <v>5</v>
      </c>
      <c r="B17" t="str">
        <f>IF('SV777-2 (SV004)'!B78&lt;1,"резерв",'SV777-2 (SV004)'!B78)</f>
        <v>резерв</v>
      </c>
      <c r="C17" s="102">
        <f>'SV777-2 (SV004)'!B79</f>
      </c>
      <c r="D17" s="103">
        <f>IF(B17="резерв","",'SV777-2 (SV004)'!D79)</f>
      </c>
      <c r="E17">
        <f>IF('SV777-2 (SV004)'!D78&lt;1,"","ШЛ."&amp;'SV777-2 (SV004)'!D78)</f>
      </c>
    </row>
    <row r="18" spans="1:5" x14ac:dyDescent="0.25">
      <c r="A18">
        <v>6</v>
      </c>
      <c r="B18" t="str">
        <f>IF('SV777-2 (SV004)'!F78&lt;1,"резерв",'SV777-2 (SV004)'!F78)</f>
        <v>резерв</v>
      </c>
      <c r="C18" s="102">
        <f>'SV777-2 (SV004)'!F79</f>
      </c>
      <c r="D18" s="103">
        <f>IF(B18="резерв","",'SV777-2 (SV004)'!H79)</f>
      </c>
      <c r="E18">
        <f>IF('SV777-2 (SV004)'!H78&lt;1,"","ШЛ."&amp;'SV777-2 (SV004)'!H78)</f>
      </c>
    </row>
    <row r="19" spans="1:5" x14ac:dyDescent="0.25">
      <c r="A19">
        <v>7</v>
      </c>
      <c r="B19" t="str">
        <f>IF('SV777-2 (SV004)'!J78&lt;1,"резерв",'SV777-2 (SV004)'!J78)</f>
        <v>резерв</v>
      </c>
      <c r="C19" s="102">
        <f>'SV777-2 (SV004)'!J79</f>
      </c>
      <c r="D19" s="103">
        <f>IF(B19="резерв","",'SV777-2 (SV004)'!L79)</f>
      </c>
      <c r="E19">
        <f>IF('SV777-2 (SV004)'!L78&lt;1,"","ШЛ."&amp;'SV777-2 (SV004)'!L78)</f>
      </c>
    </row>
    <row r="20" spans="1:5" x14ac:dyDescent="0.25">
      <c r="A20">
        <v>8</v>
      </c>
      <c r="B20" t="str">
        <f>IF('SV777-2 (SV004)'!N78&lt;1,"резерв",'SV777-2 (SV004)'!N78)</f>
        <v>резерв</v>
      </c>
      <c r="C20" s="102">
        <f>'SV777-2 (SV004)'!N79</f>
      </c>
      <c r="D20" s="103">
        <f>IF(B20="резерв","",'SV777-2 (SV004)'!P79)</f>
      </c>
      <c r="E20">
        <f>IF('SV777-2 (SV004)'!P78&lt;1,"","ШЛ."&amp;'SV777-2 (SV004)'!P78)</f>
      </c>
    </row>
    <row r="21" spans="2:4" x14ac:dyDescent="0.25">
      <c r="B21" t="s">
        <v>88</v>
      </c>
      <c r="C21" s="102"/>
      <c r="D21" s="103"/>
    </row>
    <row r="22" spans="1:5" x14ac:dyDescent="0.25">
      <c r="A22">
        <v>1</v>
      </c>
      <c r="B22" t="str">
        <f>IF('SV777-2 (SV004)'!B100&lt;1,"резерв",'SV777-2 (SV004)'!B100)</f>
        <v>резерв</v>
      </c>
      <c r="C22" s="102">
        <f>'SV777-2 (SV004)'!B101</f>
      </c>
      <c r="D22" s="103">
        <f>IF(B22="резерв","",'SV777-2 (SV004)'!D101)</f>
      </c>
      <c r="E22">
        <f>IF('SV777-2 (SV004)'!D100&lt;1,"","ШЛ."&amp;'SV777-2 (SV004)'!D100)</f>
      </c>
    </row>
    <row r="23" spans="1:5" x14ac:dyDescent="0.25">
      <c r="A23">
        <v>2</v>
      </c>
      <c r="B23" t="str">
        <f>IF('SV777-2 (SV004)'!F100&lt;1,"резерв",'SV777-2 (SV004)'!F100)</f>
        <v>резерв</v>
      </c>
      <c r="C23" s="102">
        <f>'SV777-2 (SV004)'!F101</f>
      </c>
      <c r="D23" s="103">
        <f>IF(B23="резерв","",'SV777-2 (SV004)'!H101)</f>
      </c>
      <c r="E23">
        <f>IF('SV777-2 (SV004)'!H100&lt;1,"","ШЛ."&amp;'SV777-2 (SV004)'!H100)</f>
      </c>
    </row>
    <row r="24" spans="1:5" x14ac:dyDescent="0.25">
      <c r="A24">
        <v>3</v>
      </c>
      <c r="B24" t="str">
        <f>IF('SV777-2 (SV004)'!J100&lt;1,"резерв",'SV777-2 (SV004)'!J100)</f>
        <v>резерв</v>
      </c>
      <c r="C24" s="102">
        <f>'SV777-2 (SV004)'!J101</f>
      </c>
      <c r="D24" s="103">
        <f>IF(B24="резерв","",'SV777-2 (SV004)'!L101)</f>
      </c>
      <c r="E24">
        <f>IF('SV777-2 (SV004)'!L100&lt;1,"","ШЛ."&amp;'SV777-2 (SV004)'!L100)</f>
      </c>
    </row>
    <row r="25" spans="1:5" x14ac:dyDescent="0.25">
      <c r="A25">
        <v>4</v>
      </c>
      <c r="B25" t="str">
        <f>IF('SV777-2 (SV004)'!N100&lt;1,"резерв",'SV777-2 (SV004)'!N100)</f>
        <v>резерв</v>
      </c>
      <c r="C25" s="102">
        <f>'SV777-2 (SV004)'!N101</f>
      </c>
      <c r="D25" s="103">
        <f>IF(B25="резерв","",'SV777-2 (SV004)'!P101)</f>
      </c>
      <c r="E25">
        <f>IF('SV777-2 (SV004)'!P100&lt;1,"","ШЛ."&amp;'SV777-2 (SV004)'!P100)</f>
      </c>
    </row>
    <row r="26" spans="1:5" x14ac:dyDescent="0.25">
      <c r="A26">
        <v>5</v>
      </c>
      <c r="B26" t="str">
        <f>IF('SV777-2 (SV004)'!B120&lt;1,"резерв",'SV777-2 (SV004)'!B120)</f>
        <v>резерв</v>
      </c>
      <c r="C26" s="102">
        <f>'SV777-2 (SV004)'!B121</f>
      </c>
      <c r="D26" s="103">
        <f>IF(B26="резерв","",'SV777-2 (SV004)'!D121)</f>
      </c>
      <c r="E26">
        <f>IF('SV777-2 (SV004)'!D120&lt;1,"","ШЛ."&amp;'SV777-2 (SV004)'!D120)</f>
      </c>
    </row>
    <row r="27" spans="1:5" x14ac:dyDescent="0.25">
      <c r="A27">
        <v>6</v>
      </c>
      <c r="B27" t="str">
        <f>IF('SV777-2 (SV004)'!F120&lt;1,"резерв",'SV777-2 (SV004)'!F120)</f>
        <v>резерв</v>
      </c>
      <c r="C27" s="102">
        <f>'SV777-2 (SV004)'!F121</f>
      </c>
      <c r="D27" s="103">
        <f>IF(B27="резерв","",'SV777-2 (SV004)'!H121)</f>
      </c>
      <c r="E27">
        <f>IF('SV777-2 (SV004)'!H120&lt;1,"","ШЛ."&amp;'SV777-2 (SV004)'!H120)</f>
      </c>
    </row>
    <row r="28" spans="1:5" x14ac:dyDescent="0.25">
      <c r="A28">
        <v>7</v>
      </c>
      <c r="B28" t="str">
        <f>IF('SV777-2 (SV004)'!J120&lt;1,"резерв",'SV777-2 (SV004)'!J120)</f>
        <v>резерв</v>
      </c>
      <c r="C28" s="102">
        <f>'SV777-2 (SV004)'!J121</f>
      </c>
      <c r="D28" s="103">
        <f>IF(B28="резерв","",'SV777-2 (SV004)'!L121)</f>
      </c>
      <c r="E28">
        <f>IF('SV777-2 (SV004)'!L120&lt;1,"","ШЛ."&amp;'SV777-2 (SV004)'!L120)</f>
      </c>
    </row>
    <row r="29" spans="1:5" x14ac:dyDescent="0.25">
      <c r="A29">
        <v>8</v>
      </c>
      <c r="B29" t="str">
        <f>IF('SV777-2 (SV004)'!N120&lt;1,"резерв",'SV777-2 (SV004)'!N120)</f>
        <v>резерв</v>
      </c>
      <c r="C29" s="102">
        <f>'SV777-2 (SV004)'!N121</f>
      </c>
      <c r="D29" s="103">
        <f>IF(B29="резерв","",'SV777-2 (SV004)'!P121)</f>
      </c>
      <c r="E29">
        <f>IF('SV777-2 (SV004)'!P120&lt;1,"","ШЛ."&amp;'SV777-2 (SV004)'!P120)</f>
      </c>
    </row>
    <row r="30" spans="2:4" x14ac:dyDescent="0.25">
      <c r="B30" t="s">
        <v>89</v>
      </c>
      <c r="C30" s="102"/>
      <c r="D30" s="103"/>
    </row>
    <row r="31" spans="1:5" x14ac:dyDescent="0.25">
      <c r="A31">
        <v>1</v>
      </c>
      <c r="B31" t="str">
        <f>IF('SV777-2 (SV004)'!B142&lt;1,"резерв",'SV777-2 (SV004)'!B142)</f>
        <v>резерв</v>
      </c>
      <c r="C31" s="102">
        <f>'SV777-2 (SV004)'!B143</f>
      </c>
      <c r="D31" s="103">
        <f>IF(B31="резерв","",'SV777-2 (SV004)'!D143)</f>
      </c>
      <c r="E31">
        <f>IF('SV777-2 (SV004)'!D142&lt;1,"","ШЛ."&amp;'SV777-2 (SV004)'!D142)</f>
      </c>
    </row>
    <row r="32" spans="1:5" x14ac:dyDescent="0.25">
      <c r="A32">
        <v>2</v>
      </c>
      <c r="B32" t="str">
        <f>IF('SV777-2 (SV004)'!F142&lt;1,"резерв",'SV777-2 (SV004)'!F142)</f>
        <v>резерв</v>
      </c>
      <c r="C32" s="102">
        <f>'SV777-2 (SV004)'!F143</f>
      </c>
      <c r="D32" s="103">
        <f>IF(B32="резерв","",'SV777-2 (SV004)'!H143)</f>
      </c>
      <c r="E32">
        <f>IF('SV777-2 (SV004)'!H142&lt;1,"","ШЛ."&amp;'SV777-2 (SV004)'!H142)</f>
      </c>
    </row>
    <row r="33" spans="1:5" x14ac:dyDescent="0.25">
      <c r="A33">
        <v>3</v>
      </c>
      <c r="B33" t="str">
        <f>IF('SV777-2 (SV004)'!J142&lt;1,"резерв",'SV777-2 (SV004)'!J142)</f>
        <v>резерв</v>
      </c>
      <c r="C33" s="102">
        <f>'SV777-2 (SV004)'!J143</f>
      </c>
      <c r="D33" s="103">
        <f>IF(B33="резерв","",'SV777-2 (SV004)'!L143)</f>
      </c>
      <c r="E33">
        <f>IF('SV777-2 (SV004)'!L142&lt;1,"","ШЛ."&amp;'SV777-2 (SV004)'!L142)</f>
      </c>
    </row>
    <row r="34" spans="1:5" x14ac:dyDescent="0.25">
      <c r="A34">
        <v>4</v>
      </c>
      <c r="B34" t="str">
        <f>IF('SV777-2 (SV004)'!N142&lt;1,"резерв",'SV777-2 (SV004)'!N142)</f>
        <v>резерв</v>
      </c>
      <c r="C34" s="102">
        <f>'SV777-2 (SV004)'!N143</f>
      </c>
      <c r="D34" s="103">
        <f>IF(B34="резерв","",'SV777-2 (SV004)'!P143)</f>
      </c>
      <c r="E34">
        <f>IF('SV777-2 (SV004)'!P142&lt;1,"","ШЛ."&amp;'SV777-2 (SV004)'!P142)</f>
      </c>
    </row>
    <row r="35" spans="1:5" x14ac:dyDescent="0.25">
      <c r="A35">
        <v>5</v>
      </c>
      <c r="B35" t="str">
        <f>IF('SV777-2 (SV004)'!B162&lt;1,"резерв",'SV777-2 (SV004)'!B162)</f>
        <v>резерв</v>
      </c>
      <c r="C35" s="102">
        <f>'SV777-2 (SV004)'!B163</f>
      </c>
      <c r="D35" s="103">
        <f>IF(B35="резерв","",'SV777-2 (SV004)'!D163)</f>
      </c>
      <c r="E35">
        <f>IF('SV777-2 (SV004)'!D162&lt;1,"","ШЛ."&amp;'SV777-2 (SV004)'!D162)</f>
      </c>
    </row>
    <row r="36" spans="1:5" x14ac:dyDescent="0.25">
      <c r="A36">
        <v>6</v>
      </c>
      <c r="B36" t="str">
        <f>IF('SV777-2 (SV004)'!F162&lt;1,"резерв",'SV777-2 (SV004)'!F162)</f>
        <v>резерв</v>
      </c>
      <c r="C36" s="102">
        <f>'SV777-2 (SV004)'!F163</f>
      </c>
      <c r="D36" s="103">
        <f>IF(B36="резерв","",'SV777-2 (SV004)'!H163)</f>
      </c>
      <c r="E36">
        <f>IF('SV777-2 (SV004)'!H162&lt;1,"","ШЛ."&amp;'SV777-2 (SV004)'!H162)</f>
      </c>
    </row>
    <row r="37" spans="1:5" x14ac:dyDescent="0.25">
      <c r="A37">
        <v>7</v>
      </c>
      <c r="B37" t="str">
        <f>IF('SV777-2 (SV004)'!J162&lt;1,"резерв",'SV777-2 (SV004)'!J162)</f>
        <v>резерв</v>
      </c>
      <c r="C37" s="102">
        <f>'SV777-2 (SV004)'!J163</f>
      </c>
      <c r="D37" s="103">
        <f>IF(B37="резерв","",'SV777-2 (SV004)'!L163)</f>
      </c>
      <c r="E37">
        <f>IF('SV777-2 (SV004)'!L162&lt;1,"","ШЛ."&amp;'SV777-2 (SV004)'!L162)</f>
      </c>
    </row>
    <row r="38" spans="1:5" x14ac:dyDescent="0.25">
      <c r="A38">
        <v>8</v>
      </c>
      <c r="B38" t="str">
        <f>IF('SV777-2 (SV004)'!N162&lt;1,"резерв",'SV777-2 (SV004)'!N162)</f>
        <v>резерв</v>
      </c>
      <c r="C38" s="102">
        <f>'SV777-2 (SV004)'!N163</f>
      </c>
      <c r="D38" s="103">
        <f>IF(B38="резерв","",'SV777-2 (SV004)'!P163)</f>
      </c>
      <c r="E38">
        <f>IF('SV777-2 (SV004)'!P162&lt;1,"","ШЛ."&amp;'SV777-2 (SV004)'!P162)</f>
      </c>
    </row>
    <row r="39" spans="2:4" x14ac:dyDescent="0.25">
      <c r="B39" t="s">
        <v>104</v>
      </c>
      <c r="C39" s="102"/>
      <c r="D39" s="103"/>
    </row>
    <row r="40" spans="1:5" x14ac:dyDescent="0.25">
      <c r="A40">
        <v>1</v>
      </c>
      <c r="B40" t="str">
        <f>IF('SV777-2 (SV004)'!B184&lt;1,"резерв",'SV777-2 (SV004)'!B184)</f>
        <v>резерв</v>
      </c>
      <c r="C40" s="102">
        <f>'SV777-2 (SV004)'!B185</f>
      </c>
      <c r="D40" s="103">
        <f>IF(B40="резерв","",'SV777-2 (SV004)'!D185)</f>
      </c>
      <c r="E40">
        <f>IF('SV777-2 (SV004)'!D184&lt;1,"","ШЛ."&amp;'SV777-2 (SV004)'!D184)</f>
      </c>
    </row>
    <row r="41" spans="1:5" x14ac:dyDescent="0.25">
      <c r="A41">
        <v>2</v>
      </c>
      <c r="B41" t="str">
        <f>IF('SV777-2 (SV004)'!F184&lt;1,"резерв",'SV777-2 (SV004)'!F184)</f>
        <v>резерв</v>
      </c>
      <c r="C41" s="102">
        <f>'SV777-2 (SV004)'!F185</f>
      </c>
      <c r="D41" s="103">
        <f>IF(B41="резерв","",'SV777-2 (SV004)'!H185)</f>
      </c>
      <c r="E41">
        <f>IF('SV777-2 (SV004)'!H184&lt;1,"","ШЛ."&amp;'SV777-2 (SV004)'!H184)</f>
      </c>
    </row>
    <row r="42" spans="1:5" x14ac:dyDescent="0.25">
      <c r="A42">
        <v>3</v>
      </c>
      <c r="B42" t="str">
        <f>IF('SV777-2 (SV004)'!J184&lt;1,"резерв",'SV777-2 (SV004)'!J184)</f>
        <v>резерв</v>
      </c>
      <c r="C42" s="102">
        <f>'SV777-2 (SV004)'!J185</f>
      </c>
      <c r="D42" s="103">
        <f>IF(B42="резерв","",'SV777-2 (SV004)'!L185)</f>
      </c>
      <c r="E42">
        <f>IF('SV777-2 (SV004)'!L184&lt;1,"","ШЛ."&amp;'SV777-2 (SV004)'!L184)</f>
      </c>
    </row>
    <row r="43" spans="1:5" x14ac:dyDescent="0.25">
      <c r="A43">
        <v>4</v>
      </c>
      <c r="B43" t="str">
        <f>IF('SV777-2 (SV004)'!N184&lt;1,"резерв",'SV777-2 (SV004)'!N184)</f>
        <v>резерв</v>
      </c>
      <c r="C43" s="102">
        <f>'SV777-2 (SV004)'!N185</f>
      </c>
      <c r="D43" s="103">
        <f>IF(B43="резерв","",'SV777-2 (SV004)'!P185)</f>
      </c>
      <c r="E43">
        <f>IF('SV777-2 (SV004)'!P184&lt;1,"","ШЛ."&amp;'SV777-2 (SV004)'!P184)</f>
      </c>
    </row>
    <row r="44" spans="1:5" x14ac:dyDescent="0.25">
      <c r="A44">
        <v>5</v>
      </c>
      <c r="B44" t="str">
        <f>IF('SV777-2 (SV004)'!B204&lt;1,"резерв",'SV777-2 (SV004)'!B204)</f>
        <v>резерв</v>
      </c>
      <c r="C44" s="102">
        <f>'SV777-2 (SV004)'!B205</f>
      </c>
      <c r="D44" s="103">
        <f>IF(B44="резерв","",'SV777-2 (SV004)'!D205)</f>
      </c>
      <c r="E44">
        <f>IF('SV777-2 (SV004)'!D204&lt;1,"","ШЛ."&amp;'SV777-2 (SV004)'!D204)</f>
      </c>
    </row>
    <row r="45" spans="1:5" x14ac:dyDescent="0.25">
      <c r="A45">
        <v>6</v>
      </c>
      <c r="B45" t="str">
        <f>IF('SV777-2 (SV004)'!F204&lt;1,"резерв",'SV777-2 (SV004)'!F204)</f>
        <v>резерв</v>
      </c>
      <c r="C45" s="102">
        <f>'SV777-2 (SV004)'!F205</f>
      </c>
      <c r="D45" s="103">
        <f>IF(B45="резерв","",'SV777-2 (SV004)'!H205)</f>
      </c>
      <c r="E45">
        <f>IF('SV777-2 (SV004)'!H204&lt;1,"","ШЛ."&amp;'SV777-2 (SV004)'!H204)</f>
      </c>
    </row>
    <row r="46" spans="1:5" x14ac:dyDescent="0.25">
      <c r="A46">
        <v>7</v>
      </c>
      <c r="B46" t="str">
        <f>IF('SV777-2 (SV004)'!J204&lt;1,"резерв",'SV777-2 (SV004)'!J204)</f>
        <v>резерв</v>
      </c>
      <c r="C46" s="102">
        <f>'SV777-2 (SV004)'!J205</f>
      </c>
      <c r="D46" s="103">
        <f>IF(B46="резерв","",'SV777-2 (SV004)'!L205)</f>
      </c>
      <c r="E46">
        <f>IF('SV777-2 (SV004)'!L204&lt;1,"","ШЛ."&amp;'SV777-2 (SV004)'!L204)</f>
      </c>
    </row>
    <row r="47" spans="1:5" x14ac:dyDescent="0.25">
      <c r="A47">
        <v>8</v>
      </c>
      <c r="B47" t="str">
        <f>IF('SV777-2 (SV004)'!N204&lt;1,"резерв",'SV777-2 (SV004)'!N204)</f>
        <v>резерв</v>
      </c>
      <c r="C47" s="102">
        <f>'SV777-2 (SV004)'!N205</f>
      </c>
      <c r="D47" s="103">
        <f>IF(B47="резерв","",'SV777-2 (SV004)'!P205)</f>
      </c>
      <c r="E47">
        <f>IF('SV777-2 (SV004)'!P204&lt;1,"","ШЛ."&amp;'SV777-2 (SV004)'!P204)</f>
      </c>
    </row>
    <row r="48" spans="2:2" x14ac:dyDescent="0.25">
      <c r="B48" t="s">
        <v>91</v>
      </c>
    </row>
    <row r="49" spans="1:5" x14ac:dyDescent="0.25">
      <c r="A49">
        <v>1</v>
      </c>
      <c r="B49" t="str">
        <f>IF('SV777-2 (SV004)'!B226&lt;1,"резерв",'SV777-2 (SV004)'!B226)</f>
        <v>резерв</v>
      </c>
      <c r="C49" s="102">
        <f>'SV777-2 (SV004)'!B227</f>
      </c>
      <c r="D49" s="103">
        <f>IF(B49="резерв","",'SV777-2 (SV004)'!D227)</f>
      </c>
      <c r="E49">
        <f>IF('SV777-2 (SV004)'!D226&lt;1,"","ШЛ."&amp;'SV777-2 (SV004)'!D226)</f>
      </c>
    </row>
    <row r="50" spans="1:5" x14ac:dyDescent="0.25">
      <c r="A50">
        <v>2</v>
      </c>
      <c r="B50" t="str">
        <f>IF('SV777-2 (SV004)'!F226&lt;1,"резерв",'SV777-2 (SV004)'!F226)</f>
        <v>резерв</v>
      </c>
      <c r="C50" s="102">
        <f>'SV777-2 (SV004)'!F227</f>
      </c>
      <c r="D50" s="103">
        <f>IF(B50="резерв","",'SV777-2 (SV004)'!H227)</f>
      </c>
      <c r="E50">
        <f>IF('SV777-2 (SV004)'!H226&lt;1,"","ШЛ."&amp;'SV777-2 (SV004)'!H226)</f>
      </c>
    </row>
    <row r="51" spans="1:5" x14ac:dyDescent="0.25">
      <c r="A51">
        <v>3</v>
      </c>
      <c r="B51" t="str">
        <f>IF('SV777-2 (SV004)'!J226&lt;1,"резерв",'SV777-2 (SV004)'!J226)</f>
        <v>резерв</v>
      </c>
      <c r="C51" s="102">
        <f>'SV777-2 (SV004)'!J227</f>
      </c>
      <c r="D51" s="103">
        <f>IF(B51="резерв","",'SV777-2 (SV004)'!L227)</f>
      </c>
      <c r="E51">
        <f>IF('SV777-2 (SV004)'!L226&lt;1,"","ШЛ."&amp;'SV777-2 (SV004)'!L226)</f>
      </c>
    </row>
    <row r="52" spans="1:5" x14ac:dyDescent="0.25">
      <c r="A52">
        <v>4</v>
      </c>
      <c r="B52" t="str">
        <f>IF('SV777-2 (SV004)'!N226&lt;1,"резерв",'SV777-2 (SV004)'!N226)</f>
        <v>резерв</v>
      </c>
      <c r="C52" s="102">
        <f>'SV777-2 (SV004)'!N227</f>
      </c>
      <c r="D52" s="103">
        <f>IF(B52="резерв","",'SV777-2 (SV004)'!P227)</f>
      </c>
      <c r="E52">
        <f>IF('SV777-2 (SV004)'!P226&lt;1,"","ШЛ."&amp;'SV777-2 (SV004)'!P226)</f>
      </c>
    </row>
    <row r="53" spans="1:5" x14ac:dyDescent="0.25">
      <c r="A53">
        <v>5</v>
      </c>
      <c r="B53" t="str">
        <f>IF('SV777-2 (SV004)'!B246&lt;1,"резерв",'SV777-2 (SV004)'!B246)</f>
        <v>резерв</v>
      </c>
      <c r="C53" s="102">
        <f>'SV777-2 (SV004)'!B247</f>
      </c>
      <c r="D53" s="103">
        <f>IF(B53="резерв","",'SV777-2 (SV004)'!D247)</f>
      </c>
      <c r="E53">
        <f>IF('SV777-2 (SV004)'!D246&lt;1,"","ШЛ."&amp;'SV777-2 (SV004)'!D246)</f>
      </c>
    </row>
    <row r="54" spans="1:5" x14ac:dyDescent="0.25">
      <c r="A54">
        <v>6</v>
      </c>
      <c r="B54" t="str">
        <f>IF('SV777-2 (SV004)'!F246&lt;1,"резерв",'SV777-2 (SV004)'!F246)</f>
        <v>резерв</v>
      </c>
      <c r="C54" s="102">
        <f>'SV777-2 (SV004)'!F247</f>
      </c>
      <c r="D54" s="103">
        <f>IF(B54="резерв","",'SV777-2 (SV004)'!H247)</f>
      </c>
      <c r="E54">
        <f>IF('SV777-2 (SV004)'!H246&lt;1,"","ШЛ."&amp;'SV777-2 (SV004)'!H246)</f>
      </c>
    </row>
    <row r="55" spans="1:5" x14ac:dyDescent="0.25">
      <c r="A55">
        <v>7</v>
      </c>
      <c r="B55" t="str">
        <f>IF('SV777-2 (SV004)'!J246&lt;1,"резерв",'SV777-2 (SV004)'!J246)</f>
        <v>резерв</v>
      </c>
      <c r="C55" s="102">
        <f>'SV777-2 (SV004)'!J247</f>
      </c>
      <c r="D55" s="103">
        <f>IF(B55="резерв","",'SV777-2 (SV004)'!L247)</f>
      </c>
      <c r="E55">
        <f>IF('SV777-2 (SV004)'!L246&lt;1,"","ШЛ."&amp;'SV777-2 (SV004)'!L246)</f>
      </c>
    </row>
    <row r="56" spans="1:5" x14ac:dyDescent="0.25">
      <c r="A56">
        <v>8</v>
      </c>
      <c r="B56" t="str">
        <f>IF('SV777-2 (SV004)'!N246&lt;1,"резерв",'SV777-2 (SV004)'!N246)</f>
        <v>резерв</v>
      </c>
      <c r="C56" s="102">
        <f>'SV777-2 (SV004)'!N247</f>
      </c>
      <c r="D56" s="103">
        <f>IF(B56="резерв","",'SV777-2 (SV004)'!P247)</f>
      </c>
      <c r="E56">
        <f>IF('SV777-2 (SV004)'!P246&lt;1,"","ШЛ."&amp;'SV777-2 (SV004)'!P246)</f>
      </c>
    </row>
    <row r="57" spans="2:2" x14ac:dyDescent="0.25">
      <c r="B57" t="s">
        <v>105</v>
      </c>
    </row>
    <row r="58" spans="1:5" x14ac:dyDescent="0.25">
      <c r="A58">
        <v>1</v>
      </c>
      <c r="B58" t="str">
        <f>IF('SV777-2 (SV004)'!B268&lt;1,"резерв",'SV777-2 (SV004)'!B268)</f>
        <v>резерв</v>
      </c>
      <c r="C58" s="102">
        <f>'SV777-2 (SV004)'!B269</f>
      </c>
      <c r="D58" s="103">
        <f>IF(B58="резерв","",'SV777-2 (SV004)'!D269)</f>
      </c>
      <c r="E58">
        <f>IF('SV777-2 (SV004)'!D268&lt;1,"","ШЛ."&amp;'SV777-2 (SV004)'!D268)</f>
      </c>
    </row>
    <row r="59" spans="1:5" x14ac:dyDescent="0.25">
      <c r="A59">
        <v>2</v>
      </c>
      <c r="B59" t="str">
        <f>IF('SV777-2 (SV004)'!F268&lt;1,"резерв",'SV777-2 (SV004)'!F268)</f>
        <v>резерв</v>
      </c>
      <c r="C59" s="102">
        <f>'SV777-2 (SV004)'!F269</f>
      </c>
      <c r="D59" s="103">
        <f>IF(B59="резерв","",'SV777-2 (SV004)'!H269)</f>
      </c>
      <c r="E59">
        <f>IF('SV777-2 (SV004)'!H268&lt;1,"","ШЛ."&amp;'SV777-2 (SV004)'!H268)</f>
      </c>
    </row>
    <row r="60" spans="1:5" x14ac:dyDescent="0.25">
      <c r="A60">
        <v>3</v>
      </c>
      <c r="B60" t="str">
        <f>IF('SV777-2 (SV004)'!J268&lt;1,"резерв",'SV777-2 (SV004)'!J268)</f>
        <v>резерв</v>
      </c>
      <c r="C60" s="102">
        <f>'SV777-2 (SV004)'!J269</f>
      </c>
      <c r="D60" s="103">
        <f>IF(B60="резерв","",'SV777-2 (SV004)'!L269)</f>
      </c>
      <c r="E60">
        <f>IF('SV777-2 (SV004)'!L268&lt;1,"","ШЛ."&amp;'SV777-2 (SV004)'!L268)</f>
      </c>
    </row>
    <row r="61" spans="1:5" x14ac:dyDescent="0.25">
      <c r="A61">
        <v>4</v>
      </c>
      <c r="B61" t="str">
        <f>IF('SV777-2 (SV004)'!N268&lt;1,"резерв",'SV777-2 (SV004)'!N268)</f>
        <v>резерв</v>
      </c>
      <c r="C61" s="102">
        <f>'SV777-2 (SV004)'!N269</f>
      </c>
      <c r="D61" s="103">
        <f>IF(B61="резерв","",'SV777-2 (SV004)'!P269)</f>
      </c>
      <c r="E61">
        <f>IF('SV777-2 (SV004)'!P268&lt;1,"","ШЛ."&amp;'SV777-2 (SV004)'!P268)</f>
      </c>
    </row>
    <row r="62" spans="1:5" x14ac:dyDescent="0.25">
      <c r="A62">
        <v>5</v>
      </c>
      <c r="B62" t="str">
        <f>IF('SV777-2 (SV004)'!B288&lt;1,"резерв",'SV777-2 (SV004)'!B288)</f>
        <v>резерв</v>
      </c>
      <c r="C62" s="102">
        <f>'SV777-2 (SV004)'!B289</f>
      </c>
      <c r="D62" s="103">
        <f>IF(B62="резерв","",'SV777-2 (SV004)'!D289)</f>
      </c>
      <c r="E62">
        <f>IF('SV777-2 (SV004)'!D288&lt;1,"","ШЛ."&amp;'SV777-2 (SV004)'!D288)</f>
      </c>
    </row>
    <row r="63" spans="1:5" x14ac:dyDescent="0.25">
      <c r="A63">
        <v>6</v>
      </c>
      <c r="B63" t="str">
        <f>IF('SV777-2 (SV004)'!F288&lt;1,"резерв",'SV777-2 (SV004)'!F288)</f>
        <v>резерв</v>
      </c>
      <c r="C63" s="102">
        <f>'SV777-2 (SV004)'!F289</f>
      </c>
      <c r="D63" s="103">
        <f>IF(B63="резерв","",'SV777-2 (SV004)'!H289)</f>
      </c>
      <c r="E63">
        <f>IF('SV777-2 (SV004)'!H288&lt;1,"","ШЛ."&amp;'SV777-2 (SV004)'!H288)</f>
      </c>
    </row>
    <row r="64" spans="1:5" x14ac:dyDescent="0.25">
      <c r="A64">
        <v>7</v>
      </c>
      <c r="B64" t="str">
        <f>IF('SV777-2 (SV004)'!J288&lt;1,"резерв",'SV777-2 (SV004)'!J288)</f>
        <v>резерв</v>
      </c>
      <c r="C64" s="102">
        <f>'SV777-2 (SV004)'!J289</f>
      </c>
      <c r="D64" s="103">
        <f>IF(B64="резерв","",'SV777-2 (SV004)'!L289)</f>
      </c>
      <c r="E64">
        <f>IF('SV777-2 (SV004)'!L288&lt;1,"","ШЛ."&amp;'SV777-2 (SV004)'!L288)</f>
      </c>
    </row>
    <row r="65" spans="1:5" x14ac:dyDescent="0.25">
      <c r="A65">
        <v>8</v>
      </c>
      <c r="B65" t="str">
        <f>IF('SV777-2 (SV004)'!N288&lt;1,"резерв",'SV777-2 (SV004)'!N288)</f>
        <v>резерв</v>
      </c>
      <c r="C65" s="102">
        <f>'SV777-2 (SV004)'!N289</f>
      </c>
      <c r="D65" s="103">
        <f>IF(B65="резерв","",'SV777-2 (SV004)'!P289)</f>
      </c>
      <c r="E65">
        <f>IF('SV777-2 (SV004)'!P288&lt;1,"","ШЛ."&amp;'SV777-2 (SV004)'!P288)</f>
      </c>
    </row>
    <row r="66" spans="2:2" x14ac:dyDescent="0.25">
      <c r="B66" t="s">
        <v>93</v>
      </c>
    </row>
    <row r="67" spans="1:5" x14ac:dyDescent="0.25">
      <c r="A67">
        <v>1</v>
      </c>
      <c r="B67" t="str">
        <f>IF('SV777-2 (SV004)'!B310&lt;1,"резерв",'SV777-2 (SV004)'!B310)</f>
        <v>резерв</v>
      </c>
      <c r="C67" s="102">
        <f>'SV777-2 (SV004)'!B311</f>
      </c>
      <c r="D67" s="103">
        <f>IF(B67="резерв","",'SV777-2 (SV004)'!D311)</f>
      </c>
      <c r="E67">
        <f>IF('SV777-2 (SV004)'!D310&lt;1,"","ШЛ."&amp;'SV777-2 (SV004)'!D310)</f>
      </c>
    </row>
    <row r="68" spans="1:5" x14ac:dyDescent="0.25">
      <c r="A68">
        <v>2</v>
      </c>
      <c r="B68" t="str">
        <f>IF('SV777-2 (SV004)'!F310&lt;1,"резерв",'SV777-2 (SV004)'!F310)</f>
        <v>резерв</v>
      </c>
      <c r="C68" s="102">
        <f>'SV777-2 (SV004)'!F311</f>
      </c>
      <c r="D68" s="103">
        <f>IF(B68="резерв","",'SV777-2 (SV004)'!H311)</f>
      </c>
      <c r="E68">
        <f>IF('SV777-2 (SV004)'!H310&lt;1,"","ШЛ."&amp;'SV777-2 (SV004)'!H310)</f>
      </c>
    </row>
    <row r="69" spans="1:5" x14ac:dyDescent="0.25">
      <c r="A69">
        <v>3</v>
      </c>
      <c r="B69" t="str">
        <f>IF('SV777-2 (SV004)'!J310&lt;1,"резерв",'SV777-2 (SV004)'!J310)</f>
        <v>резерв</v>
      </c>
      <c r="C69" s="102">
        <f>'SV777-2 (SV004)'!J311</f>
      </c>
      <c r="D69" s="103">
        <f>IF(B69="резерв","",'SV777-2 (SV004)'!L311)</f>
      </c>
      <c r="E69">
        <f>IF('SV777-2 (SV004)'!L310&lt;1,"","ШЛ."&amp;'SV777-2 (SV004)'!L310)</f>
      </c>
    </row>
    <row r="70" spans="1:5" x14ac:dyDescent="0.25">
      <c r="A70">
        <v>4</v>
      </c>
      <c r="B70" t="str">
        <f>IF('SV777-2 (SV004)'!N310&lt;1,"резерв",'SV777-2 (SV004)'!N310)</f>
        <v>резерв</v>
      </c>
      <c r="C70" s="102">
        <f>'SV777-2 (SV004)'!N311</f>
      </c>
      <c r="D70" s="103">
        <f>IF(B70="резерв","",'SV777-2 (SV004)'!P311)</f>
      </c>
      <c r="E70">
        <f>IF('SV777-2 (SV004)'!P310&lt;1,"","ШЛ."&amp;'SV777-2 (SV004)'!P310)</f>
      </c>
    </row>
    <row r="71" spans="1:5" x14ac:dyDescent="0.25">
      <c r="A71">
        <v>5</v>
      </c>
      <c r="B71" t="str">
        <f>IF('SV777-2 (SV004)'!B330&lt;1,"резерв",'SV777-2 (SV004)'!B330)</f>
        <v>резерв</v>
      </c>
      <c r="C71" s="102">
        <f>'SV777-2 (SV004)'!B331</f>
      </c>
      <c r="D71" s="103">
        <f>IF(B71="резерв","",'SV777-2 (SV004)'!D331)</f>
      </c>
      <c r="E71">
        <f>IF('SV777-2 (SV004)'!D330&lt;1,"","ШЛ."&amp;'SV777-2 (SV004)'!D330)</f>
      </c>
    </row>
    <row r="72" spans="1:5" x14ac:dyDescent="0.25">
      <c r="A72">
        <v>6</v>
      </c>
      <c r="B72" t="str">
        <f>IF('SV777-2 (SV004)'!F330&lt;1,"резерв",'SV777-2 (SV004)'!F330)</f>
        <v>резерв</v>
      </c>
      <c r="C72" s="102">
        <f>'SV777-2 (SV004)'!F331</f>
      </c>
      <c r="D72" s="103">
        <f>IF(B72="резерв","",'SV777-2 (SV004)'!H331)</f>
      </c>
      <c r="E72">
        <f>IF('SV777-2 (SV004)'!H330&lt;1,"","ШЛ."&amp;'SV777-2 (SV004)'!H330)</f>
      </c>
    </row>
    <row r="73" spans="1:5" x14ac:dyDescent="0.25">
      <c r="A73">
        <v>7</v>
      </c>
      <c r="B73" t="str">
        <f>IF('SV777-2 (SV004)'!J330&lt;1,"резерв",'SV777-2 (SV004)'!J330)</f>
        <v>резерв</v>
      </c>
      <c r="C73" s="102">
        <f>'SV777-2 (SV004)'!J331</f>
      </c>
      <c r="D73" s="103">
        <f>IF(B73="резерв","",'SV777-2 (SV004)'!L331)</f>
      </c>
      <c r="E73">
        <f>IF('SV777-2 (SV004)'!L330&lt;1,"","ШЛ."&amp;'SV777-2 (SV004)'!L330)</f>
      </c>
    </row>
    <row r="74" spans="1:5" x14ac:dyDescent="0.25">
      <c r="A74">
        <v>8</v>
      </c>
      <c r="B74" t="str">
        <f>IF('SV777-2 (SV004)'!N330&lt;1,"резерв",'SV777-2 (SV004)'!N330)</f>
        <v>резерв</v>
      </c>
      <c r="C74" s="102">
        <f>'SV777-2 (SV004)'!N331</f>
      </c>
      <c r="D74" s="103">
        <f>IF(B74="резерв","",'SV777-2 (SV004)'!P331)</f>
      </c>
      <c r="E74">
        <f>IF('SV777-2 (SV004)'!P330&lt;1,"","ШЛ."&amp;'SV777-2 (SV004)'!P330)</f>
      </c>
    </row>
    <row r="75" spans="2:2" x14ac:dyDescent="0.25">
      <c r="B75" t="s">
        <v>94</v>
      </c>
    </row>
    <row r="76" spans="1:5" x14ac:dyDescent="0.25">
      <c r="A76">
        <v>1</v>
      </c>
      <c r="B76" t="str">
        <f>IF('SV777-2 (SV004)'!B352&lt;1,"резерв",'SV777-2 (SV004)'!B352)</f>
        <v>резерв</v>
      </c>
      <c r="C76" s="102">
        <f>'SV777-2 (SV004)'!B353</f>
      </c>
      <c r="D76" s="103">
        <f>IF(B76="резерв","",'SV777-2 (SV004)'!D353)</f>
      </c>
      <c r="E76">
        <f>IF('SV777-2 (SV004)'!D352&lt;1,"","ШЛ."&amp;'SV777-2 (SV004)'!D352)</f>
      </c>
    </row>
    <row r="77" spans="1:5" x14ac:dyDescent="0.25">
      <c r="A77">
        <v>2</v>
      </c>
      <c r="B77" t="str">
        <f>IF('SV777-2 (SV004)'!F352&lt;1,"резерв",'SV777-2 (SV004)'!F352)</f>
        <v>резерв</v>
      </c>
      <c r="C77" s="102">
        <f>'SV777-2 (SV004)'!F353</f>
      </c>
      <c r="D77" s="103">
        <f>IF(B77="резерв","",'SV777-2 (SV004)'!H353)</f>
      </c>
      <c r="E77">
        <f>IF('SV777-2 (SV004)'!H352&lt;1,"","ШЛ."&amp;'SV777-2 (SV004)'!H352)</f>
      </c>
    </row>
    <row r="78" spans="1:5" x14ac:dyDescent="0.25">
      <c r="A78">
        <v>3</v>
      </c>
      <c r="B78" t="str">
        <f>IF('SV777-2 (SV004)'!J352&lt;1,"резерв",'SV777-2 (SV004)'!J352)</f>
        <v>резерв</v>
      </c>
      <c r="C78" s="102">
        <f>'SV777-2 (SV004)'!J353</f>
      </c>
      <c r="D78" s="103">
        <f>IF(B78="резерв","",'SV777-2 (SV004)'!L353)</f>
      </c>
      <c r="E78">
        <f>IF('SV777-2 (SV004)'!L352&lt;1,"","ШЛ."&amp;'SV777-2 (SV004)'!L352)</f>
      </c>
    </row>
    <row r="79" spans="1:5" x14ac:dyDescent="0.25">
      <c r="A79">
        <v>4</v>
      </c>
      <c r="B79" t="str">
        <f>IF('SV777-2 (SV004)'!N352&lt;1,"резерв",'SV777-2 (SV004)'!N352)</f>
        <v>резерв</v>
      </c>
      <c r="C79" s="102">
        <f>'SV777-2 (SV004)'!N353</f>
      </c>
      <c r="D79" s="103">
        <f>IF(B79="резерв","",'SV777-2 (SV004)'!P353)</f>
      </c>
      <c r="E79">
        <f>IF('SV777-2 (SV004)'!P352&lt;1,"","ШЛ."&amp;'SV777-2 (SV004)'!P352)</f>
      </c>
    </row>
    <row r="80" spans="1:5" x14ac:dyDescent="0.25">
      <c r="A80">
        <v>5</v>
      </c>
      <c r="B80" t="str">
        <f>IF('SV777-2 (SV004)'!B372&lt;1,"резерв",'SV777-2 (SV004)'!B372)</f>
        <v>резерв</v>
      </c>
      <c r="C80" s="102">
        <f>'SV777-2 (SV004)'!B373</f>
      </c>
      <c r="D80" s="103">
        <f>IF(B80="резерв","",'SV777-2 (SV004)'!D373)</f>
      </c>
      <c r="E80">
        <f>IF('SV777-2 (SV004)'!D372&lt;1,"","ШЛ."&amp;'SV777-2 (SV004)'!D372)</f>
      </c>
    </row>
    <row r="81" spans="1:5" x14ac:dyDescent="0.25">
      <c r="A81">
        <v>6</v>
      </c>
      <c r="B81" t="str">
        <f>IF('SV777-2 (SV004)'!F372&lt;1,"резерв",'SV777-2 (SV004)'!F372)</f>
        <v>резерв</v>
      </c>
      <c r="C81" s="102">
        <f>'SV777-2 (SV004)'!F373</f>
      </c>
      <c r="D81" s="103">
        <f>IF(B81="резерв","",'SV777-2 (SV004)'!H373)</f>
      </c>
      <c r="E81">
        <f>IF('SV777-2 (SV004)'!H372&lt;1,"","ШЛ."&amp;'SV777-2 (SV004)'!H372)</f>
      </c>
    </row>
    <row r="82" spans="1:5" x14ac:dyDescent="0.25">
      <c r="A82">
        <v>7</v>
      </c>
      <c r="B82" t="str">
        <f>IF('SV777-2 (SV004)'!J372&lt;1,"резерв",'SV777-2 (SV004)'!J372)</f>
        <v>резерв</v>
      </c>
      <c r="C82" s="102">
        <f>'SV777-2 (SV004)'!J373</f>
      </c>
      <c r="D82" s="103">
        <f>IF(B82="резерв","",'SV777-2 (SV004)'!L373)</f>
      </c>
      <c r="E82">
        <f>IF('SV777-2 (SV004)'!L372&lt;1,"","ШЛ."&amp;'SV777-2 (SV004)'!L372)</f>
      </c>
    </row>
    <row r="83" spans="1:5" x14ac:dyDescent="0.25">
      <c r="A83">
        <v>8</v>
      </c>
      <c r="B83" t="str">
        <f>IF('SV777-2 (SV004)'!N372&lt;1,"резерв",'SV777-2 (SV004)'!N372)</f>
        <v>резерв</v>
      </c>
      <c r="C83" s="102">
        <f>'SV777-2 (SV004)'!N373</f>
      </c>
      <c r="D83" s="103">
        <f>IF(B83="резерв","",'SV777-2 (SV004)'!P373)</f>
      </c>
      <c r="E83">
        <f>IF('SV777-2 (SV004)'!P372&lt;1,"","ШЛ."&amp;'SV777-2 (SV004)'!P372)</f>
      </c>
    </row>
    <row r="84" spans="2:2" x14ac:dyDescent="0.25">
      <c r="B84" t="s">
        <v>95</v>
      </c>
    </row>
    <row r="85" spans="1:5" x14ac:dyDescent="0.25">
      <c r="A85">
        <v>1</v>
      </c>
      <c r="B85" t="str">
        <f>IF('SV777-2 (SV004)'!B394&lt;1,"резерв",'SV777-2 (SV004)'!B394)</f>
        <v>резерв</v>
      </c>
      <c r="C85" s="102">
        <f>'SV777-2 (SV004)'!B395</f>
      </c>
      <c r="D85" s="103">
        <f>IF(B85="резерв","",'SV777-2 (SV004)'!D395)</f>
      </c>
      <c r="E85">
        <f>IF('SV777-2 (SV004)'!D394&lt;1,"","ШЛ."&amp;'SV777-2 (SV004)'!D394)</f>
      </c>
    </row>
    <row r="86" spans="1:5" x14ac:dyDescent="0.25">
      <c r="A86">
        <v>2</v>
      </c>
      <c r="B86" t="str">
        <f>IF('SV777-2 (SV004)'!F394&lt;1,"резерв",'SV777-2 (SV004)'!F394)</f>
        <v>резерв</v>
      </c>
      <c r="C86" s="102">
        <f>'SV777-2 (SV004)'!F395</f>
      </c>
      <c r="D86" s="103">
        <f>IF(B86="резерв","",'SV777-2 (SV004)'!H395)</f>
      </c>
      <c r="E86">
        <f>IF('SV777-2 (SV004)'!H394&lt;1,"","ШЛ."&amp;'SV777-2 (SV004)'!H394)</f>
      </c>
    </row>
    <row r="87" spans="1:5" x14ac:dyDescent="0.25">
      <c r="A87">
        <v>3</v>
      </c>
      <c r="B87" t="str">
        <f>IF('SV777-2 (SV004)'!J394&lt;1,"резерв",'SV777-2 (SV004)'!J394)</f>
        <v>резерв</v>
      </c>
      <c r="C87" s="102">
        <f>'SV777-2 (SV004)'!J395</f>
      </c>
      <c r="D87" s="103">
        <f>IF(B87="резерв","",'SV777-2 (SV004)'!L395)</f>
      </c>
      <c r="E87">
        <f>IF('SV777-2 (SV004)'!L394&lt;1,"","ШЛ."&amp;'SV777-2 (SV004)'!L394)</f>
      </c>
    </row>
    <row r="88" spans="1:5" x14ac:dyDescent="0.25">
      <c r="A88">
        <v>4</v>
      </c>
      <c r="B88" t="str">
        <f>IF('SV777-2 (SV004)'!N394&lt;1,"резерв",'SV777-2 (SV004)'!N394)</f>
        <v>резерв</v>
      </c>
      <c r="C88" s="102">
        <f>'SV777-2 (SV004)'!N395</f>
      </c>
      <c r="D88" s="103">
        <f>IF(B88="резерв","",'SV777-2 (SV004)'!P395)</f>
      </c>
      <c r="E88">
        <f>IF('SV777-2 (SV004)'!P394&lt;1,"","ШЛ."&amp;'SV777-2 (SV004)'!P394)</f>
      </c>
    </row>
    <row r="89" spans="1:5" x14ac:dyDescent="0.25">
      <c r="A89">
        <v>5</v>
      </c>
      <c r="B89" t="str">
        <f>IF('SV777-2 (SV004)'!B414&lt;1,"резерв",'SV777-2 (SV004)'!B414)</f>
        <v>резерв</v>
      </c>
      <c r="C89" s="102">
        <f>'SV777-2 (SV004)'!B415</f>
      </c>
      <c r="D89" s="103">
        <f>IF(B89="резерв","",'SV777-2 (SV004)'!D415)</f>
      </c>
      <c r="E89">
        <f>IF('SV777-2 (SV004)'!D414&lt;1,"","ШЛ."&amp;'SV777-2 (SV004)'!D414)</f>
      </c>
    </row>
    <row r="90" spans="1:5" x14ac:dyDescent="0.25">
      <c r="A90">
        <v>6</v>
      </c>
      <c r="B90" t="str">
        <f>IF('SV777-2 (SV004)'!F414&lt;1,"резерв",'SV777-2 (SV004)'!F414)</f>
        <v>резерв</v>
      </c>
      <c r="C90" s="102">
        <f>'SV777-2 (SV004)'!F415</f>
      </c>
      <c r="D90" s="103">
        <f>IF(B90="резерв","",'SV777-2 (SV004)'!H415)</f>
      </c>
      <c r="E90">
        <f>IF('SV777-2 (SV004)'!H414&lt;1,"","ШЛ."&amp;'SV777-2 (SV004)'!H414)</f>
      </c>
    </row>
    <row r="91" spans="1:5" x14ac:dyDescent="0.25">
      <c r="A91">
        <v>7</v>
      </c>
      <c r="B91" t="str">
        <f>IF('SV777-2 (SV004)'!J414&lt;1,"резерв",'SV777-2 (SV004)'!J414)</f>
        <v>резерв</v>
      </c>
      <c r="C91" s="102">
        <f>'SV777-2 (SV004)'!J415</f>
      </c>
      <c r="D91" s="103">
        <f>IF(B91="резерв","",'SV777-2 (SV004)'!L415)</f>
      </c>
      <c r="E91">
        <f>IF('SV777-2 (SV004)'!L414&lt;1,"","ШЛ."&amp;'SV777-2 (SV004)'!L414)</f>
      </c>
    </row>
    <row r="92" spans="1:5" x14ac:dyDescent="0.25">
      <c r="A92">
        <v>8</v>
      </c>
      <c r="B92" t="str">
        <f>IF('SV777-2 (SV004)'!N414&lt;1,"резерв",'SV777-2 (SV004)'!N414)</f>
        <v>резерв</v>
      </c>
      <c r="C92" s="102">
        <f>'SV777-2 (SV004)'!N415</f>
      </c>
      <c r="D92" s="103">
        <f>IF(B92="резерв","",'SV777-2 (SV004)'!P415)</f>
      </c>
      <c r="E92">
        <f>IF('SV777-2 (SV004)'!P414&lt;1,"","ШЛ."&amp;'SV777-2 (SV004)'!P414)</f>
      </c>
    </row>
    <row r="93" spans="2:2" x14ac:dyDescent="0.25">
      <c r="B93" t="s">
        <v>96</v>
      </c>
    </row>
    <row r="94" spans="1:5" x14ac:dyDescent="0.25">
      <c r="A94">
        <v>1</v>
      </c>
      <c r="B94" t="str">
        <f>IF('SV777-2 (SV004)'!B436&lt;1,"резерв",'SV777-2 (SV004)'!B436)</f>
        <v>резерв</v>
      </c>
      <c r="C94" s="102">
        <f>'SV777-2 (SV004)'!B437</f>
      </c>
      <c r="D94" s="103">
        <f>IF(B94="резерв","",'SV777-2 (SV004)'!D437)</f>
      </c>
      <c r="E94">
        <f>IF('SV777-2 (SV004)'!D436&lt;1,"","ШЛ."&amp;'SV777-2 (SV004)'!D436)</f>
      </c>
    </row>
    <row r="95" spans="1:5" x14ac:dyDescent="0.25">
      <c r="A95">
        <v>2</v>
      </c>
      <c r="B95" t="str">
        <f>IF('SV777-2 (SV004)'!F436&lt;1,"резерв",'SV777-2 (SV004)'!F436)</f>
        <v>резерв</v>
      </c>
      <c r="C95" s="102">
        <f>'SV777-2 (SV004)'!F437</f>
      </c>
      <c r="D95" s="103">
        <f>IF(B95="резерв","",'SV777-2 (SV004)'!H437)</f>
      </c>
      <c r="E95">
        <f>IF('SV777-2 (SV004)'!H436&lt;1,"","ШЛ."&amp;'SV777-2 (SV004)'!H436)</f>
      </c>
    </row>
    <row r="96" spans="1:5" x14ac:dyDescent="0.25">
      <c r="A96">
        <v>3</v>
      </c>
      <c r="B96" t="str">
        <f>IF('SV777-2 (SV004)'!J436&lt;1,"резерв",'SV777-2 (SV004)'!J436)</f>
        <v>резерв</v>
      </c>
      <c r="C96" s="102">
        <f>'SV777-2 (SV004)'!J437</f>
      </c>
      <c r="D96" s="103">
        <f>IF(B96="резерв","",'SV777-2 (SV004)'!L437)</f>
      </c>
      <c r="E96">
        <f>IF('SV777-2 (SV004)'!L436&lt;1,"","ШЛ."&amp;'SV777-2 (SV004)'!L436)</f>
      </c>
    </row>
    <row r="97" spans="1:5" x14ac:dyDescent="0.25">
      <c r="A97">
        <v>4</v>
      </c>
      <c r="B97" t="str">
        <f>IF('SV777-2 (SV004)'!N436&lt;1,"резерв",'SV777-2 (SV004)'!N436)</f>
        <v>резерв</v>
      </c>
      <c r="C97" s="102">
        <f>'SV777-2 (SV004)'!N437</f>
      </c>
      <c r="D97" s="103">
        <f>IF(B97="резерв","",'SV777-2 (SV004)'!P437)</f>
      </c>
      <c r="E97">
        <f>IF('SV777-2 (SV004)'!P436&lt;1,"","ШЛ."&amp;'SV777-2 (SV004)'!P436)</f>
      </c>
    </row>
    <row r="98" spans="1:5" x14ac:dyDescent="0.25">
      <c r="A98">
        <v>5</v>
      </c>
      <c r="B98" t="str">
        <f>IF('SV777-2 (SV004)'!B456&lt;1,"резерв",'SV777-2 (SV004)'!B456)</f>
        <v>резерв</v>
      </c>
      <c r="C98" s="102">
        <f>'SV777-2 (SV004)'!B457</f>
      </c>
      <c r="D98" s="103">
        <f>IF(B98="резерв","",'SV777-2 (SV004)'!D457)</f>
      </c>
      <c r="E98">
        <f>IF('SV777-2 (SV004)'!D456&lt;1,"","ШЛ."&amp;'SV777-2 (SV004)'!D456)</f>
      </c>
    </row>
    <row r="99" spans="1:5" x14ac:dyDescent="0.25">
      <c r="A99">
        <v>6</v>
      </c>
      <c r="B99" t="str">
        <f>IF('SV777-2 (SV004)'!F456&lt;1,"резерв",'SV777-2 (SV004)'!F456)</f>
        <v>резерв</v>
      </c>
      <c r="C99" s="102">
        <f>'SV777-2 (SV004)'!F457</f>
      </c>
      <c r="D99" s="103">
        <f>IF(B99="резерв","",'SV777-2 (SV004)'!H457)</f>
      </c>
      <c r="E99">
        <f>IF('SV777-2 (SV004)'!H456&lt;1,"","ШЛ."&amp;'SV777-2 (SV004)'!H456)</f>
      </c>
    </row>
    <row r="100" spans="1:5" x14ac:dyDescent="0.25">
      <c r="A100">
        <v>7</v>
      </c>
      <c r="B100" t="str">
        <f>IF('SV777-2 (SV004)'!J456&lt;1,"резерв",'SV777-2 (SV004)'!J456)</f>
        <v>резерв</v>
      </c>
      <c r="C100" s="102">
        <f>'SV777-2 (SV004)'!J457</f>
      </c>
      <c r="D100" s="103">
        <f>IF(B100="резерв","",'SV777-2 (SV004)'!L457)</f>
      </c>
      <c r="E100">
        <f>IF('SV777-2 (SV004)'!L456&lt;1,"","ШЛ."&amp;'SV777-2 (SV004)'!L456)</f>
      </c>
    </row>
    <row r="101" spans="1:5" x14ac:dyDescent="0.25">
      <c r="A101">
        <v>8</v>
      </c>
      <c r="B101" t="str">
        <f>IF('SV777-2 (SV004)'!N456&lt;1,"резерв",'SV777-2 (SV004)'!N456)</f>
        <v>резерв</v>
      </c>
      <c r="C101" s="102">
        <f>'SV777-2 (SV004)'!N457</f>
      </c>
      <c r="D101" s="103">
        <f>IF(B101="резерв","",'SV777-2 (SV004)'!P457)</f>
      </c>
      <c r="E101">
        <f>IF('SV777-2 (SV004)'!P456&lt;1,"","ШЛ."&amp;'SV777-2 (SV004)'!P456)</f>
      </c>
    </row>
    <row r="102" spans="2:2" x14ac:dyDescent="0.25">
      <c r="B102" t="s">
        <v>97</v>
      </c>
    </row>
    <row r="103" spans="1:5" x14ac:dyDescent="0.25">
      <c r="A103">
        <v>1</v>
      </c>
      <c r="B103" t="str">
        <f>IF('SV777-2 (SV004)'!B478&lt;1,"резерв",'SV777-2 (SV004)'!B478)</f>
        <v>резерв</v>
      </c>
      <c r="C103" s="102">
        <f>'SV777-2 (SV004)'!B479</f>
      </c>
      <c r="D103" s="103">
        <f>IF(B103="резерв","",'SV777-2 (SV004)'!D479)</f>
      </c>
      <c r="E103">
        <f>IF('SV777-2 (SV004)'!D478&lt;1,"","ШЛ."&amp;'SV777-2 (SV004)'!D478)</f>
      </c>
    </row>
    <row r="104" spans="1:5" x14ac:dyDescent="0.25">
      <c r="A104">
        <v>2</v>
      </c>
      <c r="B104" t="str">
        <f>IF('SV777-2 (SV004)'!F478&lt;1,"резерв",'SV777-2 (SV004)'!F478)</f>
        <v>резерв</v>
      </c>
      <c r="C104" s="102">
        <f>'SV777-2 (SV004)'!F479</f>
      </c>
      <c r="D104" s="103">
        <f>IF(B104="резерв","",'SV777-2 (SV004)'!H479)</f>
      </c>
      <c r="E104">
        <f>IF('SV777-2 (SV004)'!H478&lt;1,"","ШЛ."&amp;'SV777-2 (SV004)'!H478)</f>
      </c>
    </row>
    <row r="105" spans="1:5" x14ac:dyDescent="0.25">
      <c r="A105">
        <v>3</v>
      </c>
      <c r="B105" t="str">
        <f>IF('SV777-2 (SV004)'!J478&lt;1,"резерв",'SV777-2 (SV004)'!J478)</f>
        <v>резерв</v>
      </c>
      <c r="C105" s="102">
        <f>'SV777-2 (SV004)'!J479</f>
      </c>
      <c r="D105" s="103">
        <f>IF(B105="резерв","",'SV777-2 (SV004)'!L479)</f>
      </c>
      <c r="E105">
        <f>IF('SV777-2 (SV004)'!L478&lt;1,"","ШЛ."&amp;'SV777-2 (SV004)'!L478)</f>
      </c>
    </row>
    <row r="106" spans="1:5" x14ac:dyDescent="0.25">
      <c r="A106">
        <v>4</v>
      </c>
      <c r="B106" t="str">
        <f>IF('SV777-2 (SV004)'!N478&lt;1,"резерв",'SV777-2 (SV004)'!N478)</f>
        <v>резерв</v>
      </c>
      <c r="C106" s="102">
        <f>'SV777-2 (SV004)'!N479</f>
      </c>
      <c r="D106" s="103">
        <f>IF(B106="резерв","",'SV777-2 (SV004)'!P479)</f>
      </c>
      <c r="E106">
        <f>IF('SV777-2 (SV004)'!P478&lt;1,"","ШЛ."&amp;'SV777-2 (SV004)'!P478)</f>
      </c>
    </row>
    <row r="107" spans="1:5" x14ac:dyDescent="0.25">
      <c r="A107">
        <v>5</v>
      </c>
      <c r="B107" t="str">
        <f>IF('SV777-2 (SV004)'!B498&lt;1,"резерв",'SV777-2 (SV004)'!B498)</f>
        <v>резерв</v>
      </c>
      <c r="C107" s="102">
        <f>'SV777-2 (SV004)'!B499</f>
      </c>
      <c r="D107" s="103">
        <f>IF(B107="резерв","",'SV777-2 (SV004)'!D499)</f>
      </c>
      <c r="E107">
        <f>IF('SV777-2 (SV004)'!D498&lt;1,"","ШЛ."&amp;'SV777-2 (SV004)'!D498)</f>
      </c>
    </row>
    <row r="108" spans="1:5" x14ac:dyDescent="0.25">
      <c r="A108">
        <v>6</v>
      </c>
      <c r="B108" t="str">
        <f>IF('SV777-2 (SV004)'!F498&lt;1,"резерв",'SV777-2 (SV004)'!F498)</f>
        <v>резерв</v>
      </c>
      <c r="C108" s="102">
        <f>'SV777-2 (SV004)'!F499</f>
      </c>
      <c r="D108" s="103">
        <f>IF(B108="резерв","",'SV777-2 (SV004)'!H499)</f>
      </c>
      <c r="E108">
        <f>IF('SV777-2 (SV004)'!H498&lt;1,"","ШЛ."&amp;'SV777-2 (SV004)'!H498)</f>
      </c>
    </row>
    <row r="109" spans="1:5" x14ac:dyDescent="0.25">
      <c r="A109">
        <v>7</v>
      </c>
      <c r="B109" t="str">
        <f>IF('SV777-2 (SV004)'!J498&lt;1,"резерв",'SV777-2 (SV004)'!J498)</f>
        <v>резерв</v>
      </c>
      <c r="C109" s="102">
        <f>'SV777-2 (SV004)'!J499</f>
      </c>
      <c r="D109" s="103">
        <f>IF(B109="резерв","",'SV777-2 (SV004)'!L499)</f>
      </c>
      <c r="E109">
        <f>IF('SV777-2 (SV004)'!L498&lt;1,"","ШЛ."&amp;'SV777-2 (SV004)'!L498)</f>
      </c>
    </row>
    <row r="110" spans="1:5" x14ac:dyDescent="0.25">
      <c r="A110">
        <v>8</v>
      </c>
      <c r="B110" t="str">
        <f>IF('SV777-2 (SV004)'!N498&lt;1,"резерв",'SV777-2 (SV004)'!N498)</f>
        <v>резерв</v>
      </c>
      <c r="C110" s="102">
        <f>'SV777-2 (SV004)'!N499</f>
      </c>
      <c r="D110" s="103">
        <f>IF(B110="резерв","",'SV777-2 (SV004)'!P499)</f>
      </c>
      <c r="E110">
        <f>IF('SV777-2 (SV004)'!P498&lt;1,"","ШЛ."&amp;'SV777-2 (SV004)'!P498)</f>
      </c>
    </row>
    <row r="111" spans="2:2" x14ac:dyDescent="0.25">
      <c r="B111" t="s">
        <v>98</v>
      </c>
    </row>
    <row r="112" spans="1:5" x14ac:dyDescent="0.25">
      <c r="A112">
        <v>1</v>
      </c>
      <c r="B112" t="str">
        <f>IF('SV777-2 (SV004)'!B520&lt;1,"резерв",'SV777-2 (SV004)'!B520)</f>
        <v>резерв</v>
      </c>
      <c r="C112" s="102">
        <f>'SV777-2 (SV004)'!B521</f>
      </c>
      <c r="D112" s="103">
        <f>IF(B112="резерв","",'SV777-2 (SV004)'!D521)</f>
      </c>
      <c r="E112">
        <f>IF('SV777-2 (SV004)'!D520&lt;1,"","ШЛ."&amp;'SV777-2 (SV004)'!D520)</f>
      </c>
    </row>
    <row r="113" spans="1:5" x14ac:dyDescent="0.25">
      <c r="A113">
        <v>2</v>
      </c>
      <c r="B113" t="str">
        <f>IF('SV777-2 (SV004)'!F520&lt;1,"резерв",'SV777-2 (SV004)'!F520)</f>
        <v>резерв</v>
      </c>
      <c r="C113" s="102">
        <f>'SV777-2 (SV004)'!F521</f>
      </c>
      <c r="D113" s="103">
        <f>IF(B113="резерв","",'SV777-2 (SV004)'!H521)</f>
      </c>
      <c r="E113">
        <f>IF('SV777-2 (SV004)'!H520&lt;1,"","ШЛ."&amp;'SV777-2 (SV004)'!H520)</f>
      </c>
    </row>
    <row r="114" spans="1:5" x14ac:dyDescent="0.25">
      <c r="A114">
        <v>3</v>
      </c>
      <c r="B114" t="str">
        <f>IF('SV777-2 (SV004)'!J520&lt;1,"резерв",'SV777-2 (SV004)'!J520)</f>
        <v>резерв</v>
      </c>
      <c r="C114" s="102">
        <f>'SV777-2 (SV004)'!J521</f>
      </c>
      <c r="D114" s="103">
        <f>IF(B114="резерв","",'SV777-2 (SV004)'!L521)</f>
      </c>
      <c r="E114">
        <f>IF('SV777-2 (SV004)'!L520&lt;1,"","ШЛ."&amp;'SV777-2 (SV004)'!L520)</f>
      </c>
    </row>
    <row r="115" spans="1:5" x14ac:dyDescent="0.25">
      <c r="A115">
        <v>4</v>
      </c>
      <c r="B115" t="str">
        <f>IF('SV777-2 (SV004)'!N520&lt;1,"резерв",'SV777-2 (SV004)'!N520)</f>
        <v>резерв</v>
      </c>
      <c r="C115" s="102">
        <f>'SV777-2 (SV004)'!N521</f>
      </c>
      <c r="D115" s="103">
        <f>IF(B115="резерв","",'SV777-2 (SV004)'!P521)</f>
      </c>
      <c r="E115">
        <f>IF('SV777-2 (SV004)'!P520&lt;1,"","ШЛ."&amp;'SV777-2 (SV004)'!P520)</f>
      </c>
    </row>
    <row r="116" spans="1:5" x14ac:dyDescent="0.25">
      <c r="A116">
        <v>5</v>
      </c>
      <c r="B116" t="str">
        <f>IF('SV777-2 (SV004)'!B540&lt;1,"резерв",'SV777-2 (SV004)'!B540)</f>
        <v>резерв</v>
      </c>
      <c r="C116" s="102">
        <f>'SV777-2 (SV004)'!B541</f>
      </c>
      <c r="D116" s="103">
        <f>IF(B116="резерв","",'SV777-2 (SV004)'!D541)</f>
      </c>
      <c r="E116">
        <f>IF('SV777-2 (SV004)'!D540&lt;1,"","ШЛ."&amp;'SV777-2 (SV004)'!D540)</f>
      </c>
    </row>
    <row r="117" spans="1:5" x14ac:dyDescent="0.25">
      <c r="A117">
        <v>6</v>
      </c>
      <c r="B117" t="str">
        <f>IF('SV777-2 (SV004)'!F540&lt;1,"резерв",'SV777-2 (SV004)'!F540)</f>
        <v>резерв</v>
      </c>
      <c r="C117" s="102">
        <f>'SV777-2 (SV004)'!F541</f>
      </c>
      <c r="D117" s="103">
        <f>IF(B117="резерв","",'SV777-2 (SV004)'!H541)</f>
      </c>
      <c r="E117">
        <f>IF('SV777-2 (SV004)'!H540&lt;1,"","ШЛ."&amp;'SV777-2 (SV004)'!H540)</f>
      </c>
    </row>
    <row r="118" spans="1:5" x14ac:dyDescent="0.25">
      <c r="A118">
        <v>7</v>
      </c>
      <c r="B118" t="str">
        <f>IF('SV777-2 (SV004)'!J540&lt;1,"резерв",'SV777-2 (SV004)'!J540)</f>
        <v>резерв</v>
      </c>
      <c r="C118" s="102">
        <f>'SV777-2 (SV004)'!J541</f>
      </c>
      <c r="D118" s="103">
        <f>IF(B118="резерв","",'SV777-2 (SV004)'!L541)</f>
      </c>
      <c r="E118">
        <f>IF('SV777-2 (SV004)'!L540&lt;1,"","ШЛ."&amp;'SV777-2 (SV004)'!L540)</f>
      </c>
    </row>
    <row r="119" spans="1:5" x14ac:dyDescent="0.25">
      <c r="A119">
        <v>8</v>
      </c>
      <c r="B119" t="str">
        <f>IF('SV777-2 (SV004)'!N540&lt;1,"резерв",'SV777-2 (SV004)'!N540)</f>
        <v>резерв</v>
      </c>
      <c r="C119" s="102">
        <f>'SV777-2 (SV004)'!N541</f>
      </c>
      <c r="D119" s="103">
        <f>IF(B119="резерв","",'SV777-2 (SV004)'!P541)</f>
      </c>
      <c r="E119">
        <f>IF('SV777-2 (SV004)'!P540&lt;1,"","ШЛ."&amp;'SV777-2 (SV004)'!P540)</f>
      </c>
    </row>
    <row r="120" spans="2:2" x14ac:dyDescent="0.25">
      <c r="B120" t="s">
        <v>99</v>
      </c>
    </row>
    <row r="121" spans="1:5" x14ac:dyDescent="0.25">
      <c r="A121">
        <v>1</v>
      </c>
      <c r="B121" t="str">
        <f>IF('SV777-2 (SV004)'!B562&lt;1,"резерв",'SV777-2 (SV004)'!B562)</f>
        <v>резерв</v>
      </c>
      <c r="C121" s="102">
        <f>'SV777-2 (SV004)'!B563</f>
      </c>
      <c r="D121" s="103">
        <f>IF(B121="резерв","",'SV777-2 (SV004)'!D563)</f>
      </c>
      <c r="E121">
        <f>IF('SV777-2 (SV004)'!D562&lt;1,"","ШЛ."&amp;'SV777-2 (SV004)'!D562)</f>
      </c>
    </row>
    <row r="122" spans="1:5" x14ac:dyDescent="0.25">
      <c r="A122">
        <v>2</v>
      </c>
      <c r="B122" t="str">
        <f>IF('SV777-2 (SV004)'!F562&lt;1,"резерв",'SV777-2 (SV004)'!F562)</f>
        <v>резерв</v>
      </c>
      <c r="C122" s="102">
        <f>'SV777-2 (SV004)'!F563</f>
      </c>
      <c r="D122" s="103">
        <f>IF(B122="резерв","",'SV777-2 (SV004)'!H563)</f>
      </c>
      <c r="E122">
        <f>IF('SV777-2 (SV004)'!H562&lt;1,"","ШЛ."&amp;'SV777-2 (SV004)'!H562)</f>
      </c>
    </row>
    <row r="123" spans="1:5" x14ac:dyDescent="0.25">
      <c r="A123">
        <v>3</v>
      </c>
      <c r="B123" t="str">
        <f>IF('SV777-2 (SV004)'!J562&lt;1,"резерв",'SV777-2 (SV004)'!J562)</f>
        <v>резерв</v>
      </c>
      <c r="C123" s="102">
        <f>'SV777-2 (SV004)'!J563</f>
      </c>
      <c r="D123" s="103">
        <f>IF(B123="резерв","",'SV777-2 (SV004)'!L563)</f>
      </c>
      <c r="E123">
        <f>IF('SV777-2 (SV004)'!L562&lt;1,"","ШЛ."&amp;'SV777-2 (SV004)'!L562)</f>
      </c>
    </row>
    <row r="124" spans="1:5" x14ac:dyDescent="0.25">
      <c r="A124">
        <v>4</v>
      </c>
      <c r="B124" t="str">
        <f>IF('SV777-2 (SV004)'!N562&lt;1,"резерв",'SV777-2 (SV004)'!N562)</f>
        <v>резерв</v>
      </c>
      <c r="C124" s="102">
        <f>'SV777-2 (SV004)'!N563</f>
      </c>
      <c r="D124" s="103">
        <f>IF(B124="резерв","",'SV777-2 (SV004)'!P563)</f>
      </c>
      <c r="E124">
        <f>IF('SV777-2 (SV004)'!P562&lt;1,"","ШЛ."&amp;'SV777-2 (SV004)'!P562)</f>
      </c>
    </row>
    <row r="125" spans="1:5" x14ac:dyDescent="0.25">
      <c r="A125">
        <v>5</v>
      </c>
      <c r="B125" t="str">
        <f>IF('SV777-2 (SV004)'!B582&lt;1,"резерв",'SV777-2 (SV004)'!B582)</f>
        <v>резерв</v>
      </c>
      <c r="C125" s="102">
        <f>'SV777-2 (SV004)'!B583</f>
      </c>
      <c r="D125" s="103">
        <f>IF(B125="резерв","",'SV777-2 (SV004)'!D583)</f>
      </c>
      <c r="E125">
        <f>IF('SV777-2 (SV004)'!D582&lt;1,"","ШЛ."&amp;'SV777-2 (SV004)'!D582)</f>
      </c>
    </row>
    <row r="126" spans="1:5" x14ac:dyDescent="0.25">
      <c r="A126">
        <v>6</v>
      </c>
      <c r="B126" t="str">
        <f>IF('SV777-2 (SV004)'!F582&lt;1,"резерв",'SV777-2 (SV004)'!F582)</f>
        <v>резерв</v>
      </c>
      <c r="C126" s="102">
        <f>'SV777-2 (SV004)'!F583</f>
      </c>
      <c r="D126" s="103">
        <f>IF(B126="резерв","",'SV777-2 (SV004)'!H583)</f>
      </c>
      <c r="E126">
        <f>IF('SV777-2 (SV004)'!H582&lt;1,"","ШЛ."&amp;'SV777-2 (SV004)'!H582)</f>
      </c>
    </row>
    <row r="127" spans="1:5" x14ac:dyDescent="0.25">
      <c r="A127">
        <v>7</v>
      </c>
      <c r="B127" t="str">
        <f>IF('SV777-2 (SV004)'!J582&lt;1,"резерв",'SV777-2 (SV004)'!J582)</f>
        <v>резерв</v>
      </c>
      <c r="C127" s="102">
        <f>'SV777-2 (SV004)'!J583</f>
      </c>
      <c r="D127" s="103">
        <f>IF(B127="резерв","",'SV777-2 (SV004)'!L583)</f>
      </c>
      <c r="E127">
        <f>IF('SV777-2 (SV004)'!L582&lt;1,"","ШЛ."&amp;'SV777-2 (SV004)'!L582)</f>
      </c>
    </row>
    <row r="128" spans="1:5" x14ac:dyDescent="0.25">
      <c r="A128">
        <v>8</v>
      </c>
      <c r="B128" t="str">
        <f>IF('SV777-2 (SV004)'!N582&lt;1,"резерв",'SV777-2 (SV004)'!N582)</f>
        <v>резерв</v>
      </c>
      <c r="C128" s="102">
        <f>'SV777-2 (SV004)'!N583</f>
      </c>
      <c r="D128" s="103">
        <f>IF(B128="резерв","",'SV777-2 (SV004)'!P583)</f>
      </c>
      <c r="E128">
        <f>IF('SV777-2 (SV004)'!P582&lt;1,"","ШЛ."&amp;'SV777-2 (SV004)'!P582)</f>
      </c>
    </row>
    <row r="129" spans="2:2" x14ac:dyDescent="0.25">
      <c r="B129" t="s">
        <v>100</v>
      </c>
    </row>
    <row r="130" spans="1:5" x14ac:dyDescent="0.25">
      <c r="A130">
        <v>1</v>
      </c>
      <c r="B130" t="str">
        <f>IF('SV777-2 (SV004)'!B604&lt;1,"резерв",'SV777-2 (SV004)'!B604)</f>
        <v>резерв</v>
      </c>
      <c r="C130" s="102">
        <f>'SV777-2 (SV004)'!B605</f>
      </c>
      <c r="D130" s="103">
        <f>IF(B130="резерв","",'SV777-2 (SV004)'!D605)</f>
      </c>
      <c r="E130">
        <f>IF('SV777-2 (SV004)'!D604&lt;1,"","ШЛ."&amp;'SV777-2 (SV004)'!D604)</f>
      </c>
    </row>
    <row r="131" spans="1:5" x14ac:dyDescent="0.25">
      <c r="A131">
        <v>2</v>
      </c>
      <c r="B131" t="str">
        <f>IF('SV777-2 (SV004)'!F604&lt;1,"резерв",'SV777-2 (SV004)'!F604)</f>
        <v>резерв</v>
      </c>
      <c r="C131" s="102">
        <f>'SV777-2 (SV004)'!F605</f>
      </c>
      <c r="D131" s="103">
        <f>IF(B131="резерв","",'SV777-2 (SV004)'!H605)</f>
      </c>
      <c r="E131">
        <f>IF('SV777-2 (SV004)'!H604&lt;1,"","ШЛ."&amp;'SV777-2 (SV004)'!H604)</f>
      </c>
    </row>
    <row r="132" spans="1:5" x14ac:dyDescent="0.25">
      <c r="A132">
        <v>3</v>
      </c>
      <c r="B132" t="str">
        <f>IF('SV777-2 (SV004)'!J604&lt;1,"резерв",'SV777-2 (SV004)'!J604)</f>
        <v>резерв</v>
      </c>
      <c r="C132" s="102">
        <f>'SV777-2 (SV004)'!J605</f>
      </c>
      <c r="D132" s="103">
        <f>IF(B132="резерв","",'SV777-2 (SV004)'!L605)</f>
      </c>
      <c r="E132">
        <f>IF('SV777-2 (SV004)'!L604&lt;1,"","ШЛ."&amp;'SV777-2 (SV004)'!L604)</f>
      </c>
    </row>
    <row r="133" spans="1:5" x14ac:dyDescent="0.25">
      <c r="A133">
        <v>4</v>
      </c>
      <c r="B133" t="str">
        <f>IF('SV777-2 (SV004)'!N604&lt;1,"резерв",'SV777-2 (SV004)'!N604)</f>
        <v>резерв</v>
      </c>
      <c r="C133" s="102">
        <f>'SV777-2 (SV004)'!N605</f>
      </c>
      <c r="D133" s="103">
        <f>IF(B133="резерв","",'SV777-2 (SV004)'!P605)</f>
      </c>
      <c r="E133">
        <f>IF('SV777-2 (SV004)'!P604&lt;1,"","ШЛ."&amp;'SV777-2 (SV004)'!P604)</f>
      </c>
    </row>
    <row r="134" spans="1:5" x14ac:dyDescent="0.25">
      <c r="A134">
        <v>5</v>
      </c>
      <c r="B134" t="str">
        <f>IF('SV777-2 (SV004)'!B624&lt;1,"резерв",'SV777-2 (SV004)'!B624)</f>
        <v>резерв</v>
      </c>
      <c r="C134" s="102">
        <f>'SV777-2 (SV004)'!B625</f>
      </c>
      <c r="D134" s="103">
        <f>IF(B134="резерв","",'SV777-2 (SV004)'!D625)</f>
      </c>
      <c r="E134">
        <f>IF('SV777-2 (SV004)'!D624&lt;1,"","ШЛ."&amp;'SV777-2 (SV004)'!D624)</f>
      </c>
    </row>
    <row r="135" spans="1:5" x14ac:dyDescent="0.25">
      <c r="A135">
        <v>6</v>
      </c>
      <c r="B135" t="str">
        <f>IF('SV777-2 (SV004)'!F624&lt;1,"резерв",'SV777-2 (SV004)'!F624)</f>
        <v>резерв</v>
      </c>
      <c r="C135" s="102">
        <f>'SV777-2 (SV004)'!F625</f>
      </c>
      <c r="D135" s="103">
        <f>IF(B135="резерв","",'SV777-2 (SV004)'!H625)</f>
      </c>
      <c r="E135">
        <f>IF('SV777-2 (SV004)'!H624&lt;1,"","ШЛ."&amp;'SV777-2 (SV004)'!H624)</f>
      </c>
    </row>
    <row r="136" spans="1:5" x14ac:dyDescent="0.25">
      <c r="A136">
        <v>7</v>
      </c>
      <c r="B136" t="str">
        <f>IF('SV777-2 (SV004)'!J624&lt;1,"резерв",'SV777-2 (SV004)'!J624)</f>
        <v>резерв</v>
      </c>
      <c r="C136" s="102">
        <f>'SV777-2 (SV004)'!J625</f>
      </c>
      <c r="D136" s="103">
        <f>IF(B136="резерв","",'SV777-2 (SV004)'!L625)</f>
      </c>
      <c r="E136">
        <f>IF('SV777-2 (SV004)'!L624&lt;1,"","ШЛ."&amp;'SV777-2 (SV004)'!L624)</f>
      </c>
    </row>
    <row r="137" spans="1:5" x14ac:dyDescent="0.25">
      <c r="A137">
        <v>8</v>
      </c>
      <c r="B137" t="str">
        <f>IF('SV777-2 (SV004)'!N624&lt;1,"резерв",'SV777-2 (SV004)'!N624)</f>
        <v>резерв</v>
      </c>
      <c r="C137" s="102">
        <f>'SV777-2 (SV004)'!N625</f>
      </c>
      <c r="D137" s="103">
        <f>IF(B137="резерв","",'SV777-2 (SV004)'!P625)</f>
      </c>
      <c r="E137">
        <f>IF('SV777-2 (SV004)'!P624&lt;1,"","ШЛ."&amp;'SV777-2 (SV004)'!P624)</f>
      </c>
    </row>
    <row r="138" spans="2:2" x14ac:dyDescent="0.25">
      <c r="B138" t="s">
        <v>101</v>
      </c>
    </row>
    <row r="139" spans="1:5" x14ac:dyDescent="0.25">
      <c r="A139">
        <v>1</v>
      </c>
      <c r="B139" t="str">
        <f>IF('SV777-2 (SV004)'!B646&lt;1,"резерв",'SV777-2 (SV004)'!B646)</f>
        <v>резерв</v>
      </c>
      <c r="C139" s="102">
        <f>'SV777-2 (SV004)'!B647</f>
      </c>
      <c r="D139" s="103">
        <f>IF(B139="резерв","",'SV777-2 (SV004)'!D647)</f>
      </c>
      <c r="E139">
        <f>IF('SV777-2 (SV004)'!D646&lt;1,"","ШЛ."&amp;'SV777-2 (SV004)'!D646)</f>
      </c>
    </row>
    <row r="140" spans="1:5" x14ac:dyDescent="0.25">
      <c r="A140">
        <v>2</v>
      </c>
      <c r="B140" t="str">
        <f>IF('SV777-2 (SV004)'!F646&lt;1,"резерв",'SV777-2 (SV004)'!F646)</f>
        <v>резерв</v>
      </c>
      <c r="C140" s="102">
        <f>'SV777-2 (SV004)'!F647</f>
      </c>
      <c r="D140" s="103">
        <f>IF(B140="резерв","",'SV777-2 (SV004)'!H647)</f>
      </c>
      <c r="E140">
        <f>IF('SV777-2 (SV004)'!H646&lt;1,"","ШЛ."&amp;'SV777-2 (SV004)'!H646)</f>
      </c>
    </row>
    <row r="141" spans="1:5" x14ac:dyDescent="0.25">
      <c r="A141">
        <v>3</v>
      </c>
      <c r="B141" t="str">
        <f>IF('SV777-2 (SV004)'!J646&lt;1,"резерв",'SV777-2 (SV004)'!J646)</f>
        <v>резерв</v>
      </c>
      <c r="C141" s="102">
        <f>'SV777-2 (SV004)'!J647</f>
      </c>
      <c r="D141" s="103">
        <f>IF(B141="резерв","",'SV777-2 (SV004)'!L647)</f>
      </c>
      <c r="E141">
        <f>IF('SV777-2 (SV004)'!L646&lt;1,"","ШЛ."&amp;'SV777-2 (SV004)'!L646)</f>
      </c>
    </row>
    <row r="142" spans="1:5" x14ac:dyDescent="0.25">
      <c r="A142">
        <v>4</v>
      </c>
      <c r="B142" t="str">
        <f>IF('SV777-2 (SV004)'!N646&lt;1,"резерв",'SV777-2 (SV004)'!N646)</f>
        <v>резерв</v>
      </c>
      <c r="C142" s="102">
        <f>'SV777-2 (SV004)'!N647</f>
      </c>
      <c r="D142" s="103">
        <f>IF(B142="резерв","",'SV777-2 (SV004)'!P647)</f>
      </c>
      <c r="E142">
        <f>IF('SV777-2 (SV004)'!P646&lt;1,"","ШЛ."&amp;'SV777-2 (SV004)'!P646)</f>
      </c>
    </row>
    <row r="143" spans="1:5" x14ac:dyDescent="0.25">
      <c r="A143">
        <v>5</v>
      </c>
      <c r="B143" t="str">
        <f>IF('SV777-2 (SV004)'!B666&lt;1,"резерв",'SV777-2 (SV004)'!B666)</f>
        <v>резерв</v>
      </c>
      <c r="C143" s="102">
        <f>'SV777-2 (SV004)'!B667</f>
      </c>
      <c r="D143" s="103">
        <f>IF(B143="резерв","",'SV777-2 (SV004)'!D667)</f>
      </c>
      <c r="E143">
        <f>IF('SV777-2 (SV004)'!D666&lt;1,"","ШЛ."&amp;'SV777-2 (SV004)'!D666)</f>
      </c>
    </row>
    <row r="144" spans="1:5" x14ac:dyDescent="0.25">
      <c r="A144">
        <v>6</v>
      </c>
      <c r="B144" t="str">
        <f>IF('SV777-2 (SV004)'!F666&lt;1,"резерв",'SV777-2 (SV004)'!F666)</f>
        <v>резерв</v>
      </c>
      <c r="C144" s="102">
        <f>'SV777-2 (SV004)'!F667</f>
      </c>
      <c r="D144" s="103">
        <f>IF(B144="резерв","",'SV777-2 (SV004)'!H667)</f>
      </c>
      <c r="E144">
        <f>IF('SV777-2 (SV004)'!H666&lt;1,"","ШЛ."&amp;'SV777-2 (SV004)'!H666)</f>
      </c>
    </row>
    <row r="145" spans="1:5" x14ac:dyDescent="0.25">
      <c r="A145">
        <v>7</v>
      </c>
      <c r="B145" t="str">
        <f>IF('SV777-2 (SV004)'!J666&lt;1,"резерв",'SV777-2 (SV004)'!J666)</f>
        <v>резерв</v>
      </c>
      <c r="C145" s="102">
        <f>'SV777-2 (SV004)'!J667</f>
      </c>
      <c r="D145" s="103">
        <f>IF(B145="резерв","",'SV777-2 (SV004)'!L667)</f>
      </c>
      <c r="E145">
        <f>IF('SV777-2 (SV004)'!L666&lt;1,"","ШЛ."&amp;'SV777-2 (SV004)'!L666)</f>
      </c>
    </row>
    <row r="146" spans="1:5" x14ac:dyDescent="0.25">
      <c r="A146">
        <v>8</v>
      </c>
      <c r="B146" t="str">
        <f>IF('SV777-2 (SV004)'!N666&lt;1,"резерв",'SV777-2 (SV004)'!N666)</f>
        <v>резерв</v>
      </c>
      <c r="C146" s="102">
        <f>'SV777-2 (SV004)'!N667</f>
      </c>
      <c r="D146" s="103">
        <f>IF(B146="резерв","",'SV777-2 (SV004)'!P667)</f>
      </c>
      <c r="E146">
        <f>IF('SV777-2 (SV004)'!P666&lt;1,"","ШЛ."&amp;'SV777-2 (SV004)'!P666)</f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6"/>
  <sheetViews>
    <sheetView workbookViewId="0" zoomScale="100" zoomScaleNormal="100">
      <selection activeCell="E14" sqref="E14"/>
    </sheetView>
  </sheetViews>
  <sheetFormatPr defaultRowHeight="15" outlineLevelRow="0" outlineLevelCol="0" x14ac:dyDescent="0.25"/>
  <cols>
    <col min="2" max="2" width="9.28515625" customWidth="1"/>
    <col min="3" max="3" width="5" customWidth="1"/>
  </cols>
  <sheetData>
    <row r="2" spans="3:3" x14ac:dyDescent="0.25">
      <c r="C2" t="s">
        <v>106</v>
      </c>
    </row>
    <row r="3" spans="2:2" x14ac:dyDescent="0.25">
      <c r="B3" t="s">
        <v>103</v>
      </c>
    </row>
    <row r="4" spans="1:5" x14ac:dyDescent="0.25">
      <c r="A4">
        <v>1</v>
      </c>
      <c r="B4" t="str">
        <f>IF('SV777-3 (SV004)'!B16&lt;1,"резерв",'SV777-3 (SV004)'!B16)</f>
        <v>резерв</v>
      </c>
      <c r="C4" s="102">
        <f>'SV777-3 (SV004)'!B17</f>
      </c>
      <c r="D4" s="103">
        <f>IF(B4="резерв","",'SV777-3 (SV004)'!D17)</f>
      </c>
      <c r="E4">
        <f>IF('SV777-3 (SV004)'!D16&lt;1,"","ШЛ."&amp;'SV777-3 (SV004)'!D16)</f>
      </c>
    </row>
    <row r="5" spans="1:5" x14ac:dyDescent="0.25">
      <c r="A5">
        <v>2</v>
      </c>
      <c r="B5" t="str">
        <f>IF('SV777-3 (SV004)'!F16&lt;1,"резерв",'SV777-3 (SV004)'!F16)</f>
        <v>резерв</v>
      </c>
      <c r="C5" s="102">
        <f>'SV777-3 (SV004)'!F17</f>
      </c>
      <c r="D5" s="103">
        <f>IF(B5="резерв","",'SV777-3 (SV004)'!H17)</f>
      </c>
      <c r="E5">
        <f>IF('SV777-3 (SV004)'!H16&lt;1,"","ШЛ."&amp;'SV777-3 (SV004)'!H16)</f>
      </c>
    </row>
    <row r="6" spans="1:5" x14ac:dyDescent="0.25">
      <c r="A6">
        <v>3</v>
      </c>
      <c r="B6" t="str">
        <f>IF('SV777-3 (SV004)'!J16&lt;1,"резерв",'SV777-3 (SV004)'!J16)</f>
        <v>резерв</v>
      </c>
      <c r="C6" s="102">
        <f>'SV777-3 (SV004)'!J17</f>
      </c>
      <c r="D6" s="103">
        <f>IF(B6="резерв","",'SV777-3 (SV004)'!L17)</f>
      </c>
      <c r="E6">
        <f>IF('SV777-3 (SV004)'!L16&lt;1,"","ШЛ."&amp;'SV777-3 (SV004)'!L16)</f>
      </c>
    </row>
    <row r="7" spans="1:5" x14ac:dyDescent="0.25">
      <c r="A7">
        <v>4</v>
      </c>
      <c r="B7" t="str">
        <f>IF('SV777-3 (SV004)'!N16&lt;1,"резерв",'SV777-3 (SV004)'!N16)</f>
        <v>резерв</v>
      </c>
      <c r="C7" s="102">
        <f>'SV777-3 (SV004)'!N17</f>
      </c>
      <c r="D7" s="103">
        <f>IF(B7="резерв","",'SV777-3 (SV004)'!P17)</f>
      </c>
      <c r="E7">
        <f>IF('SV777-3 (SV004)'!P16&lt;1,"","ШЛ."&amp;'SV777-3 (SV004)'!P16)</f>
      </c>
    </row>
    <row r="8" spans="1:5" x14ac:dyDescent="0.25">
      <c r="A8">
        <v>5</v>
      </c>
      <c r="B8" t="str">
        <f>IF('SV777-3 (SV004)'!B36&lt;1,"резерв",'SV777-3 (SV004)'!B36)</f>
        <v>резерв</v>
      </c>
      <c r="C8" s="102">
        <f>'SV777-3 (SV004)'!B37</f>
      </c>
      <c r="D8" s="103">
        <f>IF(B8="резерв","",'SV777-3 (SV004)'!D37)</f>
      </c>
      <c r="E8">
        <f>IF('SV777-3 (SV004)'!D36&lt;1,"","ШЛ."&amp;'SV777-3 (SV004)'!D36)</f>
      </c>
    </row>
    <row r="9" spans="1:5" x14ac:dyDescent="0.25">
      <c r="A9">
        <v>6</v>
      </c>
      <c r="B9" t="str">
        <f>IF('SV777-3 (SV004)'!F36&lt;1,"резерв",'SV777-3 (SV004)'!F36)</f>
        <v>резерв</v>
      </c>
      <c r="C9" s="102">
        <f>'SV777-3 (SV004)'!F37</f>
      </c>
      <c r="D9" s="103">
        <f>IF(B9="резерв","",'SV777-3 (SV004)'!H37)</f>
      </c>
      <c r="E9">
        <f>IF('SV777-3 (SV004)'!H36&lt;1,"","ШЛ."&amp;'SV777-3 (SV004)'!H36)</f>
      </c>
    </row>
    <row r="10" spans="1:5" x14ac:dyDescent="0.25">
      <c r="A10">
        <v>7</v>
      </c>
      <c r="B10" t="str">
        <f>IF('SV777-3 (SV004)'!J36&lt;1,"резерв",'SV777-3 (SV004)'!J36)</f>
        <v>резерв</v>
      </c>
      <c r="C10" s="102">
        <f>'SV777-3 (SV004)'!J37</f>
      </c>
      <c r="D10" s="103">
        <f>IF(B10="резерв","",'SV777-3 (SV004)'!L37)</f>
      </c>
      <c r="E10">
        <f>IF('SV777-3 (SV004)'!L36&lt;1,"","ШЛ."&amp;'SV777-3 (SV004)'!L36)</f>
      </c>
    </row>
    <row r="11" spans="1:5" x14ac:dyDescent="0.25">
      <c r="A11">
        <v>8</v>
      </c>
      <c r="B11" t="str">
        <f>IF('SV777-3 (SV004)'!N36&lt;1,"резерв",'SV777-3 (SV004)'!N36)</f>
        <v>резерв</v>
      </c>
      <c r="C11" s="102">
        <f>'SV777-3 (SV004)'!N37</f>
      </c>
      <c r="D11" s="103">
        <f>IF(B11="резерв","",'SV777-3 (SV004)'!P37)</f>
      </c>
      <c r="E11">
        <f>IF('SV777-3 (SV004)'!P36&lt;1,"","ШЛ."&amp;'SV777-3 (SV004)'!P36)</f>
      </c>
    </row>
    <row r="12" spans="2:2" x14ac:dyDescent="0.25">
      <c r="B12" t="s">
        <v>87</v>
      </c>
    </row>
    <row r="13" spans="1:5" x14ac:dyDescent="0.25">
      <c r="A13">
        <v>1</v>
      </c>
      <c r="B13" t="str">
        <f>IF('SV777-3 (SV004)'!B58&lt;1,"резерв",'SV777-3 (SV004)'!B58)</f>
        <v>резерв</v>
      </c>
      <c r="C13" s="102">
        <f>'SV777-3 (SV004)'!B59</f>
      </c>
      <c r="D13" s="103">
        <f>IF(B13="резерв","",'SV777-3 (SV004)'!D59)</f>
      </c>
      <c r="E13">
        <f>IF('SV777-3 (SV004)'!D58&lt;1,"","ШЛ."&amp;'SV777-3 (SV004)'!D58)</f>
      </c>
    </row>
    <row r="14" spans="1:5" x14ac:dyDescent="0.25">
      <c r="A14">
        <v>2</v>
      </c>
      <c r="B14" t="str">
        <f>IF('SV777-3 (SV004)'!F58&lt;1,"резерв",'SV777-3 (SV004)'!F58)</f>
        <v>резерв</v>
      </c>
      <c r="C14" s="102">
        <f>'SV777-3 (SV004)'!F59</f>
      </c>
      <c r="D14" s="103">
        <f>IF(B14="резерв","",'SV777-3 (SV004)'!H59)</f>
      </c>
      <c r="E14">
        <f>IF('SV777-3 (SV004)'!H58&lt;1,"","ШЛ."&amp;'SV777-3 (SV004)'!H58)</f>
      </c>
    </row>
    <row r="15" spans="1:5" x14ac:dyDescent="0.25">
      <c r="A15">
        <v>3</v>
      </c>
      <c r="B15" t="str">
        <f>IF('SV777-3 (SV004)'!J58&lt;1,"резерв",'SV777-3 (SV004)'!J58)</f>
        <v>резерв</v>
      </c>
      <c r="C15" s="102">
        <f>'SV777-3 (SV004)'!J59</f>
      </c>
      <c r="D15" s="103">
        <f>IF(B15="резерв","",'SV777-3 (SV004)'!L59)</f>
      </c>
      <c r="E15">
        <f>IF('SV777-3 (SV004)'!L58&lt;1,"","ШЛ."&amp;'SV777-3 (SV004)'!L58)</f>
      </c>
    </row>
    <row r="16" spans="1:5" x14ac:dyDescent="0.25">
      <c r="A16">
        <v>4</v>
      </c>
      <c r="B16" t="str">
        <f>IF('SV777-3 (SV004)'!N58&lt;1,"резерв",'SV777-3 (SV004)'!N58)</f>
        <v>резерв</v>
      </c>
      <c r="C16" s="102">
        <f>'SV777-3 (SV004)'!N59</f>
      </c>
      <c r="D16" s="103">
        <f>IF(B16="резерв","",'SV777-3 (SV004)'!P59)</f>
      </c>
      <c r="E16">
        <f>IF('SV777-3 (SV004)'!P58&lt;1,"","ШЛ."&amp;'SV777-3 (SV004)'!P58)</f>
      </c>
    </row>
    <row r="17" spans="1:5" x14ac:dyDescent="0.25">
      <c r="A17">
        <v>5</v>
      </c>
      <c r="B17" t="str">
        <f>IF('SV777-3 (SV004)'!B78&lt;1,"резерв",'SV777-3 (SV004)'!B78)</f>
        <v>резерв</v>
      </c>
      <c r="C17" s="102">
        <f>'SV777-3 (SV004)'!B79</f>
      </c>
      <c r="D17" s="103">
        <f>IF(B17="резерв","",'SV777-3 (SV004)'!D79)</f>
      </c>
      <c r="E17">
        <f>IF('SV777-3 (SV004)'!D78&lt;1,"","ШЛ."&amp;'SV777-3 (SV004)'!D78)</f>
      </c>
    </row>
    <row r="18" spans="1:5" x14ac:dyDescent="0.25">
      <c r="A18">
        <v>6</v>
      </c>
      <c r="B18" t="str">
        <f>IF('SV777-3 (SV004)'!F78&lt;1,"резерв",'SV777-3 (SV004)'!F78)</f>
        <v>резерв</v>
      </c>
      <c r="C18" s="102">
        <f>'SV777-3 (SV004)'!F79</f>
      </c>
      <c r="D18" s="103">
        <f>IF(B18="резерв","",'SV777-3 (SV004)'!H79)</f>
      </c>
      <c r="E18">
        <f>IF('SV777-3 (SV004)'!H78&lt;1,"","ШЛ."&amp;'SV777-3 (SV004)'!H78)</f>
      </c>
    </row>
    <row r="19" spans="1:5" x14ac:dyDescent="0.25">
      <c r="A19">
        <v>7</v>
      </c>
      <c r="B19" t="str">
        <f>IF('SV777-3 (SV004)'!J78&lt;1,"резерв",'SV777-3 (SV004)'!J78)</f>
        <v>резерв</v>
      </c>
      <c r="C19" s="102">
        <f>'SV777-3 (SV004)'!J79</f>
      </c>
      <c r="D19" s="103">
        <f>IF(B19="резерв","",'SV777-3 (SV004)'!L79)</f>
      </c>
      <c r="E19">
        <f>IF('SV777-3 (SV004)'!L78&lt;1,"","ШЛ."&amp;'SV777-3 (SV004)'!L78)</f>
      </c>
    </row>
    <row r="20" spans="1:5" x14ac:dyDescent="0.25">
      <c r="A20">
        <v>8</v>
      </c>
      <c r="B20" t="str">
        <f>IF('SV777-3 (SV004)'!N78&lt;1,"резерв",'SV777-3 (SV004)'!N78)</f>
        <v>резерв</v>
      </c>
      <c r="C20" s="102">
        <f>'SV777-3 (SV004)'!N79</f>
      </c>
      <c r="D20" s="103">
        <f>IF(B20="резерв","",'SV777-3 (SV004)'!P79)</f>
      </c>
      <c r="E20">
        <f>IF('SV777-3 (SV004)'!P78&lt;1,"","ШЛ."&amp;'SV777-3 (SV004)'!P78)</f>
      </c>
    </row>
    <row r="21" spans="2:4" x14ac:dyDescent="0.25">
      <c r="B21" t="s">
        <v>107</v>
      </c>
      <c r="C21" s="102"/>
      <c r="D21" s="103"/>
    </row>
    <row r="22" spans="1:5" x14ac:dyDescent="0.25">
      <c r="A22">
        <v>1</v>
      </c>
      <c r="B22" t="str">
        <f>IF('SV777-3 (SV004)'!B100&lt;1,"резерв",'SV777-3 (SV004)'!B100)</f>
        <v>резерв</v>
      </c>
      <c r="C22" s="102">
        <f>'SV777-3 (SV004)'!B101</f>
      </c>
      <c r="D22" s="103">
        <f>IF(B22="резерв","",'SV777-3 (SV004)'!D101)</f>
      </c>
      <c r="E22">
        <f>IF('SV777-3 (SV004)'!D100&lt;1,"","ШЛ."&amp;'SV777-3 (SV004)'!D100)</f>
      </c>
    </row>
    <row r="23" spans="1:5" x14ac:dyDescent="0.25">
      <c r="A23">
        <v>2</v>
      </c>
      <c r="B23" t="str">
        <f>IF('SV777-3 (SV004)'!F100&lt;1,"резерв",'SV777-3 (SV004)'!F100)</f>
        <v>резерв</v>
      </c>
      <c r="C23" s="102">
        <f>'SV777-3 (SV004)'!F101</f>
      </c>
      <c r="D23" s="103">
        <f>IF(B23="резерв","",'SV777-3 (SV004)'!H101)</f>
      </c>
      <c r="E23">
        <f>IF('SV777-3 (SV004)'!H100&lt;1,"","ШЛ."&amp;'SV777-3 (SV004)'!H100)</f>
      </c>
    </row>
    <row r="24" spans="1:5" x14ac:dyDescent="0.25">
      <c r="A24">
        <v>3</v>
      </c>
      <c r="B24" t="str">
        <f>IF('SV777-3 (SV004)'!J100&lt;1,"резерв",'SV777-3 (SV004)'!J100)</f>
        <v>резерв</v>
      </c>
      <c r="C24" s="102">
        <f>'SV777-3 (SV004)'!J101</f>
      </c>
      <c r="D24" s="103">
        <f>IF(B24="резерв","",'SV777-3 (SV004)'!L101)</f>
      </c>
      <c r="E24">
        <f>IF('SV777-3 (SV004)'!L100&lt;1,"","ШЛ."&amp;'SV777-3 (SV004)'!L100)</f>
      </c>
    </row>
    <row r="25" spans="1:5" x14ac:dyDescent="0.25">
      <c r="A25">
        <v>4</v>
      </c>
      <c r="B25" t="str">
        <f>IF('SV777-3 (SV004)'!N100&lt;1,"резерв",'SV777-3 (SV004)'!N100)</f>
        <v>резерв</v>
      </c>
      <c r="C25" s="102">
        <f>'SV777-3 (SV004)'!N101</f>
      </c>
      <c r="D25" s="103">
        <f>IF(B25="резерв","",'SV777-3 (SV004)'!P101)</f>
      </c>
      <c r="E25">
        <f>IF('SV777-3 (SV004)'!P100&lt;1,"","ШЛ."&amp;'SV777-3 (SV004)'!P100)</f>
      </c>
    </row>
    <row r="26" spans="1:5" x14ac:dyDescent="0.25">
      <c r="A26">
        <v>5</v>
      </c>
      <c r="B26" t="str">
        <f>IF('SV777-3 (SV004)'!B120&lt;1,"резерв",'SV777-3 (SV004)'!B120)</f>
        <v>резерв</v>
      </c>
      <c r="C26" s="102">
        <f>'SV777-3 (SV004)'!B121</f>
      </c>
      <c r="D26" s="103">
        <f>IF(B26="резерв","",'SV777-3 (SV004)'!D121)</f>
      </c>
      <c r="E26">
        <f>IF('SV777-3 (SV004)'!D120&lt;1,"","ШЛ."&amp;'SV777-3 (SV004)'!D120)</f>
      </c>
    </row>
    <row r="27" spans="1:5" x14ac:dyDescent="0.25">
      <c r="A27">
        <v>6</v>
      </c>
      <c r="B27" t="str">
        <f>IF('SV777-3 (SV004)'!F120&lt;1,"резерв",'SV777-3 (SV004)'!F120)</f>
        <v>резерв</v>
      </c>
      <c r="C27" s="102">
        <f>'SV777-3 (SV004)'!F121</f>
      </c>
      <c r="D27" s="103">
        <f>IF(B27="резерв","",'SV777-3 (SV004)'!H121)</f>
      </c>
      <c r="E27">
        <f>IF('SV777-3 (SV004)'!H120&lt;1,"","ШЛ."&amp;'SV777-3 (SV004)'!H120)</f>
      </c>
    </row>
    <row r="28" spans="1:5" x14ac:dyDescent="0.25">
      <c r="A28">
        <v>7</v>
      </c>
      <c r="B28" t="str">
        <f>IF('SV777-3 (SV004)'!J120&lt;1,"резерв",'SV777-3 (SV004)'!J120)</f>
        <v>резерв</v>
      </c>
      <c r="C28" s="102">
        <f>'SV777-3 (SV004)'!J121</f>
      </c>
      <c r="D28" s="103">
        <f>IF(B28="резерв","",'SV777-3 (SV004)'!L121)</f>
      </c>
      <c r="E28">
        <f>IF('SV777-3 (SV004)'!L120&lt;1,"","ШЛ."&amp;'SV777-3 (SV004)'!L120)</f>
      </c>
    </row>
    <row r="29" spans="1:5" x14ac:dyDescent="0.25">
      <c r="A29">
        <v>8</v>
      </c>
      <c r="B29" t="str">
        <f>IF('SV777-3 (SV004)'!N120&lt;1,"резерв",'SV777-3 (SV004)'!N120)</f>
        <v>резерв</v>
      </c>
      <c r="C29" s="102">
        <f>'SV777-3 (SV004)'!N121</f>
      </c>
      <c r="D29" s="103">
        <f>IF(B29="резерв","",'SV777-3 (SV004)'!P121)</f>
      </c>
      <c r="E29">
        <f>IF('SV777-3 (SV004)'!P120&lt;1,"","ШЛ."&amp;'SV777-3 (SV004)'!P120)</f>
      </c>
    </row>
    <row r="30" spans="2:4" x14ac:dyDescent="0.25">
      <c r="B30" t="s">
        <v>89</v>
      </c>
      <c r="C30" s="102"/>
      <c r="D30" s="103"/>
    </row>
    <row r="31" spans="1:5" x14ac:dyDescent="0.25">
      <c r="A31">
        <v>1</v>
      </c>
      <c r="B31" t="str">
        <f>IF('SV777-3 (SV004)'!B142&lt;1,"резерв",'SV777-3 (SV004)'!B142)</f>
        <v>резерв</v>
      </c>
      <c r="C31" s="102">
        <f>'SV777-3 (SV004)'!B143</f>
      </c>
      <c r="D31" s="103">
        <f>IF(B31="резерв","",'SV777-3 (SV004)'!D143)</f>
      </c>
      <c r="E31">
        <f>IF('SV777-3 (SV004)'!D142&lt;1,"","ШЛ."&amp;'SV777-3 (SV004)'!D142)</f>
      </c>
    </row>
    <row r="32" spans="1:5" x14ac:dyDescent="0.25">
      <c r="A32">
        <v>2</v>
      </c>
      <c r="B32" t="str">
        <f>IF('SV777-3 (SV004)'!F142&lt;1,"резерв",'SV777-3 (SV004)'!F142)</f>
        <v>резерв</v>
      </c>
      <c r="C32" s="102">
        <f>'SV777-3 (SV004)'!F143</f>
      </c>
      <c r="D32" s="103">
        <f>IF(B32="резерв","",'SV777-3 (SV004)'!H143)</f>
      </c>
      <c r="E32">
        <f>IF('SV777-3 (SV004)'!H142&lt;1,"","ШЛ."&amp;'SV777-3 (SV004)'!H142)</f>
      </c>
    </row>
    <row r="33" spans="1:5" x14ac:dyDescent="0.25">
      <c r="A33">
        <v>3</v>
      </c>
      <c r="B33" t="str">
        <f>IF('SV777-3 (SV004)'!J142&lt;1,"резерв",'SV777-3 (SV004)'!J142)</f>
        <v>резерв</v>
      </c>
      <c r="C33" s="102">
        <f>'SV777-3 (SV004)'!J143</f>
      </c>
      <c r="D33" s="103">
        <f>IF(B33="резерв","",'SV777-3 (SV004)'!L143)</f>
      </c>
      <c r="E33">
        <f>IF('SV777-3 (SV004)'!L142&lt;1,"","ШЛ."&amp;'SV777-3 (SV004)'!L142)</f>
      </c>
    </row>
    <row r="34" spans="1:5" x14ac:dyDescent="0.25">
      <c r="A34">
        <v>4</v>
      </c>
      <c r="B34" t="str">
        <f>IF('SV777-3 (SV004)'!N142&lt;1,"резерв",'SV777-3 (SV004)'!N142)</f>
        <v>резерв</v>
      </c>
      <c r="C34" s="102">
        <f>'SV777-3 (SV004)'!N143</f>
      </c>
      <c r="D34" s="103">
        <f>IF(B34="резерв","",'SV777-3 (SV004)'!P143)</f>
      </c>
      <c r="E34">
        <f>IF('SV777-3 (SV004)'!P142&lt;1,"","ШЛ."&amp;'SV777-3 (SV004)'!P142)</f>
      </c>
    </row>
    <row r="35" spans="1:5" x14ac:dyDescent="0.25">
      <c r="A35">
        <v>5</v>
      </c>
      <c r="B35" t="str">
        <f>IF('SV777-3 (SV004)'!B162&lt;1,"резерв",'SV777-3 (SV004)'!B162)</f>
        <v>резерв</v>
      </c>
      <c r="C35" s="102">
        <f>'SV777-3 (SV004)'!B163</f>
      </c>
      <c r="D35" s="103">
        <f>IF(B35="резерв","",'SV777-3 (SV004)'!D163)</f>
      </c>
      <c r="E35">
        <f>IF('SV777-3 (SV004)'!D162&lt;1,"","ШЛ."&amp;'SV777-3 (SV004)'!D162)</f>
      </c>
    </row>
    <row r="36" spans="1:5" x14ac:dyDescent="0.25">
      <c r="A36">
        <v>6</v>
      </c>
      <c r="B36" t="str">
        <f>IF('SV777-3 (SV004)'!F162&lt;1,"резерв",'SV777-3 (SV004)'!F162)</f>
        <v>резерв</v>
      </c>
      <c r="C36" s="102">
        <f>'SV777-3 (SV004)'!F163</f>
      </c>
      <c r="D36" s="103">
        <f>IF(B36="резерв","",'SV777-3 (SV004)'!H163)</f>
      </c>
      <c r="E36">
        <f>IF('SV777-3 (SV004)'!H162&lt;1,"","ШЛ."&amp;'SV777-3 (SV004)'!H162)</f>
      </c>
    </row>
    <row r="37" spans="1:5" x14ac:dyDescent="0.25">
      <c r="A37">
        <v>7</v>
      </c>
      <c r="B37" t="str">
        <f>IF('SV777-3 (SV004)'!J162&lt;1,"резерв",'SV777-3 (SV004)'!J162)</f>
        <v>резерв</v>
      </c>
      <c r="C37" s="102">
        <f>'SV777-3 (SV004)'!J163</f>
      </c>
      <c r="D37" s="103">
        <f>IF(B37="резерв","",'SV777-3 (SV004)'!L163)</f>
      </c>
      <c r="E37">
        <f>IF('SV777-3 (SV004)'!L162&lt;1,"","ШЛ."&amp;'SV777-3 (SV004)'!L162)</f>
      </c>
    </row>
    <row r="38" spans="1:5" x14ac:dyDescent="0.25">
      <c r="A38">
        <v>8</v>
      </c>
      <c r="B38" t="str">
        <f>IF('SV777-3 (SV004)'!N162&lt;1,"резерв",'SV777-3 (SV004)'!N162)</f>
        <v>резерв</v>
      </c>
      <c r="C38" s="102">
        <f>'SV777-3 (SV004)'!N163</f>
      </c>
      <c r="D38" s="103">
        <f>IF(B38="резерв","",'SV777-3 (SV004)'!P163)</f>
      </c>
      <c r="E38">
        <f>IF('SV777-3 (SV004)'!P162&lt;1,"","ШЛ."&amp;'SV777-3 (SV004)'!P162)</f>
      </c>
    </row>
    <row r="39" spans="2:4" x14ac:dyDescent="0.25">
      <c r="B39" t="s">
        <v>90</v>
      </c>
      <c r="C39" s="102"/>
      <c r="D39" s="103"/>
    </row>
    <row r="40" spans="1:5" x14ac:dyDescent="0.25">
      <c r="A40">
        <v>1</v>
      </c>
      <c r="B40" t="str">
        <f>IF('SV777-3 (SV004)'!B184&lt;1,"резерв",'SV777-3 (SV004)'!B184)</f>
        <v>резерв</v>
      </c>
      <c r="C40" s="102">
        <f>'SV777-3 (SV004)'!B185</f>
      </c>
      <c r="D40" s="103">
        <f>IF(B40="резерв","",'SV777-3 (SV004)'!D185)</f>
      </c>
      <c r="E40">
        <f>IF('SV777-3 (SV004)'!D184&lt;1,"","ШЛ."&amp;'SV777-3 (SV004)'!D184)</f>
      </c>
    </row>
    <row r="41" spans="1:5" x14ac:dyDescent="0.25">
      <c r="A41">
        <v>2</v>
      </c>
      <c r="B41" t="str">
        <f>IF('SV777-3 (SV004)'!F184&lt;1,"резерв",'SV777-3 (SV004)'!F184)</f>
        <v>резерв</v>
      </c>
      <c r="C41" s="102">
        <f>'SV777-3 (SV004)'!F185</f>
      </c>
      <c r="D41" s="103">
        <f>IF(B41="резерв","",'SV777-3 (SV004)'!H185)</f>
      </c>
      <c r="E41">
        <f>IF('SV777-3 (SV004)'!H184&lt;1,"","ШЛ."&amp;'SV777-3 (SV004)'!H184)</f>
      </c>
    </row>
    <row r="42" spans="1:5" x14ac:dyDescent="0.25">
      <c r="A42">
        <v>3</v>
      </c>
      <c r="B42" t="str">
        <f>IF('SV777-3 (SV004)'!J184&lt;1,"резерв",'SV777-3 (SV004)'!J184)</f>
        <v>резерв</v>
      </c>
      <c r="C42" s="102">
        <f>'SV777-3 (SV004)'!J185</f>
      </c>
      <c r="D42" s="103">
        <f>IF(B42="резерв","",'SV777-3 (SV004)'!L185)</f>
      </c>
      <c r="E42">
        <f>IF('SV777-3 (SV004)'!L184&lt;1,"","ШЛ."&amp;'SV777-3 (SV004)'!L184)</f>
      </c>
    </row>
    <row r="43" spans="1:5" x14ac:dyDescent="0.25">
      <c r="A43">
        <v>4</v>
      </c>
      <c r="B43" t="str">
        <f>IF('SV777-3 (SV004)'!N184&lt;1,"резерв",'SV777-3 (SV004)'!N184)</f>
        <v>резерв</v>
      </c>
      <c r="C43" s="102">
        <f>'SV777-3 (SV004)'!N185</f>
      </c>
      <c r="D43" s="103">
        <f>IF(B43="резерв","",'SV777-3 (SV004)'!P185)</f>
      </c>
      <c r="E43">
        <f>IF('SV777-3 (SV004)'!P184&lt;1,"","ШЛ."&amp;'SV777-3 (SV004)'!P184)</f>
      </c>
    </row>
    <row r="44" spans="1:5" x14ac:dyDescent="0.25">
      <c r="A44">
        <v>5</v>
      </c>
      <c r="B44" t="str">
        <f>IF('SV777-3 (SV004)'!B204&lt;1,"резерв",'SV777-3 (SV004)'!B204)</f>
        <v>резерв</v>
      </c>
      <c r="C44" s="102">
        <f>'SV777-3 (SV004)'!B205</f>
      </c>
      <c r="D44" s="103">
        <f>IF(B44="резерв","",'SV777-3 (SV004)'!D205)</f>
      </c>
      <c r="E44">
        <f>IF('SV777-3 (SV004)'!D204&lt;1,"","ШЛ."&amp;'SV777-3 (SV004)'!D204)</f>
      </c>
    </row>
    <row r="45" spans="1:5" x14ac:dyDescent="0.25">
      <c r="A45">
        <v>6</v>
      </c>
      <c r="B45" t="str">
        <f>IF('SV777-3 (SV004)'!F204&lt;1,"резерв",'SV777-3 (SV004)'!F204)</f>
        <v>резерв</v>
      </c>
      <c r="C45" s="102">
        <f>'SV777-3 (SV004)'!F205</f>
      </c>
      <c r="D45" s="103">
        <f>IF(B45="резерв","",'SV777-3 (SV004)'!H205)</f>
      </c>
      <c r="E45">
        <f>IF('SV777-3 (SV004)'!H204&lt;1,"","ШЛ."&amp;'SV777-3 (SV004)'!H204)</f>
      </c>
    </row>
    <row r="46" spans="1:5" x14ac:dyDescent="0.25">
      <c r="A46">
        <v>7</v>
      </c>
      <c r="B46" t="str">
        <f>IF('SV777-3 (SV004)'!J204&lt;1,"резерв",'SV777-3 (SV004)'!J204)</f>
        <v>резерв</v>
      </c>
      <c r="C46" s="102">
        <f>'SV777-3 (SV004)'!J205</f>
      </c>
      <c r="D46" s="103">
        <f>IF(B46="резерв","",'SV777-3 (SV004)'!L205)</f>
      </c>
      <c r="E46">
        <f>IF('SV777-3 (SV004)'!L204&lt;1,"","ШЛ."&amp;'SV777-3 (SV004)'!L204)</f>
      </c>
    </row>
    <row r="47" spans="1:5" x14ac:dyDescent="0.25">
      <c r="A47">
        <v>8</v>
      </c>
      <c r="B47" t="str">
        <f>IF('SV777-3 (SV004)'!N204&lt;1,"резерв",'SV777-3 (SV004)'!N204)</f>
        <v>резерв</v>
      </c>
      <c r="C47" s="102">
        <f>'SV777-3 (SV004)'!N205</f>
      </c>
      <c r="D47" s="103">
        <f>IF(B47="резерв","",'SV777-3 (SV004)'!P205)</f>
      </c>
      <c r="E47">
        <f>IF('SV777-3 (SV004)'!P204&lt;1,"","ШЛ."&amp;'SV777-3 (SV004)'!P204)</f>
      </c>
    </row>
    <row r="48" spans="2:2" x14ac:dyDescent="0.25">
      <c r="B48" t="s">
        <v>91</v>
      </c>
    </row>
    <row r="49" spans="1:5" x14ac:dyDescent="0.25">
      <c r="A49">
        <v>1</v>
      </c>
      <c r="B49" t="str">
        <f>IF('SV777-3 (SV004)'!B226&lt;1,"резерв",'SV777-3 (SV004)'!B226)</f>
        <v>резерв</v>
      </c>
      <c r="C49" s="102">
        <f>'SV777-3 (SV004)'!B227</f>
      </c>
      <c r="D49" s="103">
        <f>IF(B49="резерв","",'SV777-3 (SV004)'!D227)</f>
      </c>
      <c r="E49">
        <f>IF('SV777-3 (SV004)'!D226&lt;1,"","ШЛ."&amp;'SV777-3 (SV004)'!D226)</f>
      </c>
    </row>
    <row r="50" spans="1:5" x14ac:dyDescent="0.25">
      <c r="A50">
        <v>2</v>
      </c>
      <c r="B50" t="str">
        <f>IF('SV777-3 (SV004)'!F226&lt;1,"резерв",'SV777-3 (SV004)'!F226)</f>
        <v>резерв</v>
      </c>
      <c r="C50" s="102">
        <f>'SV777-3 (SV004)'!F227</f>
      </c>
      <c r="D50" s="103">
        <f>IF(B50="резерв","",'SV777-3 (SV004)'!H227)</f>
      </c>
      <c r="E50">
        <f>IF('SV777-3 (SV004)'!H226&lt;1,"","ШЛ."&amp;'SV777-3 (SV004)'!H226)</f>
      </c>
    </row>
    <row r="51" spans="1:5" x14ac:dyDescent="0.25">
      <c r="A51">
        <v>3</v>
      </c>
      <c r="B51" t="str">
        <f>IF('SV777-3 (SV004)'!J226&lt;1,"резерв",'SV777-3 (SV004)'!J226)</f>
        <v>резерв</v>
      </c>
      <c r="C51" s="102">
        <f>'SV777-3 (SV004)'!J227</f>
      </c>
      <c r="D51" s="103">
        <f>IF(B51="резерв","",'SV777-3 (SV004)'!L227)</f>
      </c>
      <c r="E51">
        <f>IF('SV777-3 (SV004)'!L226&lt;1,"","ШЛ."&amp;'SV777-3 (SV004)'!L226)</f>
      </c>
    </row>
    <row r="52" spans="1:5" x14ac:dyDescent="0.25">
      <c r="A52">
        <v>4</v>
      </c>
      <c r="B52" t="str">
        <f>IF('SV777-3 (SV004)'!N226&lt;1,"резерв",'SV777-3 (SV004)'!N226)</f>
        <v>резерв</v>
      </c>
      <c r="C52" s="102">
        <f>'SV777-3 (SV004)'!N227</f>
      </c>
      <c r="D52" s="103">
        <f>IF(B52="резерв","",'SV777-3 (SV004)'!P227)</f>
      </c>
      <c r="E52">
        <f>IF('SV777-3 (SV004)'!P226&lt;1,"","ШЛ."&amp;'SV777-3 (SV004)'!P226)</f>
      </c>
    </row>
    <row r="53" spans="1:5" x14ac:dyDescent="0.25">
      <c r="A53">
        <v>5</v>
      </c>
      <c r="B53" t="str">
        <f>IF('SV777-3 (SV004)'!B246&lt;1,"резерв",'SV777-3 (SV004)'!B246)</f>
        <v>резерв</v>
      </c>
      <c r="C53" s="102">
        <f>'SV777-3 (SV004)'!B247</f>
      </c>
      <c r="D53" s="103">
        <f>IF(B53="резерв","",'SV777-3 (SV004)'!D247)</f>
      </c>
      <c r="E53">
        <f>IF('SV777-3 (SV004)'!D246&lt;1,"","ШЛ."&amp;'SV777-3 (SV004)'!D246)</f>
      </c>
    </row>
    <row r="54" spans="1:5" x14ac:dyDescent="0.25">
      <c r="A54">
        <v>6</v>
      </c>
      <c r="B54" t="str">
        <f>IF('SV777-3 (SV004)'!F246&lt;1,"резерв",'SV777-3 (SV004)'!F246)</f>
        <v>резерв</v>
      </c>
      <c r="C54" s="102">
        <f>'SV777-3 (SV004)'!F247</f>
      </c>
      <c r="D54" s="103">
        <f>IF(B54="резерв","",'SV777-3 (SV004)'!H247)</f>
      </c>
      <c r="E54">
        <f>IF('SV777-3 (SV004)'!H246&lt;1,"","ШЛ."&amp;'SV777-3 (SV004)'!H246)</f>
      </c>
    </row>
    <row r="55" spans="1:5" x14ac:dyDescent="0.25">
      <c r="A55">
        <v>7</v>
      </c>
      <c r="B55" t="str">
        <f>IF('SV777-3 (SV004)'!J246&lt;1,"резерв",'SV777-3 (SV004)'!J246)</f>
        <v>резерв</v>
      </c>
      <c r="C55" s="102">
        <f>'SV777-3 (SV004)'!J247</f>
      </c>
      <c r="D55" s="103">
        <f>IF(B55="резерв","",'SV777-3 (SV004)'!L247)</f>
      </c>
      <c r="E55">
        <f>IF('SV777-3 (SV004)'!L246&lt;1,"","ШЛ."&amp;'SV777-3 (SV004)'!L246)</f>
      </c>
    </row>
    <row r="56" spans="1:5" x14ac:dyDescent="0.25">
      <c r="A56">
        <v>8</v>
      </c>
      <c r="B56" t="str">
        <f>IF('SV777-3 (SV004)'!N246&lt;1,"резерв",'SV777-3 (SV004)'!N246)</f>
        <v>резерв</v>
      </c>
      <c r="C56" s="102">
        <f>'SV777-3 (SV004)'!N247</f>
      </c>
      <c r="D56" s="103">
        <f>IF(B56="резерв","",'SV777-3 (SV004)'!P247)</f>
      </c>
      <c r="E56">
        <f>IF('SV777-3 (SV004)'!P246&lt;1,"","ШЛ."&amp;'SV777-3 (SV004)'!P246)</f>
      </c>
    </row>
    <row r="57" spans="2:2" x14ac:dyDescent="0.25">
      <c r="B57" t="s">
        <v>92</v>
      </c>
    </row>
    <row r="58" spans="1:5" x14ac:dyDescent="0.25">
      <c r="A58">
        <v>1</v>
      </c>
      <c r="B58" t="str">
        <f>IF('SV777-3 (SV004)'!B268&lt;1,"резерв",'SV777-3 (SV004)'!B268)</f>
        <v>резерв</v>
      </c>
      <c r="C58" s="102">
        <f>'SV777-3 (SV004)'!B269</f>
      </c>
      <c r="D58" s="103">
        <f>IF(B58="резерв","",'SV777-3 (SV004)'!D269)</f>
      </c>
      <c r="E58">
        <f>IF('SV777-3 (SV004)'!D268&lt;1,"","ШЛ."&amp;'SV777-3 (SV004)'!D268)</f>
      </c>
    </row>
    <row r="59" spans="1:5" x14ac:dyDescent="0.25">
      <c r="A59">
        <v>2</v>
      </c>
      <c r="B59" t="str">
        <f>IF('SV777-3 (SV004)'!F268&lt;1,"резерв",'SV777-3 (SV004)'!F268)</f>
        <v>резерв</v>
      </c>
      <c r="C59" s="102">
        <f>'SV777-3 (SV004)'!F269</f>
      </c>
      <c r="D59" s="103">
        <f>IF(B59="резерв","",'SV777-3 (SV004)'!H269)</f>
      </c>
      <c r="E59">
        <f>IF('SV777-3 (SV004)'!H268&lt;1,"","ШЛ."&amp;'SV777-3 (SV004)'!H268)</f>
      </c>
    </row>
    <row r="60" spans="1:5" x14ac:dyDescent="0.25">
      <c r="A60">
        <v>3</v>
      </c>
      <c r="B60" t="str">
        <f>IF('SV777-3 (SV004)'!J268&lt;1,"резерв",'SV777-3 (SV004)'!J268)</f>
        <v>резерв</v>
      </c>
      <c r="C60" s="102">
        <f>'SV777-3 (SV004)'!J269</f>
      </c>
      <c r="D60" s="103">
        <f>IF(B60="резерв","",'SV777-3 (SV004)'!L269)</f>
      </c>
      <c r="E60">
        <f>IF('SV777-3 (SV004)'!L268&lt;1,"","ШЛ."&amp;'SV777-3 (SV004)'!L268)</f>
      </c>
    </row>
    <row r="61" spans="1:5" x14ac:dyDescent="0.25">
      <c r="A61">
        <v>4</v>
      </c>
      <c r="B61" t="str">
        <f>IF('SV777-3 (SV004)'!N268&lt;1,"резерв",'SV777-3 (SV004)'!N268)</f>
        <v>резерв</v>
      </c>
      <c r="C61" s="102">
        <f>'SV777-3 (SV004)'!N269</f>
      </c>
      <c r="D61" s="103">
        <f>IF(B61="резерв","",'SV777-3 (SV004)'!P269)</f>
      </c>
      <c r="E61">
        <f>IF('SV777-3 (SV004)'!P268&lt;1,"","ШЛ."&amp;'SV777-3 (SV004)'!P268)</f>
      </c>
    </row>
    <row r="62" spans="1:5" x14ac:dyDescent="0.25">
      <c r="A62">
        <v>5</v>
      </c>
      <c r="B62" t="str">
        <f>IF('SV777-3 (SV004)'!B288&lt;1,"резерв",'SV777-3 (SV004)'!B288)</f>
        <v>резерв</v>
      </c>
      <c r="C62" s="102">
        <f>'SV777-3 (SV004)'!B289</f>
      </c>
      <c r="D62" s="103">
        <f>IF(B62="резерв","",'SV777-3 (SV004)'!D289)</f>
      </c>
      <c r="E62">
        <f>IF('SV777-3 (SV004)'!D288&lt;1,"","ШЛ."&amp;'SV777-3 (SV004)'!D288)</f>
      </c>
    </row>
    <row r="63" spans="1:5" x14ac:dyDescent="0.25">
      <c r="A63">
        <v>6</v>
      </c>
      <c r="B63" t="str">
        <f>IF('SV777-3 (SV004)'!F288&lt;1,"резерв",'SV777-3 (SV004)'!F288)</f>
        <v>резерв</v>
      </c>
      <c r="C63" s="102">
        <f>'SV777-3 (SV004)'!F289</f>
      </c>
      <c r="D63" s="103">
        <f>IF(B63="резерв","",'SV777-3 (SV004)'!H289)</f>
      </c>
      <c r="E63">
        <f>IF('SV777-3 (SV004)'!H288&lt;1,"","ШЛ."&amp;'SV777-3 (SV004)'!H288)</f>
      </c>
    </row>
    <row r="64" spans="1:5" x14ac:dyDescent="0.25">
      <c r="A64">
        <v>7</v>
      </c>
      <c r="B64" t="str">
        <f>IF('SV777-3 (SV004)'!J288&lt;1,"резерв",'SV777-3 (SV004)'!J288)</f>
        <v>резерв</v>
      </c>
      <c r="C64" s="102">
        <f>'SV777-3 (SV004)'!J289</f>
      </c>
      <c r="D64" s="103">
        <f>IF(B64="резерв","",'SV777-3 (SV004)'!L289)</f>
      </c>
      <c r="E64">
        <f>IF('SV777-3 (SV004)'!L288&lt;1,"","ШЛ."&amp;'SV777-3 (SV004)'!L288)</f>
      </c>
    </row>
    <row r="65" spans="1:5" x14ac:dyDescent="0.25">
      <c r="A65">
        <v>8</v>
      </c>
      <c r="B65" t="str">
        <f>IF('SV777-3 (SV004)'!N288&lt;1,"резерв",'SV777-3 (SV004)'!N288)</f>
        <v>резерв</v>
      </c>
      <c r="C65" s="102">
        <f>'SV777-3 (SV004)'!N289</f>
      </c>
      <c r="D65" s="103">
        <f>IF(B65="резерв","",'SV777-3 (SV004)'!P289)</f>
      </c>
      <c r="E65">
        <f>IF('SV777-3 (SV004)'!P288&lt;1,"","ШЛ."&amp;'SV777-3 (SV004)'!P288)</f>
      </c>
    </row>
    <row r="66" spans="2:2" x14ac:dyDescent="0.25">
      <c r="B66" t="s">
        <v>108</v>
      </c>
    </row>
    <row r="67" spans="1:5" x14ac:dyDescent="0.25">
      <c r="A67">
        <v>1</v>
      </c>
      <c r="B67" t="str">
        <f>IF('SV777-3 (SV004)'!B310&lt;1,"резерв",'SV777-3 (SV004)'!B310)</f>
        <v>резерв</v>
      </c>
      <c r="C67" s="102">
        <f>'SV777-3 (SV004)'!B311</f>
      </c>
      <c r="D67" s="103">
        <f>IF(B67="резерв","",'SV777-3 (SV004)'!D311)</f>
      </c>
      <c r="E67">
        <f>IF('SV777-3 (SV004)'!D310&lt;1,"","ШЛ."&amp;'SV777-3 (SV004)'!D310)</f>
      </c>
    </row>
    <row r="68" spans="1:5" x14ac:dyDescent="0.25">
      <c r="A68">
        <v>2</v>
      </c>
      <c r="B68" t="str">
        <f>IF('SV777-3 (SV004)'!F310&lt;1,"резерв",'SV777-3 (SV004)'!F310)</f>
        <v>резерв</v>
      </c>
      <c r="C68" s="102">
        <f>'SV777-3 (SV004)'!F311</f>
      </c>
      <c r="D68" s="103">
        <f>IF(B68="резерв","",'SV777-3 (SV004)'!H311)</f>
      </c>
      <c r="E68">
        <f>IF('SV777-3 (SV004)'!H310&lt;1,"","ШЛ."&amp;'SV777-3 (SV004)'!H310)</f>
      </c>
    </row>
    <row r="69" spans="1:5" x14ac:dyDescent="0.25">
      <c r="A69">
        <v>3</v>
      </c>
      <c r="B69" t="str">
        <f>IF('SV777-3 (SV004)'!J310&lt;1,"резерв",'SV777-3 (SV004)'!J310)</f>
        <v>резерв</v>
      </c>
      <c r="C69" s="102">
        <f>'SV777-3 (SV004)'!J311</f>
      </c>
      <c r="D69" s="103">
        <f>IF(B69="резерв","",'SV777-3 (SV004)'!L311)</f>
      </c>
      <c r="E69">
        <f>IF('SV777-3 (SV004)'!L310&lt;1,"","ШЛ."&amp;'SV777-3 (SV004)'!L310)</f>
      </c>
    </row>
    <row r="70" spans="1:5" x14ac:dyDescent="0.25">
      <c r="A70">
        <v>4</v>
      </c>
      <c r="B70" t="str">
        <f>IF('SV777-3 (SV004)'!N310&lt;1,"резерв",'SV777-3 (SV004)'!N310)</f>
        <v>резерв</v>
      </c>
      <c r="C70" s="102">
        <f>'SV777-3 (SV004)'!N311</f>
      </c>
      <c r="D70" s="103">
        <f>IF(B70="резерв","",'SV777-3 (SV004)'!P311)</f>
      </c>
      <c r="E70">
        <f>IF('SV777-3 (SV004)'!P310&lt;1,"","ШЛ."&amp;'SV777-3 (SV004)'!P310)</f>
      </c>
    </row>
    <row r="71" spans="1:5" x14ac:dyDescent="0.25">
      <c r="A71">
        <v>5</v>
      </c>
      <c r="B71" t="str">
        <f>IF('SV777-3 (SV004)'!B330&lt;1,"резерв",'SV777-3 (SV004)'!B330)</f>
        <v>резерв</v>
      </c>
      <c r="C71" s="102">
        <f>'SV777-3 (SV004)'!B331</f>
      </c>
      <c r="D71" s="103">
        <f>IF(B71="резерв","",'SV777-3 (SV004)'!D331)</f>
      </c>
      <c r="E71">
        <f>IF('SV777-3 (SV004)'!D330&lt;1,"","ШЛ."&amp;'SV777-3 (SV004)'!D330)</f>
      </c>
    </row>
    <row r="72" spans="1:5" x14ac:dyDescent="0.25">
      <c r="A72">
        <v>6</v>
      </c>
      <c r="B72" t="str">
        <f>IF('SV777-3 (SV004)'!F330&lt;1,"резерв",'SV777-3 (SV004)'!F330)</f>
        <v>резерв</v>
      </c>
      <c r="C72" s="102">
        <f>'SV777-3 (SV004)'!F331</f>
      </c>
      <c r="D72" s="103">
        <f>IF(B72="резерв","",'SV777-3 (SV004)'!H331)</f>
      </c>
      <c r="E72">
        <f>IF('SV777-3 (SV004)'!H330&lt;1,"","ШЛ."&amp;'SV777-3 (SV004)'!H330)</f>
      </c>
    </row>
    <row r="73" spans="1:5" x14ac:dyDescent="0.25">
      <c r="A73">
        <v>7</v>
      </c>
      <c r="B73" t="str">
        <f>IF('SV777-3 (SV004)'!J330&lt;1,"резерв",'SV777-3 (SV004)'!J330)</f>
        <v>резерв</v>
      </c>
      <c r="C73" s="102">
        <f>'SV777-3 (SV004)'!J331</f>
      </c>
      <c r="D73" s="103">
        <f>IF(B73="резерв","",'SV777-3 (SV004)'!L331)</f>
      </c>
      <c r="E73">
        <f>IF('SV777-3 (SV004)'!L330&lt;1,"","ШЛ."&amp;'SV777-3 (SV004)'!L330)</f>
      </c>
    </row>
    <row r="74" spans="1:5" x14ac:dyDescent="0.25">
      <c r="A74">
        <v>8</v>
      </c>
      <c r="B74" t="str">
        <f>IF('SV777-3 (SV004)'!N330&lt;1,"резерв",'SV777-3 (SV004)'!N330)</f>
        <v>резерв</v>
      </c>
      <c r="C74" s="102">
        <f>'SV777-3 (SV004)'!N331</f>
      </c>
      <c r="D74" s="103">
        <f>IF(B74="резерв","",'SV777-3 (SV004)'!P331)</f>
      </c>
      <c r="E74">
        <f>IF('SV777-3 (SV004)'!P330&lt;1,"","ШЛ."&amp;'SV777-3 (SV004)'!P330)</f>
      </c>
    </row>
    <row r="75" spans="2:2" x14ac:dyDescent="0.25">
      <c r="B75" t="s">
        <v>94</v>
      </c>
    </row>
    <row r="76" spans="1:5" x14ac:dyDescent="0.25">
      <c r="A76">
        <v>1</v>
      </c>
      <c r="B76" t="str">
        <f>IF('SV777-3 (SV004)'!B352&lt;1,"резерв",'SV777-3 (SV004)'!B352)</f>
        <v>резерв</v>
      </c>
      <c r="C76" s="102">
        <f>'SV777-3 (SV004)'!B353</f>
      </c>
      <c r="D76" s="103">
        <f>IF(B76="резерв","",'SV777-3 (SV004)'!D353)</f>
      </c>
      <c r="E76">
        <f>IF('SV777-3 (SV004)'!D352&lt;1,"","ШЛ."&amp;'SV777-3 (SV004)'!D352)</f>
      </c>
    </row>
    <row r="77" spans="1:5" x14ac:dyDescent="0.25">
      <c r="A77">
        <v>2</v>
      </c>
      <c r="B77" t="str">
        <f>IF('SV777-3 (SV004)'!F352&lt;1,"резерв",'SV777-3 (SV004)'!F352)</f>
        <v>резерв</v>
      </c>
      <c r="C77" s="102">
        <f>'SV777-3 (SV004)'!F353</f>
      </c>
      <c r="D77" s="103">
        <f>IF(B77="резерв","",'SV777-3 (SV004)'!H353)</f>
      </c>
      <c r="E77">
        <f>IF('SV777-3 (SV004)'!H352&lt;1,"","ШЛ."&amp;'SV777-3 (SV004)'!H352)</f>
      </c>
    </row>
    <row r="78" spans="1:5" x14ac:dyDescent="0.25">
      <c r="A78">
        <v>3</v>
      </c>
      <c r="B78" t="str">
        <f>IF('SV777-3 (SV004)'!J352&lt;1,"резерв",'SV777-3 (SV004)'!J352)</f>
        <v>резерв</v>
      </c>
      <c r="C78" s="102">
        <f>'SV777-3 (SV004)'!J353</f>
      </c>
      <c r="D78" s="103">
        <f>IF(B78="резерв","",'SV777-3 (SV004)'!L353)</f>
      </c>
      <c r="E78">
        <f>IF('SV777-3 (SV004)'!L352&lt;1,"","ШЛ."&amp;'SV777-3 (SV004)'!L352)</f>
      </c>
    </row>
    <row r="79" spans="1:5" x14ac:dyDescent="0.25">
      <c r="A79">
        <v>4</v>
      </c>
      <c r="B79" t="str">
        <f>IF('SV777-3 (SV004)'!N352&lt;1,"резерв",'SV777-3 (SV004)'!N352)</f>
        <v>резерв</v>
      </c>
      <c r="C79" s="102">
        <f>'SV777-3 (SV004)'!N353</f>
      </c>
      <c r="D79" s="103">
        <f>IF(B79="резерв","",'SV777-3 (SV004)'!P353)</f>
      </c>
      <c r="E79">
        <f>IF('SV777-3 (SV004)'!P352&lt;1,"","ШЛ."&amp;'SV777-3 (SV004)'!P352)</f>
      </c>
    </row>
    <row r="80" spans="1:5" x14ac:dyDescent="0.25">
      <c r="A80">
        <v>5</v>
      </c>
      <c r="B80" t="str">
        <f>IF('SV777-3 (SV004)'!B372&lt;1,"резерв",'SV777-3 (SV004)'!B372)</f>
        <v>резерв</v>
      </c>
      <c r="C80" s="102">
        <f>'SV777-3 (SV004)'!B373</f>
      </c>
      <c r="D80" s="103">
        <f>IF(B80="резерв","",'SV777-3 (SV004)'!D373)</f>
      </c>
      <c r="E80">
        <f>IF('SV777-3 (SV004)'!D372&lt;1,"","ШЛ."&amp;'SV777-3 (SV004)'!D372)</f>
      </c>
    </row>
    <row r="81" spans="1:5" x14ac:dyDescent="0.25">
      <c r="A81">
        <v>6</v>
      </c>
      <c r="B81" t="str">
        <f>IF('SV777-3 (SV004)'!F372&lt;1,"резерв",'SV777-3 (SV004)'!F372)</f>
        <v>резерв</v>
      </c>
      <c r="C81" s="102">
        <f>'SV777-3 (SV004)'!F373</f>
      </c>
      <c r="D81" s="103">
        <f>IF(B81="резерв","",'SV777-3 (SV004)'!H373)</f>
      </c>
      <c r="E81">
        <f>IF('SV777-3 (SV004)'!H372&lt;1,"","ШЛ."&amp;'SV777-3 (SV004)'!H372)</f>
      </c>
    </row>
    <row r="82" spans="1:5" x14ac:dyDescent="0.25">
      <c r="A82">
        <v>7</v>
      </c>
      <c r="B82" t="str">
        <f>IF('SV777-3 (SV004)'!J372&lt;1,"резерв",'SV777-3 (SV004)'!J372)</f>
        <v>резерв</v>
      </c>
      <c r="C82" s="102">
        <f>'SV777-3 (SV004)'!J373</f>
      </c>
      <c r="D82" s="103">
        <f>IF(B82="резерв","",'SV777-3 (SV004)'!L373)</f>
      </c>
      <c r="E82">
        <f>IF('SV777-3 (SV004)'!L372&lt;1,"","ШЛ."&amp;'SV777-3 (SV004)'!L372)</f>
      </c>
    </row>
    <row r="83" spans="1:5" x14ac:dyDescent="0.25">
      <c r="A83">
        <v>8</v>
      </c>
      <c r="B83" t="str">
        <f>IF('SV777-3 (SV004)'!N372&lt;1,"резерв",'SV777-3 (SV004)'!N372)</f>
        <v>резерв</v>
      </c>
      <c r="C83" s="102">
        <f>'SV777-3 (SV004)'!N373</f>
      </c>
      <c r="D83" s="103">
        <f>IF(B83="резерв","",'SV777-3 (SV004)'!P373)</f>
      </c>
      <c r="E83">
        <f>IF('SV777-3 (SV004)'!P372&lt;1,"","ШЛ."&amp;'SV777-3 (SV004)'!P372)</f>
      </c>
    </row>
    <row r="84" spans="2:2" x14ac:dyDescent="0.25">
      <c r="B84" t="s">
        <v>95</v>
      </c>
    </row>
    <row r="85" spans="1:5" x14ac:dyDescent="0.25">
      <c r="A85">
        <v>1</v>
      </c>
      <c r="B85" t="str">
        <f>IF('SV777-3 (SV004)'!B394&lt;1,"резерв",'SV777-3 (SV004)'!B394)</f>
        <v>резерв</v>
      </c>
      <c r="C85" s="102">
        <f>'SV777-3 (SV004)'!B395</f>
      </c>
      <c r="D85" s="103">
        <f>IF(B85="резерв","",'SV777-3 (SV004)'!D395)</f>
      </c>
      <c r="E85">
        <f>IF('SV777-3 (SV004)'!D394&lt;1,"","ШЛ."&amp;'SV777-3 (SV004)'!D394)</f>
      </c>
    </row>
    <row r="86" spans="1:5" x14ac:dyDescent="0.25">
      <c r="A86">
        <v>2</v>
      </c>
      <c r="B86" t="str">
        <f>IF('SV777-3 (SV004)'!F394&lt;1,"резерв",'SV777-3 (SV004)'!F394)</f>
        <v>резерв</v>
      </c>
      <c r="C86" s="102">
        <f>'SV777-3 (SV004)'!F395</f>
      </c>
      <c r="D86" s="103">
        <f>IF(B86="резерв","",'SV777-3 (SV004)'!H395)</f>
      </c>
      <c r="E86">
        <f>IF('SV777-3 (SV004)'!H394&lt;1,"","ШЛ."&amp;'SV777-3 (SV004)'!H394)</f>
      </c>
    </row>
    <row r="87" spans="1:5" x14ac:dyDescent="0.25">
      <c r="A87">
        <v>3</v>
      </c>
      <c r="B87" t="str">
        <f>IF('SV777-3 (SV004)'!J394&lt;1,"резерв",'SV777-3 (SV004)'!J394)</f>
        <v>резерв</v>
      </c>
      <c r="C87" s="102">
        <f>'SV777-3 (SV004)'!J395</f>
      </c>
      <c r="D87" s="103">
        <f>IF(B87="резерв","",'SV777-3 (SV004)'!L395)</f>
      </c>
      <c r="E87">
        <f>IF('SV777-3 (SV004)'!L394&lt;1,"","ШЛ."&amp;'SV777-3 (SV004)'!L394)</f>
      </c>
    </row>
    <row r="88" spans="1:5" x14ac:dyDescent="0.25">
      <c r="A88">
        <v>4</v>
      </c>
      <c r="B88" t="str">
        <f>IF('SV777-3 (SV004)'!N394&lt;1,"резерв",'SV777-3 (SV004)'!N394)</f>
        <v>резерв</v>
      </c>
      <c r="C88" s="102">
        <f>'SV777-3 (SV004)'!N395</f>
      </c>
      <c r="D88" s="103">
        <f>IF(B88="резерв","",'SV777-3 (SV004)'!P395)</f>
      </c>
      <c r="E88">
        <f>IF('SV777-3 (SV004)'!P394&lt;1,"","ШЛ."&amp;'SV777-3 (SV004)'!P394)</f>
      </c>
    </row>
    <row r="89" spans="1:5" x14ac:dyDescent="0.25">
      <c r="A89">
        <v>5</v>
      </c>
      <c r="B89" t="str">
        <f>IF('SV777-3 (SV004)'!B414&lt;1,"резерв",'SV777-3 (SV004)'!B414)</f>
        <v>резерв</v>
      </c>
      <c r="C89" s="102">
        <f>'SV777-3 (SV004)'!B415</f>
      </c>
      <c r="D89" s="103">
        <f>IF(B89="резерв","",'SV777-3 (SV004)'!D415)</f>
      </c>
      <c r="E89">
        <f>IF('SV777-3 (SV004)'!D414&lt;1,"","ШЛ."&amp;'SV777-3 (SV004)'!D414)</f>
      </c>
    </row>
    <row r="90" spans="1:5" x14ac:dyDescent="0.25">
      <c r="A90">
        <v>6</v>
      </c>
      <c r="B90" t="str">
        <f>IF('SV777-3 (SV004)'!F414&lt;1,"резерв",'SV777-3 (SV004)'!F414)</f>
        <v>резерв</v>
      </c>
      <c r="C90" s="102">
        <f>'SV777-3 (SV004)'!F415</f>
      </c>
      <c r="D90" s="103">
        <f>IF(B90="резерв","",'SV777-3 (SV004)'!H415)</f>
      </c>
      <c r="E90">
        <f>IF('SV777-3 (SV004)'!H414&lt;1,"","ШЛ."&amp;'SV777-3 (SV004)'!H414)</f>
      </c>
    </row>
    <row r="91" spans="1:5" x14ac:dyDescent="0.25">
      <c r="A91">
        <v>7</v>
      </c>
      <c r="B91" t="str">
        <f>IF('SV777-3 (SV004)'!J414&lt;1,"резерв",'SV777-3 (SV004)'!J414)</f>
        <v>резерв</v>
      </c>
      <c r="C91" s="102">
        <f>'SV777-3 (SV004)'!J415</f>
      </c>
      <c r="D91" s="103">
        <f>IF(B91="резерв","",'SV777-3 (SV004)'!L415)</f>
      </c>
      <c r="E91">
        <f>IF('SV777-3 (SV004)'!L414&lt;1,"","ШЛ."&amp;'SV777-3 (SV004)'!L414)</f>
      </c>
    </row>
    <row r="92" spans="1:5" x14ac:dyDescent="0.25">
      <c r="A92">
        <v>8</v>
      </c>
      <c r="B92" t="str">
        <f>IF('SV777-3 (SV004)'!N414&lt;1,"резерв",'SV777-3 (SV004)'!N414)</f>
        <v>резерв</v>
      </c>
      <c r="C92" s="102">
        <f>'SV777-3 (SV004)'!N415</f>
      </c>
      <c r="D92" s="103">
        <f>IF(B92="резерв","",'SV777-3 (SV004)'!P415)</f>
      </c>
      <c r="E92">
        <f>IF('SV777-3 (SV004)'!P414&lt;1,"","ШЛ."&amp;'SV777-3 (SV004)'!P414)</f>
      </c>
    </row>
    <row r="93" spans="2:2" x14ac:dyDescent="0.25">
      <c r="B93" t="s">
        <v>96</v>
      </c>
    </row>
    <row r="94" spans="1:5" x14ac:dyDescent="0.25">
      <c r="A94">
        <v>1</v>
      </c>
      <c r="B94" t="str">
        <f>IF('SV777-3 (SV004)'!B436&lt;1,"резерв",'SV777-3 (SV004)'!B436)</f>
        <v>резерв</v>
      </c>
      <c r="C94" s="102">
        <f>'SV777-3 (SV004)'!B437</f>
      </c>
      <c r="D94" s="103">
        <f>IF(B94="резерв","",'SV777-3 (SV004)'!D437)</f>
      </c>
      <c r="E94">
        <f>IF('SV777-3 (SV004)'!D436&lt;1,"","ШЛ."&amp;'SV777-3 (SV004)'!D436)</f>
      </c>
    </row>
    <row r="95" spans="1:5" x14ac:dyDescent="0.25">
      <c r="A95">
        <v>2</v>
      </c>
      <c r="B95" t="str">
        <f>IF('SV777-3 (SV004)'!F436&lt;1,"резерв",'SV777-3 (SV004)'!F436)</f>
        <v>резерв</v>
      </c>
      <c r="C95" s="102">
        <f>'SV777-3 (SV004)'!F437</f>
      </c>
      <c r="D95" s="103">
        <f>IF(B95="резерв","",'SV777-3 (SV004)'!H437)</f>
      </c>
      <c r="E95">
        <f>IF('SV777-3 (SV004)'!H436&lt;1,"","ШЛ."&amp;'SV777-3 (SV004)'!H436)</f>
      </c>
    </row>
    <row r="96" spans="1:5" x14ac:dyDescent="0.25">
      <c r="A96">
        <v>3</v>
      </c>
      <c r="B96" t="str">
        <f>IF('SV777-3 (SV004)'!J436&lt;1,"резерв",'SV777-3 (SV004)'!J436)</f>
        <v>резерв</v>
      </c>
      <c r="C96" s="102">
        <f>'SV777-3 (SV004)'!J437</f>
      </c>
      <c r="D96" s="103">
        <f>IF(B96="резерв","",'SV777-3 (SV004)'!L437)</f>
      </c>
      <c r="E96">
        <f>IF('SV777-3 (SV004)'!L436&lt;1,"","ШЛ."&amp;'SV777-3 (SV004)'!L436)</f>
      </c>
    </row>
    <row r="97" spans="1:5" x14ac:dyDescent="0.25">
      <c r="A97">
        <v>4</v>
      </c>
      <c r="B97" t="str">
        <f>IF('SV777-3 (SV004)'!N436&lt;1,"резерв",'SV777-3 (SV004)'!N436)</f>
        <v>резерв</v>
      </c>
      <c r="C97" s="102">
        <f>'SV777-3 (SV004)'!N437</f>
      </c>
      <c r="D97" s="103">
        <f>IF(B97="резерв","",'SV777-3 (SV004)'!P437)</f>
      </c>
      <c r="E97">
        <f>IF('SV777-3 (SV004)'!P436&lt;1,"","ШЛ."&amp;'SV777-3 (SV004)'!P436)</f>
      </c>
    </row>
    <row r="98" spans="1:5" x14ac:dyDescent="0.25">
      <c r="A98">
        <v>5</v>
      </c>
      <c r="B98" t="str">
        <f>IF('SV777-3 (SV004)'!B456&lt;1,"резерв",'SV777-3 (SV004)'!B456)</f>
        <v>резерв</v>
      </c>
      <c r="C98" s="102">
        <f>'SV777-3 (SV004)'!B457</f>
      </c>
      <c r="D98" s="103">
        <f>IF(B98="резерв","",'SV777-3 (SV004)'!D457)</f>
      </c>
      <c r="E98">
        <f>IF('SV777-3 (SV004)'!D456&lt;1,"","ШЛ."&amp;'SV777-3 (SV004)'!D456)</f>
      </c>
    </row>
    <row r="99" spans="1:5" x14ac:dyDescent="0.25">
      <c r="A99">
        <v>6</v>
      </c>
      <c r="B99" t="str">
        <f>IF('SV777-3 (SV004)'!F456&lt;1,"резерв",'SV777-3 (SV004)'!F456)</f>
        <v>резерв</v>
      </c>
      <c r="C99" s="102">
        <f>'SV777-3 (SV004)'!F457</f>
      </c>
      <c r="D99" s="103">
        <f>IF(B99="резерв","",'SV777-3 (SV004)'!H457)</f>
      </c>
      <c r="E99">
        <f>IF('SV777-3 (SV004)'!H456&lt;1,"","ШЛ."&amp;'SV777-3 (SV004)'!H456)</f>
      </c>
    </row>
    <row r="100" spans="1:5" x14ac:dyDescent="0.25">
      <c r="A100">
        <v>7</v>
      </c>
      <c r="B100" t="str">
        <f>IF('SV777-3 (SV004)'!J456&lt;1,"резерв",'SV777-3 (SV004)'!J456)</f>
        <v>резерв</v>
      </c>
      <c r="C100" s="102">
        <f>'SV777-3 (SV004)'!J457</f>
      </c>
      <c r="D100" s="103">
        <f>IF(B100="резерв","",'SV777-3 (SV004)'!L457)</f>
      </c>
      <c r="E100">
        <f>IF('SV777-3 (SV004)'!L456&lt;1,"","ШЛ."&amp;'SV777-3 (SV004)'!L456)</f>
      </c>
    </row>
    <row r="101" spans="1:5" x14ac:dyDescent="0.25">
      <c r="A101">
        <v>8</v>
      </c>
      <c r="B101" t="str">
        <f>IF('SV777-3 (SV004)'!N456&lt;1,"резерв",'SV777-3 (SV004)'!N456)</f>
        <v>резерв</v>
      </c>
      <c r="C101" s="102">
        <f>'SV777-3 (SV004)'!N457</f>
      </c>
      <c r="D101" s="103">
        <f>IF(B101="резерв","",'SV777-3 (SV004)'!P457)</f>
      </c>
      <c r="E101">
        <f>IF('SV777-3 (SV004)'!P456&lt;1,"","ШЛ."&amp;'SV777-3 (SV004)'!P456)</f>
      </c>
    </row>
    <row r="102" spans="2:2" x14ac:dyDescent="0.25">
      <c r="B102" t="s">
        <v>97</v>
      </c>
    </row>
    <row r="103" spans="1:5" x14ac:dyDescent="0.25">
      <c r="A103">
        <v>1</v>
      </c>
      <c r="B103" t="str">
        <f>IF('SV777-3 (SV004)'!B478&lt;1,"резерв",'SV777-3 (SV004)'!B478)</f>
        <v>резерв</v>
      </c>
      <c r="C103" s="102">
        <f>'SV777-3 (SV004)'!B479</f>
      </c>
      <c r="D103" s="103">
        <f>IF(B103="резерв","",'SV777-3 (SV004)'!D479)</f>
      </c>
      <c r="E103">
        <f>IF('SV777-3 (SV004)'!D478&lt;1,"","ШЛ."&amp;'SV777-3 (SV004)'!D478)</f>
      </c>
    </row>
    <row r="104" spans="1:5" x14ac:dyDescent="0.25">
      <c r="A104">
        <v>2</v>
      </c>
      <c r="B104" t="str">
        <f>IF('SV777-3 (SV004)'!F478&lt;1,"резерв",'SV777-3 (SV004)'!F478)</f>
        <v>резерв</v>
      </c>
      <c r="C104" s="102">
        <f>'SV777-3 (SV004)'!F479</f>
      </c>
      <c r="D104" s="103">
        <f>IF(B104="резерв","",'SV777-3 (SV004)'!H479)</f>
      </c>
      <c r="E104">
        <f>IF('SV777-3 (SV004)'!H478&lt;1,"","ШЛ."&amp;'SV777-3 (SV004)'!H478)</f>
      </c>
    </row>
    <row r="105" spans="1:5" x14ac:dyDescent="0.25">
      <c r="A105">
        <v>3</v>
      </c>
      <c r="B105" t="str">
        <f>IF('SV777-3 (SV004)'!J478&lt;1,"резерв",'SV777-3 (SV004)'!J478)</f>
        <v>резерв</v>
      </c>
      <c r="C105" s="102">
        <f>'SV777-3 (SV004)'!J479</f>
      </c>
      <c r="D105" s="103">
        <f>IF(B105="резерв","",'SV777-3 (SV004)'!L479)</f>
      </c>
      <c r="E105">
        <f>IF('SV777-3 (SV004)'!L478&lt;1,"","ШЛ."&amp;'SV777-3 (SV004)'!L478)</f>
      </c>
    </row>
    <row r="106" spans="1:5" x14ac:dyDescent="0.25">
      <c r="A106">
        <v>4</v>
      </c>
      <c r="B106" t="str">
        <f>IF('SV777-3 (SV004)'!N478&lt;1,"резерв",'SV777-3 (SV004)'!N478)</f>
        <v>резерв</v>
      </c>
      <c r="C106" s="102">
        <f>'SV777-3 (SV004)'!N479</f>
      </c>
      <c r="D106" s="103">
        <f>IF(B106="резерв","",'SV777-3 (SV004)'!P479)</f>
      </c>
      <c r="E106">
        <f>IF('SV777-3 (SV004)'!P478&lt;1,"","ШЛ."&amp;'SV777-3 (SV004)'!P478)</f>
      </c>
    </row>
    <row r="107" spans="1:5" x14ac:dyDescent="0.25">
      <c r="A107">
        <v>5</v>
      </c>
      <c r="B107" t="str">
        <f>IF('SV777-3 (SV004)'!B498&lt;1,"резерв",'SV777-3 (SV004)'!B498)</f>
        <v>резерв</v>
      </c>
      <c r="C107" s="102">
        <f>'SV777-3 (SV004)'!B499</f>
      </c>
      <c r="D107" s="103">
        <f>IF(B107="резерв","",'SV777-3 (SV004)'!D499)</f>
      </c>
      <c r="E107">
        <f>IF('SV777-3 (SV004)'!D498&lt;1,"","ШЛ."&amp;'SV777-3 (SV004)'!D498)</f>
      </c>
    </row>
    <row r="108" spans="1:5" x14ac:dyDescent="0.25">
      <c r="A108">
        <v>6</v>
      </c>
      <c r="B108" t="str">
        <f>IF('SV777-3 (SV004)'!F498&lt;1,"резерв",'SV777-3 (SV004)'!F498)</f>
        <v>резерв</v>
      </c>
      <c r="C108" s="102">
        <f>'SV777-3 (SV004)'!F499</f>
      </c>
      <c r="D108" s="103">
        <f>IF(B108="резерв","",'SV777-3 (SV004)'!H499)</f>
      </c>
      <c r="E108">
        <f>IF('SV777-3 (SV004)'!H498&lt;1,"","ШЛ."&amp;'SV777-3 (SV004)'!H498)</f>
      </c>
    </row>
    <row r="109" spans="1:5" x14ac:dyDescent="0.25">
      <c r="A109">
        <v>7</v>
      </c>
      <c r="B109" t="str">
        <f>IF('SV777-3 (SV004)'!J498&lt;1,"резерв",'SV777-3 (SV004)'!J498)</f>
        <v>резерв</v>
      </c>
      <c r="C109" s="102">
        <f>'SV777-3 (SV004)'!J499</f>
      </c>
      <c r="D109" s="103">
        <f>IF(B109="резерв","",'SV777-3 (SV004)'!L499)</f>
      </c>
      <c r="E109">
        <f>IF('SV777-3 (SV004)'!L498&lt;1,"","ШЛ."&amp;'SV777-3 (SV004)'!L498)</f>
      </c>
    </row>
    <row r="110" spans="1:5" x14ac:dyDescent="0.25">
      <c r="A110">
        <v>8</v>
      </c>
      <c r="B110" t="str">
        <f>IF('SV777-3 (SV004)'!N498&lt;1,"резерв",'SV777-3 (SV004)'!N498)</f>
        <v>резерв</v>
      </c>
      <c r="C110" s="102">
        <f>'SV777-3 (SV004)'!N499</f>
      </c>
      <c r="D110" s="103">
        <f>IF(B110="резерв","",'SV777-3 (SV004)'!P499)</f>
      </c>
      <c r="E110">
        <f>IF('SV777-3 (SV004)'!P498&lt;1,"","ШЛ."&amp;'SV777-3 (SV004)'!P498)</f>
      </c>
    </row>
    <row r="111" spans="2:2" x14ac:dyDescent="0.25">
      <c r="B111" t="s">
        <v>98</v>
      </c>
    </row>
    <row r="112" spans="1:5" x14ac:dyDescent="0.25">
      <c r="A112">
        <v>1</v>
      </c>
      <c r="B112" t="str">
        <f>IF('SV777-3 (SV004)'!B520&lt;1,"резерв",'SV777-3 (SV004)'!B520)</f>
        <v>резерв</v>
      </c>
      <c r="C112" s="102">
        <f>'SV777-3 (SV004)'!B521</f>
      </c>
      <c r="D112" s="103">
        <f>IF(B112="резерв","",'SV777-3 (SV004)'!D521)</f>
      </c>
      <c r="E112">
        <f>IF('SV777-3 (SV004)'!D520&lt;1,"","ШЛ."&amp;'SV777-3 (SV004)'!D520)</f>
      </c>
    </row>
    <row r="113" spans="1:5" x14ac:dyDescent="0.25">
      <c r="A113">
        <v>2</v>
      </c>
      <c r="B113" t="str">
        <f>IF('SV777-3 (SV004)'!F520&lt;1,"резерв",'SV777-3 (SV004)'!F520)</f>
        <v>резерв</v>
      </c>
      <c r="C113" s="102">
        <f>'SV777-3 (SV004)'!F521</f>
      </c>
      <c r="D113" s="103">
        <f>IF(B113="резерв","",'SV777-3 (SV004)'!H521)</f>
      </c>
      <c r="E113">
        <f>IF('SV777-3 (SV004)'!H520&lt;1,"","ШЛ."&amp;'SV777-3 (SV004)'!H520)</f>
      </c>
    </row>
    <row r="114" spans="1:5" x14ac:dyDescent="0.25">
      <c r="A114">
        <v>3</v>
      </c>
      <c r="B114" t="str">
        <f>IF('SV777-3 (SV004)'!J520&lt;1,"резерв",'SV777-3 (SV004)'!J520)</f>
        <v>резерв</v>
      </c>
      <c r="C114" s="102">
        <f>'SV777-3 (SV004)'!J521</f>
      </c>
      <c r="D114" s="103">
        <f>IF(B114="резерв","",'SV777-3 (SV004)'!L521)</f>
      </c>
      <c r="E114">
        <f>IF('SV777-3 (SV004)'!L520&lt;1,"","ШЛ."&amp;'SV777-3 (SV004)'!L520)</f>
      </c>
    </row>
    <row r="115" spans="1:5" x14ac:dyDescent="0.25">
      <c r="A115">
        <v>4</v>
      </c>
      <c r="B115" t="str">
        <f>IF('SV777-3 (SV004)'!N520&lt;1,"резерв",'SV777-3 (SV004)'!N520)</f>
        <v>резерв</v>
      </c>
      <c r="C115" s="102">
        <f>'SV777-3 (SV004)'!N521</f>
      </c>
      <c r="D115" s="103">
        <f>IF(B115="резерв","",'SV777-3 (SV004)'!P521)</f>
      </c>
      <c r="E115">
        <f>IF('SV777-3 (SV004)'!P520&lt;1,"","ШЛ."&amp;'SV777-3 (SV004)'!P520)</f>
      </c>
    </row>
    <row r="116" spans="1:5" x14ac:dyDescent="0.25">
      <c r="A116">
        <v>5</v>
      </c>
      <c r="B116" t="str">
        <f>IF('SV777-3 (SV004)'!B540&lt;1,"резерв",'SV777-3 (SV004)'!B540)</f>
        <v>резерв</v>
      </c>
      <c r="C116" s="102">
        <f>'SV777-3 (SV004)'!B541</f>
      </c>
      <c r="D116" s="103">
        <f>IF(B116="резерв","",'SV777-3 (SV004)'!D541)</f>
      </c>
      <c r="E116">
        <f>IF('SV777-3 (SV004)'!D540&lt;1,"","ШЛ."&amp;'SV777-3 (SV004)'!D540)</f>
      </c>
    </row>
    <row r="117" spans="1:5" x14ac:dyDescent="0.25">
      <c r="A117">
        <v>6</v>
      </c>
      <c r="B117" t="str">
        <f>IF('SV777-3 (SV004)'!F540&lt;1,"резерв",'SV777-3 (SV004)'!F540)</f>
        <v>резерв</v>
      </c>
      <c r="C117" s="102">
        <f>'SV777-3 (SV004)'!F541</f>
      </c>
      <c r="D117" s="103">
        <f>IF(B117="резерв","",'SV777-3 (SV004)'!H541)</f>
      </c>
      <c r="E117">
        <f>IF('SV777-3 (SV004)'!H540&lt;1,"","ШЛ."&amp;'SV777-3 (SV004)'!H540)</f>
      </c>
    </row>
    <row r="118" spans="1:5" x14ac:dyDescent="0.25">
      <c r="A118">
        <v>7</v>
      </c>
      <c r="B118" t="str">
        <f>IF('SV777-3 (SV004)'!J540&lt;1,"резерв",'SV777-3 (SV004)'!J540)</f>
        <v>резерв</v>
      </c>
      <c r="C118" s="102">
        <f>'SV777-3 (SV004)'!J541</f>
      </c>
      <c r="D118" s="103">
        <f>IF(B118="резерв","",'SV777-3 (SV004)'!L541)</f>
      </c>
      <c r="E118">
        <f>IF('SV777-3 (SV004)'!L540&lt;1,"","ШЛ."&amp;'SV777-3 (SV004)'!L540)</f>
      </c>
    </row>
    <row r="119" spans="1:5" x14ac:dyDescent="0.25">
      <c r="A119">
        <v>8</v>
      </c>
      <c r="B119" t="str">
        <f>IF('SV777-3 (SV004)'!N540&lt;1,"резерв",'SV777-3 (SV004)'!N540)</f>
        <v>резерв</v>
      </c>
      <c r="C119" s="102">
        <f>'SV777-3 (SV004)'!N541</f>
      </c>
      <c r="D119" s="103">
        <f>IF(B119="резерв","",'SV777-3 (SV004)'!P541)</f>
      </c>
      <c r="E119">
        <f>IF('SV777-3 (SV004)'!P540&lt;1,"","ШЛ."&amp;'SV777-3 (SV004)'!P540)</f>
      </c>
    </row>
    <row r="120" spans="2:2" x14ac:dyDescent="0.25">
      <c r="B120" t="s">
        <v>99</v>
      </c>
    </row>
    <row r="121" spans="1:5" x14ac:dyDescent="0.25">
      <c r="A121">
        <v>1</v>
      </c>
      <c r="B121" t="str">
        <f>IF('SV777-3 (SV004)'!B562&lt;1,"резерв",'SV777-3 (SV004)'!B562)</f>
        <v>резерв</v>
      </c>
      <c r="C121" s="102">
        <f>'SV777-3 (SV004)'!B563</f>
      </c>
      <c r="D121" s="103">
        <f>IF(B121="резерв","",'SV777-3 (SV004)'!D563)</f>
      </c>
      <c r="E121">
        <f>IF('SV777-3 (SV004)'!D562&lt;1,"","ШЛ."&amp;'SV777-3 (SV004)'!D562)</f>
      </c>
    </row>
    <row r="122" spans="1:5" x14ac:dyDescent="0.25">
      <c r="A122">
        <v>2</v>
      </c>
      <c r="B122" t="str">
        <f>IF('SV777-3 (SV004)'!F562&lt;1,"резерв",'SV777-3 (SV004)'!F562)</f>
        <v>резерв</v>
      </c>
      <c r="C122" s="102">
        <f>'SV777-3 (SV004)'!F563</f>
      </c>
      <c r="D122" s="103">
        <f>IF(B122="резерв","",'SV777-3 (SV004)'!H563)</f>
      </c>
      <c r="E122">
        <f>IF('SV777-3 (SV004)'!H562&lt;1,"","ШЛ."&amp;'SV777-3 (SV004)'!H562)</f>
      </c>
    </row>
    <row r="123" spans="1:5" x14ac:dyDescent="0.25">
      <c r="A123">
        <v>3</v>
      </c>
      <c r="B123" t="str">
        <f>IF('SV777-3 (SV004)'!J562&lt;1,"резерв",'SV777-3 (SV004)'!J562)</f>
        <v>резерв</v>
      </c>
      <c r="C123" s="102">
        <f>'SV777-3 (SV004)'!J563</f>
      </c>
      <c r="D123" s="103">
        <f>IF(B123="резерв","",'SV777-3 (SV004)'!L563)</f>
      </c>
      <c r="E123">
        <f>IF('SV777-3 (SV004)'!L562&lt;1,"","ШЛ."&amp;'SV777-3 (SV004)'!L562)</f>
      </c>
    </row>
    <row r="124" spans="1:5" x14ac:dyDescent="0.25">
      <c r="A124">
        <v>4</v>
      </c>
      <c r="B124" t="str">
        <f>IF('SV777-3 (SV004)'!N562&lt;1,"резерв",'SV777-3 (SV004)'!N562)</f>
        <v>резерв</v>
      </c>
      <c r="C124" s="102">
        <f>'SV777-3 (SV004)'!N563</f>
      </c>
      <c r="D124" s="103">
        <f>IF(B124="резерв","",'SV777-3 (SV004)'!P563)</f>
      </c>
      <c r="E124">
        <f>IF('SV777-3 (SV004)'!P562&lt;1,"","ШЛ."&amp;'SV777-3 (SV004)'!P562)</f>
      </c>
    </row>
    <row r="125" spans="1:5" x14ac:dyDescent="0.25">
      <c r="A125">
        <v>5</v>
      </c>
      <c r="B125" t="str">
        <f>IF('SV777-3 (SV004)'!B582&lt;1,"резерв",'SV777-3 (SV004)'!B582)</f>
        <v>резерв</v>
      </c>
      <c r="C125" s="102">
        <f>'SV777-3 (SV004)'!B583</f>
      </c>
      <c r="D125" s="103">
        <f>IF(B125="резерв","",'SV777-3 (SV004)'!D583)</f>
      </c>
      <c r="E125">
        <f>IF('SV777-3 (SV004)'!D582&lt;1,"","ШЛ."&amp;'SV777-3 (SV004)'!D582)</f>
      </c>
    </row>
    <row r="126" spans="1:5" x14ac:dyDescent="0.25">
      <c r="A126">
        <v>6</v>
      </c>
      <c r="B126" t="str">
        <f>IF('SV777-3 (SV004)'!F582&lt;1,"резерв",'SV777-3 (SV004)'!F582)</f>
        <v>резерв</v>
      </c>
      <c r="C126" s="102">
        <f>'SV777-3 (SV004)'!F583</f>
      </c>
      <c r="D126" s="103">
        <f>IF(B126="резерв","",'SV777-3 (SV004)'!H583)</f>
      </c>
      <c r="E126">
        <f>IF('SV777-3 (SV004)'!H582&lt;1,"","ШЛ."&amp;'SV777-3 (SV004)'!H582)</f>
      </c>
    </row>
    <row r="127" spans="1:5" x14ac:dyDescent="0.25">
      <c r="A127">
        <v>7</v>
      </c>
      <c r="B127" t="str">
        <f>IF('SV777-3 (SV004)'!J582&lt;1,"резерв",'SV777-3 (SV004)'!J582)</f>
        <v>резерв</v>
      </c>
      <c r="C127" s="102">
        <f>'SV777-3 (SV004)'!J583</f>
      </c>
      <c r="D127" s="103">
        <f>IF(B127="резерв","",'SV777-3 (SV004)'!L583)</f>
      </c>
      <c r="E127">
        <f>IF('SV777-3 (SV004)'!L582&lt;1,"","ШЛ."&amp;'SV777-3 (SV004)'!L582)</f>
      </c>
    </row>
    <row r="128" spans="1:5" x14ac:dyDescent="0.25">
      <c r="A128">
        <v>8</v>
      </c>
      <c r="B128" t="str">
        <f>IF('SV777-3 (SV004)'!N582&lt;1,"резерв",'SV777-3 (SV004)'!N582)</f>
        <v>резерв</v>
      </c>
      <c r="C128" s="102">
        <f>'SV777-3 (SV004)'!N583</f>
      </c>
      <c r="D128" s="103">
        <f>IF(B128="резерв","",'SV777-3 (SV004)'!P583)</f>
      </c>
      <c r="E128">
        <f>IF('SV777-3 (SV004)'!P582&lt;1,"","ШЛ."&amp;'SV777-3 (SV004)'!P582)</f>
      </c>
    </row>
    <row r="129" spans="2:2" x14ac:dyDescent="0.25">
      <c r="B129" t="s">
        <v>100</v>
      </c>
    </row>
    <row r="130" spans="1:5" x14ac:dyDescent="0.25">
      <c r="A130">
        <v>1</v>
      </c>
      <c r="B130" t="str">
        <f>IF('SV777-3 (SV004)'!B604&lt;1,"резерв",'SV777-3 (SV004)'!B604)</f>
        <v>резерв</v>
      </c>
      <c r="C130" s="102">
        <f>'SV777-3 (SV004)'!B605</f>
      </c>
      <c r="D130" s="103">
        <f>IF(B130="резерв","",'SV777-3 (SV004)'!D605)</f>
      </c>
      <c r="E130">
        <f>IF('SV777-3 (SV004)'!D604&lt;1,"","ШЛ."&amp;'SV777-3 (SV004)'!D604)</f>
      </c>
    </row>
    <row r="131" spans="1:5" x14ac:dyDescent="0.25">
      <c r="A131">
        <v>2</v>
      </c>
      <c r="B131" t="str">
        <f>IF('SV777-3 (SV004)'!F604&lt;1,"резерв",'SV777-3 (SV004)'!F604)</f>
        <v>резерв</v>
      </c>
      <c r="C131" s="102">
        <f>'SV777-3 (SV004)'!F605</f>
      </c>
      <c r="D131" s="103">
        <f>IF(B131="резерв","",'SV777-3 (SV004)'!H605)</f>
      </c>
      <c r="E131">
        <f>IF('SV777-3 (SV004)'!H604&lt;1,"","ШЛ."&amp;'SV777-3 (SV004)'!H604)</f>
      </c>
    </row>
    <row r="132" spans="1:5" x14ac:dyDescent="0.25">
      <c r="A132">
        <v>3</v>
      </c>
      <c r="B132" t="str">
        <f>IF('SV777-3 (SV004)'!J604&lt;1,"резерв",'SV777-3 (SV004)'!J604)</f>
        <v>резерв</v>
      </c>
      <c r="C132" s="102">
        <f>'SV777-3 (SV004)'!J605</f>
      </c>
      <c r="D132" s="103">
        <f>IF(B132="резерв","",'SV777-3 (SV004)'!L605)</f>
      </c>
      <c r="E132">
        <f>IF('SV777-3 (SV004)'!L604&lt;1,"","ШЛ."&amp;'SV777-3 (SV004)'!L604)</f>
      </c>
    </row>
    <row r="133" spans="1:5" x14ac:dyDescent="0.25">
      <c r="A133">
        <v>4</v>
      </c>
      <c r="B133" t="str">
        <f>IF('SV777-3 (SV004)'!N604&lt;1,"резерв",'SV777-3 (SV004)'!N604)</f>
        <v>резерв</v>
      </c>
      <c r="C133" s="102">
        <f>'SV777-3 (SV004)'!N605</f>
      </c>
      <c r="D133" s="103">
        <f>IF(B133="резерв","",'SV777-3 (SV004)'!P605)</f>
      </c>
      <c r="E133">
        <f>IF('SV777-3 (SV004)'!P604&lt;1,"","ШЛ."&amp;'SV777-3 (SV004)'!P604)</f>
      </c>
    </row>
    <row r="134" spans="1:5" x14ac:dyDescent="0.25">
      <c r="A134">
        <v>5</v>
      </c>
      <c r="B134" t="str">
        <f>IF('SV777-3 (SV004)'!B624&lt;1,"резерв",'SV777-3 (SV004)'!B624)</f>
        <v>резерв</v>
      </c>
      <c r="C134" s="102">
        <f>'SV777-3 (SV004)'!B625</f>
      </c>
      <c r="D134" s="103">
        <f>IF(B134="резерв","",'SV777-3 (SV004)'!D625)</f>
      </c>
      <c r="E134">
        <f>IF('SV777-3 (SV004)'!D624&lt;1,"","ШЛ."&amp;'SV777-3 (SV004)'!D624)</f>
      </c>
    </row>
    <row r="135" spans="1:5" x14ac:dyDescent="0.25">
      <c r="A135">
        <v>6</v>
      </c>
      <c r="B135" t="str">
        <f>IF('SV777-3 (SV004)'!F624&lt;1,"резерв",'SV777-3 (SV004)'!F624)</f>
        <v>резерв</v>
      </c>
      <c r="C135" s="102">
        <f>'SV777-3 (SV004)'!F625</f>
      </c>
      <c r="D135" s="103">
        <f>IF(B135="резерв","",'SV777-3 (SV004)'!H625)</f>
      </c>
      <c r="E135">
        <f>IF('SV777-3 (SV004)'!H624&lt;1,"","ШЛ."&amp;'SV777-3 (SV004)'!H624)</f>
      </c>
    </row>
    <row r="136" spans="1:5" x14ac:dyDescent="0.25">
      <c r="A136">
        <v>7</v>
      </c>
      <c r="B136" t="str">
        <f>IF('SV777-3 (SV004)'!J624&lt;1,"резерв",'SV777-3 (SV004)'!J624)</f>
        <v>резерв</v>
      </c>
      <c r="C136" s="102">
        <f>'SV777-3 (SV004)'!J625</f>
      </c>
      <c r="D136" s="103">
        <f>IF(B136="резерв","",'SV777-3 (SV004)'!L625)</f>
      </c>
      <c r="E136">
        <f>IF('SV777-3 (SV004)'!L624&lt;1,"","ШЛ."&amp;'SV777-3 (SV004)'!L624)</f>
      </c>
    </row>
    <row r="137" spans="1:5" x14ac:dyDescent="0.25">
      <c r="A137">
        <v>8</v>
      </c>
      <c r="B137" t="str">
        <f>IF('SV777-3 (SV004)'!N624&lt;1,"резерв",'SV777-3 (SV004)'!N624)</f>
        <v>резерв</v>
      </c>
      <c r="C137" s="102">
        <f>'SV777-3 (SV004)'!N625</f>
      </c>
      <c r="D137" s="103">
        <f>IF(B137="резерв","",'SV777-3 (SV004)'!P625)</f>
      </c>
      <c r="E137">
        <f>IF('SV777-3 (SV004)'!P624&lt;1,"","ШЛ."&amp;'SV777-3 (SV004)'!P624)</f>
      </c>
    </row>
    <row r="138" spans="2:2" x14ac:dyDescent="0.25">
      <c r="B138" t="s">
        <v>101</v>
      </c>
    </row>
    <row r="139" spans="1:5" x14ac:dyDescent="0.25">
      <c r="A139">
        <v>1</v>
      </c>
      <c r="B139" t="str">
        <f>IF('SV777-3 (SV004)'!B646&lt;1,"резерв",'SV777-3 (SV004)'!B646)</f>
        <v>резерв</v>
      </c>
      <c r="C139" s="102">
        <f>'SV777-3 (SV004)'!B647</f>
      </c>
      <c r="D139" s="103">
        <f>IF(B139="резерв","",'SV777-3 (SV004)'!D647)</f>
      </c>
      <c r="E139">
        <f>IF('SV777-3 (SV004)'!D646&lt;1,"","ШЛ."&amp;'SV777-3 (SV004)'!D646)</f>
      </c>
    </row>
    <row r="140" spans="1:5" x14ac:dyDescent="0.25">
      <c r="A140">
        <v>2</v>
      </c>
      <c r="B140" t="str">
        <f>IF('SV777-3 (SV004)'!F646&lt;1,"резерв",'SV777-3 (SV004)'!F646)</f>
        <v>резерв</v>
      </c>
      <c r="C140" s="102">
        <f>'SV777-3 (SV004)'!F647</f>
      </c>
      <c r="D140" s="103">
        <f>IF(B140="резерв","",'SV777-3 (SV004)'!H647)</f>
      </c>
      <c r="E140">
        <f>IF('SV777-3 (SV004)'!H646&lt;1,"","ШЛ."&amp;'SV777-3 (SV004)'!H646)</f>
      </c>
    </row>
    <row r="141" spans="1:5" x14ac:dyDescent="0.25">
      <c r="A141">
        <v>3</v>
      </c>
      <c r="B141" t="str">
        <f>IF('SV777-3 (SV004)'!J646&lt;1,"резерв",'SV777-3 (SV004)'!J646)</f>
        <v>резерв</v>
      </c>
      <c r="C141" s="102">
        <f>'SV777-3 (SV004)'!J647</f>
      </c>
      <c r="D141" s="103">
        <f>IF(B141="резерв","",'SV777-3 (SV004)'!L647)</f>
      </c>
      <c r="E141">
        <f>IF('SV777-3 (SV004)'!L646&lt;1,"","ШЛ."&amp;'SV777-3 (SV004)'!L646)</f>
      </c>
    </row>
    <row r="142" spans="1:5" x14ac:dyDescent="0.25">
      <c r="A142">
        <v>4</v>
      </c>
      <c r="B142" t="str">
        <f>IF('SV777-3 (SV004)'!N646&lt;1,"резерв",'SV777-3 (SV004)'!N646)</f>
        <v>резерв</v>
      </c>
      <c r="C142" s="102">
        <f>'SV777-3 (SV004)'!N647</f>
      </c>
      <c r="D142" s="103">
        <f>IF(B142="резерв","",'SV777-3 (SV004)'!P647)</f>
      </c>
      <c r="E142">
        <f>IF('SV777-3 (SV004)'!P646&lt;1,"","ШЛ."&amp;'SV777-3 (SV004)'!P646)</f>
      </c>
    </row>
    <row r="143" spans="1:5" x14ac:dyDescent="0.25">
      <c r="A143">
        <v>5</v>
      </c>
      <c r="B143" t="str">
        <f>IF('SV777-3 (SV004)'!B666&lt;1,"резерв",'SV777-3 (SV004)'!B666)</f>
        <v>резерв</v>
      </c>
      <c r="C143" s="102">
        <f>'SV777-3 (SV004)'!B667</f>
      </c>
      <c r="D143" s="103">
        <f>IF(B143="резерв","",'SV777-3 (SV004)'!D667)</f>
      </c>
      <c r="E143">
        <f>IF('SV777-3 (SV004)'!D666&lt;1,"","ШЛ."&amp;'SV777-3 (SV004)'!D666)</f>
      </c>
    </row>
    <row r="144" spans="1:5" x14ac:dyDescent="0.25">
      <c r="A144">
        <v>6</v>
      </c>
      <c r="B144" t="str">
        <f>IF('SV777-3 (SV004)'!F666&lt;1,"резерв",'SV777-3 (SV004)'!F666)</f>
        <v>резерв</v>
      </c>
      <c r="C144" s="102">
        <f>'SV777-3 (SV004)'!F667</f>
      </c>
      <c r="D144" s="103">
        <f>IF(B144="резерв","",'SV777-3 (SV004)'!H667)</f>
      </c>
      <c r="E144">
        <f>IF('SV777-3 (SV004)'!H666&lt;1,"","ШЛ."&amp;'SV777-3 (SV004)'!H666)</f>
      </c>
    </row>
    <row r="145" spans="1:5" x14ac:dyDescent="0.25">
      <c r="A145">
        <v>7</v>
      </c>
      <c r="B145" t="str">
        <f>IF('SV777-3 (SV004)'!J666&lt;1,"резерв",'SV777-3 (SV004)'!J666)</f>
        <v>резерв</v>
      </c>
      <c r="C145" s="102">
        <f>'SV777-3 (SV004)'!J667</f>
      </c>
      <c r="D145" s="103">
        <f>IF(B145="резерв","",'SV777-3 (SV004)'!L667)</f>
      </c>
      <c r="E145">
        <f>IF('SV777-3 (SV004)'!L666&lt;1,"","ШЛ."&amp;'SV777-3 (SV004)'!L666)</f>
      </c>
    </row>
    <row r="146" spans="1:5" x14ac:dyDescent="0.25">
      <c r="A146">
        <v>8</v>
      </c>
      <c r="B146" t="str">
        <f>IF('SV777-3 (SV004)'!N666&lt;1,"резерв",'SV777-3 (SV004)'!N666)</f>
        <v>резерв</v>
      </c>
      <c r="C146" s="102">
        <f>'SV777-3 (SV004)'!N667</f>
      </c>
      <c r="D146" s="103">
        <f>IF(B146="резерв","",'SV777-3 (SV004)'!P667)</f>
      </c>
      <c r="E146">
        <f>IF('SV777-3 (SV004)'!P666&lt;1,"","ШЛ."&amp;'SV777-3 (SV004)'!P666)</f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46"/>
  <sheetViews>
    <sheetView workbookViewId="0" zoomScale="100" zoomScaleNormal="100">
      <selection activeCell="U15" sqref="U15"/>
    </sheetView>
  </sheetViews>
  <sheetFormatPr defaultRowHeight="15" outlineLevelRow="0" outlineLevelCol="0" x14ac:dyDescent="0.25"/>
  <cols>
    <col min="3" max="3" width="5" style="102" customWidth="1"/>
    <col min="4" max="4" width="9.140625" style="104" customWidth="1"/>
    <col min="6" max="8" hidden="1" customWidth="1"/>
    <col min="9" max="9" width="5" style="102" hidden="1" customWidth="1"/>
    <col min="10" max="10" style="104" hidden="1" customWidth="1"/>
    <col min="11" max="14" hidden="1" customWidth="1"/>
    <col min="15" max="15" width="5.28515625" style="102" hidden="1" customWidth="1"/>
    <col min="16" max="16" style="104" hidden="1" customWidth="1"/>
    <col min="17" max="17" hidden="1" customWidth="1"/>
  </cols>
  <sheetData>
    <row r="2" spans="3:15" x14ac:dyDescent="0.25">
      <c r="C2" s="102" t="str">
        <f>'шпоргалка-1'!C2</f>
        <v>SV777 - 1</v>
      </c>
      <c r="I2" s="102" t="str">
        <f>'шпоргалка-2'!C2</f>
        <v>SV777 - 2</v>
      </c>
      <c r="O2" s="102" t="str">
        <f>'шпоргалка-3'!C2</f>
        <v>SV777 - 3</v>
      </c>
    </row>
    <row r="3" spans="2:14" x14ac:dyDescent="0.25">
      <c r="B3" t="str">
        <f>'шпоргалка-1'!B3</f>
        <v>SV004 -1</v>
      </c>
      <c r="H3" t="str">
        <f>'шпоргалка-2'!B3</f>
        <v>SV004 - 1</v>
      </c>
      <c r="N3" t="str">
        <f>'шпоргалка-3'!B3</f>
        <v>SV004 - 1</v>
      </c>
    </row>
    <row r="4" spans="1:17" x14ac:dyDescent="0.25">
      <c r="A4">
        <f>'шпоргалка-1'!A4</f>
        <v>1</v>
      </c>
      <c r="B4" t="str">
        <f>'шпоргалка-1'!B4</f>
        <v>резерв</v>
      </c>
      <c r="C4" s="102">
        <f>'шпоргалка-1'!C4</f>
        <v>0</v>
      </c>
      <c r="D4" s="104">
        <f>'шпоргалка-1'!D4</f>
      </c>
      <c r="E4">
        <f>'шпоргалка-1'!E4</f>
      </c>
      <c r="G4">
        <f>'шпоргалка-2'!A4</f>
        <v>1</v>
      </c>
      <c r="H4" t="str">
        <f>'шпоргалка-2'!B4</f>
        <v>резерв</v>
      </c>
      <c r="I4" s="102">
        <f>'шпоргалка-2'!C4</f>
        <v>0</v>
      </c>
      <c r="J4" s="104">
        <f>'шпоргалка-2'!D4</f>
      </c>
      <c r="K4">
        <f>'шпоргалка-2'!E4</f>
      </c>
      <c r="M4">
        <f>'шпоргалка-3'!A4</f>
        <v>1</v>
      </c>
      <c r="N4" t="str">
        <f>'шпоргалка-3'!B4</f>
        <v>резерв</v>
      </c>
      <c r="O4" s="102">
        <f>'шпоргалка-3'!C4</f>
      </c>
      <c r="P4" s="104">
        <f>'шпоргалка-3'!D4</f>
      </c>
      <c r="Q4">
        <f>'шпоргалка-3'!E4</f>
      </c>
    </row>
    <row r="5" spans="1:17" x14ac:dyDescent="0.25">
      <c r="A5">
        <f>'шпоргалка-1'!A5</f>
        <v>2</v>
      </c>
      <c r="B5" t="str">
        <f>'шпоргалка-1'!B5</f>
        <v>резерв</v>
      </c>
      <c r="C5" s="102">
        <f>'шпоргалка-1'!C5</f>
        <v>0</v>
      </c>
      <c r="D5" s="104">
        <f>'шпоргалка-1'!D5</f>
      </c>
      <c r="E5">
        <f>'шпоргалка-1'!E5</f>
      </c>
      <c r="G5">
        <f>'шпоргалка-2'!A5</f>
        <v>2</v>
      </c>
      <c r="H5" t="str">
        <f>'шпоргалка-2'!B5</f>
        <v>резерв</v>
      </c>
      <c r="I5" s="102">
        <f>'шпоргалка-2'!C5</f>
      </c>
      <c r="J5" s="104">
        <f>'шпоргалка-2'!D5</f>
      </c>
      <c r="K5">
        <f>'шпоргалка-2'!E5</f>
      </c>
      <c r="M5">
        <f>'шпоргалка-3'!A5</f>
        <v>2</v>
      </c>
      <c r="N5" t="str">
        <f>'шпоргалка-3'!B5</f>
        <v>резерв</v>
      </c>
      <c r="O5" s="102">
        <f>'шпоргалка-3'!C5</f>
      </c>
      <c r="P5" s="104">
        <f>'шпоргалка-3'!D5</f>
      </c>
      <c r="Q5">
        <f>'шпоргалка-3'!E5</f>
      </c>
    </row>
    <row r="6" spans="1:17" x14ac:dyDescent="0.25">
      <c r="A6">
        <f>'шпоргалка-1'!A6</f>
        <v>3</v>
      </c>
      <c r="B6" t="str">
        <f>'шпоргалка-1'!B6</f>
        <v>резерв</v>
      </c>
      <c r="C6" s="102">
        <f>'шпоргалка-1'!C6</f>
        <v>0</v>
      </c>
      <c r="D6" s="104">
        <f>'шпоргалка-1'!D6</f>
      </c>
      <c r="E6">
        <f>'шпоргалка-1'!E6</f>
      </c>
      <c r="G6">
        <f>'шпоргалка-2'!A6</f>
        <v>3</v>
      </c>
      <c r="H6" t="str">
        <f>'шпоргалка-2'!B6</f>
        <v>резерв</v>
      </c>
      <c r="I6" s="102">
        <f>'шпоргалка-2'!C6</f>
      </c>
      <c r="J6" s="104">
        <f>'шпоргалка-2'!D6</f>
      </c>
      <c r="K6">
        <f>'шпоргалка-2'!E6</f>
      </c>
      <c r="M6">
        <f>'шпоргалка-3'!A6</f>
        <v>3</v>
      </c>
      <c r="N6" t="str">
        <f>'шпоргалка-3'!B6</f>
        <v>резерв</v>
      </c>
      <c r="O6" s="102">
        <f>'шпоргалка-3'!C6</f>
      </c>
      <c r="P6" s="104">
        <f>'шпоргалка-3'!D6</f>
      </c>
      <c r="Q6">
        <f>'шпоргалка-3'!E6</f>
      </c>
    </row>
    <row r="7" spans="1:17" x14ac:dyDescent="0.25">
      <c r="A7">
        <f>'шпоргалка-1'!A7</f>
        <v>4</v>
      </c>
      <c r="B7" t="str">
        <f>'шпоргалка-1'!B7</f>
        <v>резерв</v>
      </c>
      <c r="C7" s="102">
        <f>'шпоргалка-1'!C7</f>
        <v>0</v>
      </c>
      <c r="D7" s="104">
        <f>'шпоргалка-1'!D7</f>
      </c>
      <c r="E7">
        <f>'шпоргалка-1'!E7</f>
      </c>
      <c r="G7">
        <f>'шпоргалка-2'!A7</f>
        <v>4</v>
      </c>
      <c r="H7" t="str">
        <f>'шпоргалка-2'!B7</f>
        <v>резерв</v>
      </c>
      <c r="I7" s="102">
        <f>'шпоргалка-2'!C7</f>
      </c>
      <c r="J7" s="104">
        <f>'шпоргалка-2'!D7</f>
      </c>
      <c r="K7">
        <f>'шпоргалка-2'!E7</f>
      </c>
      <c r="M7">
        <f>'шпоргалка-3'!A7</f>
        <v>4</v>
      </c>
      <c r="N7" t="str">
        <f>'шпоргалка-3'!B7</f>
        <v>резерв</v>
      </c>
      <c r="O7" s="102">
        <f>'шпоргалка-3'!C7</f>
      </c>
      <c r="P7" s="104">
        <f>'шпоргалка-3'!D7</f>
      </c>
      <c r="Q7">
        <f>'шпоргалка-3'!E7</f>
      </c>
    </row>
    <row r="8" spans="1:17" x14ac:dyDescent="0.25">
      <c r="A8">
        <f>'шпоргалка-1'!A8</f>
        <v>5</v>
      </c>
      <c r="B8" t="e">
        <f>'шпоргалка-1'!B8</f>
        <v>#REF!</v>
      </c>
      <c r="C8" s="102" t="e">
        <f>'шпоргалка-1'!C8</f>
        <v>#REF!</v>
      </c>
      <c r="D8" s="104" t="e">
        <f>'шпоргалка-1'!D8</f>
        <v>#REF!</v>
      </c>
      <c r="E8" t="e">
        <f>'шпоргалка-1'!E8</f>
        <v>#REF!</v>
      </c>
      <c r="G8">
        <f>'шпоргалка-2'!A8</f>
        <v>5</v>
      </c>
      <c r="H8" t="str">
        <f>'шпоргалка-2'!B8</f>
        <v>резерв</v>
      </c>
      <c r="I8" s="102">
        <f>'шпоргалка-2'!C8</f>
      </c>
      <c r="J8" s="104">
        <f>'шпоргалка-2'!D8</f>
      </c>
      <c r="K8">
        <f>'шпоргалка-2'!E8</f>
      </c>
      <c r="M8">
        <f>'шпоргалка-3'!A8</f>
        <v>5</v>
      </c>
      <c r="N8" t="str">
        <f>'шпоргалка-3'!B8</f>
        <v>резерв</v>
      </c>
      <c r="O8" s="102">
        <f>'шпоргалка-3'!C8</f>
      </c>
      <c r="P8" s="104">
        <f>'шпоргалка-3'!D8</f>
      </c>
      <c r="Q8">
        <f>'шпоргалка-3'!E8</f>
      </c>
    </row>
    <row r="9" spans="1:17" x14ac:dyDescent="0.25">
      <c r="A9">
        <f>'шпоргалка-1'!A9</f>
        <v>6</v>
      </c>
      <c r="B9" t="e">
        <f>'шпоргалка-1'!B9</f>
        <v>#REF!</v>
      </c>
      <c r="C9" s="102" t="e">
        <f>'шпоргалка-1'!C9</f>
        <v>#REF!</v>
      </c>
      <c r="D9" s="104" t="e">
        <f>'шпоргалка-1'!D9</f>
        <v>#REF!</v>
      </c>
      <c r="E9" t="e">
        <f>'шпоргалка-1'!E9</f>
        <v>#REF!</v>
      </c>
      <c r="G9">
        <f>'шпоргалка-2'!A9</f>
        <v>6</v>
      </c>
      <c r="H9" t="str">
        <f>'шпоргалка-2'!B9</f>
        <v>резерв</v>
      </c>
      <c r="I9" s="102">
        <f>'шпоргалка-2'!C9</f>
      </c>
      <c r="J9" s="104">
        <f>'шпоргалка-2'!D9</f>
      </c>
      <c r="K9">
        <f>'шпоргалка-2'!E9</f>
      </c>
      <c r="M9">
        <f>'шпоргалка-3'!A9</f>
        <v>6</v>
      </c>
      <c r="N9" t="str">
        <f>'шпоргалка-3'!B9</f>
        <v>резерв</v>
      </c>
      <c r="O9" s="102">
        <f>'шпоргалка-3'!C9</f>
      </c>
      <c r="P9" s="104">
        <f>'шпоргалка-3'!D9</f>
      </c>
      <c r="Q9">
        <f>'шпоргалка-3'!E9</f>
      </c>
    </row>
    <row r="10" spans="1:17" x14ac:dyDescent="0.25">
      <c r="A10">
        <f>'шпоргалка-1'!A10</f>
        <v>7</v>
      </c>
      <c r="B10" t="e">
        <f>'шпоргалка-1'!B10</f>
        <v>#REF!</v>
      </c>
      <c r="C10" s="102" t="e">
        <f>'шпоргалка-1'!C10</f>
        <v>#REF!</v>
      </c>
      <c r="D10" s="104" t="e">
        <f>'шпоргалка-1'!D10</f>
        <v>#REF!</v>
      </c>
      <c r="E10" t="e">
        <f>'шпоргалка-1'!E10</f>
        <v>#REF!</v>
      </c>
      <c r="G10">
        <f>'шпоргалка-2'!A10</f>
        <v>7</v>
      </c>
      <c r="H10" t="str">
        <f>'шпоргалка-2'!B10</f>
        <v>резерв</v>
      </c>
      <c r="I10" s="102">
        <f>'шпоргалка-2'!C10</f>
      </c>
      <c r="J10" s="104">
        <f>'шпоргалка-2'!D10</f>
      </c>
      <c r="K10">
        <f>'шпоргалка-2'!E10</f>
      </c>
      <c r="M10">
        <f>'шпоргалка-3'!A10</f>
        <v>7</v>
      </c>
      <c r="N10" t="str">
        <f>'шпоргалка-3'!B10</f>
        <v>резерв</v>
      </c>
      <c r="O10" s="102">
        <f>'шпоргалка-3'!C10</f>
      </c>
      <c r="P10" s="104">
        <f>'шпоргалка-3'!D10</f>
      </c>
      <c r="Q10">
        <f>'шпоргалка-3'!E10</f>
      </c>
    </row>
    <row r="11" spans="1:17" x14ac:dyDescent="0.25">
      <c r="A11">
        <f>'шпоргалка-1'!A11</f>
        <v>8</v>
      </c>
      <c r="B11" t="e">
        <f>'шпоргалка-1'!B11</f>
        <v>#REF!</v>
      </c>
      <c r="C11" s="102" t="e">
        <f>'шпоргалка-1'!C11</f>
        <v>#REF!</v>
      </c>
      <c r="D11" s="104" t="e">
        <f>'шпоргалка-1'!D11</f>
        <v>#REF!</v>
      </c>
      <c r="E11" t="e">
        <f>'шпоргалка-1'!E11</f>
        <v>#REF!</v>
      </c>
      <c r="G11">
        <f>'шпоргалка-2'!A11</f>
        <v>8</v>
      </c>
      <c r="H11" t="str">
        <f>'шпоргалка-2'!B11</f>
        <v>резерв</v>
      </c>
      <c r="I11" s="102">
        <f>'шпоргалка-2'!C11</f>
      </c>
      <c r="J11" s="104">
        <f>'шпоргалка-2'!D11</f>
      </c>
      <c r="K11">
        <f>'шпоргалка-2'!E11</f>
      </c>
      <c r="M11">
        <f>'шпоргалка-3'!A11</f>
        <v>8</v>
      </c>
      <c r="N11" t="str">
        <f>'шпоргалка-3'!B11</f>
        <v>резерв</v>
      </c>
      <c r="O11" s="102">
        <f>'шпоргалка-3'!C11</f>
      </c>
      <c r="P11" s="104">
        <f>'шпоргалка-3'!D11</f>
      </c>
      <c r="Q11">
        <f>'шпоргалка-3'!E11</f>
      </c>
    </row>
    <row r="12" spans="2:14" x14ac:dyDescent="0.25">
      <c r="B12" t="str">
        <f>'шпоргалка-1'!B12</f>
        <v>SV004 - 2</v>
      </c>
      <c r="H12" t="str">
        <f>'шпоргалка-2'!B12</f>
        <v>SV004 - 2</v>
      </c>
      <c r="N12" t="str">
        <f>'шпоргалка-3'!B12</f>
        <v>SV004 - 2</v>
      </c>
    </row>
    <row r="13" spans="1:17" x14ac:dyDescent="0.25">
      <c r="A13">
        <f>'шпоргалка-1'!A13</f>
        <v>1</v>
      </c>
      <c r="B13" t="e">
        <f>'шпоргалка-1'!B13</f>
        <v>#REF!</v>
      </c>
      <c r="C13" s="102" t="e">
        <f>'шпоргалка-1'!C13</f>
        <v>#REF!</v>
      </c>
      <c r="D13" s="104" t="e">
        <f>'шпоргалка-1'!D13</f>
        <v>#REF!</v>
      </c>
      <c r="E13" t="e">
        <f>'шпоргалка-1'!E13</f>
        <v>#REF!</v>
      </c>
      <c r="G13">
        <f>'шпоргалка-2'!A13</f>
        <v>1</v>
      </c>
      <c r="H13" t="str">
        <f>'шпоргалка-2'!B13</f>
        <v>резерв</v>
      </c>
      <c r="I13" s="102">
        <f>'шпоргалка-2'!C13</f>
      </c>
      <c r="J13" s="104">
        <f>'шпоргалка-2'!D13</f>
      </c>
      <c r="K13">
        <f>'шпоргалка-2'!E13</f>
      </c>
      <c r="M13">
        <f>'шпоргалка-3'!A13</f>
        <v>1</v>
      </c>
      <c r="N13" t="str">
        <f>'шпоргалка-3'!B13</f>
        <v>резерв</v>
      </c>
      <c r="O13" s="102">
        <f>'шпоргалка-3'!C13</f>
      </c>
      <c r="P13" s="104">
        <f>'шпоргалка-3'!D13</f>
      </c>
      <c r="Q13">
        <f>'шпоргалка-3'!E13</f>
      </c>
    </row>
    <row r="14" spans="1:17" x14ac:dyDescent="0.25">
      <c r="A14">
        <f>'шпоргалка-1'!A14</f>
        <v>2</v>
      </c>
      <c r="B14" t="e">
        <f>'шпоргалка-1'!B14</f>
        <v>#REF!</v>
      </c>
      <c r="C14" s="102" t="e">
        <f>'шпоргалка-1'!C14</f>
        <v>#REF!</v>
      </c>
      <c r="D14" s="104" t="e">
        <f>'шпоргалка-1'!D14</f>
        <v>#REF!</v>
      </c>
      <c r="E14" t="e">
        <f>'шпоргалка-1'!E14</f>
        <v>#REF!</v>
      </c>
      <c r="G14">
        <f>'шпоргалка-2'!A14</f>
        <v>2</v>
      </c>
      <c r="H14" t="str">
        <f>'шпоргалка-2'!B14</f>
        <v>резерв</v>
      </c>
      <c r="I14" s="102">
        <f>'шпоргалка-2'!C14</f>
      </c>
      <c r="J14" s="104">
        <f>'шпоргалка-2'!D14</f>
      </c>
      <c r="K14">
        <f>'шпоргалка-2'!E14</f>
      </c>
      <c r="M14">
        <f>'шпоргалка-3'!A14</f>
        <v>2</v>
      </c>
      <c r="N14" t="str">
        <f>'шпоргалка-3'!B14</f>
        <v>резерв</v>
      </c>
      <c r="O14" s="102">
        <f>'шпоргалка-3'!C14</f>
      </c>
      <c r="P14" s="104">
        <f>'шпоргалка-3'!D14</f>
      </c>
      <c r="Q14">
        <f>'шпоргалка-3'!E14</f>
      </c>
    </row>
    <row r="15" spans="1:17" x14ac:dyDescent="0.25">
      <c r="A15">
        <f>'шпоргалка-1'!A15</f>
        <v>3</v>
      </c>
      <c r="B15" t="e">
        <f>'шпоргалка-1'!B15</f>
        <v>#REF!</v>
      </c>
      <c r="C15" s="102" t="e">
        <f>'шпоргалка-1'!C15</f>
        <v>#REF!</v>
      </c>
      <c r="D15" s="104" t="e">
        <f>'шпоргалка-1'!D15</f>
        <v>#REF!</v>
      </c>
      <c r="E15" t="e">
        <f>'шпоргалка-1'!E15</f>
        <v>#REF!</v>
      </c>
      <c r="G15">
        <f>'шпоргалка-2'!A15</f>
        <v>3</v>
      </c>
      <c r="H15" t="str">
        <f>'шпоргалка-2'!B15</f>
        <v>резерв</v>
      </c>
      <c r="I15" s="102">
        <f>'шпоргалка-2'!C15</f>
      </c>
      <c r="J15" s="104">
        <f>'шпоргалка-2'!D15</f>
      </c>
      <c r="K15">
        <f>'шпоргалка-2'!E15</f>
      </c>
      <c r="M15">
        <f>'шпоргалка-3'!A15</f>
        <v>3</v>
      </c>
      <c r="N15" t="str">
        <f>'шпоргалка-3'!B15</f>
        <v>резерв</v>
      </c>
      <c r="O15" s="102">
        <f>'шпоргалка-3'!C15</f>
      </c>
      <c r="P15" s="104">
        <f>'шпоргалка-3'!D15</f>
      </c>
      <c r="Q15">
        <f>'шпоргалка-3'!E15</f>
      </c>
    </row>
    <row r="16" spans="1:17" x14ac:dyDescent="0.25">
      <c r="A16">
        <f>'шпоргалка-1'!A16</f>
        <v>4</v>
      </c>
      <c r="B16" t="e">
        <f>'шпоргалка-1'!B16</f>
        <v>#REF!</v>
      </c>
      <c r="C16" s="102" t="e">
        <f>'шпоргалка-1'!C16</f>
        <v>#REF!</v>
      </c>
      <c r="D16" s="104" t="e">
        <f>'шпоргалка-1'!D16</f>
        <v>#REF!</v>
      </c>
      <c r="E16" t="e">
        <f>'шпоргалка-1'!E16</f>
        <v>#REF!</v>
      </c>
      <c r="G16">
        <f>'шпоргалка-2'!A16</f>
        <v>4</v>
      </c>
      <c r="H16" t="str">
        <f>'шпоргалка-2'!B16</f>
        <v>резерв</v>
      </c>
      <c r="I16" s="102">
        <f>'шпоргалка-2'!C16</f>
      </c>
      <c r="J16" s="104">
        <f>'шпоргалка-2'!D16</f>
      </c>
      <c r="K16">
        <f>'шпоргалка-2'!E16</f>
      </c>
      <c r="M16">
        <f>'шпоргалка-3'!A16</f>
        <v>4</v>
      </c>
      <c r="N16" t="str">
        <f>'шпоргалка-3'!B16</f>
        <v>резерв</v>
      </c>
      <c r="O16" s="102">
        <f>'шпоргалка-3'!C16</f>
      </c>
      <c r="P16" s="104">
        <f>'шпоргалка-3'!D16</f>
      </c>
      <c r="Q16">
        <f>'шпоргалка-3'!E16</f>
      </c>
    </row>
    <row r="17" spans="1:17" x14ac:dyDescent="0.25">
      <c r="A17">
        <f>'шпоргалка-1'!A17</f>
        <v>5</v>
      </c>
      <c r="B17" t="e">
        <f>'шпоргалка-1'!B17</f>
        <v>#REF!</v>
      </c>
      <c r="C17" s="102" t="e">
        <f>'шпоргалка-1'!C17</f>
        <v>#REF!</v>
      </c>
      <c r="D17" s="104" t="e">
        <f>'шпоргалка-1'!D17</f>
        <v>#REF!</v>
      </c>
      <c r="E17" t="e">
        <f>'шпоргалка-1'!E17</f>
        <v>#REF!</v>
      </c>
      <c r="G17">
        <f>'шпоргалка-2'!A17</f>
        <v>5</v>
      </c>
      <c r="H17" t="str">
        <f>'шпоргалка-2'!B17</f>
        <v>резерв</v>
      </c>
      <c r="I17" s="102">
        <f>'шпоргалка-2'!C17</f>
      </c>
      <c r="J17" s="104">
        <f>'шпоргалка-2'!D17</f>
      </c>
      <c r="K17">
        <f>'шпоргалка-2'!E17</f>
      </c>
      <c r="M17">
        <f>'шпоргалка-3'!A17</f>
        <v>5</v>
      </c>
      <c r="N17" t="str">
        <f>'шпоргалка-3'!B17</f>
        <v>резерв</v>
      </c>
      <c r="O17" s="102">
        <f>'шпоргалка-3'!C17</f>
      </c>
      <c r="P17" s="104">
        <f>'шпоргалка-3'!D17</f>
      </c>
      <c r="Q17">
        <f>'шпоргалка-3'!E17</f>
      </c>
    </row>
    <row r="18" spans="1:17" x14ac:dyDescent="0.25">
      <c r="A18">
        <f>'шпоргалка-1'!A18</f>
        <v>6</v>
      </c>
      <c r="B18" t="e">
        <f>'шпоргалка-1'!B18</f>
        <v>#REF!</v>
      </c>
      <c r="C18" s="102" t="e">
        <f>'шпоргалка-1'!C18</f>
        <v>#REF!</v>
      </c>
      <c r="D18" s="104" t="e">
        <f>'шпоргалка-1'!D18</f>
        <v>#REF!</v>
      </c>
      <c r="E18" t="e">
        <f>'шпоргалка-1'!E18</f>
        <v>#REF!</v>
      </c>
      <c r="G18">
        <f>'шпоргалка-2'!A18</f>
        <v>6</v>
      </c>
      <c r="H18" t="str">
        <f>'шпоргалка-2'!B18</f>
        <v>резерв</v>
      </c>
      <c r="I18" s="102">
        <f>'шпоргалка-2'!C18</f>
      </c>
      <c r="J18" s="104">
        <f>'шпоргалка-2'!D18</f>
      </c>
      <c r="K18">
        <f>'шпоргалка-2'!E18</f>
      </c>
      <c r="M18">
        <f>'шпоргалка-3'!A18</f>
        <v>6</v>
      </c>
      <c r="N18" t="str">
        <f>'шпоргалка-3'!B18</f>
        <v>резерв</v>
      </c>
      <c r="O18" s="102">
        <f>'шпоргалка-3'!C18</f>
      </c>
      <c r="P18" s="104">
        <f>'шпоргалка-3'!D18</f>
      </c>
      <c r="Q18">
        <f>'шпоргалка-3'!E18</f>
      </c>
    </row>
    <row r="19" spans="1:17" x14ac:dyDescent="0.25">
      <c r="A19">
        <f>'шпоргалка-1'!A19</f>
        <v>7</v>
      </c>
      <c r="B19" t="e">
        <f>'шпоргалка-1'!B19</f>
        <v>#REF!</v>
      </c>
      <c r="C19" s="102" t="e">
        <f>'шпоргалка-1'!C19</f>
        <v>#REF!</v>
      </c>
      <c r="D19" s="104" t="e">
        <f>'шпоргалка-1'!D19</f>
        <v>#REF!</v>
      </c>
      <c r="E19" t="e">
        <f>'шпоргалка-1'!E19</f>
        <v>#REF!</v>
      </c>
      <c r="G19">
        <f>'шпоргалка-2'!A19</f>
        <v>7</v>
      </c>
      <c r="H19" t="str">
        <f>'шпоргалка-2'!B19</f>
        <v>резерв</v>
      </c>
      <c r="I19" s="102">
        <f>'шпоргалка-2'!C19</f>
      </c>
      <c r="J19" s="104">
        <f>'шпоргалка-2'!D19</f>
      </c>
      <c r="K19">
        <f>'шпоргалка-2'!E19</f>
      </c>
      <c r="M19">
        <f>'шпоргалка-3'!A19</f>
        <v>7</v>
      </c>
      <c r="N19" t="str">
        <f>'шпоргалка-3'!B19</f>
        <v>резерв</v>
      </c>
      <c r="O19" s="102">
        <f>'шпоргалка-3'!C19</f>
      </c>
      <c r="P19" s="104">
        <f>'шпоргалка-3'!D19</f>
      </c>
      <c r="Q19">
        <f>'шпоргалка-3'!E19</f>
      </c>
    </row>
    <row r="20" spans="1:17" x14ac:dyDescent="0.25">
      <c r="A20">
        <f>'шпоргалка-1'!A20</f>
        <v>8</v>
      </c>
      <c r="B20" t="e">
        <f>'шпоргалка-1'!B20</f>
        <v>#REF!</v>
      </c>
      <c r="C20" s="102" t="e">
        <f>'шпоргалка-1'!C20</f>
        <v>#REF!</v>
      </c>
      <c r="D20" s="104" t="e">
        <f>'шпоргалка-1'!D20</f>
        <v>#REF!</v>
      </c>
      <c r="E20" t="e">
        <f>'шпоргалка-1'!E20</f>
        <v>#REF!</v>
      </c>
      <c r="G20">
        <f>'шпоргалка-2'!A20</f>
        <v>8</v>
      </c>
      <c r="H20" t="str">
        <f>'шпоргалка-2'!B20</f>
        <v>резерв</v>
      </c>
      <c r="I20" s="102">
        <f>'шпоргалка-2'!C20</f>
      </c>
      <c r="J20" s="104">
        <f>'шпоргалка-2'!D20</f>
      </c>
      <c r="K20">
        <f>'шпоргалка-2'!E20</f>
      </c>
      <c r="M20">
        <f>'шпоргалка-3'!A20</f>
        <v>8</v>
      </c>
      <c r="N20" t="str">
        <f>'шпоргалка-3'!B20</f>
        <v>резерв</v>
      </c>
      <c r="O20" s="102">
        <f>'шпоргалка-3'!C20</f>
      </c>
      <c r="P20" s="104">
        <f>'шпоргалка-3'!D20</f>
      </c>
      <c r="Q20">
        <f>'шпоргалка-3'!E20</f>
      </c>
    </row>
    <row r="21" spans="2:14" x14ac:dyDescent="0.25">
      <c r="B21" t="str">
        <f>'шпоргалка-1'!B21</f>
        <v>SV004 - 3</v>
      </c>
      <c r="H21" t="str">
        <f>'шпоргалка-2'!B21</f>
        <v>SV004 - 3</v>
      </c>
      <c r="N21" t="str">
        <f>'шпоргалка-3'!B21</f>
        <v>SV004 - 3 </v>
      </c>
    </row>
    <row r="22" spans="1:17" x14ac:dyDescent="0.25">
      <c r="A22">
        <f>'шпоргалка-1'!A22</f>
        <v>1</v>
      </c>
      <c r="B22" t="e">
        <f>'шпоргалка-1'!B22</f>
        <v>#REF!</v>
      </c>
      <c r="C22" s="102" t="e">
        <f>'шпоргалка-1'!C22</f>
        <v>#REF!</v>
      </c>
      <c r="D22" s="104" t="e">
        <f>'шпоргалка-1'!D22</f>
        <v>#REF!</v>
      </c>
      <c r="E22" t="e">
        <f>'шпоргалка-1'!E22</f>
        <v>#REF!</v>
      </c>
      <c r="G22">
        <f>'шпоргалка-2'!A22</f>
        <v>1</v>
      </c>
      <c r="H22" t="str">
        <f>'шпоргалка-2'!B22</f>
        <v>резерв</v>
      </c>
      <c r="I22" s="102">
        <f>'шпоргалка-2'!C22</f>
      </c>
      <c r="J22" s="104">
        <f>'шпоргалка-2'!D22</f>
      </c>
      <c r="K22">
        <f>'шпоргалка-2'!E22</f>
      </c>
      <c r="M22">
        <f>'шпоргалка-3'!A22</f>
        <v>1</v>
      </c>
      <c r="N22" t="str">
        <f>'шпоргалка-3'!B22</f>
        <v>резерв</v>
      </c>
      <c r="O22" s="102">
        <f>'шпоргалка-3'!C22</f>
      </c>
      <c r="P22" s="104">
        <f>'шпоргалка-3'!D22</f>
      </c>
      <c r="Q22">
        <f>'шпоргалка-3'!E22</f>
      </c>
    </row>
    <row r="23" spans="1:17" x14ac:dyDescent="0.25">
      <c r="A23">
        <f>'шпоргалка-1'!A23</f>
        <v>2</v>
      </c>
      <c r="B23" t="e">
        <f>'шпоргалка-1'!B23</f>
        <v>#REF!</v>
      </c>
      <c r="C23" s="102" t="e">
        <f>'шпоргалка-1'!C23</f>
        <v>#REF!</v>
      </c>
      <c r="D23" s="104" t="e">
        <f>'шпоргалка-1'!D23</f>
        <v>#REF!</v>
      </c>
      <c r="E23" t="e">
        <f>'шпоргалка-1'!E23</f>
        <v>#REF!</v>
      </c>
      <c r="G23">
        <f>'шпоргалка-2'!A23</f>
        <v>2</v>
      </c>
      <c r="H23" t="str">
        <f>'шпоргалка-2'!B23</f>
        <v>резерв</v>
      </c>
      <c r="I23" s="102">
        <f>'шпоргалка-2'!C23</f>
      </c>
      <c r="J23" s="104">
        <f>'шпоргалка-2'!D23</f>
      </c>
      <c r="K23">
        <f>'шпоргалка-2'!E23</f>
      </c>
      <c r="M23">
        <f>'шпоргалка-3'!A23</f>
        <v>2</v>
      </c>
      <c r="N23" t="str">
        <f>'шпоргалка-3'!B23</f>
        <v>резерв</v>
      </c>
      <c r="O23" s="102">
        <f>'шпоргалка-3'!C23</f>
      </c>
      <c r="P23" s="104">
        <f>'шпоргалка-3'!D23</f>
      </c>
      <c r="Q23">
        <f>'шпоргалка-3'!E23</f>
      </c>
    </row>
    <row r="24" spans="1:17" x14ac:dyDescent="0.25">
      <c r="A24">
        <f>'шпоргалка-1'!A24</f>
        <v>3</v>
      </c>
      <c r="B24" t="e">
        <f>'шпоргалка-1'!B24</f>
        <v>#REF!</v>
      </c>
      <c r="C24" s="102" t="e">
        <f>'шпоргалка-1'!C24</f>
        <v>#REF!</v>
      </c>
      <c r="D24" s="104" t="e">
        <f>'шпоргалка-1'!D24</f>
        <v>#REF!</v>
      </c>
      <c r="E24" t="e">
        <f>'шпоргалка-1'!E24</f>
        <v>#REF!</v>
      </c>
      <c r="G24">
        <f>'шпоргалка-2'!A24</f>
        <v>3</v>
      </c>
      <c r="H24" t="str">
        <f>'шпоргалка-2'!B24</f>
        <v>резерв</v>
      </c>
      <c r="I24" s="102">
        <f>'шпоргалка-2'!C24</f>
      </c>
      <c r="J24" s="104">
        <f>'шпоргалка-2'!D24</f>
      </c>
      <c r="K24">
        <f>'шпоргалка-2'!E24</f>
      </c>
      <c r="M24">
        <f>'шпоргалка-3'!A24</f>
        <v>3</v>
      </c>
      <c r="N24" t="str">
        <f>'шпоргалка-3'!B24</f>
        <v>резерв</v>
      </c>
      <c r="O24" s="102">
        <f>'шпоргалка-3'!C24</f>
      </c>
      <c r="P24" s="104">
        <f>'шпоргалка-3'!D24</f>
      </c>
      <c r="Q24">
        <f>'шпоргалка-3'!E24</f>
      </c>
    </row>
    <row r="25" spans="1:17" x14ac:dyDescent="0.25">
      <c r="A25">
        <f>'шпоргалка-1'!A25</f>
        <v>4</v>
      </c>
      <c r="B25" t="e">
        <f>'шпоргалка-1'!B25</f>
        <v>#REF!</v>
      </c>
      <c r="C25" s="102" t="e">
        <f>'шпоргалка-1'!C25</f>
        <v>#REF!</v>
      </c>
      <c r="D25" s="104" t="e">
        <f>'шпоргалка-1'!D25</f>
        <v>#REF!</v>
      </c>
      <c r="E25" t="e">
        <f>'шпоргалка-1'!E25</f>
        <v>#REF!</v>
      </c>
      <c r="G25">
        <f>'шпоргалка-2'!A25</f>
        <v>4</v>
      </c>
      <c r="H25" t="str">
        <f>'шпоргалка-2'!B25</f>
        <v>резерв</v>
      </c>
      <c r="I25" s="102">
        <f>'шпоргалка-2'!C25</f>
      </c>
      <c r="J25" s="104">
        <f>'шпоргалка-2'!D25</f>
      </c>
      <c r="K25">
        <f>'шпоргалка-2'!E25</f>
      </c>
      <c r="M25">
        <f>'шпоргалка-3'!A25</f>
        <v>4</v>
      </c>
      <c r="N25" t="str">
        <f>'шпоргалка-3'!B25</f>
        <v>резерв</v>
      </c>
      <c r="O25" s="102">
        <f>'шпоргалка-3'!C25</f>
      </c>
      <c r="P25" s="104">
        <f>'шпоргалка-3'!D25</f>
      </c>
      <c r="Q25">
        <f>'шпоргалка-3'!E25</f>
      </c>
    </row>
    <row r="26" spans="1:17" x14ac:dyDescent="0.25">
      <c r="A26">
        <f>'шпоргалка-1'!A26</f>
        <v>5</v>
      </c>
      <c r="B26" t="e">
        <f>'шпоргалка-1'!B26</f>
        <v>#REF!</v>
      </c>
      <c r="C26" s="102" t="e">
        <f>'шпоргалка-1'!C26</f>
        <v>#REF!</v>
      </c>
      <c r="D26" s="104" t="e">
        <f>'шпоргалка-1'!D26</f>
        <v>#REF!</v>
      </c>
      <c r="E26" t="e">
        <f>'шпоргалка-1'!E26</f>
        <v>#REF!</v>
      </c>
      <c r="G26">
        <f>'шпоргалка-2'!A26</f>
        <v>5</v>
      </c>
      <c r="H26" t="str">
        <f>'шпоргалка-2'!B26</f>
        <v>резерв</v>
      </c>
      <c r="I26" s="102">
        <f>'шпоргалка-2'!C26</f>
      </c>
      <c r="J26" s="104">
        <f>'шпоргалка-2'!D26</f>
      </c>
      <c r="K26">
        <f>'шпоргалка-2'!E26</f>
      </c>
      <c r="M26">
        <f>'шпоргалка-3'!A26</f>
        <v>5</v>
      </c>
      <c r="N26" t="str">
        <f>'шпоргалка-3'!B26</f>
        <v>резерв</v>
      </c>
      <c r="O26" s="102">
        <f>'шпоргалка-3'!C26</f>
      </c>
      <c r="P26" s="104">
        <f>'шпоргалка-3'!D26</f>
      </c>
      <c r="Q26">
        <f>'шпоргалка-3'!E26</f>
      </c>
    </row>
    <row r="27" spans="1:17" x14ac:dyDescent="0.25">
      <c r="A27">
        <f>'шпоргалка-1'!A27</f>
        <v>6</v>
      </c>
      <c r="B27" t="e">
        <f>'шпоргалка-1'!B27</f>
        <v>#REF!</v>
      </c>
      <c r="C27" s="102" t="e">
        <f>'шпоргалка-1'!C27</f>
        <v>#REF!</v>
      </c>
      <c r="D27" s="104" t="e">
        <f>'шпоргалка-1'!D27</f>
        <v>#REF!</v>
      </c>
      <c r="E27" t="e">
        <f>'шпоргалка-1'!E27</f>
        <v>#REF!</v>
      </c>
      <c r="G27">
        <f>'шпоргалка-2'!A27</f>
        <v>6</v>
      </c>
      <c r="H27" t="str">
        <f>'шпоргалка-2'!B27</f>
        <v>резерв</v>
      </c>
      <c r="I27" s="102">
        <f>'шпоргалка-2'!C27</f>
      </c>
      <c r="J27" s="104">
        <f>'шпоргалка-2'!D27</f>
      </c>
      <c r="K27">
        <f>'шпоргалка-2'!E27</f>
      </c>
      <c r="M27">
        <f>'шпоргалка-3'!A27</f>
        <v>6</v>
      </c>
      <c r="N27" t="str">
        <f>'шпоргалка-3'!B27</f>
        <v>резерв</v>
      </c>
      <c r="O27" s="102">
        <f>'шпоргалка-3'!C27</f>
      </c>
      <c r="P27" s="104">
        <f>'шпоргалка-3'!D27</f>
      </c>
      <c r="Q27">
        <f>'шпоргалка-3'!E27</f>
      </c>
    </row>
    <row r="28" spans="1:17" x14ac:dyDescent="0.25">
      <c r="A28">
        <f>'шпоргалка-1'!A28</f>
        <v>7</v>
      </c>
      <c r="B28" t="e">
        <f>'шпоргалка-1'!B28</f>
        <v>#REF!</v>
      </c>
      <c r="C28" s="102" t="e">
        <f>'шпоргалка-1'!C28</f>
        <v>#REF!</v>
      </c>
      <c r="D28" s="104" t="e">
        <f>'шпоргалка-1'!D28</f>
        <v>#REF!</v>
      </c>
      <c r="E28" t="e">
        <f>'шпоргалка-1'!E28</f>
        <v>#REF!</v>
      </c>
      <c r="G28">
        <f>'шпоргалка-2'!A28</f>
        <v>7</v>
      </c>
      <c r="H28" t="str">
        <f>'шпоргалка-2'!B28</f>
        <v>резерв</v>
      </c>
      <c r="I28" s="102">
        <f>'шпоргалка-2'!C28</f>
      </c>
      <c r="J28" s="104">
        <f>'шпоргалка-2'!D28</f>
      </c>
      <c r="K28">
        <f>'шпоргалка-2'!E28</f>
      </c>
      <c r="M28">
        <f>'шпоргалка-3'!A28</f>
        <v>7</v>
      </c>
      <c r="N28" t="str">
        <f>'шпоргалка-3'!B28</f>
        <v>резерв</v>
      </c>
      <c r="O28" s="102">
        <f>'шпоргалка-3'!C28</f>
      </c>
      <c r="P28" s="104">
        <f>'шпоргалка-3'!D28</f>
      </c>
      <c r="Q28">
        <f>'шпоргалка-3'!E28</f>
      </c>
    </row>
    <row r="29" spans="1:17" x14ac:dyDescent="0.25">
      <c r="A29">
        <f>'шпоргалка-1'!A29</f>
        <v>8</v>
      </c>
      <c r="B29" t="e">
        <f>'шпоргалка-1'!B29</f>
        <v>#REF!</v>
      </c>
      <c r="C29" s="102" t="e">
        <f>'шпоргалка-1'!C29</f>
        <v>#REF!</v>
      </c>
      <c r="D29" s="104" t="e">
        <f>'шпоргалка-1'!D29</f>
        <v>#REF!</v>
      </c>
      <c r="E29" t="e">
        <f>'шпоргалка-1'!E29</f>
        <v>#REF!</v>
      </c>
      <c r="G29">
        <f>'шпоргалка-2'!A29</f>
        <v>8</v>
      </c>
      <c r="H29" t="str">
        <f>'шпоргалка-2'!B29</f>
        <v>резерв</v>
      </c>
      <c r="I29" s="102">
        <f>'шпоргалка-2'!C29</f>
      </c>
      <c r="J29" s="104">
        <f>'шпоргалка-2'!D29</f>
      </c>
      <c r="K29">
        <f>'шпоргалка-2'!E29</f>
      </c>
      <c r="M29">
        <f>'шпоргалка-3'!A29</f>
        <v>8</v>
      </c>
      <c r="N29" t="str">
        <f>'шпоргалка-3'!B29</f>
        <v>резерв</v>
      </c>
      <c r="O29" s="102">
        <f>'шпоргалка-3'!C29</f>
      </c>
      <c r="P29" s="104">
        <f>'шпоргалка-3'!D29</f>
      </c>
      <c r="Q29">
        <f>'шпоргалка-3'!E29</f>
      </c>
    </row>
    <row r="30" spans="2:14" x14ac:dyDescent="0.25">
      <c r="B30" t="str">
        <f>'шпоргалка-1'!B30</f>
        <v>SV004 - 4</v>
      </c>
      <c r="H30" t="str">
        <f>'шпоргалка-2'!B30</f>
        <v>SV004 - 4</v>
      </c>
      <c r="N30" t="str">
        <f>'шпоргалка-3'!B30</f>
        <v>SV004 - 4</v>
      </c>
    </row>
    <row r="31" spans="1:17" x14ac:dyDescent="0.25">
      <c r="A31">
        <f>'шпоргалка-1'!A31</f>
        <v>1</v>
      </c>
      <c r="B31" t="e">
        <f>'шпоргалка-1'!B31</f>
        <v>#REF!</v>
      </c>
      <c r="C31" s="102" t="e">
        <f>'шпоргалка-1'!C31</f>
        <v>#REF!</v>
      </c>
      <c r="D31" s="104" t="e">
        <f>'шпоргалка-1'!D31</f>
        <v>#REF!</v>
      </c>
      <c r="E31" t="e">
        <f>'шпоргалка-1'!E31</f>
        <v>#REF!</v>
      </c>
      <c r="G31">
        <f>'шпоргалка-2'!A31</f>
        <v>1</v>
      </c>
      <c r="H31" t="str">
        <f>'шпоргалка-2'!B31</f>
        <v>резерв</v>
      </c>
      <c r="I31" s="102">
        <f>'шпоргалка-2'!C31</f>
      </c>
      <c r="J31" s="104">
        <f>'шпоргалка-2'!D31</f>
      </c>
      <c r="K31">
        <f>'шпоргалка-2'!E31</f>
      </c>
      <c r="M31">
        <f>'шпоргалка-3'!A31</f>
        <v>1</v>
      </c>
      <c r="N31" t="str">
        <f>'шпоргалка-3'!B31</f>
        <v>резерв</v>
      </c>
      <c r="O31" s="102">
        <f>'шпоргалка-3'!C31</f>
      </c>
      <c r="P31" s="104">
        <f>'шпоргалка-3'!D31</f>
      </c>
      <c r="Q31">
        <f>'шпоргалка-3'!E31</f>
      </c>
    </row>
    <row r="32" spans="1:17" x14ac:dyDescent="0.25">
      <c r="A32">
        <f>'шпоргалка-1'!A32</f>
        <v>2</v>
      </c>
      <c r="B32" t="e">
        <f>'шпоргалка-1'!B32</f>
        <v>#REF!</v>
      </c>
      <c r="C32" s="102" t="e">
        <f>'шпоргалка-1'!C32</f>
        <v>#REF!</v>
      </c>
      <c r="D32" s="104" t="e">
        <f>'шпоргалка-1'!D32</f>
        <v>#REF!</v>
      </c>
      <c r="E32" t="e">
        <f>'шпоргалка-1'!E32</f>
        <v>#REF!</v>
      </c>
      <c r="G32">
        <f>'шпоргалка-2'!A32</f>
        <v>2</v>
      </c>
      <c r="H32" t="str">
        <f>'шпоргалка-2'!B32</f>
        <v>резерв</v>
      </c>
      <c r="I32" s="102">
        <f>'шпоргалка-2'!C32</f>
      </c>
      <c r="J32" s="104">
        <f>'шпоргалка-2'!D32</f>
      </c>
      <c r="K32">
        <f>'шпоргалка-2'!E32</f>
      </c>
      <c r="M32">
        <f>'шпоргалка-3'!A32</f>
        <v>2</v>
      </c>
      <c r="N32" t="str">
        <f>'шпоргалка-3'!B32</f>
        <v>резерв</v>
      </c>
      <c r="O32" s="102">
        <f>'шпоргалка-3'!C32</f>
      </c>
      <c r="P32" s="104">
        <f>'шпоргалка-3'!D32</f>
      </c>
      <c r="Q32">
        <f>'шпоргалка-3'!E32</f>
      </c>
    </row>
    <row r="33" spans="1:17" x14ac:dyDescent="0.25">
      <c r="A33">
        <f>'шпоргалка-1'!A33</f>
        <v>3</v>
      </c>
      <c r="B33" t="e">
        <f>'шпоргалка-1'!B33</f>
        <v>#REF!</v>
      </c>
      <c r="C33" s="102" t="e">
        <f>'шпоргалка-1'!C33</f>
        <v>#REF!</v>
      </c>
      <c r="D33" s="104" t="e">
        <f>'шпоргалка-1'!D33</f>
        <v>#REF!</v>
      </c>
      <c r="E33" t="e">
        <f>'шпоргалка-1'!E33</f>
        <v>#REF!</v>
      </c>
      <c r="G33">
        <f>'шпоргалка-2'!A33</f>
        <v>3</v>
      </c>
      <c r="H33" t="str">
        <f>'шпоргалка-2'!B33</f>
        <v>резерв</v>
      </c>
      <c r="I33" s="102">
        <f>'шпоргалка-2'!C33</f>
      </c>
      <c r="J33" s="104">
        <f>'шпоргалка-2'!D33</f>
      </c>
      <c r="K33">
        <f>'шпоргалка-2'!E33</f>
      </c>
      <c r="M33">
        <f>'шпоргалка-3'!A33</f>
        <v>3</v>
      </c>
      <c r="N33" t="str">
        <f>'шпоргалка-3'!B33</f>
        <v>резерв</v>
      </c>
      <c r="O33" s="102">
        <f>'шпоргалка-3'!C33</f>
      </c>
      <c r="P33" s="104">
        <f>'шпоргалка-3'!D33</f>
      </c>
      <c r="Q33">
        <f>'шпоргалка-3'!E33</f>
      </c>
    </row>
    <row r="34" spans="1:17" x14ac:dyDescent="0.25">
      <c r="A34">
        <f>'шпоргалка-1'!A34</f>
        <v>4</v>
      </c>
      <c r="B34" t="e">
        <f>'шпоргалка-1'!B34</f>
        <v>#REF!</v>
      </c>
      <c r="C34" s="102" t="e">
        <f>'шпоргалка-1'!C34</f>
        <v>#REF!</v>
      </c>
      <c r="D34" s="104" t="e">
        <f>'шпоргалка-1'!D34</f>
        <v>#REF!</v>
      </c>
      <c r="E34" t="e">
        <f>'шпоргалка-1'!E34</f>
        <v>#REF!</v>
      </c>
      <c r="G34">
        <f>'шпоргалка-2'!A34</f>
        <v>4</v>
      </c>
      <c r="H34" t="str">
        <f>'шпоргалка-2'!B34</f>
        <v>резерв</v>
      </c>
      <c r="I34" s="102">
        <f>'шпоргалка-2'!C34</f>
      </c>
      <c r="J34" s="104">
        <f>'шпоргалка-2'!D34</f>
      </c>
      <c r="K34">
        <f>'шпоргалка-2'!E34</f>
      </c>
      <c r="M34">
        <f>'шпоргалка-3'!A34</f>
        <v>4</v>
      </c>
      <c r="N34" t="str">
        <f>'шпоргалка-3'!B34</f>
        <v>резерв</v>
      </c>
      <c r="O34" s="102">
        <f>'шпоргалка-3'!C34</f>
      </c>
      <c r="P34" s="104">
        <f>'шпоргалка-3'!D34</f>
      </c>
      <c r="Q34">
        <f>'шпоргалка-3'!E34</f>
      </c>
    </row>
    <row r="35" spans="1:17" x14ac:dyDescent="0.25">
      <c r="A35">
        <f>'шпоргалка-1'!A35</f>
        <v>5</v>
      </c>
      <c r="B35" t="e">
        <f>'шпоргалка-1'!B35</f>
        <v>#REF!</v>
      </c>
      <c r="C35" s="102" t="e">
        <f>'шпоргалка-1'!C35</f>
        <v>#REF!</v>
      </c>
      <c r="D35" s="104" t="e">
        <f>'шпоргалка-1'!D35</f>
        <v>#REF!</v>
      </c>
      <c r="E35" t="e">
        <f>'шпоргалка-1'!E35</f>
        <v>#REF!</v>
      </c>
      <c r="G35">
        <f>'шпоргалка-2'!A35</f>
        <v>5</v>
      </c>
      <c r="H35" t="str">
        <f>'шпоргалка-2'!B35</f>
        <v>резерв</v>
      </c>
      <c r="I35" s="102">
        <f>'шпоргалка-2'!C35</f>
      </c>
      <c r="J35" s="104">
        <f>'шпоргалка-2'!D35</f>
      </c>
      <c r="K35">
        <f>'шпоргалка-2'!E35</f>
      </c>
      <c r="M35">
        <f>'шпоргалка-3'!A35</f>
        <v>5</v>
      </c>
      <c r="N35" t="str">
        <f>'шпоргалка-3'!B35</f>
        <v>резерв</v>
      </c>
      <c r="O35" s="102">
        <f>'шпоргалка-3'!C35</f>
      </c>
      <c r="P35" s="104">
        <f>'шпоргалка-3'!D35</f>
      </c>
      <c r="Q35">
        <f>'шпоргалка-3'!E35</f>
      </c>
    </row>
    <row r="36" spans="1:17" x14ac:dyDescent="0.25">
      <c r="A36">
        <f>'шпоргалка-1'!A36</f>
        <v>6</v>
      </c>
      <c r="B36" t="e">
        <f>'шпоргалка-1'!B36</f>
        <v>#REF!</v>
      </c>
      <c r="C36" s="102" t="e">
        <f>'шпоргалка-1'!C36</f>
        <v>#REF!</v>
      </c>
      <c r="D36" s="104" t="e">
        <f>'шпоргалка-1'!D36</f>
        <v>#REF!</v>
      </c>
      <c r="E36" t="e">
        <f>'шпоргалка-1'!E36</f>
        <v>#REF!</v>
      </c>
      <c r="G36">
        <f>'шпоргалка-2'!A36</f>
        <v>6</v>
      </c>
      <c r="H36" t="str">
        <f>'шпоргалка-2'!B36</f>
        <v>резерв</v>
      </c>
      <c r="I36" s="102">
        <f>'шпоргалка-2'!C36</f>
      </c>
      <c r="J36" s="104">
        <f>'шпоргалка-2'!D36</f>
      </c>
      <c r="K36">
        <f>'шпоргалка-2'!E36</f>
      </c>
      <c r="M36">
        <f>'шпоргалка-3'!A36</f>
        <v>6</v>
      </c>
      <c r="N36" t="str">
        <f>'шпоргалка-3'!B36</f>
        <v>резерв</v>
      </c>
      <c r="O36" s="102">
        <f>'шпоргалка-3'!C36</f>
      </c>
      <c r="P36" s="104">
        <f>'шпоргалка-3'!D36</f>
      </c>
      <c r="Q36">
        <f>'шпоргалка-3'!E36</f>
      </c>
    </row>
    <row r="37" spans="1:17" x14ac:dyDescent="0.25">
      <c r="A37">
        <f>'шпоргалка-1'!A37</f>
        <v>7</v>
      </c>
      <c r="B37" t="e">
        <f>'шпоргалка-1'!B37</f>
        <v>#REF!</v>
      </c>
      <c r="C37" s="102" t="e">
        <f>'шпоргалка-1'!C37</f>
        <v>#REF!</v>
      </c>
      <c r="D37" s="104" t="e">
        <f>'шпоргалка-1'!D37</f>
        <v>#REF!</v>
      </c>
      <c r="E37" t="e">
        <f>'шпоргалка-1'!E37</f>
        <v>#REF!</v>
      </c>
      <c r="G37">
        <f>'шпоргалка-2'!A37</f>
        <v>7</v>
      </c>
      <c r="H37" t="str">
        <f>'шпоргалка-2'!B37</f>
        <v>резерв</v>
      </c>
      <c r="I37" s="102">
        <f>'шпоргалка-2'!C37</f>
      </c>
      <c r="J37" s="104">
        <f>'шпоргалка-2'!D37</f>
      </c>
      <c r="K37">
        <f>'шпоргалка-2'!E37</f>
      </c>
      <c r="M37">
        <f>'шпоргалка-3'!A37</f>
        <v>7</v>
      </c>
      <c r="N37" t="str">
        <f>'шпоргалка-3'!B37</f>
        <v>резерв</v>
      </c>
      <c r="O37" s="102">
        <f>'шпоргалка-3'!C37</f>
      </c>
      <c r="P37" s="104">
        <f>'шпоргалка-3'!D37</f>
      </c>
      <c r="Q37">
        <f>'шпоргалка-3'!E37</f>
      </c>
    </row>
    <row r="38" spans="1:17" x14ac:dyDescent="0.25">
      <c r="A38">
        <f>'шпоргалка-1'!A38</f>
        <v>8</v>
      </c>
      <c r="B38" t="e">
        <f>'шпоргалка-1'!B38</f>
        <v>#REF!</v>
      </c>
      <c r="C38" s="102" t="e">
        <f>'шпоргалка-1'!C38</f>
        <v>#REF!</v>
      </c>
      <c r="D38" s="104" t="e">
        <f>'шпоргалка-1'!D38</f>
        <v>#REF!</v>
      </c>
      <c r="E38" t="e">
        <f>'шпоргалка-1'!E38</f>
        <v>#REF!</v>
      </c>
      <c r="G38">
        <f>'шпоргалка-2'!A38</f>
        <v>8</v>
      </c>
      <c r="H38" t="str">
        <f>'шпоргалка-2'!B38</f>
        <v>резерв</v>
      </c>
      <c r="I38" s="102">
        <f>'шпоргалка-2'!C38</f>
      </c>
      <c r="J38" s="104">
        <f>'шпоргалка-2'!D38</f>
      </c>
      <c r="K38">
        <f>'шпоргалка-2'!E38</f>
      </c>
      <c r="M38">
        <f>'шпоргалка-3'!A38</f>
        <v>8</v>
      </c>
      <c r="N38" t="str">
        <f>'шпоргалка-3'!B38</f>
        <v>резерв</v>
      </c>
      <c r="O38" s="102">
        <f>'шпоргалка-3'!C38</f>
      </c>
      <c r="P38" s="104">
        <f>'шпоргалка-3'!D38</f>
      </c>
      <c r="Q38">
        <f>'шпоргалка-3'!E38</f>
      </c>
    </row>
    <row r="39" spans="2:14" x14ac:dyDescent="0.25">
      <c r="B39" t="str">
        <f>'шпоргалка-1'!B39</f>
        <v>SV004 - 5</v>
      </c>
      <c r="H39" t="str">
        <f>'шпоргалка-2'!B39</f>
        <v>SV004  - 5</v>
      </c>
      <c r="N39" t="str">
        <f>'шпоргалка-3'!B39</f>
        <v>SV004 - 5</v>
      </c>
    </row>
    <row r="40" spans="1:17" x14ac:dyDescent="0.25">
      <c r="A40">
        <f>'шпоргалка-1'!A40</f>
        <v>1</v>
      </c>
      <c r="B40" t="e">
        <f>'шпоргалка-1'!B40</f>
        <v>#REF!</v>
      </c>
      <c r="C40" s="102" t="e">
        <f>'шпоргалка-1'!C40</f>
        <v>#REF!</v>
      </c>
      <c r="D40" s="104" t="e">
        <f>'шпоргалка-1'!D40</f>
        <v>#REF!</v>
      </c>
      <c r="E40" t="e">
        <f>'шпоргалка-1'!E40</f>
        <v>#REF!</v>
      </c>
      <c r="G40">
        <f>'шпоргалка-2'!A40</f>
        <v>1</v>
      </c>
      <c r="H40" t="str">
        <f>'шпоргалка-2'!B40</f>
        <v>резерв</v>
      </c>
      <c r="I40" s="102">
        <f>'шпоргалка-2'!C40</f>
      </c>
      <c r="J40" s="104">
        <f>'шпоргалка-2'!D40</f>
      </c>
      <c r="K40">
        <f>'шпоргалка-2'!E40</f>
      </c>
      <c r="M40">
        <f>'шпоргалка-3'!A40</f>
        <v>1</v>
      </c>
      <c r="N40" t="str">
        <f>'шпоргалка-3'!B40</f>
        <v>резерв</v>
      </c>
      <c r="O40" s="102">
        <f>'шпоргалка-3'!C40</f>
      </c>
      <c r="P40" s="104">
        <f>'шпоргалка-3'!D40</f>
      </c>
      <c r="Q40">
        <f>'шпоргалка-3'!E40</f>
      </c>
    </row>
    <row r="41" spans="1:17" x14ac:dyDescent="0.25">
      <c r="A41">
        <f>'шпоргалка-1'!A41</f>
        <v>2</v>
      </c>
      <c r="B41" t="e">
        <f>'шпоргалка-1'!B41</f>
        <v>#REF!</v>
      </c>
      <c r="C41" s="102" t="e">
        <f>'шпоргалка-1'!C41</f>
        <v>#REF!</v>
      </c>
      <c r="D41" s="104" t="e">
        <f>'шпоргалка-1'!D41</f>
        <v>#REF!</v>
      </c>
      <c r="E41" t="e">
        <f>'шпоргалка-1'!E41</f>
        <v>#REF!</v>
      </c>
      <c r="G41">
        <f>'шпоргалка-2'!A41</f>
        <v>2</v>
      </c>
      <c r="H41" t="str">
        <f>'шпоргалка-2'!B41</f>
        <v>резерв</v>
      </c>
      <c r="I41" s="102">
        <f>'шпоргалка-2'!C41</f>
      </c>
      <c r="J41" s="104">
        <f>'шпоргалка-2'!D41</f>
      </c>
      <c r="K41">
        <f>'шпоргалка-2'!E41</f>
      </c>
      <c r="M41">
        <f>'шпоргалка-3'!A41</f>
        <v>2</v>
      </c>
      <c r="N41" t="str">
        <f>'шпоргалка-3'!B41</f>
        <v>резерв</v>
      </c>
      <c r="O41" s="102">
        <f>'шпоргалка-3'!C41</f>
      </c>
      <c r="P41" s="104">
        <f>'шпоргалка-3'!D41</f>
      </c>
      <c r="Q41">
        <f>'шпоргалка-3'!E41</f>
      </c>
    </row>
    <row r="42" spans="1:17" x14ac:dyDescent="0.25">
      <c r="A42">
        <f>'шпоргалка-1'!A42</f>
        <v>3</v>
      </c>
      <c r="B42" t="e">
        <f>'шпоргалка-1'!B42</f>
        <v>#REF!</v>
      </c>
      <c r="C42" s="102" t="e">
        <f>'шпоргалка-1'!C42</f>
        <v>#REF!</v>
      </c>
      <c r="D42" s="104" t="e">
        <f>'шпоргалка-1'!D42</f>
        <v>#REF!</v>
      </c>
      <c r="E42" t="e">
        <f>'шпоргалка-1'!E42</f>
        <v>#REF!</v>
      </c>
      <c r="G42">
        <f>'шпоргалка-2'!A42</f>
        <v>3</v>
      </c>
      <c r="H42" t="str">
        <f>'шпоргалка-2'!B42</f>
        <v>резерв</v>
      </c>
      <c r="I42" s="102">
        <f>'шпоргалка-2'!C42</f>
      </c>
      <c r="J42" s="104">
        <f>'шпоргалка-2'!D42</f>
      </c>
      <c r="K42">
        <f>'шпоргалка-2'!E42</f>
      </c>
      <c r="M42">
        <f>'шпоргалка-3'!A42</f>
        <v>3</v>
      </c>
      <c r="N42" t="str">
        <f>'шпоргалка-3'!B42</f>
        <v>резерв</v>
      </c>
      <c r="O42" s="102">
        <f>'шпоргалка-3'!C42</f>
      </c>
      <c r="P42" s="104">
        <f>'шпоргалка-3'!D42</f>
      </c>
      <c r="Q42">
        <f>'шпоргалка-3'!E42</f>
      </c>
    </row>
    <row r="43" spans="1:17" x14ac:dyDescent="0.25">
      <c r="A43">
        <f>'шпоргалка-1'!A43</f>
        <v>4</v>
      </c>
      <c r="B43" t="e">
        <f>'шпоргалка-1'!B43</f>
        <v>#REF!</v>
      </c>
      <c r="C43" s="102" t="e">
        <f>'шпоргалка-1'!C43</f>
        <v>#REF!</v>
      </c>
      <c r="D43" s="104" t="e">
        <f>'шпоргалка-1'!D43</f>
        <v>#REF!</v>
      </c>
      <c r="E43" t="e">
        <f>'шпоргалка-1'!E43</f>
        <v>#REF!</v>
      </c>
      <c r="G43">
        <f>'шпоргалка-2'!A43</f>
        <v>4</v>
      </c>
      <c r="H43" t="str">
        <f>'шпоргалка-2'!B43</f>
        <v>резерв</v>
      </c>
      <c r="I43" s="102">
        <f>'шпоргалка-2'!C43</f>
      </c>
      <c r="J43" s="104">
        <f>'шпоргалка-2'!D43</f>
      </c>
      <c r="K43">
        <f>'шпоргалка-2'!E43</f>
      </c>
      <c r="M43">
        <f>'шпоргалка-3'!A43</f>
        <v>4</v>
      </c>
      <c r="N43" t="str">
        <f>'шпоргалка-3'!B43</f>
        <v>резерв</v>
      </c>
      <c r="O43" s="102">
        <f>'шпоргалка-3'!C43</f>
      </c>
      <c r="P43" s="104">
        <f>'шпоргалка-3'!D43</f>
      </c>
      <c r="Q43">
        <f>'шпоргалка-3'!E43</f>
      </c>
    </row>
    <row r="44" spans="1:17" x14ac:dyDescent="0.25">
      <c r="A44">
        <f>'шпоргалка-1'!A44</f>
        <v>5</v>
      </c>
      <c r="B44" t="e">
        <f>'шпоргалка-1'!B44</f>
        <v>#REF!</v>
      </c>
      <c r="C44" s="102" t="e">
        <f>'шпоргалка-1'!C44</f>
        <v>#REF!</v>
      </c>
      <c r="D44" s="104" t="e">
        <f>'шпоргалка-1'!D44</f>
        <v>#REF!</v>
      </c>
      <c r="E44" t="e">
        <f>'шпоргалка-1'!E44</f>
        <v>#REF!</v>
      </c>
      <c r="G44">
        <f>'шпоргалка-2'!A44</f>
        <v>5</v>
      </c>
      <c r="H44" t="str">
        <f>'шпоргалка-2'!B44</f>
        <v>резерв</v>
      </c>
      <c r="I44" s="102">
        <f>'шпоргалка-2'!C44</f>
      </c>
      <c r="J44" s="104">
        <f>'шпоргалка-2'!D44</f>
      </c>
      <c r="K44">
        <f>'шпоргалка-2'!E44</f>
      </c>
      <c r="M44">
        <f>'шпоргалка-3'!A44</f>
        <v>5</v>
      </c>
      <c r="N44" t="str">
        <f>'шпоргалка-3'!B44</f>
        <v>резерв</v>
      </c>
      <c r="O44" s="102">
        <f>'шпоргалка-3'!C44</f>
      </c>
      <c r="P44" s="104">
        <f>'шпоргалка-3'!D44</f>
      </c>
      <c r="Q44">
        <f>'шпоргалка-3'!E44</f>
      </c>
    </row>
    <row r="45" spans="1:17" x14ac:dyDescent="0.25">
      <c r="A45">
        <f>'шпоргалка-1'!A45</f>
        <v>6</v>
      </c>
      <c r="B45" t="e">
        <f>'шпоргалка-1'!B45</f>
        <v>#REF!</v>
      </c>
      <c r="C45" s="102" t="e">
        <f>'шпоргалка-1'!C45</f>
        <v>#REF!</v>
      </c>
      <c r="D45" s="104" t="e">
        <f>'шпоргалка-1'!D45</f>
        <v>#REF!</v>
      </c>
      <c r="E45" t="e">
        <f>'шпоргалка-1'!E45</f>
        <v>#REF!</v>
      </c>
      <c r="G45">
        <f>'шпоргалка-2'!A45</f>
        <v>6</v>
      </c>
      <c r="H45" t="str">
        <f>'шпоргалка-2'!B45</f>
        <v>резерв</v>
      </c>
      <c r="I45" s="102">
        <f>'шпоргалка-2'!C45</f>
      </c>
      <c r="J45" s="104">
        <f>'шпоргалка-2'!D45</f>
      </c>
      <c r="K45">
        <f>'шпоргалка-2'!E45</f>
      </c>
      <c r="M45">
        <f>'шпоргалка-3'!A45</f>
        <v>6</v>
      </c>
      <c r="N45" t="str">
        <f>'шпоргалка-3'!B45</f>
        <v>резерв</v>
      </c>
      <c r="O45" s="102">
        <f>'шпоргалка-3'!C45</f>
      </c>
      <c r="P45" s="104">
        <f>'шпоргалка-3'!D45</f>
      </c>
      <c r="Q45">
        <f>'шпоргалка-3'!E45</f>
      </c>
    </row>
    <row r="46" spans="1:17" x14ac:dyDescent="0.25">
      <c r="A46">
        <f>'шпоргалка-1'!A46</f>
        <v>7</v>
      </c>
      <c r="B46" t="e">
        <f>'шпоргалка-1'!B46</f>
        <v>#REF!</v>
      </c>
      <c r="C46" s="102" t="e">
        <f>'шпоргалка-1'!C46</f>
        <v>#REF!</v>
      </c>
      <c r="D46" s="104" t="e">
        <f>'шпоргалка-1'!D46</f>
        <v>#REF!</v>
      </c>
      <c r="E46" t="e">
        <f>'шпоргалка-1'!E46</f>
        <v>#REF!</v>
      </c>
      <c r="G46">
        <f>'шпоргалка-2'!A46</f>
        <v>7</v>
      </c>
      <c r="H46" t="str">
        <f>'шпоргалка-2'!B46</f>
        <v>резерв</v>
      </c>
      <c r="I46" s="102">
        <f>'шпоргалка-2'!C46</f>
      </c>
      <c r="J46" s="104">
        <f>'шпоргалка-2'!D46</f>
      </c>
      <c r="K46">
        <f>'шпоргалка-2'!E46</f>
      </c>
      <c r="M46">
        <f>'шпоргалка-3'!A46</f>
        <v>7</v>
      </c>
      <c r="N46" t="str">
        <f>'шпоргалка-3'!B46</f>
        <v>резерв</v>
      </c>
      <c r="O46" s="102">
        <f>'шпоргалка-3'!C46</f>
      </c>
      <c r="P46" s="104">
        <f>'шпоргалка-3'!D46</f>
      </c>
      <c r="Q46">
        <f>'шпоргалка-3'!E46</f>
      </c>
    </row>
    <row r="47" spans="1:17" x14ac:dyDescent="0.25">
      <c r="A47">
        <f>'шпоргалка-1'!A47</f>
        <v>8</v>
      </c>
      <c r="B47" t="e">
        <f>'шпоргалка-1'!B47</f>
        <v>#REF!</v>
      </c>
      <c r="C47" s="102" t="e">
        <f>'шпоргалка-1'!C47</f>
        <v>#REF!</v>
      </c>
      <c r="D47" s="104" t="e">
        <f>'шпоргалка-1'!D47</f>
        <v>#REF!</v>
      </c>
      <c r="E47" t="e">
        <f>'шпоргалка-1'!E47</f>
        <v>#REF!</v>
      </c>
      <c r="G47">
        <f>'шпоргалка-2'!A47</f>
        <v>8</v>
      </c>
      <c r="H47" t="str">
        <f>'шпоргалка-2'!B47</f>
        <v>резерв</v>
      </c>
      <c r="I47" s="102">
        <f>'шпоргалка-2'!C47</f>
      </c>
      <c r="J47" s="104">
        <f>'шпоргалка-2'!D47</f>
      </c>
      <c r="K47">
        <f>'шпоргалка-2'!E47</f>
      </c>
      <c r="M47">
        <f>'шпоргалка-3'!A47</f>
        <v>8</v>
      </c>
      <c r="N47" t="str">
        <f>'шпоргалка-3'!B47</f>
        <v>резерв</v>
      </c>
      <c r="O47" s="102">
        <f>'шпоргалка-3'!C47</f>
      </c>
      <c r="P47" s="104">
        <f>'шпоргалка-3'!D47</f>
      </c>
      <c r="Q47">
        <f>'шпоргалка-3'!E47</f>
      </c>
    </row>
    <row r="48" spans="2:14" x14ac:dyDescent="0.25">
      <c r="B48" t="str">
        <f>'шпоргалка-1'!B48</f>
        <v>SV004 - 6</v>
      </c>
      <c r="H48" t="str">
        <f>'шпоргалка-2'!B48</f>
        <v>SV004 - 6</v>
      </c>
      <c r="N48" t="str">
        <f>'шпоргалка-3'!B48</f>
        <v>SV004 - 6</v>
      </c>
    </row>
    <row r="49" spans="1:17" x14ac:dyDescent="0.25">
      <c r="A49">
        <f>'шпоргалка-1'!A49</f>
        <v>1</v>
      </c>
      <c r="B49" t="e">
        <f>'шпоргалка-1'!B49</f>
        <v>#REF!</v>
      </c>
      <c r="C49" s="102" t="e">
        <f>'шпоргалка-1'!C49</f>
        <v>#REF!</v>
      </c>
      <c r="D49" s="104" t="e">
        <f>'шпоргалка-1'!D49</f>
        <v>#REF!</v>
      </c>
      <c r="E49" t="e">
        <f>'шпоргалка-1'!E49</f>
        <v>#REF!</v>
      </c>
      <c r="G49">
        <f>'шпоргалка-2'!A49</f>
        <v>1</v>
      </c>
      <c r="H49" t="str">
        <f>'шпоргалка-2'!B49</f>
        <v>резерв</v>
      </c>
      <c r="I49" s="102">
        <f>'шпоргалка-2'!C49</f>
      </c>
      <c r="J49" s="104">
        <f>'шпоргалка-2'!D49</f>
      </c>
      <c r="K49">
        <f>'шпоргалка-2'!E49</f>
      </c>
      <c r="M49">
        <f>'шпоргалка-3'!A49</f>
        <v>1</v>
      </c>
      <c r="N49" t="str">
        <f>'шпоргалка-3'!B49</f>
        <v>резерв</v>
      </c>
      <c r="O49" s="102">
        <f>'шпоргалка-3'!C49</f>
      </c>
      <c r="P49" s="104">
        <f>'шпоргалка-3'!D49</f>
      </c>
      <c r="Q49">
        <f>'шпоргалка-3'!E49</f>
      </c>
    </row>
    <row r="50" spans="1:17" x14ac:dyDescent="0.25">
      <c r="A50">
        <f>'шпоргалка-1'!A50</f>
        <v>2</v>
      </c>
      <c r="B50" t="e">
        <f>'шпоргалка-1'!B50</f>
        <v>#REF!</v>
      </c>
      <c r="C50" s="102" t="e">
        <f>'шпоргалка-1'!C50</f>
        <v>#REF!</v>
      </c>
      <c r="D50" s="104" t="e">
        <f>'шпоргалка-1'!D50</f>
        <v>#REF!</v>
      </c>
      <c r="E50" t="e">
        <f>'шпоргалка-1'!E50</f>
        <v>#REF!</v>
      </c>
      <c r="G50">
        <f>'шпоргалка-2'!A50</f>
        <v>2</v>
      </c>
      <c r="H50" t="str">
        <f>'шпоргалка-2'!B50</f>
        <v>резерв</v>
      </c>
      <c r="I50" s="102">
        <f>'шпоргалка-2'!C50</f>
      </c>
      <c r="J50" s="104">
        <f>'шпоргалка-2'!D50</f>
      </c>
      <c r="K50">
        <f>'шпоргалка-2'!E50</f>
      </c>
      <c r="M50">
        <f>'шпоргалка-3'!A50</f>
        <v>2</v>
      </c>
      <c r="N50" t="str">
        <f>'шпоргалка-3'!B50</f>
        <v>резерв</v>
      </c>
      <c r="O50" s="102">
        <f>'шпоргалка-3'!C50</f>
      </c>
      <c r="P50" s="104">
        <f>'шпоргалка-3'!D50</f>
      </c>
      <c r="Q50">
        <f>'шпоргалка-3'!E50</f>
      </c>
    </row>
    <row r="51" spans="1:17" x14ac:dyDescent="0.25">
      <c r="A51">
        <f>'шпоргалка-1'!A51</f>
        <v>3</v>
      </c>
      <c r="B51" t="e">
        <f>'шпоргалка-1'!B51</f>
        <v>#REF!</v>
      </c>
      <c r="C51" s="102" t="e">
        <f>'шпоргалка-1'!C51</f>
        <v>#REF!</v>
      </c>
      <c r="D51" s="104" t="e">
        <f>'шпоргалка-1'!D51</f>
        <v>#REF!</v>
      </c>
      <c r="E51" t="e">
        <f>'шпоргалка-1'!E51</f>
        <v>#REF!</v>
      </c>
      <c r="G51">
        <f>'шпоргалка-2'!A51</f>
        <v>3</v>
      </c>
      <c r="H51" t="str">
        <f>'шпоргалка-2'!B51</f>
        <v>резерв</v>
      </c>
      <c r="I51" s="102">
        <f>'шпоргалка-2'!C51</f>
      </c>
      <c r="J51" s="104">
        <f>'шпоргалка-2'!D51</f>
      </c>
      <c r="K51">
        <f>'шпоргалка-2'!E51</f>
      </c>
      <c r="M51">
        <f>'шпоргалка-3'!A51</f>
        <v>3</v>
      </c>
      <c r="N51" t="str">
        <f>'шпоргалка-3'!B51</f>
        <v>резерв</v>
      </c>
      <c r="O51" s="102">
        <f>'шпоргалка-3'!C51</f>
      </c>
      <c r="P51" s="104">
        <f>'шпоргалка-3'!D51</f>
      </c>
      <c r="Q51">
        <f>'шпоргалка-3'!E51</f>
      </c>
    </row>
    <row r="52" spans="1:17" x14ac:dyDescent="0.25">
      <c r="A52">
        <f>'шпоргалка-1'!A52</f>
        <v>4</v>
      </c>
      <c r="B52" t="e">
        <f>'шпоргалка-1'!B52</f>
        <v>#REF!</v>
      </c>
      <c r="C52" s="102" t="e">
        <f>'шпоргалка-1'!C52</f>
        <v>#REF!</v>
      </c>
      <c r="D52" s="104" t="e">
        <f>'шпоргалка-1'!D52</f>
        <v>#REF!</v>
      </c>
      <c r="E52" t="e">
        <f>'шпоргалка-1'!E52</f>
        <v>#REF!</v>
      </c>
      <c r="G52">
        <f>'шпоргалка-2'!A52</f>
        <v>4</v>
      </c>
      <c r="H52" t="str">
        <f>'шпоргалка-2'!B52</f>
        <v>резерв</v>
      </c>
      <c r="I52" s="102">
        <f>'шпоргалка-2'!C52</f>
      </c>
      <c r="J52" s="104">
        <f>'шпоргалка-2'!D52</f>
      </c>
      <c r="K52">
        <f>'шпоргалка-2'!E52</f>
      </c>
      <c r="M52">
        <f>'шпоргалка-3'!A52</f>
        <v>4</v>
      </c>
      <c r="N52" t="str">
        <f>'шпоргалка-3'!B52</f>
        <v>резерв</v>
      </c>
      <c r="O52" s="102">
        <f>'шпоргалка-3'!C52</f>
      </c>
      <c r="P52" s="104">
        <f>'шпоргалка-3'!D52</f>
      </c>
      <c r="Q52">
        <f>'шпоргалка-3'!E52</f>
      </c>
    </row>
    <row r="53" spans="1:17" x14ac:dyDescent="0.25">
      <c r="A53">
        <f>'шпоргалка-1'!A53</f>
        <v>5</v>
      </c>
      <c r="B53" t="e">
        <f>'шпоргалка-1'!B53</f>
        <v>#REF!</v>
      </c>
      <c r="C53" s="102" t="e">
        <f>'шпоргалка-1'!C53</f>
        <v>#REF!</v>
      </c>
      <c r="D53" s="104" t="e">
        <f>'шпоргалка-1'!D53</f>
        <v>#REF!</v>
      </c>
      <c r="E53" t="e">
        <f>'шпоргалка-1'!E53</f>
        <v>#REF!</v>
      </c>
      <c r="G53">
        <f>'шпоргалка-2'!A53</f>
        <v>5</v>
      </c>
      <c r="H53" t="str">
        <f>'шпоргалка-2'!B53</f>
        <v>резерв</v>
      </c>
      <c r="I53" s="102">
        <f>'шпоргалка-2'!C53</f>
      </c>
      <c r="J53" s="104">
        <f>'шпоргалка-2'!D53</f>
      </c>
      <c r="K53">
        <f>'шпоргалка-2'!E53</f>
      </c>
      <c r="M53">
        <f>'шпоргалка-3'!A53</f>
        <v>5</v>
      </c>
      <c r="N53" t="str">
        <f>'шпоргалка-3'!B53</f>
        <v>резерв</v>
      </c>
      <c r="O53" s="102">
        <f>'шпоргалка-3'!C53</f>
      </c>
      <c r="P53" s="104">
        <f>'шпоргалка-3'!D53</f>
      </c>
      <c r="Q53">
        <f>'шпоргалка-3'!E53</f>
      </c>
    </row>
    <row r="54" spans="1:17" x14ac:dyDescent="0.25">
      <c r="A54">
        <f>'шпоргалка-1'!A54</f>
        <v>6</v>
      </c>
      <c r="B54" t="e">
        <f>'шпоргалка-1'!B54</f>
        <v>#REF!</v>
      </c>
      <c r="C54" s="102" t="e">
        <f>'шпоргалка-1'!C54</f>
        <v>#REF!</v>
      </c>
      <c r="D54" s="104" t="e">
        <f>'шпоргалка-1'!D54</f>
        <v>#REF!</v>
      </c>
      <c r="E54" t="e">
        <f>'шпоргалка-1'!E54</f>
        <v>#REF!</v>
      </c>
      <c r="G54">
        <f>'шпоргалка-2'!A54</f>
        <v>6</v>
      </c>
      <c r="H54" t="str">
        <f>'шпоргалка-2'!B54</f>
        <v>резерв</v>
      </c>
      <c r="I54" s="102">
        <f>'шпоргалка-2'!C54</f>
      </c>
      <c r="J54" s="104">
        <f>'шпоргалка-2'!D54</f>
      </c>
      <c r="K54">
        <f>'шпоргалка-2'!E54</f>
      </c>
      <c r="M54">
        <f>'шпоргалка-3'!A54</f>
        <v>6</v>
      </c>
      <c r="N54" t="str">
        <f>'шпоргалка-3'!B54</f>
        <v>резерв</v>
      </c>
      <c r="O54" s="102">
        <f>'шпоргалка-3'!C54</f>
      </c>
      <c r="P54" s="104">
        <f>'шпоргалка-3'!D54</f>
      </c>
      <c r="Q54">
        <f>'шпоргалка-3'!E54</f>
      </c>
    </row>
    <row r="55" spans="1:17" x14ac:dyDescent="0.25">
      <c r="A55">
        <f>'шпоргалка-1'!A55</f>
        <v>7</v>
      </c>
      <c r="B55" t="e">
        <f>'шпоргалка-1'!B55</f>
        <v>#REF!</v>
      </c>
      <c r="C55" s="102" t="e">
        <f>'шпоргалка-1'!C55</f>
        <v>#REF!</v>
      </c>
      <c r="D55" s="104" t="e">
        <f>'шпоргалка-1'!D55</f>
        <v>#REF!</v>
      </c>
      <c r="E55" t="e">
        <f>'шпоргалка-1'!E55</f>
        <v>#REF!</v>
      </c>
      <c r="G55">
        <f>'шпоргалка-2'!A55</f>
        <v>7</v>
      </c>
      <c r="H55" t="str">
        <f>'шпоргалка-2'!B55</f>
        <v>резерв</v>
      </c>
      <c r="I55" s="102">
        <f>'шпоргалка-2'!C55</f>
      </c>
      <c r="J55" s="104">
        <f>'шпоргалка-2'!D55</f>
      </c>
      <c r="K55">
        <f>'шпоргалка-2'!E55</f>
      </c>
      <c r="M55">
        <f>'шпоргалка-3'!A55</f>
        <v>7</v>
      </c>
      <c r="N55" t="str">
        <f>'шпоргалка-3'!B55</f>
        <v>резерв</v>
      </c>
      <c r="O55" s="102">
        <f>'шпоргалка-3'!C55</f>
      </c>
      <c r="P55" s="104">
        <f>'шпоргалка-3'!D55</f>
      </c>
      <c r="Q55">
        <f>'шпоргалка-3'!E55</f>
      </c>
    </row>
    <row r="56" spans="1:17" x14ac:dyDescent="0.25">
      <c r="A56">
        <f>'шпоргалка-1'!A56</f>
        <v>8</v>
      </c>
      <c r="B56" t="e">
        <f>'шпоргалка-1'!B56</f>
        <v>#REF!</v>
      </c>
      <c r="C56" s="102" t="e">
        <f>'шпоргалка-1'!C56</f>
        <v>#REF!</v>
      </c>
      <c r="D56" s="104" t="e">
        <f>'шпоргалка-1'!D56</f>
        <v>#REF!</v>
      </c>
      <c r="E56" t="e">
        <f>'шпоргалка-1'!E56</f>
        <v>#REF!</v>
      </c>
      <c r="G56">
        <f>'шпоргалка-2'!A56</f>
        <v>8</v>
      </c>
      <c r="H56" t="str">
        <f>'шпоргалка-2'!B56</f>
        <v>резерв</v>
      </c>
      <c r="I56" s="102">
        <f>'шпоргалка-2'!C56</f>
      </c>
      <c r="J56" s="104">
        <f>'шпоргалка-2'!D56</f>
      </c>
      <c r="K56">
        <f>'шпоргалка-2'!E56</f>
      </c>
      <c r="M56">
        <f>'шпоргалка-3'!A56</f>
        <v>8</v>
      </c>
      <c r="N56" t="str">
        <f>'шпоргалка-3'!B56</f>
        <v>резерв</v>
      </c>
      <c r="O56" s="102">
        <f>'шпоргалка-3'!C56</f>
      </c>
      <c r="P56" s="104">
        <f>'шпоргалка-3'!D56</f>
      </c>
      <c r="Q56">
        <f>'шпоргалка-3'!E56</f>
      </c>
    </row>
    <row r="57" spans="2:14" x14ac:dyDescent="0.25">
      <c r="B57" t="str">
        <f>'шпоргалка-1'!B57</f>
        <v>SV004 - 7</v>
      </c>
      <c r="H57" t="str">
        <f>'шпоргалка-2'!B57</f>
        <v>SV004 -7</v>
      </c>
      <c r="N57" t="str">
        <f>'шпоргалка-3'!B57</f>
        <v>SV004 - 7</v>
      </c>
    </row>
    <row r="58" spans="1:17" x14ac:dyDescent="0.25">
      <c r="A58">
        <f>'шпоргалка-1'!A58</f>
        <v>1</v>
      </c>
      <c r="B58" t="e">
        <f>'шпоргалка-1'!B58</f>
        <v>#REF!</v>
      </c>
      <c r="C58" s="102" t="e">
        <f>'шпоргалка-1'!C58</f>
        <v>#REF!</v>
      </c>
      <c r="D58" s="104" t="e">
        <f>'шпоргалка-1'!D58</f>
        <v>#REF!</v>
      </c>
      <c r="E58" t="e">
        <f>'шпоргалка-1'!E58</f>
        <v>#REF!</v>
      </c>
      <c r="G58">
        <f>'шпоргалка-2'!A58</f>
        <v>1</v>
      </c>
      <c r="H58" t="str">
        <f>'шпоргалка-2'!B58</f>
        <v>резерв</v>
      </c>
      <c r="I58" s="102">
        <f>'шпоргалка-2'!C58</f>
      </c>
      <c r="J58" s="104">
        <f>'шпоргалка-2'!D58</f>
      </c>
      <c r="K58">
        <f>'шпоргалка-2'!E58</f>
      </c>
      <c r="M58">
        <f>'шпоргалка-3'!A58</f>
        <v>1</v>
      </c>
      <c r="N58" t="str">
        <f>'шпоргалка-3'!B58</f>
        <v>резерв</v>
      </c>
      <c r="O58" s="102">
        <f>'шпоргалка-3'!C58</f>
      </c>
      <c r="P58" s="104">
        <f>'шпоргалка-3'!D58</f>
      </c>
      <c r="Q58">
        <f>'шпоргалка-3'!E58</f>
      </c>
    </row>
    <row r="59" spans="1:17" x14ac:dyDescent="0.25">
      <c r="A59">
        <f>'шпоргалка-1'!A59</f>
        <v>2</v>
      </c>
      <c r="B59" t="e">
        <f>'шпоргалка-1'!B59</f>
        <v>#REF!</v>
      </c>
      <c r="C59" s="102" t="e">
        <f>'шпоргалка-1'!C59</f>
        <v>#REF!</v>
      </c>
      <c r="D59" s="104" t="e">
        <f>'шпоргалка-1'!D59</f>
        <v>#REF!</v>
      </c>
      <c r="E59" t="e">
        <f>'шпоргалка-1'!E59</f>
        <v>#REF!</v>
      </c>
      <c r="G59">
        <f>'шпоргалка-2'!A59</f>
        <v>2</v>
      </c>
      <c r="H59" t="str">
        <f>'шпоргалка-2'!B59</f>
        <v>резерв</v>
      </c>
      <c r="I59" s="102">
        <f>'шпоргалка-2'!C59</f>
      </c>
      <c r="J59" s="104">
        <f>'шпоргалка-2'!D59</f>
      </c>
      <c r="K59">
        <f>'шпоргалка-2'!E59</f>
      </c>
      <c r="M59">
        <f>'шпоргалка-3'!A59</f>
        <v>2</v>
      </c>
      <c r="N59" t="str">
        <f>'шпоргалка-3'!B59</f>
        <v>резерв</v>
      </c>
      <c r="O59" s="102">
        <f>'шпоргалка-3'!C59</f>
      </c>
      <c r="P59" s="104">
        <f>'шпоргалка-3'!D59</f>
      </c>
      <c r="Q59">
        <f>'шпоргалка-3'!E59</f>
      </c>
    </row>
    <row r="60" spans="1:17" x14ac:dyDescent="0.25">
      <c r="A60">
        <f>'шпоргалка-1'!A60</f>
        <v>3</v>
      </c>
      <c r="B60" t="e">
        <f>'шпоргалка-1'!B60</f>
        <v>#REF!</v>
      </c>
      <c r="C60" s="102" t="e">
        <f>'шпоргалка-1'!C60</f>
        <v>#REF!</v>
      </c>
      <c r="D60" s="104" t="e">
        <f>'шпоргалка-1'!D60</f>
        <v>#REF!</v>
      </c>
      <c r="E60" t="e">
        <f>'шпоргалка-1'!E60</f>
        <v>#REF!</v>
      </c>
      <c r="G60">
        <f>'шпоргалка-2'!A60</f>
        <v>3</v>
      </c>
      <c r="H60" t="str">
        <f>'шпоргалка-2'!B60</f>
        <v>резерв</v>
      </c>
      <c r="I60" s="102">
        <f>'шпоргалка-2'!C60</f>
      </c>
      <c r="J60" s="104">
        <f>'шпоргалка-2'!D60</f>
      </c>
      <c r="K60">
        <f>'шпоргалка-2'!E60</f>
      </c>
      <c r="M60">
        <f>'шпоргалка-3'!A60</f>
        <v>3</v>
      </c>
      <c r="N60" t="str">
        <f>'шпоргалка-3'!B60</f>
        <v>резерв</v>
      </c>
      <c r="O60" s="102">
        <f>'шпоргалка-3'!C60</f>
      </c>
      <c r="P60" s="104">
        <f>'шпоргалка-3'!D60</f>
      </c>
      <c r="Q60">
        <f>'шпоргалка-3'!E60</f>
      </c>
    </row>
    <row r="61" spans="1:17" x14ac:dyDescent="0.25">
      <c r="A61">
        <f>'шпоргалка-1'!A61</f>
        <v>4</v>
      </c>
      <c r="B61" t="e">
        <f>'шпоргалка-1'!B61</f>
        <v>#REF!</v>
      </c>
      <c r="C61" s="102" t="e">
        <f>'шпоргалка-1'!C61</f>
        <v>#REF!</v>
      </c>
      <c r="D61" s="104" t="e">
        <f>'шпоргалка-1'!D61</f>
        <v>#REF!</v>
      </c>
      <c r="E61" t="e">
        <f>'шпоргалка-1'!E61</f>
        <v>#REF!</v>
      </c>
      <c r="G61">
        <f>'шпоргалка-2'!A61</f>
        <v>4</v>
      </c>
      <c r="H61" t="str">
        <f>'шпоргалка-2'!B61</f>
        <v>резерв</v>
      </c>
      <c r="I61" s="102">
        <f>'шпоргалка-2'!C61</f>
      </c>
      <c r="J61" s="104">
        <f>'шпоргалка-2'!D61</f>
      </c>
      <c r="K61">
        <f>'шпоргалка-2'!E61</f>
      </c>
      <c r="M61">
        <f>'шпоргалка-3'!A61</f>
        <v>4</v>
      </c>
      <c r="N61" t="str">
        <f>'шпоргалка-3'!B61</f>
        <v>резерв</v>
      </c>
      <c r="O61" s="102">
        <f>'шпоргалка-3'!C61</f>
      </c>
      <c r="P61" s="104">
        <f>'шпоргалка-3'!D61</f>
      </c>
      <c r="Q61">
        <f>'шпоргалка-3'!E61</f>
      </c>
    </row>
    <row r="62" spans="1:17" x14ac:dyDescent="0.25">
      <c r="A62">
        <f>'шпоргалка-1'!A62</f>
        <v>5</v>
      </c>
      <c r="B62" t="e">
        <f>'шпоргалка-1'!B62</f>
        <v>#REF!</v>
      </c>
      <c r="C62" s="102" t="e">
        <f>'шпоргалка-1'!C62</f>
        <v>#REF!</v>
      </c>
      <c r="D62" s="104" t="e">
        <f>'шпоргалка-1'!D62</f>
        <v>#REF!</v>
      </c>
      <c r="E62" t="e">
        <f>'шпоргалка-1'!E62</f>
        <v>#REF!</v>
      </c>
      <c r="G62">
        <f>'шпоргалка-2'!A62</f>
        <v>5</v>
      </c>
      <c r="H62" t="str">
        <f>'шпоргалка-2'!B62</f>
        <v>резерв</v>
      </c>
      <c r="I62" s="102">
        <f>'шпоргалка-2'!C62</f>
      </c>
      <c r="J62" s="104">
        <f>'шпоргалка-2'!D62</f>
      </c>
      <c r="K62">
        <f>'шпоргалка-2'!E62</f>
      </c>
      <c r="M62">
        <f>'шпоргалка-3'!A62</f>
        <v>5</v>
      </c>
      <c r="N62" t="str">
        <f>'шпоргалка-3'!B62</f>
        <v>резерв</v>
      </c>
      <c r="O62" s="102">
        <f>'шпоргалка-3'!C62</f>
      </c>
      <c r="P62" s="104">
        <f>'шпоргалка-3'!D62</f>
      </c>
      <c r="Q62">
        <f>'шпоргалка-3'!E62</f>
      </c>
    </row>
    <row r="63" spans="1:17" x14ac:dyDescent="0.25">
      <c r="A63">
        <f>'шпоргалка-1'!A63</f>
        <v>6</v>
      </c>
      <c r="B63" t="e">
        <f>'шпоргалка-1'!B63</f>
        <v>#REF!</v>
      </c>
      <c r="C63" s="102" t="e">
        <f>'шпоргалка-1'!C63</f>
        <v>#REF!</v>
      </c>
      <c r="D63" s="104" t="e">
        <f>'шпоргалка-1'!D63</f>
        <v>#REF!</v>
      </c>
      <c r="E63" t="e">
        <f>'шпоргалка-1'!E63</f>
        <v>#REF!</v>
      </c>
      <c r="G63">
        <f>'шпоргалка-2'!A63</f>
        <v>6</v>
      </c>
      <c r="H63" t="str">
        <f>'шпоргалка-2'!B63</f>
        <v>резерв</v>
      </c>
      <c r="I63" s="102">
        <f>'шпоргалка-2'!C63</f>
      </c>
      <c r="J63" s="104">
        <f>'шпоргалка-2'!D63</f>
      </c>
      <c r="K63">
        <f>'шпоргалка-2'!E63</f>
      </c>
      <c r="M63">
        <f>'шпоргалка-3'!A63</f>
        <v>6</v>
      </c>
      <c r="N63" t="str">
        <f>'шпоргалка-3'!B63</f>
        <v>резерв</v>
      </c>
      <c r="O63" s="102">
        <f>'шпоргалка-3'!C63</f>
      </c>
      <c r="P63" s="104">
        <f>'шпоргалка-3'!D63</f>
      </c>
      <c r="Q63">
        <f>'шпоргалка-3'!E63</f>
      </c>
    </row>
    <row r="64" spans="1:17" x14ac:dyDescent="0.25">
      <c r="A64">
        <f>'шпоргалка-1'!A64</f>
        <v>7</v>
      </c>
      <c r="B64" t="e">
        <f>'шпоргалка-1'!B64</f>
        <v>#REF!</v>
      </c>
      <c r="C64" s="102" t="e">
        <f>'шпоргалка-1'!C64</f>
        <v>#REF!</v>
      </c>
      <c r="D64" s="104" t="e">
        <f>'шпоргалка-1'!D64</f>
        <v>#REF!</v>
      </c>
      <c r="E64" t="e">
        <f>'шпоргалка-1'!E64</f>
        <v>#REF!</v>
      </c>
      <c r="G64">
        <f>'шпоргалка-2'!A64</f>
        <v>7</v>
      </c>
      <c r="H64" t="str">
        <f>'шпоргалка-2'!B64</f>
        <v>резерв</v>
      </c>
      <c r="I64" s="102">
        <f>'шпоргалка-2'!C64</f>
      </c>
      <c r="J64" s="104">
        <f>'шпоргалка-2'!D64</f>
      </c>
      <c r="K64">
        <f>'шпоргалка-2'!E64</f>
      </c>
      <c r="M64">
        <f>'шпоргалка-3'!A64</f>
        <v>7</v>
      </c>
      <c r="N64" t="str">
        <f>'шпоргалка-3'!B64</f>
        <v>резерв</v>
      </c>
      <c r="O64" s="102">
        <f>'шпоргалка-3'!C64</f>
      </c>
      <c r="P64" s="104">
        <f>'шпоргалка-3'!D64</f>
      </c>
      <c r="Q64">
        <f>'шпоргалка-3'!E64</f>
      </c>
    </row>
    <row r="65" spans="1:17" x14ac:dyDescent="0.25">
      <c r="A65">
        <f>'шпоргалка-1'!A65</f>
        <v>8</v>
      </c>
      <c r="B65" t="e">
        <f>'шпоргалка-1'!B65</f>
        <v>#REF!</v>
      </c>
      <c r="C65" s="102" t="e">
        <f>'шпоргалка-1'!C65</f>
        <v>#REF!</v>
      </c>
      <c r="D65" s="104" t="e">
        <f>'шпоргалка-1'!D65</f>
        <v>#REF!</v>
      </c>
      <c r="E65" t="e">
        <f>'шпоргалка-1'!E65</f>
        <v>#REF!</v>
      </c>
      <c r="G65">
        <f>'шпоргалка-2'!A65</f>
        <v>8</v>
      </c>
      <c r="H65" t="str">
        <f>'шпоргалка-2'!B65</f>
        <v>резерв</v>
      </c>
      <c r="I65" s="102">
        <f>'шпоргалка-2'!C65</f>
      </c>
      <c r="J65" s="104">
        <f>'шпоргалка-2'!D65</f>
      </c>
      <c r="K65">
        <f>'шпоргалка-2'!E65</f>
      </c>
      <c r="M65">
        <f>'шпоргалка-3'!A65</f>
        <v>8</v>
      </c>
      <c r="N65" t="str">
        <f>'шпоргалка-3'!B65</f>
        <v>резерв</v>
      </c>
      <c r="O65" s="102">
        <f>'шпоргалка-3'!C65</f>
      </c>
      <c r="P65" s="104">
        <f>'шпоргалка-3'!D65</f>
      </c>
      <c r="Q65">
        <f>'шпоргалка-3'!E65</f>
      </c>
    </row>
    <row r="66" spans="2:14" x14ac:dyDescent="0.25">
      <c r="B66" t="str">
        <f>'шпоргалка-1'!B66</f>
        <v>SV004 - 8</v>
      </c>
      <c r="H66" t="str">
        <f>'шпоргалка-2'!B66</f>
        <v>SV004 - 8</v>
      </c>
      <c r="N66" t="str">
        <f>'шпоргалка-3'!B66</f>
        <v>SV004  - 8</v>
      </c>
    </row>
    <row r="67" spans="1:17" x14ac:dyDescent="0.25">
      <c r="A67">
        <f>'шпоргалка-1'!A67</f>
        <v>1</v>
      </c>
      <c r="B67" t="e">
        <f>'шпоргалка-1'!B67</f>
        <v>#REF!</v>
      </c>
      <c r="C67" s="102" t="e">
        <f>'шпоргалка-1'!C67</f>
        <v>#REF!</v>
      </c>
      <c r="D67" s="104" t="e">
        <f>'шпоргалка-1'!D67</f>
        <v>#REF!</v>
      </c>
      <c r="E67" t="e">
        <f>'шпоргалка-1'!E67</f>
        <v>#REF!</v>
      </c>
      <c r="G67">
        <f>'шпоргалка-2'!A67</f>
        <v>1</v>
      </c>
      <c r="H67" t="str">
        <f>'шпоргалка-2'!B67</f>
        <v>резерв</v>
      </c>
      <c r="I67" s="102">
        <f>'шпоргалка-2'!C67</f>
      </c>
      <c r="J67" s="104">
        <f>'шпоргалка-2'!D67</f>
      </c>
      <c r="K67">
        <f>'шпоргалка-2'!E67</f>
      </c>
      <c r="M67">
        <f>'шпоргалка-3'!A67</f>
        <v>1</v>
      </c>
      <c r="N67" t="str">
        <f>'шпоргалка-3'!B67</f>
        <v>резерв</v>
      </c>
      <c r="O67" s="102">
        <f>'шпоргалка-3'!C67</f>
      </c>
      <c r="P67" s="104">
        <f>'шпоргалка-3'!D67</f>
      </c>
      <c r="Q67">
        <f>'шпоргалка-3'!E67</f>
      </c>
    </row>
    <row r="68" spans="1:17" x14ac:dyDescent="0.25">
      <c r="A68">
        <f>'шпоргалка-1'!A68</f>
        <v>2</v>
      </c>
      <c r="B68" t="e">
        <f>'шпоргалка-1'!B68</f>
        <v>#REF!</v>
      </c>
      <c r="C68" s="102" t="e">
        <f>'шпоргалка-1'!C68</f>
        <v>#REF!</v>
      </c>
      <c r="D68" s="104" t="e">
        <f>'шпоргалка-1'!D68</f>
        <v>#REF!</v>
      </c>
      <c r="E68" t="e">
        <f>'шпоргалка-1'!E68</f>
        <v>#REF!</v>
      </c>
      <c r="G68">
        <f>'шпоргалка-2'!A68</f>
        <v>2</v>
      </c>
      <c r="H68" t="str">
        <f>'шпоргалка-2'!B68</f>
        <v>резерв</v>
      </c>
      <c r="I68" s="102">
        <f>'шпоргалка-2'!C68</f>
      </c>
      <c r="J68" s="104">
        <f>'шпоргалка-2'!D68</f>
      </c>
      <c r="K68">
        <f>'шпоргалка-2'!E68</f>
      </c>
      <c r="M68">
        <f>'шпоргалка-3'!A68</f>
        <v>2</v>
      </c>
      <c r="N68" t="str">
        <f>'шпоргалка-3'!B68</f>
        <v>резерв</v>
      </c>
      <c r="O68" s="102">
        <f>'шпоргалка-3'!C68</f>
      </c>
      <c r="P68" s="104">
        <f>'шпоргалка-3'!D68</f>
      </c>
      <c r="Q68">
        <f>'шпоргалка-3'!E68</f>
      </c>
    </row>
    <row r="69" spans="1:17" x14ac:dyDescent="0.25">
      <c r="A69">
        <f>'шпоргалка-1'!A69</f>
        <v>3</v>
      </c>
      <c r="B69" t="e">
        <f>'шпоргалка-1'!B69</f>
        <v>#REF!</v>
      </c>
      <c r="C69" s="102" t="e">
        <f>'шпоргалка-1'!C69</f>
        <v>#REF!</v>
      </c>
      <c r="D69" s="104" t="e">
        <f>'шпоргалка-1'!D69</f>
        <v>#REF!</v>
      </c>
      <c r="E69" t="e">
        <f>'шпоргалка-1'!E69</f>
        <v>#REF!</v>
      </c>
      <c r="G69">
        <f>'шпоргалка-2'!A69</f>
        <v>3</v>
      </c>
      <c r="H69" t="str">
        <f>'шпоргалка-2'!B69</f>
        <v>резерв</v>
      </c>
      <c r="I69" s="102">
        <f>'шпоргалка-2'!C69</f>
      </c>
      <c r="J69" s="104">
        <f>'шпоргалка-2'!D69</f>
      </c>
      <c r="K69">
        <f>'шпоргалка-2'!E69</f>
      </c>
      <c r="M69">
        <f>'шпоргалка-3'!A69</f>
        <v>3</v>
      </c>
      <c r="N69" t="str">
        <f>'шпоргалка-3'!B69</f>
        <v>резерв</v>
      </c>
      <c r="O69" s="102">
        <f>'шпоргалка-3'!C69</f>
      </c>
      <c r="P69" s="104">
        <f>'шпоргалка-3'!D69</f>
      </c>
      <c r="Q69">
        <f>'шпоргалка-3'!E69</f>
      </c>
    </row>
    <row r="70" spans="1:17" x14ac:dyDescent="0.25">
      <c r="A70">
        <f>'шпоргалка-1'!A70</f>
        <v>4</v>
      </c>
      <c r="B70" t="e">
        <f>'шпоргалка-1'!B70</f>
        <v>#REF!</v>
      </c>
      <c r="C70" s="102" t="e">
        <f>'шпоргалка-1'!C70</f>
        <v>#REF!</v>
      </c>
      <c r="D70" s="104" t="e">
        <f>'шпоргалка-1'!D70</f>
        <v>#REF!</v>
      </c>
      <c r="E70" t="e">
        <f>'шпоргалка-1'!E70</f>
        <v>#REF!</v>
      </c>
      <c r="G70">
        <f>'шпоргалка-2'!A70</f>
        <v>4</v>
      </c>
      <c r="H70" t="str">
        <f>'шпоргалка-2'!B70</f>
        <v>резерв</v>
      </c>
      <c r="I70" s="102">
        <f>'шпоргалка-2'!C70</f>
      </c>
      <c r="J70" s="104">
        <f>'шпоргалка-2'!D70</f>
      </c>
      <c r="K70">
        <f>'шпоргалка-2'!E70</f>
      </c>
      <c r="M70">
        <f>'шпоргалка-3'!A70</f>
        <v>4</v>
      </c>
      <c r="N70" t="str">
        <f>'шпоргалка-3'!B70</f>
        <v>резерв</v>
      </c>
      <c r="O70" s="102">
        <f>'шпоргалка-3'!C70</f>
      </c>
      <c r="P70" s="104">
        <f>'шпоргалка-3'!D70</f>
      </c>
      <c r="Q70">
        <f>'шпоргалка-3'!E70</f>
      </c>
    </row>
    <row r="71" spans="1:17" x14ac:dyDescent="0.25">
      <c r="A71">
        <f>'шпоргалка-1'!A71</f>
        <v>5</v>
      </c>
      <c r="B71" t="e">
        <f>'шпоргалка-1'!B71</f>
        <v>#REF!</v>
      </c>
      <c r="C71" s="102" t="e">
        <f>'шпоргалка-1'!C71</f>
        <v>#REF!</v>
      </c>
      <c r="D71" s="104" t="e">
        <f>'шпоргалка-1'!D71</f>
        <v>#REF!</v>
      </c>
      <c r="E71" t="e">
        <f>'шпоргалка-1'!E71</f>
        <v>#REF!</v>
      </c>
      <c r="G71">
        <f>'шпоргалка-2'!A71</f>
        <v>5</v>
      </c>
      <c r="H71" t="str">
        <f>'шпоргалка-2'!B71</f>
        <v>резерв</v>
      </c>
      <c r="I71" s="102">
        <f>'шпоргалка-2'!C71</f>
      </c>
      <c r="J71" s="104">
        <f>'шпоргалка-2'!D71</f>
      </c>
      <c r="K71">
        <f>'шпоргалка-2'!E71</f>
      </c>
      <c r="M71">
        <f>'шпоргалка-3'!A71</f>
        <v>5</v>
      </c>
      <c r="N71" t="str">
        <f>'шпоргалка-3'!B71</f>
        <v>резерв</v>
      </c>
      <c r="O71" s="102">
        <f>'шпоргалка-3'!C71</f>
      </c>
      <c r="P71" s="104">
        <f>'шпоргалка-3'!D71</f>
      </c>
      <c r="Q71">
        <f>'шпоргалка-3'!E71</f>
      </c>
    </row>
    <row r="72" spans="1:17" x14ac:dyDescent="0.25">
      <c r="A72">
        <f>'шпоргалка-1'!A72</f>
        <v>6</v>
      </c>
      <c r="B72" t="e">
        <f>'шпоргалка-1'!B72</f>
        <v>#REF!</v>
      </c>
      <c r="C72" s="102" t="e">
        <f>'шпоргалка-1'!C72</f>
        <v>#REF!</v>
      </c>
      <c r="D72" s="104" t="e">
        <f>'шпоргалка-1'!D72</f>
        <v>#REF!</v>
      </c>
      <c r="E72" t="e">
        <f>'шпоргалка-1'!E72</f>
        <v>#REF!</v>
      </c>
      <c r="G72">
        <f>'шпоргалка-2'!A72</f>
        <v>6</v>
      </c>
      <c r="H72" t="str">
        <f>'шпоргалка-2'!B72</f>
        <v>резерв</v>
      </c>
      <c r="I72" s="102">
        <f>'шпоргалка-2'!C72</f>
      </c>
      <c r="J72" s="104">
        <f>'шпоргалка-2'!D72</f>
      </c>
      <c r="K72">
        <f>'шпоргалка-2'!E72</f>
      </c>
      <c r="M72">
        <f>'шпоргалка-3'!A72</f>
        <v>6</v>
      </c>
      <c r="N72" t="str">
        <f>'шпоргалка-3'!B72</f>
        <v>резерв</v>
      </c>
      <c r="O72" s="102">
        <f>'шпоргалка-3'!C72</f>
      </c>
      <c r="P72" s="104">
        <f>'шпоргалка-3'!D72</f>
      </c>
      <c r="Q72">
        <f>'шпоргалка-3'!E72</f>
      </c>
    </row>
    <row r="73" spans="1:17" x14ac:dyDescent="0.25">
      <c r="A73">
        <f>'шпоргалка-1'!A73</f>
        <v>7</v>
      </c>
      <c r="B73" t="e">
        <f>'шпоргалка-1'!B73</f>
        <v>#REF!</v>
      </c>
      <c r="C73" s="102" t="e">
        <f>'шпоргалка-1'!C73</f>
        <v>#REF!</v>
      </c>
      <c r="D73" s="104" t="e">
        <f>'шпоргалка-1'!D73</f>
        <v>#REF!</v>
      </c>
      <c r="E73" t="e">
        <f>'шпоргалка-1'!E73</f>
        <v>#REF!</v>
      </c>
      <c r="G73">
        <f>'шпоргалка-2'!A73</f>
        <v>7</v>
      </c>
      <c r="H73" t="str">
        <f>'шпоргалка-2'!B73</f>
        <v>резерв</v>
      </c>
      <c r="I73" s="102">
        <f>'шпоргалка-2'!C73</f>
      </c>
      <c r="J73" s="104">
        <f>'шпоргалка-2'!D73</f>
      </c>
      <c r="K73">
        <f>'шпоргалка-2'!E73</f>
      </c>
      <c r="M73">
        <f>'шпоргалка-3'!A73</f>
        <v>7</v>
      </c>
      <c r="N73" t="str">
        <f>'шпоргалка-3'!B73</f>
        <v>резерв</v>
      </c>
      <c r="O73" s="102">
        <f>'шпоргалка-3'!C73</f>
      </c>
      <c r="P73" s="104">
        <f>'шпоргалка-3'!D73</f>
      </c>
      <c r="Q73">
        <f>'шпоргалка-3'!E73</f>
      </c>
    </row>
    <row r="74" spans="1:17" x14ac:dyDescent="0.25">
      <c r="A74">
        <f>'шпоргалка-1'!A74</f>
        <v>8</v>
      </c>
      <c r="B74" t="e">
        <f>'шпоргалка-1'!B74</f>
        <v>#REF!</v>
      </c>
      <c r="C74" s="102" t="e">
        <f>'шпоргалка-1'!C74</f>
        <v>#REF!</v>
      </c>
      <c r="D74" s="104" t="e">
        <f>'шпоргалка-1'!D74</f>
        <v>#REF!</v>
      </c>
      <c r="E74" t="e">
        <f>'шпоргалка-1'!E74</f>
        <v>#REF!</v>
      </c>
      <c r="G74">
        <f>'шпоргалка-2'!A74</f>
        <v>8</v>
      </c>
      <c r="H74" t="str">
        <f>'шпоргалка-2'!B74</f>
        <v>резерв</v>
      </c>
      <c r="I74" s="102">
        <f>'шпоргалка-2'!C74</f>
      </c>
      <c r="J74" s="104">
        <f>'шпоргалка-2'!D74</f>
      </c>
      <c r="K74">
        <f>'шпоргалка-2'!E74</f>
      </c>
      <c r="M74">
        <f>'шпоргалка-3'!A74</f>
        <v>8</v>
      </c>
      <c r="N74" t="str">
        <f>'шпоргалка-3'!B74</f>
        <v>резерв</v>
      </c>
      <c r="O74" s="102">
        <f>'шпоргалка-3'!C74</f>
      </c>
      <c r="P74" s="104">
        <f>'шпоргалка-3'!D74</f>
      </c>
      <c r="Q74">
        <f>'шпоргалка-3'!E74</f>
      </c>
    </row>
    <row r="75" spans="2:14" x14ac:dyDescent="0.25">
      <c r="B75" t="str">
        <f>'шпоргалка-1'!B75</f>
        <v>SV004 - 9</v>
      </c>
      <c r="H75" t="str">
        <f>'шпоргалка-2'!B75</f>
        <v>SV004 - 9</v>
      </c>
      <c r="N75" t="str">
        <f>'шпоргалка-3'!B75</f>
        <v>SV004 - 9</v>
      </c>
    </row>
    <row r="76" spans="1:17" x14ac:dyDescent="0.25">
      <c r="A76">
        <f>'шпоргалка-1'!A76</f>
        <v>1</v>
      </c>
      <c r="B76" t="e">
        <f>'шпоргалка-1'!B76</f>
        <v>#REF!</v>
      </c>
      <c r="C76" s="102" t="e">
        <f>'шпоргалка-1'!C76</f>
        <v>#REF!</v>
      </c>
      <c r="D76" s="104" t="e">
        <f>'шпоргалка-1'!D76</f>
        <v>#REF!</v>
      </c>
      <c r="E76" t="e">
        <f>'шпоргалка-1'!E76</f>
        <v>#REF!</v>
      </c>
      <c r="G76">
        <f>'шпоргалка-2'!A76</f>
        <v>1</v>
      </c>
      <c r="H76" t="str">
        <f>'шпоргалка-2'!B76</f>
        <v>резерв</v>
      </c>
      <c r="I76" s="102">
        <f>'шпоргалка-2'!C76</f>
      </c>
      <c r="J76" s="104">
        <f>'шпоргалка-2'!D76</f>
      </c>
      <c r="K76">
        <f>'шпоргалка-2'!E76</f>
      </c>
      <c r="M76">
        <f>'шпоргалка-3'!A76</f>
        <v>1</v>
      </c>
      <c r="N76" t="str">
        <f>'шпоргалка-3'!B76</f>
        <v>резерв</v>
      </c>
      <c r="O76" s="102">
        <f>'шпоргалка-3'!C76</f>
      </c>
      <c r="P76" s="104">
        <f>'шпоргалка-3'!D76</f>
      </c>
      <c r="Q76">
        <f>'шпоргалка-3'!E76</f>
      </c>
    </row>
    <row r="77" spans="1:17" x14ac:dyDescent="0.25">
      <c r="A77">
        <f>'шпоргалка-1'!A77</f>
        <v>2</v>
      </c>
      <c r="B77" t="e">
        <f>'шпоргалка-1'!B77</f>
        <v>#REF!</v>
      </c>
      <c r="C77" s="102" t="e">
        <f>'шпоргалка-1'!C77</f>
        <v>#REF!</v>
      </c>
      <c r="D77" s="104" t="e">
        <f>'шпоргалка-1'!D77</f>
        <v>#REF!</v>
      </c>
      <c r="E77" t="e">
        <f>'шпоргалка-1'!E77</f>
        <v>#REF!</v>
      </c>
      <c r="G77">
        <f>'шпоргалка-2'!A77</f>
        <v>2</v>
      </c>
      <c r="H77" t="str">
        <f>'шпоргалка-2'!B77</f>
        <v>резерв</v>
      </c>
      <c r="I77" s="102">
        <f>'шпоргалка-2'!C77</f>
      </c>
      <c r="J77" s="104">
        <f>'шпоргалка-2'!D77</f>
      </c>
      <c r="K77">
        <f>'шпоргалка-2'!E77</f>
      </c>
      <c r="M77">
        <f>'шпоргалка-3'!A77</f>
        <v>2</v>
      </c>
      <c r="N77" t="str">
        <f>'шпоргалка-3'!B77</f>
        <v>резерв</v>
      </c>
      <c r="O77" s="102">
        <f>'шпоргалка-3'!C77</f>
      </c>
      <c r="P77" s="104">
        <f>'шпоргалка-3'!D77</f>
      </c>
      <c r="Q77">
        <f>'шпоргалка-3'!E77</f>
      </c>
    </row>
    <row r="78" spans="1:17" x14ac:dyDescent="0.25">
      <c r="A78">
        <f>'шпоргалка-1'!A78</f>
        <v>3</v>
      </c>
      <c r="B78" t="e">
        <f>'шпоргалка-1'!B78</f>
        <v>#REF!</v>
      </c>
      <c r="C78" s="102" t="e">
        <f>'шпоргалка-1'!C78</f>
        <v>#REF!</v>
      </c>
      <c r="D78" s="104" t="e">
        <f>'шпоргалка-1'!D78</f>
        <v>#REF!</v>
      </c>
      <c r="E78" t="e">
        <f>'шпоргалка-1'!E78</f>
        <v>#REF!</v>
      </c>
      <c r="G78">
        <f>'шпоргалка-2'!A78</f>
        <v>3</v>
      </c>
      <c r="H78" t="str">
        <f>'шпоргалка-2'!B78</f>
        <v>резерв</v>
      </c>
      <c r="I78" s="102">
        <f>'шпоргалка-2'!C78</f>
      </c>
      <c r="J78" s="104">
        <f>'шпоргалка-2'!D78</f>
      </c>
      <c r="K78">
        <f>'шпоргалка-2'!E78</f>
      </c>
      <c r="M78">
        <f>'шпоргалка-3'!A78</f>
        <v>3</v>
      </c>
      <c r="N78" t="str">
        <f>'шпоргалка-3'!B78</f>
        <v>резерв</v>
      </c>
      <c r="O78" s="102">
        <f>'шпоргалка-3'!C78</f>
      </c>
      <c r="P78" s="104">
        <f>'шпоргалка-3'!D78</f>
      </c>
      <c r="Q78">
        <f>'шпоргалка-3'!E78</f>
      </c>
    </row>
    <row r="79" spans="1:17" x14ac:dyDescent="0.25">
      <c r="A79">
        <f>'шпоргалка-1'!A79</f>
        <v>4</v>
      </c>
      <c r="B79" t="e">
        <f>'шпоргалка-1'!B79</f>
        <v>#REF!</v>
      </c>
      <c r="C79" s="102" t="e">
        <f>'шпоргалка-1'!C79</f>
        <v>#REF!</v>
      </c>
      <c r="D79" s="104" t="e">
        <f>'шпоргалка-1'!D79</f>
        <v>#REF!</v>
      </c>
      <c r="E79" t="e">
        <f>'шпоргалка-1'!E79</f>
        <v>#REF!</v>
      </c>
      <c r="G79">
        <f>'шпоргалка-2'!A79</f>
        <v>4</v>
      </c>
      <c r="H79" t="str">
        <f>'шпоргалка-2'!B79</f>
        <v>резерв</v>
      </c>
      <c r="I79" s="102">
        <f>'шпоргалка-2'!C79</f>
      </c>
      <c r="J79" s="104">
        <f>'шпоргалка-2'!D79</f>
      </c>
      <c r="K79">
        <f>'шпоргалка-2'!E79</f>
      </c>
      <c r="M79">
        <f>'шпоргалка-3'!A79</f>
        <v>4</v>
      </c>
      <c r="N79" t="str">
        <f>'шпоргалка-3'!B79</f>
        <v>резерв</v>
      </c>
      <c r="O79" s="102">
        <f>'шпоргалка-3'!C79</f>
      </c>
      <c r="P79" s="104">
        <f>'шпоргалка-3'!D79</f>
      </c>
      <c r="Q79">
        <f>'шпоргалка-3'!E79</f>
      </c>
    </row>
    <row r="80" spans="1:17" x14ac:dyDescent="0.25">
      <c r="A80">
        <f>'шпоргалка-1'!A80</f>
        <v>5</v>
      </c>
      <c r="B80" t="e">
        <f>'шпоргалка-1'!B80</f>
        <v>#REF!</v>
      </c>
      <c r="C80" s="102" t="e">
        <f>'шпоргалка-1'!C80</f>
        <v>#REF!</v>
      </c>
      <c r="D80" s="104" t="e">
        <f>'шпоргалка-1'!D80</f>
        <v>#REF!</v>
      </c>
      <c r="E80" t="e">
        <f>'шпоргалка-1'!E80</f>
        <v>#REF!</v>
      </c>
      <c r="G80">
        <f>'шпоргалка-2'!A80</f>
        <v>5</v>
      </c>
      <c r="H80" t="str">
        <f>'шпоргалка-2'!B80</f>
        <v>резерв</v>
      </c>
      <c r="I80" s="102">
        <f>'шпоргалка-2'!C80</f>
      </c>
      <c r="J80" s="104">
        <f>'шпоргалка-2'!D80</f>
      </c>
      <c r="K80">
        <f>'шпоргалка-2'!E80</f>
      </c>
      <c r="M80">
        <f>'шпоргалка-3'!A80</f>
        <v>5</v>
      </c>
      <c r="N80" t="str">
        <f>'шпоргалка-3'!B80</f>
        <v>резерв</v>
      </c>
      <c r="O80" s="102">
        <f>'шпоргалка-3'!C80</f>
      </c>
      <c r="P80" s="104">
        <f>'шпоргалка-3'!D80</f>
      </c>
      <c r="Q80">
        <f>'шпоргалка-3'!E80</f>
      </c>
    </row>
    <row r="81" spans="1:17" x14ac:dyDescent="0.25">
      <c r="A81">
        <f>'шпоргалка-1'!A81</f>
        <v>6</v>
      </c>
      <c r="B81" t="e">
        <f>'шпоргалка-1'!B81</f>
        <v>#REF!</v>
      </c>
      <c r="C81" s="102" t="e">
        <f>'шпоргалка-1'!C81</f>
        <v>#REF!</v>
      </c>
      <c r="D81" s="104" t="e">
        <f>'шпоргалка-1'!D81</f>
        <v>#REF!</v>
      </c>
      <c r="E81" t="e">
        <f>'шпоргалка-1'!E81</f>
        <v>#REF!</v>
      </c>
      <c r="G81">
        <f>'шпоргалка-2'!A81</f>
        <v>6</v>
      </c>
      <c r="H81" t="str">
        <f>'шпоргалка-2'!B81</f>
        <v>резерв</v>
      </c>
      <c r="I81" s="102">
        <f>'шпоргалка-2'!C81</f>
      </c>
      <c r="J81" s="104">
        <f>'шпоргалка-2'!D81</f>
      </c>
      <c r="K81">
        <f>'шпоргалка-2'!E81</f>
      </c>
      <c r="M81">
        <f>'шпоргалка-3'!A81</f>
        <v>6</v>
      </c>
      <c r="N81" t="str">
        <f>'шпоргалка-3'!B81</f>
        <v>резерв</v>
      </c>
      <c r="O81" s="102">
        <f>'шпоргалка-3'!C81</f>
      </c>
      <c r="P81" s="104">
        <f>'шпоргалка-3'!D81</f>
      </c>
      <c r="Q81">
        <f>'шпоргалка-3'!E81</f>
      </c>
    </row>
    <row r="82" spans="1:17" x14ac:dyDescent="0.25">
      <c r="A82">
        <f>'шпоргалка-1'!A82</f>
        <v>7</v>
      </c>
      <c r="B82" t="e">
        <f>'шпоргалка-1'!B82</f>
        <v>#REF!</v>
      </c>
      <c r="C82" s="102" t="e">
        <f>'шпоргалка-1'!C82</f>
        <v>#REF!</v>
      </c>
      <c r="D82" s="104" t="e">
        <f>'шпоргалка-1'!D82</f>
        <v>#REF!</v>
      </c>
      <c r="E82" t="e">
        <f>'шпоргалка-1'!E82</f>
        <v>#REF!</v>
      </c>
      <c r="G82">
        <f>'шпоргалка-2'!A82</f>
        <v>7</v>
      </c>
      <c r="H82" t="str">
        <f>'шпоргалка-2'!B82</f>
        <v>резерв</v>
      </c>
      <c r="I82" s="102">
        <f>'шпоргалка-2'!C82</f>
      </c>
      <c r="J82" s="104">
        <f>'шпоргалка-2'!D82</f>
      </c>
      <c r="K82">
        <f>'шпоргалка-2'!E82</f>
      </c>
      <c r="M82">
        <f>'шпоргалка-3'!A82</f>
        <v>7</v>
      </c>
      <c r="N82" t="str">
        <f>'шпоргалка-3'!B82</f>
        <v>резерв</v>
      </c>
      <c r="O82" s="102">
        <f>'шпоргалка-3'!C82</f>
      </c>
      <c r="P82" s="104">
        <f>'шпоргалка-3'!D82</f>
      </c>
      <c r="Q82">
        <f>'шпоргалка-3'!E82</f>
      </c>
    </row>
    <row r="83" spans="1:17" x14ac:dyDescent="0.25">
      <c r="A83">
        <f>'шпоргалка-1'!A83</f>
        <v>8</v>
      </c>
      <c r="B83" t="e">
        <f>'шпоргалка-1'!B83</f>
        <v>#REF!</v>
      </c>
      <c r="C83" s="102" t="e">
        <f>'шпоргалка-1'!C83</f>
        <v>#REF!</v>
      </c>
      <c r="D83" s="104" t="e">
        <f>'шпоргалка-1'!D83</f>
        <v>#REF!</v>
      </c>
      <c r="E83" t="e">
        <f>'шпоргалка-1'!E83</f>
        <v>#REF!</v>
      </c>
      <c r="G83">
        <f>'шпоргалка-2'!A83</f>
        <v>8</v>
      </c>
      <c r="H83" t="str">
        <f>'шпоргалка-2'!B83</f>
        <v>резерв</v>
      </c>
      <c r="I83" s="102">
        <f>'шпоргалка-2'!C83</f>
      </c>
      <c r="J83" s="104">
        <f>'шпоргалка-2'!D83</f>
      </c>
      <c r="K83">
        <f>'шпоргалка-2'!E83</f>
      </c>
      <c r="M83">
        <f>'шпоргалка-3'!A83</f>
        <v>8</v>
      </c>
      <c r="N83" t="str">
        <f>'шпоргалка-3'!B83</f>
        <v>резерв</v>
      </c>
      <c r="O83" s="102">
        <f>'шпоргалка-3'!C83</f>
      </c>
      <c r="P83" s="104">
        <f>'шпоргалка-3'!D83</f>
      </c>
      <c r="Q83">
        <f>'шпоргалка-3'!E83</f>
      </c>
    </row>
    <row r="84" spans="2:14" x14ac:dyDescent="0.25">
      <c r="B84" t="str">
        <f>'шпоргалка-1'!B84</f>
        <v>SV004 - 10</v>
      </c>
      <c r="H84" t="str">
        <f>'шпоргалка-2'!B84</f>
        <v>SV004 - 10</v>
      </c>
      <c r="N84" t="str">
        <f>'шпоргалка-3'!B84</f>
        <v>SV004 - 10</v>
      </c>
    </row>
    <row r="85" spans="1:17" x14ac:dyDescent="0.25">
      <c r="A85">
        <f>'шпоргалка-1'!A85</f>
        <v>1</v>
      </c>
      <c r="B85" t="e">
        <f>'шпоргалка-1'!B85</f>
        <v>#REF!</v>
      </c>
      <c r="C85" s="102" t="e">
        <f>'шпоргалка-1'!C85</f>
        <v>#REF!</v>
      </c>
      <c r="D85" s="104" t="e">
        <f>'шпоргалка-1'!D85</f>
        <v>#REF!</v>
      </c>
      <c r="E85" t="e">
        <f>'шпоргалка-1'!E85</f>
        <v>#REF!</v>
      </c>
      <c r="G85">
        <f>'шпоргалка-2'!A85</f>
        <v>1</v>
      </c>
      <c r="H85" t="str">
        <f>'шпоргалка-2'!B85</f>
        <v>резерв</v>
      </c>
      <c r="I85" s="102">
        <f>'шпоргалка-2'!C85</f>
      </c>
      <c r="J85" s="104">
        <f>'шпоргалка-2'!D85</f>
      </c>
      <c r="K85">
        <f>'шпоргалка-2'!E85</f>
      </c>
      <c r="M85">
        <f>'шпоргалка-3'!A85</f>
        <v>1</v>
      </c>
      <c r="N85" t="str">
        <f>'шпоргалка-3'!B85</f>
        <v>резерв</v>
      </c>
      <c r="O85" s="102">
        <f>'шпоргалка-3'!C85</f>
      </c>
      <c r="P85" s="104">
        <f>'шпоргалка-3'!D85</f>
      </c>
      <c r="Q85">
        <f>'шпоргалка-3'!E85</f>
      </c>
    </row>
    <row r="86" spans="1:17" x14ac:dyDescent="0.25">
      <c r="A86">
        <f>'шпоргалка-1'!A86</f>
        <v>2</v>
      </c>
      <c r="B86" t="e">
        <f>'шпоргалка-1'!B86</f>
        <v>#REF!</v>
      </c>
      <c r="C86" s="102" t="e">
        <f>'шпоргалка-1'!C86</f>
        <v>#REF!</v>
      </c>
      <c r="D86" s="104" t="e">
        <f>'шпоргалка-1'!D86</f>
        <v>#REF!</v>
      </c>
      <c r="E86" t="e">
        <f>'шпоргалка-1'!E86</f>
        <v>#REF!</v>
      </c>
      <c r="G86">
        <f>'шпоргалка-2'!A86</f>
        <v>2</v>
      </c>
      <c r="H86" t="str">
        <f>'шпоргалка-2'!B86</f>
        <v>резерв</v>
      </c>
      <c r="I86" s="102">
        <f>'шпоргалка-2'!C86</f>
      </c>
      <c r="J86" s="104">
        <f>'шпоргалка-2'!D86</f>
      </c>
      <c r="K86">
        <f>'шпоргалка-2'!E86</f>
      </c>
      <c r="M86">
        <f>'шпоргалка-3'!A86</f>
        <v>2</v>
      </c>
      <c r="N86" t="str">
        <f>'шпоргалка-3'!B86</f>
        <v>резерв</v>
      </c>
      <c r="O86" s="102">
        <f>'шпоргалка-3'!C86</f>
      </c>
      <c r="P86" s="104">
        <f>'шпоргалка-3'!D86</f>
      </c>
      <c r="Q86">
        <f>'шпоргалка-3'!E86</f>
      </c>
    </row>
    <row r="87" spans="1:17" x14ac:dyDescent="0.25">
      <c r="A87">
        <f>'шпоргалка-1'!A87</f>
        <v>3</v>
      </c>
      <c r="B87" t="e">
        <f>'шпоргалка-1'!B87</f>
        <v>#REF!</v>
      </c>
      <c r="C87" s="102" t="e">
        <f>'шпоргалка-1'!C87</f>
        <v>#REF!</v>
      </c>
      <c r="D87" s="104" t="e">
        <f>'шпоргалка-1'!D87</f>
        <v>#REF!</v>
      </c>
      <c r="E87" t="e">
        <f>'шпоргалка-1'!E87</f>
        <v>#REF!</v>
      </c>
      <c r="G87">
        <f>'шпоргалка-2'!A87</f>
        <v>3</v>
      </c>
      <c r="H87" t="str">
        <f>'шпоргалка-2'!B87</f>
        <v>резерв</v>
      </c>
      <c r="I87" s="102">
        <f>'шпоргалка-2'!C87</f>
      </c>
      <c r="J87" s="104">
        <f>'шпоргалка-2'!D87</f>
      </c>
      <c r="K87">
        <f>'шпоргалка-2'!E87</f>
      </c>
      <c r="M87">
        <f>'шпоргалка-3'!A87</f>
        <v>3</v>
      </c>
      <c r="N87" t="str">
        <f>'шпоргалка-3'!B87</f>
        <v>резерв</v>
      </c>
      <c r="O87" s="102">
        <f>'шпоргалка-3'!C87</f>
      </c>
      <c r="P87" s="104">
        <f>'шпоргалка-3'!D87</f>
      </c>
      <c r="Q87">
        <f>'шпоргалка-3'!E87</f>
      </c>
    </row>
    <row r="88" spans="1:17" x14ac:dyDescent="0.25">
      <c r="A88">
        <f>'шпоргалка-1'!A88</f>
        <v>4</v>
      </c>
      <c r="B88" t="e">
        <f>'шпоргалка-1'!B88</f>
        <v>#REF!</v>
      </c>
      <c r="C88" s="102" t="e">
        <f>'шпоргалка-1'!C88</f>
        <v>#REF!</v>
      </c>
      <c r="D88" s="104" t="e">
        <f>'шпоргалка-1'!D88</f>
        <v>#REF!</v>
      </c>
      <c r="E88" t="e">
        <f>'шпоргалка-1'!E88</f>
        <v>#REF!</v>
      </c>
      <c r="G88">
        <f>'шпоргалка-2'!A88</f>
        <v>4</v>
      </c>
      <c r="H88" t="str">
        <f>'шпоргалка-2'!B88</f>
        <v>резерв</v>
      </c>
      <c r="I88" s="102">
        <f>'шпоргалка-2'!C88</f>
      </c>
      <c r="J88" s="104">
        <f>'шпоргалка-2'!D88</f>
      </c>
      <c r="K88">
        <f>'шпоргалка-2'!E88</f>
      </c>
      <c r="M88">
        <f>'шпоргалка-3'!A88</f>
        <v>4</v>
      </c>
      <c r="N88" t="str">
        <f>'шпоргалка-3'!B88</f>
        <v>резерв</v>
      </c>
      <c r="O88" s="102">
        <f>'шпоргалка-3'!C88</f>
      </c>
      <c r="P88" s="104">
        <f>'шпоргалка-3'!D88</f>
      </c>
      <c r="Q88">
        <f>'шпоргалка-3'!E88</f>
      </c>
    </row>
    <row r="89" spans="1:17" x14ac:dyDescent="0.25">
      <c r="A89">
        <f>'шпоргалка-1'!A89</f>
        <v>5</v>
      </c>
      <c r="B89" t="e">
        <f>'шпоргалка-1'!B89</f>
        <v>#REF!</v>
      </c>
      <c r="C89" s="102" t="e">
        <f>'шпоргалка-1'!C89</f>
        <v>#REF!</v>
      </c>
      <c r="D89" s="104" t="e">
        <f>'шпоргалка-1'!D89</f>
        <v>#REF!</v>
      </c>
      <c r="E89" t="e">
        <f>'шпоргалка-1'!E89</f>
        <v>#REF!</v>
      </c>
      <c r="G89">
        <f>'шпоргалка-2'!A89</f>
        <v>5</v>
      </c>
      <c r="H89" t="str">
        <f>'шпоргалка-2'!B89</f>
        <v>резерв</v>
      </c>
      <c r="I89" s="102">
        <f>'шпоргалка-2'!C89</f>
      </c>
      <c r="J89" s="104">
        <f>'шпоргалка-2'!D89</f>
      </c>
      <c r="K89">
        <f>'шпоргалка-2'!E89</f>
      </c>
      <c r="M89">
        <f>'шпоргалка-3'!A89</f>
        <v>5</v>
      </c>
      <c r="N89" t="str">
        <f>'шпоргалка-3'!B89</f>
        <v>резерв</v>
      </c>
      <c r="O89" s="102">
        <f>'шпоргалка-3'!C89</f>
      </c>
      <c r="P89" s="104">
        <f>'шпоргалка-3'!D89</f>
      </c>
      <c r="Q89">
        <f>'шпоргалка-3'!E89</f>
      </c>
    </row>
    <row r="90" spans="1:17" x14ac:dyDescent="0.25">
      <c r="A90">
        <f>'шпоргалка-1'!A90</f>
        <v>6</v>
      </c>
      <c r="B90" t="e">
        <f>'шпоргалка-1'!B90</f>
        <v>#REF!</v>
      </c>
      <c r="C90" s="102" t="e">
        <f>'шпоргалка-1'!C90</f>
        <v>#REF!</v>
      </c>
      <c r="D90" s="104" t="e">
        <f>'шпоргалка-1'!D90</f>
        <v>#REF!</v>
      </c>
      <c r="E90" t="e">
        <f>'шпоргалка-1'!E90</f>
        <v>#REF!</v>
      </c>
      <c r="G90">
        <f>'шпоргалка-2'!A90</f>
        <v>6</v>
      </c>
      <c r="H90" t="str">
        <f>'шпоргалка-2'!B90</f>
        <v>резерв</v>
      </c>
      <c r="I90" s="102">
        <f>'шпоргалка-2'!C90</f>
      </c>
      <c r="J90" s="104">
        <f>'шпоргалка-2'!D90</f>
      </c>
      <c r="K90">
        <f>'шпоргалка-2'!E90</f>
      </c>
      <c r="M90">
        <f>'шпоргалка-3'!A90</f>
        <v>6</v>
      </c>
      <c r="N90" t="str">
        <f>'шпоргалка-3'!B90</f>
        <v>резерв</v>
      </c>
      <c r="O90" s="102">
        <f>'шпоргалка-3'!C90</f>
      </c>
      <c r="P90" s="104">
        <f>'шпоргалка-3'!D90</f>
      </c>
      <c r="Q90">
        <f>'шпоргалка-3'!E90</f>
      </c>
    </row>
    <row r="91" spans="1:17" x14ac:dyDescent="0.25">
      <c r="A91">
        <f>'шпоргалка-1'!A91</f>
        <v>7</v>
      </c>
      <c r="B91" t="e">
        <f>'шпоргалка-1'!B91</f>
        <v>#REF!</v>
      </c>
      <c r="C91" s="102" t="e">
        <f>'шпоргалка-1'!C91</f>
        <v>#REF!</v>
      </c>
      <c r="D91" s="104" t="e">
        <f>'шпоргалка-1'!D91</f>
        <v>#REF!</v>
      </c>
      <c r="E91" t="e">
        <f>'шпоргалка-1'!E91</f>
        <v>#REF!</v>
      </c>
      <c r="G91">
        <f>'шпоргалка-2'!A91</f>
        <v>7</v>
      </c>
      <c r="H91" t="str">
        <f>'шпоргалка-2'!B91</f>
        <v>резерв</v>
      </c>
      <c r="I91" s="102">
        <f>'шпоргалка-2'!C91</f>
      </c>
      <c r="J91" s="104">
        <f>'шпоргалка-2'!D91</f>
      </c>
      <c r="K91">
        <f>'шпоргалка-2'!E91</f>
      </c>
      <c r="M91">
        <f>'шпоргалка-3'!A91</f>
        <v>7</v>
      </c>
      <c r="N91" t="str">
        <f>'шпоргалка-3'!B91</f>
        <v>резерв</v>
      </c>
      <c r="O91" s="102">
        <f>'шпоргалка-3'!C91</f>
      </c>
      <c r="P91" s="104">
        <f>'шпоргалка-3'!D91</f>
      </c>
      <c r="Q91">
        <f>'шпоргалка-3'!E91</f>
      </c>
    </row>
    <row r="92" spans="1:17" x14ac:dyDescent="0.25">
      <c r="A92">
        <f>'шпоргалка-1'!A92</f>
        <v>8</v>
      </c>
      <c r="B92" t="e">
        <f>'шпоргалка-1'!B92</f>
        <v>#REF!</v>
      </c>
      <c r="C92" s="102" t="e">
        <f>'шпоргалка-1'!C92</f>
        <v>#REF!</v>
      </c>
      <c r="D92" s="104" t="e">
        <f>'шпоргалка-1'!D92</f>
        <v>#REF!</v>
      </c>
      <c r="E92" t="e">
        <f>'шпоргалка-1'!E92</f>
        <v>#REF!</v>
      </c>
      <c r="G92">
        <f>'шпоргалка-2'!A92</f>
        <v>8</v>
      </c>
      <c r="H92" t="str">
        <f>'шпоргалка-2'!B92</f>
        <v>резерв</v>
      </c>
      <c r="I92" s="102">
        <f>'шпоргалка-2'!C92</f>
      </c>
      <c r="J92" s="104">
        <f>'шпоргалка-2'!D92</f>
      </c>
      <c r="K92">
        <f>'шпоргалка-2'!E92</f>
      </c>
      <c r="M92">
        <f>'шпоргалка-3'!A92</f>
        <v>8</v>
      </c>
      <c r="N92" t="str">
        <f>'шпоргалка-3'!B92</f>
        <v>резерв</v>
      </c>
      <c r="O92" s="102">
        <f>'шпоргалка-3'!C92</f>
      </c>
      <c r="P92" s="104">
        <f>'шпоргалка-3'!D92</f>
      </c>
      <c r="Q92">
        <f>'шпоргалка-3'!E92</f>
      </c>
    </row>
    <row r="93" spans="1:14" x14ac:dyDescent="0.25">
      <c r="A93">
        <f>'шпоргалка-1'!A93</f>
        <v>0</v>
      </c>
      <c r="B93" t="str">
        <f>'шпоргалка-1'!B93</f>
        <v>SV004 - 11</v>
      </c>
      <c r="H93" t="str">
        <f>'шпоргалка-2'!B93</f>
        <v>SV004 - 11</v>
      </c>
      <c r="N93" t="str">
        <f>'шпоргалка-3'!B93</f>
        <v>SV004 - 11</v>
      </c>
    </row>
    <row r="94" spans="1:17" x14ac:dyDescent="0.25">
      <c r="A94">
        <f>'шпоргалка-1'!A94</f>
        <v>1</v>
      </c>
      <c r="B94" t="e">
        <f>'шпоргалка-1'!B94</f>
        <v>#REF!</v>
      </c>
      <c r="C94" s="102" t="e">
        <f>'шпоргалка-1'!C94</f>
        <v>#REF!</v>
      </c>
      <c r="D94" s="104" t="e">
        <f>'шпоргалка-1'!D94</f>
        <v>#REF!</v>
      </c>
      <c r="E94" t="e">
        <f>'шпоргалка-1'!E94</f>
        <v>#REF!</v>
      </c>
      <c r="G94">
        <f>'шпоргалка-2'!A94</f>
        <v>1</v>
      </c>
      <c r="H94" t="str">
        <f>'шпоргалка-2'!B94</f>
        <v>резерв</v>
      </c>
      <c r="I94" s="102">
        <f>'шпоргалка-2'!C94</f>
      </c>
      <c r="J94" s="104">
        <f>'шпоргалка-2'!D94</f>
      </c>
      <c r="K94">
        <f>'шпоргалка-2'!E94</f>
      </c>
      <c r="M94">
        <f>'шпоргалка-3'!A94</f>
        <v>1</v>
      </c>
      <c r="N94" t="str">
        <f>'шпоргалка-3'!B94</f>
        <v>резерв</v>
      </c>
      <c r="O94" s="102">
        <f>'шпоргалка-3'!C94</f>
      </c>
      <c r="P94" s="104">
        <f>'шпоргалка-3'!D94</f>
      </c>
      <c r="Q94">
        <f>'шпоргалка-3'!E94</f>
      </c>
    </row>
    <row r="95" spans="1:17" x14ac:dyDescent="0.25">
      <c r="A95">
        <f>'шпоргалка-1'!A95</f>
        <v>2</v>
      </c>
      <c r="B95" t="e">
        <f>'шпоргалка-1'!B95</f>
        <v>#REF!</v>
      </c>
      <c r="C95" s="102" t="e">
        <f>'шпоргалка-1'!C95</f>
        <v>#REF!</v>
      </c>
      <c r="D95" s="104" t="e">
        <f>'шпоргалка-1'!D95</f>
        <v>#REF!</v>
      </c>
      <c r="E95" t="e">
        <f>'шпоргалка-1'!E95</f>
        <v>#REF!</v>
      </c>
      <c r="G95">
        <f>'шпоргалка-2'!A95</f>
        <v>2</v>
      </c>
      <c r="H95" t="str">
        <f>'шпоргалка-2'!B95</f>
        <v>резерв</v>
      </c>
      <c r="I95" s="102">
        <f>'шпоргалка-2'!C95</f>
      </c>
      <c r="J95" s="104">
        <f>'шпоргалка-2'!D95</f>
      </c>
      <c r="K95">
        <f>'шпоргалка-2'!E95</f>
      </c>
      <c r="M95">
        <f>'шпоргалка-3'!A95</f>
        <v>2</v>
      </c>
      <c r="N95" t="str">
        <f>'шпоргалка-3'!B95</f>
        <v>резерв</v>
      </c>
      <c r="O95" s="102">
        <f>'шпоргалка-3'!C95</f>
      </c>
      <c r="P95" s="104">
        <f>'шпоргалка-3'!D95</f>
      </c>
      <c r="Q95">
        <f>'шпоргалка-3'!E95</f>
      </c>
    </row>
    <row r="96" spans="1:17" x14ac:dyDescent="0.25">
      <c r="A96">
        <f>'шпоргалка-1'!A96</f>
        <v>3</v>
      </c>
      <c r="B96" t="e">
        <f>'шпоргалка-1'!B96</f>
        <v>#REF!</v>
      </c>
      <c r="C96" s="102" t="e">
        <f>'шпоргалка-1'!C96</f>
        <v>#REF!</v>
      </c>
      <c r="D96" s="104" t="e">
        <f>'шпоргалка-1'!D96</f>
        <v>#REF!</v>
      </c>
      <c r="E96" t="e">
        <f>'шпоргалка-1'!E96</f>
        <v>#REF!</v>
      </c>
      <c r="G96">
        <f>'шпоргалка-2'!A96</f>
        <v>3</v>
      </c>
      <c r="H96" t="str">
        <f>'шпоргалка-2'!B96</f>
        <v>резерв</v>
      </c>
      <c r="I96" s="102">
        <f>'шпоргалка-2'!C96</f>
      </c>
      <c r="J96" s="104">
        <f>'шпоргалка-2'!D96</f>
      </c>
      <c r="K96">
        <f>'шпоргалка-2'!E96</f>
      </c>
      <c r="M96">
        <f>'шпоргалка-3'!A96</f>
        <v>3</v>
      </c>
      <c r="N96" t="str">
        <f>'шпоргалка-3'!B96</f>
        <v>резерв</v>
      </c>
      <c r="O96" s="102">
        <f>'шпоргалка-3'!C96</f>
      </c>
      <c r="P96" s="104">
        <f>'шпоргалка-3'!D96</f>
      </c>
      <c r="Q96">
        <f>'шпоргалка-3'!E96</f>
      </c>
    </row>
    <row r="97" spans="1:17" x14ac:dyDescent="0.25">
      <c r="A97">
        <f>'шпоргалка-1'!A97</f>
        <v>4</v>
      </c>
      <c r="B97" t="e">
        <f>'шпоргалка-1'!B97</f>
        <v>#REF!</v>
      </c>
      <c r="C97" s="102" t="e">
        <f>'шпоргалка-1'!C97</f>
        <v>#REF!</v>
      </c>
      <c r="D97" s="104" t="e">
        <f>'шпоргалка-1'!D97</f>
        <v>#REF!</v>
      </c>
      <c r="E97" t="e">
        <f>'шпоргалка-1'!E97</f>
        <v>#REF!</v>
      </c>
      <c r="G97">
        <f>'шпоргалка-2'!A97</f>
        <v>4</v>
      </c>
      <c r="H97" t="str">
        <f>'шпоргалка-2'!B97</f>
        <v>резерв</v>
      </c>
      <c r="I97" s="102">
        <f>'шпоргалка-2'!C97</f>
      </c>
      <c r="J97" s="104">
        <f>'шпоргалка-2'!D97</f>
      </c>
      <c r="K97">
        <f>'шпоргалка-2'!E97</f>
      </c>
      <c r="M97">
        <f>'шпоргалка-3'!A97</f>
        <v>4</v>
      </c>
      <c r="N97" t="str">
        <f>'шпоргалка-3'!B97</f>
        <v>резерв</v>
      </c>
      <c r="O97" s="102">
        <f>'шпоргалка-3'!C97</f>
      </c>
      <c r="P97" s="104">
        <f>'шпоргалка-3'!D97</f>
      </c>
      <c r="Q97">
        <f>'шпоргалка-3'!E97</f>
      </c>
    </row>
    <row r="98" spans="1:17" x14ac:dyDescent="0.25">
      <c r="A98">
        <f>'шпоргалка-1'!A98</f>
        <v>5</v>
      </c>
      <c r="B98" t="e">
        <f>'шпоргалка-1'!B98</f>
        <v>#REF!</v>
      </c>
      <c r="C98" s="102" t="e">
        <f>'шпоргалка-1'!C98</f>
        <v>#REF!</v>
      </c>
      <c r="D98" s="104" t="e">
        <f>'шпоргалка-1'!D98</f>
        <v>#REF!</v>
      </c>
      <c r="E98" t="e">
        <f>'шпоргалка-1'!E98</f>
        <v>#REF!</v>
      </c>
      <c r="G98">
        <f>'шпоргалка-2'!A98</f>
        <v>5</v>
      </c>
      <c r="H98" t="str">
        <f>'шпоргалка-2'!B98</f>
        <v>резерв</v>
      </c>
      <c r="I98" s="102">
        <f>'шпоргалка-2'!C98</f>
      </c>
      <c r="J98" s="104">
        <f>'шпоргалка-2'!D98</f>
      </c>
      <c r="K98">
        <f>'шпоргалка-2'!E98</f>
      </c>
      <c r="M98">
        <f>'шпоргалка-3'!A98</f>
        <v>5</v>
      </c>
      <c r="N98" t="str">
        <f>'шпоргалка-3'!B98</f>
        <v>резерв</v>
      </c>
      <c r="O98" s="102">
        <f>'шпоргалка-3'!C98</f>
      </c>
      <c r="P98" s="104">
        <f>'шпоргалка-3'!D98</f>
      </c>
      <c r="Q98">
        <f>'шпоргалка-3'!E98</f>
      </c>
    </row>
    <row r="99" spans="1:17" x14ac:dyDescent="0.25">
      <c r="A99">
        <f>'шпоргалка-1'!A99</f>
        <v>6</v>
      </c>
      <c r="B99" t="e">
        <f>'шпоргалка-1'!B99</f>
        <v>#REF!</v>
      </c>
      <c r="C99" s="102" t="e">
        <f>'шпоргалка-1'!C99</f>
        <v>#REF!</v>
      </c>
      <c r="D99" s="104" t="e">
        <f>'шпоргалка-1'!D99</f>
        <v>#REF!</v>
      </c>
      <c r="E99" t="e">
        <f>'шпоргалка-1'!E99</f>
        <v>#REF!</v>
      </c>
      <c r="G99">
        <f>'шпоргалка-2'!A99</f>
        <v>6</v>
      </c>
      <c r="H99" t="str">
        <f>'шпоргалка-2'!B99</f>
        <v>резерв</v>
      </c>
      <c r="I99" s="102">
        <f>'шпоргалка-2'!C99</f>
      </c>
      <c r="J99" s="104">
        <f>'шпоргалка-2'!D99</f>
      </c>
      <c r="K99">
        <f>'шпоргалка-2'!E99</f>
      </c>
      <c r="M99">
        <f>'шпоргалка-3'!A99</f>
        <v>6</v>
      </c>
      <c r="N99" t="str">
        <f>'шпоргалка-3'!B99</f>
        <v>резерв</v>
      </c>
      <c r="O99" s="102">
        <f>'шпоргалка-3'!C99</f>
      </c>
      <c r="P99" s="104">
        <f>'шпоргалка-3'!D99</f>
      </c>
      <c r="Q99">
        <f>'шпоргалка-3'!E99</f>
      </c>
    </row>
    <row r="100" spans="1:17" x14ac:dyDescent="0.25">
      <c r="A100">
        <f>'шпоргалка-1'!A100</f>
        <v>7</v>
      </c>
      <c r="B100" t="e">
        <f>'шпоргалка-1'!B100</f>
        <v>#REF!</v>
      </c>
      <c r="C100" s="102" t="e">
        <f>'шпоргалка-1'!C100</f>
        <v>#REF!</v>
      </c>
      <c r="D100" s="104" t="e">
        <f>'шпоргалка-1'!D100</f>
        <v>#REF!</v>
      </c>
      <c r="E100" t="e">
        <f>'шпоргалка-1'!E100</f>
        <v>#REF!</v>
      </c>
      <c r="G100">
        <f>'шпоргалка-2'!A100</f>
        <v>7</v>
      </c>
      <c r="H100" t="str">
        <f>'шпоргалка-2'!B100</f>
        <v>резерв</v>
      </c>
      <c r="I100" s="102">
        <f>'шпоргалка-2'!C100</f>
      </c>
      <c r="J100" s="104">
        <f>'шпоргалка-2'!D100</f>
      </c>
      <c r="K100">
        <f>'шпоргалка-2'!E100</f>
      </c>
      <c r="M100">
        <f>'шпоргалка-3'!A100</f>
        <v>7</v>
      </c>
      <c r="N100" t="str">
        <f>'шпоргалка-3'!B100</f>
        <v>резерв</v>
      </c>
      <c r="O100" s="102">
        <f>'шпоргалка-3'!C100</f>
      </c>
      <c r="P100" s="104">
        <f>'шпоргалка-3'!D100</f>
      </c>
      <c r="Q100">
        <f>'шпоргалка-3'!E100</f>
      </c>
    </row>
    <row r="101" spans="1:17" x14ac:dyDescent="0.25">
      <c r="A101">
        <f>'шпоргалка-1'!A101</f>
        <v>8</v>
      </c>
      <c r="B101" t="e">
        <f>'шпоргалка-1'!B101</f>
        <v>#REF!</v>
      </c>
      <c r="C101" s="102" t="e">
        <f>'шпоргалка-1'!C101</f>
        <v>#REF!</v>
      </c>
      <c r="D101" s="104" t="e">
        <f>'шпоргалка-1'!D101</f>
        <v>#REF!</v>
      </c>
      <c r="E101" t="e">
        <f>'шпоргалка-1'!E101</f>
        <v>#REF!</v>
      </c>
      <c r="G101">
        <f>'шпоргалка-2'!A101</f>
        <v>8</v>
      </c>
      <c r="H101" t="str">
        <f>'шпоргалка-2'!B101</f>
        <v>резерв</v>
      </c>
      <c r="I101" s="102">
        <f>'шпоргалка-2'!C101</f>
      </c>
      <c r="J101" s="104">
        <f>'шпоргалка-2'!D101</f>
      </c>
      <c r="K101">
        <f>'шпоргалка-2'!E101</f>
      </c>
      <c r="M101">
        <f>'шпоргалка-3'!A101</f>
        <v>8</v>
      </c>
      <c r="N101" t="str">
        <f>'шпоргалка-3'!B101</f>
        <v>резерв</v>
      </c>
      <c r="O101" s="102">
        <f>'шпоргалка-3'!C101</f>
      </c>
      <c r="P101" s="104">
        <f>'шпоргалка-3'!D101</f>
      </c>
      <c r="Q101">
        <f>'шпоргалка-3'!E101</f>
      </c>
    </row>
    <row r="102" spans="1:14" x14ac:dyDescent="0.25">
      <c r="A102">
        <f>'шпоргалка-1'!A102</f>
        <v>0</v>
      </c>
      <c r="B102" t="str">
        <f>'шпоргалка-1'!B102</f>
        <v>SV004 - 12</v>
      </c>
      <c r="H102" t="str">
        <f>'шпоргалка-2'!B102</f>
        <v>SV004 - 12</v>
      </c>
      <c r="N102" t="str">
        <f>'шпоргалка-3'!B102</f>
        <v>SV004 - 12</v>
      </c>
    </row>
    <row r="103" spans="1:17" x14ac:dyDescent="0.25">
      <c r="A103">
        <f>'шпоргалка-1'!A103</f>
        <v>1</v>
      </c>
      <c r="B103" t="e">
        <f>'шпоргалка-1'!B103</f>
        <v>#REF!</v>
      </c>
      <c r="C103" s="102" t="e">
        <f>'шпоргалка-1'!C103</f>
        <v>#REF!</v>
      </c>
      <c r="D103" s="104" t="e">
        <f>'шпоргалка-1'!D103</f>
        <v>#REF!</v>
      </c>
      <c r="E103" t="e">
        <f>'шпоргалка-1'!E103</f>
        <v>#REF!</v>
      </c>
      <c r="G103">
        <f>'шпоргалка-2'!A103</f>
        <v>1</v>
      </c>
      <c r="H103" t="str">
        <f>'шпоргалка-2'!B103</f>
        <v>резерв</v>
      </c>
      <c r="I103" s="102">
        <f>'шпоргалка-2'!C103</f>
      </c>
      <c r="J103" s="104">
        <f>'шпоргалка-2'!D103</f>
      </c>
      <c r="K103">
        <f>'шпоргалка-2'!E103</f>
      </c>
      <c r="M103">
        <f>'шпоргалка-3'!A103</f>
        <v>1</v>
      </c>
      <c r="N103" t="str">
        <f>'шпоргалка-3'!B103</f>
        <v>резерв</v>
      </c>
      <c r="O103" s="102">
        <f>'шпоргалка-3'!C103</f>
      </c>
      <c r="P103" s="104">
        <f>'шпоргалка-3'!D103</f>
      </c>
      <c r="Q103">
        <f>'шпоргалка-3'!E103</f>
      </c>
    </row>
    <row r="104" spans="1:17" x14ac:dyDescent="0.25">
      <c r="A104">
        <f>'шпоргалка-1'!A104</f>
        <v>2</v>
      </c>
      <c r="B104" t="e">
        <f>'шпоргалка-1'!B104</f>
        <v>#REF!</v>
      </c>
      <c r="C104" s="102" t="e">
        <f>'шпоргалка-1'!C104</f>
        <v>#REF!</v>
      </c>
      <c r="D104" s="104" t="e">
        <f>'шпоргалка-1'!D104</f>
        <v>#REF!</v>
      </c>
      <c r="E104" t="e">
        <f>'шпоргалка-1'!E104</f>
        <v>#REF!</v>
      </c>
      <c r="G104">
        <f>'шпоргалка-2'!A104</f>
        <v>2</v>
      </c>
      <c r="H104" t="str">
        <f>'шпоргалка-2'!B104</f>
        <v>резерв</v>
      </c>
      <c r="I104" s="102">
        <f>'шпоргалка-2'!C104</f>
      </c>
      <c r="J104" s="104">
        <f>'шпоргалка-2'!D104</f>
      </c>
      <c r="K104">
        <f>'шпоргалка-2'!E104</f>
      </c>
      <c r="M104">
        <f>'шпоргалка-3'!A104</f>
        <v>2</v>
      </c>
      <c r="N104" t="str">
        <f>'шпоргалка-3'!B104</f>
        <v>резерв</v>
      </c>
      <c r="O104" s="102">
        <f>'шпоргалка-3'!C104</f>
      </c>
      <c r="P104" s="104">
        <f>'шпоргалка-3'!D104</f>
      </c>
      <c r="Q104">
        <f>'шпоргалка-3'!E104</f>
      </c>
    </row>
    <row r="105" spans="1:17" x14ac:dyDescent="0.25">
      <c r="A105">
        <f>'шпоргалка-1'!A105</f>
        <v>3</v>
      </c>
      <c r="B105" t="e">
        <f>'шпоргалка-1'!B105</f>
        <v>#REF!</v>
      </c>
      <c r="C105" s="102" t="e">
        <f>'шпоргалка-1'!C105</f>
        <v>#REF!</v>
      </c>
      <c r="D105" s="104" t="e">
        <f>'шпоргалка-1'!D105</f>
        <v>#REF!</v>
      </c>
      <c r="E105" t="e">
        <f>'шпоргалка-1'!E105</f>
        <v>#REF!</v>
      </c>
      <c r="G105">
        <f>'шпоргалка-2'!A105</f>
        <v>3</v>
      </c>
      <c r="H105" t="str">
        <f>'шпоргалка-2'!B105</f>
        <v>резерв</v>
      </c>
      <c r="I105" s="102">
        <f>'шпоргалка-2'!C105</f>
      </c>
      <c r="J105" s="104">
        <f>'шпоргалка-2'!D105</f>
      </c>
      <c r="K105">
        <f>'шпоргалка-2'!E105</f>
      </c>
      <c r="M105">
        <f>'шпоргалка-3'!A105</f>
        <v>3</v>
      </c>
      <c r="N105" t="str">
        <f>'шпоргалка-3'!B105</f>
        <v>резерв</v>
      </c>
      <c r="O105" s="102">
        <f>'шпоргалка-3'!C105</f>
      </c>
      <c r="P105" s="104">
        <f>'шпоргалка-3'!D105</f>
      </c>
      <c r="Q105">
        <f>'шпоргалка-3'!E105</f>
      </c>
    </row>
    <row r="106" spans="1:17" x14ac:dyDescent="0.25">
      <c r="A106">
        <f>'шпоргалка-1'!A106</f>
        <v>4</v>
      </c>
      <c r="B106" t="e">
        <f>'шпоргалка-1'!B106</f>
        <v>#REF!</v>
      </c>
      <c r="C106" s="102" t="e">
        <f>'шпоргалка-1'!C106</f>
        <v>#REF!</v>
      </c>
      <c r="D106" s="104" t="e">
        <f>'шпоргалка-1'!D106</f>
        <v>#REF!</v>
      </c>
      <c r="E106" t="e">
        <f>'шпоргалка-1'!E106</f>
        <v>#REF!</v>
      </c>
      <c r="G106">
        <f>'шпоргалка-2'!A106</f>
        <v>4</v>
      </c>
      <c r="H106" t="str">
        <f>'шпоргалка-2'!B106</f>
        <v>резерв</v>
      </c>
      <c r="I106" s="102">
        <f>'шпоргалка-2'!C106</f>
      </c>
      <c r="J106" s="104">
        <f>'шпоргалка-2'!D106</f>
      </c>
      <c r="K106">
        <f>'шпоргалка-2'!E106</f>
      </c>
      <c r="M106">
        <f>'шпоргалка-3'!A106</f>
        <v>4</v>
      </c>
      <c r="N106" t="str">
        <f>'шпоргалка-3'!B106</f>
        <v>резерв</v>
      </c>
      <c r="O106" s="102">
        <f>'шпоргалка-3'!C106</f>
      </c>
      <c r="P106" s="104">
        <f>'шпоргалка-3'!D106</f>
      </c>
      <c r="Q106">
        <f>'шпоргалка-3'!E106</f>
      </c>
    </row>
    <row r="107" spans="1:17" x14ac:dyDescent="0.25">
      <c r="A107">
        <f>'шпоргалка-1'!A107</f>
        <v>5</v>
      </c>
      <c r="B107" t="e">
        <f>'шпоргалка-1'!B107</f>
        <v>#REF!</v>
      </c>
      <c r="C107" s="102" t="e">
        <f>'шпоргалка-1'!C107</f>
        <v>#REF!</v>
      </c>
      <c r="D107" s="104" t="e">
        <f>'шпоргалка-1'!D107</f>
        <v>#REF!</v>
      </c>
      <c r="E107" t="e">
        <f>'шпоргалка-1'!E107</f>
        <v>#REF!</v>
      </c>
      <c r="G107">
        <f>'шпоргалка-2'!A107</f>
        <v>5</v>
      </c>
      <c r="H107" t="str">
        <f>'шпоргалка-2'!B107</f>
        <v>резерв</v>
      </c>
      <c r="I107" s="102">
        <f>'шпоргалка-2'!C107</f>
      </c>
      <c r="J107" s="104">
        <f>'шпоргалка-2'!D107</f>
      </c>
      <c r="K107">
        <f>'шпоргалка-2'!E107</f>
      </c>
      <c r="M107">
        <f>'шпоргалка-3'!A107</f>
        <v>5</v>
      </c>
      <c r="N107" t="str">
        <f>'шпоргалка-3'!B107</f>
        <v>резерв</v>
      </c>
      <c r="O107" s="102">
        <f>'шпоргалка-3'!C107</f>
      </c>
      <c r="P107" s="104">
        <f>'шпоргалка-3'!D107</f>
      </c>
      <c r="Q107">
        <f>'шпоргалка-3'!E107</f>
      </c>
    </row>
    <row r="108" spans="1:17" x14ac:dyDescent="0.25">
      <c r="A108">
        <f>'шпоргалка-1'!A108</f>
        <v>6</v>
      </c>
      <c r="B108" t="e">
        <f>'шпоргалка-1'!B108</f>
        <v>#REF!</v>
      </c>
      <c r="C108" s="102" t="e">
        <f>'шпоргалка-1'!C108</f>
        <v>#REF!</v>
      </c>
      <c r="D108" s="104" t="e">
        <f>'шпоргалка-1'!D108</f>
        <v>#REF!</v>
      </c>
      <c r="E108" t="e">
        <f>'шпоргалка-1'!E108</f>
        <v>#REF!</v>
      </c>
      <c r="G108">
        <f>'шпоргалка-2'!A108</f>
        <v>6</v>
      </c>
      <c r="H108" t="str">
        <f>'шпоргалка-2'!B108</f>
        <v>резерв</v>
      </c>
      <c r="I108" s="102">
        <f>'шпоргалка-2'!C108</f>
      </c>
      <c r="J108" s="104">
        <f>'шпоргалка-2'!D108</f>
      </c>
      <c r="K108">
        <f>'шпоргалка-2'!E108</f>
      </c>
      <c r="M108">
        <f>'шпоргалка-3'!A108</f>
        <v>6</v>
      </c>
      <c r="N108" t="str">
        <f>'шпоргалка-3'!B108</f>
        <v>резерв</v>
      </c>
      <c r="O108" s="102">
        <f>'шпоргалка-3'!C108</f>
      </c>
      <c r="P108" s="104">
        <f>'шпоргалка-3'!D108</f>
      </c>
      <c r="Q108">
        <f>'шпоргалка-3'!E108</f>
      </c>
    </row>
    <row r="109" spans="1:17" x14ac:dyDescent="0.25">
      <c r="A109">
        <f>'шпоргалка-1'!A109</f>
        <v>7</v>
      </c>
      <c r="B109" t="e">
        <f>'шпоргалка-1'!B109</f>
        <v>#REF!</v>
      </c>
      <c r="C109" s="102" t="e">
        <f>'шпоргалка-1'!C109</f>
        <v>#REF!</v>
      </c>
      <c r="D109" s="104" t="e">
        <f>'шпоргалка-1'!D109</f>
        <v>#REF!</v>
      </c>
      <c r="E109" t="e">
        <f>'шпоргалка-1'!E109</f>
        <v>#REF!</v>
      </c>
      <c r="G109">
        <f>'шпоргалка-2'!A109</f>
        <v>7</v>
      </c>
      <c r="H109" t="str">
        <f>'шпоргалка-2'!B109</f>
        <v>резерв</v>
      </c>
      <c r="I109" s="102">
        <f>'шпоргалка-2'!C109</f>
      </c>
      <c r="J109" s="104">
        <f>'шпоргалка-2'!D109</f>
      </c>
      <c r="K109">
        <f>'шпоргалка-2'!E109</f>
      </c>
      <c r="M109">
        <f>'шпоргалка-3'!A109</f>
        <v>7</v>
      </c>
      <c r="N109" t="str">
        <f>'шпоргалка-3'!B109</f>
        <v>резерв</v>
      </c>
      <c r="O109" s="102">
        <f>'шпоргалка-3'!C109</f>
      </c>
      <c r="P109" s="104">
        <f>'шпоргалка-3'!D109</f>
      </c>
      <c r="Q109">
        <f>'шпоргалка-3'!E109</f>
      </c>
    </row>
    <row r="110" spans="1:17" x14ac:dyDescent="0.25">
      <c r="A110">
        <f>'шпоргалка-1'!A110</f>
        <v>8</v>
      </c>
      <c r="B110" t="e">
        <f>'шпоргалка-1'!B110</f>
        <v>#REF!</v>
      </c>
      <c r="C110" s="102" t="e">
        <f>'шпоргалка-1'!C110</f>
        <v>#REF!</v>
      </c>
      <c r="D110" s="104" t="e">
        <f>'шпоргалка-1'!D110</f>
        <v>#REF!</v>
      </c>
      <c r="E110" t="e">
        <f>'шпоргалка-1'!E110</f>
        <v>#REF!</v>
      </c>
      <c r="G110">
        <f>'шпоргалка-2'!A110</f>
        <v>8</v>
      </c>
      <c r="H110" t="str">
        <f>'шпоргалка-2'!B110</f>
        <v>резерв</v>
      </c>
      <c r="I110" s="102">
        <f>'шпоргалка-2'!C110</f>
      </c>
      <c r="J110" s="104">
        <f>'шпоргалка-2'!D110</f>
      </c>
      <c r="K110">
        <f>'шпоргалка-2'!E110</f>
      </c>
      <c r="M110">
        <f>'шпоргалка-3'!A110</f>
        <v>8</v>
      </c>
      <c r="N110" t="str">
        <f>'шпоргалка-3'!B110</f>
        <v>резерв</v>
      </c>
      <c r="O110" s="102">
        <f>'шпоргалка-3'!C110</f>
      </c>
      <c r="P110" s="104">
        <f>'шпоргалка-3'!D110</f>
      </c>
      <c r="Q110">
        <f>'шпоргалка-3'!E110</f>
      </c>
    </row>
    <row r="111" spans="2:14" x14ac:dyDescent="0.25">
      <c r="B111" t="str">
        <f>'шпоргалка-1'!B111</f>
        <v>SV004 - 13</v>
      </c>
      <c r="H111" t="str">
        <f>'шпоргалка-2'!B111</f>
        <v>SV004 - 13</v>
      </c>
      <c r="N111" t="str">
        <f>'шпоргалка-3'!B111</f>
        <v>SV004 - 13</v>
      </c>
    </row>
    <row r="112" spans="1:17" x14ac:dyDescent="0.25">
      <c r="A112">
        <f>'шпоргалка-1'!A112</f>
        <v>1</v>
      </c>
      <c r="B112" t="e">
        <f>'шпоргалка-1'!B112</f>
        <v>#REF!</v>
      </c>
      <c r="C112" s="102" t="e">
        <f>'шпоргалка-1'!C112</f>
        <v>#REF!</v>
      </c>
      <c r="D112" s="104" t="e">
        <f>'шпоргалка-1'!D112</f>
        <v>#REF!</v>
      </c>
      <c r="E112" t="e">
        <f>'шпоргалка-1'!E112</f>
        <v>#REF!</v>
      </c>
      <c r="G112">
        <f>'шпоргалка-2'!A112</f>
        <v>1</v>
      </c>
      <c r="H112" t="str">
        <f>'шпоргалка-2'!B112</f>
        <v>резерв</v>
      </c>
      <c r="I112" s="102">
        <f>'шпоргалка-2'!C112</f>
      </c>
      <c r="J112" s="104">
        <f>'шпоргалка-2'!D112</f>
      </c>
      <c r="K112">
        <f>'шпоргалка-2'!E112</f>
      </c>
      <c r="M112">
        <f>'шпоргалка-3'!A112</f>
        <v>1</v>
      </c>
      <c r="N112" t="str">
        <f>'шпоргалка-3'!B112</f>
        <v>резерв</v>
      </c>
      <c r="O112" s="102">
        <f>'шпоргалка-3'!C112</f>
      </c>
      <c r="P112" s="104">
        <f>'шпоргалка-3'!D112</f>
      </c>
      <c r="Q112">
        <f>'шпоргалка-3'!E112</f>
      </c>
    </row>
    <row r="113" spans="1:17" x14ac:dyDescent="0.25">
      <c r="A113">
        <f>'шпоргалка-1'!A113</f>
        <v>2</v>
      </c>
      <c r="B113" t="e">
        <f>'шпоргалка-1'!B113</f>
        <v>#REF!</v>
      </c>
      <c r="C113" s="102" t="e">
        <f>'шпоргалка-1'!C113</f>
        <v>#REF!</v>
      </c>
      <c r="D113" s="104" t="e">
        <f>'шпоргалка-1'!D113</f>
        <v>#REF!</v>
      </c>
      <c r="E113" t="e">
        <f>'шпоргалка-1'!E113</f>
        <v>#REF!</v>
      </c>
      <c r="G113">
        <f>'шпоргалка-2'!A113</f>
        <v>2</v>
      </c>
      <c r="H113" t="str">
        <f>'шпоргалка-2'!B113</f>
        <v>резерв</v>
      </c>
      <c r="I113" s="102">
        <f>'шпоргалка-2'!C113</f>
      </c>
      <c r="J113" s="104">
        <f>'шпоргалка-2'!D113</f>
      </c>
      <c r="K113">
        <f>'шпоргалка-2'!E113</f>
      </c>
      <c r="M113">
        <f>'шпоргалка-3'!A113</f>
        <v>2</v>
      </c>
      <c r="N113" t="str">
        <f>'шпоргалка-3'!B113</f>
        <v>резерв</v>
      </c>
      <c r="O113" s="102">
        <f>'шпоргалка-3'!C113</f>
      </c>
      <c r="P113" s="104">
        <f>'шпоргалка-3'!D113</f>
      </c>
      <c r="Q113">
        <f>'шпоргалка-3'!E113</f>
      </c>
    </row>
    <row r="114" spans="1:17" x14ac:dyDescent="0.25">
      <c r="A114">
        <f>'шпоргалка-1'!A114</f>
        <v>3</v>
      </c>
      <c r="B114" t="e">
        <f>'шпоргалка-1'!B114</f>
        <v>#REF!</v>
      </c>
      <c r="C114" s="102" t="e">
        <f>'шпоргалка-1'!C114</f>
        <v>#REF!</v>
      </c>
      <c r="D114" s="104" t="e">
        <f>'шпоргалка-1'!D114</f>
        <v>#REF!</v>
      </c>
      <c r="E114" t="e">
        <f>'шпоргалка-1'!E114</f>
        <v>#REF!</v>
      </c>
      <c r="G114">
        <f>'шпоргалка-2'!A114</f>
        <v>3</v>
      </c>
      <c r="H114" t="str">
        <f>'шпоргалка-2'!B114</f>
        <v>резерв</v>
      </c>
      <c r="I114" s="102">
        <f>'шпоргалка-2'!C114</f>
      </c>
      <c r="J114" s="104">
        <f>'шпоргалка-2'!D114</f>
      </c>
      <c r="K114">
        <f>'шпоргалка-2'!E114</f>
      </c>
      <c r="M114">
        <f>'шпоргалка-3'!A114</f>
        <v>3</v>
      </c>
      <c r="N114" t="str">
        <f>'шпоргалка-3'!B114</f>
        <v>резерв</v>
      </c>
      <c r="O114" s="102">
        <f>'шпоргалка-3'!C114</f>
      </c>
      <c r="P114" s="104">
        <f>'шпоргалка-3'!D114</f>
      </c>
      <c r="Q114">
        <f>'шпоргалка-3'!E114</f>
      </c>
    </row>
    <row r="115" spans="1:17" x14ac:dyDescent="0.25">
      <c r="A115">
        <f>'шпоргалка-1'!A115</f>
        <v>4</v>
      </c>
      <c r="B115" t="e">
        <f>'шпоргалка-1'!B115</f>
        <v>#REF!</v>
      </c>
      <c r="C115" s="102" t="e">
        <f>'шпоргалка-1'!C115</f>
        <v>#REF!</v>
      </c>
      <c r="D115" s="104" t="e">
        <f>'шпоргалка-1'!D115</f>
        <v>#REF!</v>
      </c>
      <c r="E115" t="e">
        <f>'шпоргалка-1'!E115</f>
        <v>#REF!</v>
      </c>
      <c r="G115">
        <f>'шпоргалка-2'!A115</f>
        <v>4</v>
      </c>
      <c r="H115" t="str">
        <f>'шпоргалка-2'!B115</f>
        <v>резерв</v>
      </c>
      <c r="I115" s="102">
        <f>'шпоргалка-2'!C115</f>
      </c>
      <c r="J115" s="104">
        <f>'шпоргалка-2'!D115</f>
      </c>
      <c r="K115">
        <f>'шпоргалка-2'!E115</f>
      </c>
      <c r="M115">
        <f>'шпоргалка-3'!A115</f>
        <v>4</v>
      </c>
      <c r="N115" t="str">
        <f>'шпоргалка-3'!B115</f>
        <v>резерв</v>
      </c>
      <c r="O115" s="102">
        <f>'шпоргалка-3'!C115</f>
      </c>
      <c r="P115" s="104">
        <f>'шпоргалка-3'!D115</f>
      </c>
      <c r="Q115">
        <f>'шпоргалка-3'!E115</f>
      </c>
    </row>
    <row r="116" spans="1:17" x14ac:dyDescent="0.25">
      <c r="A116">
        <f>'шпоргалка-1'!A116</f>
        <v>5</v>
      </c>
      <c r="B116" t="e">
        <f>'шпоргалка-1'!B116</f>
        <v>#REF!</v>
      </c>
      <c r="C116" s="102" t="e">
        <f>'шпоргалка-1'!C116</f>
        <v>#REF!</v>
      </c>
      <c r="D116" s="104" t="e">
        <f>'шпоргалка-1'!D116</f>
        <v>#REF!</v>
      </c>
      <c r="E116" t="e">
        <f>'шпоргалка-1'!E116</f>
        <v>#REF!</v>
      </c>
      <c r="G116">
        <f>'шпоргалка-2'!A116</f>
        <v>5</v>
      </c>
      <c r="H116" t="str">
        <f>'шпоргалка-2'!B116</f>
        <v>резерв</v>
      </c>
      <c r="I116" s="102">
        <f>'шпоргалка-2'!C116</f>
      </c>
      <c r="J116" s="104">
        <f>'шпоргалка-2'!D116</f>
      </c>
      <c r="K116">
        <f>'шпоргалка-2'!E116</f>
      </c>
      <c r="M116">
        <f>'шпоргалка-3'!A116</f>
        <v>5</v>
      </c>
      <c r="N116" t="str">
        <f>'шпоргалка-3'!B116</f>
        <v>резерв</v>
      </c>
      <c r="O116" s="102">
        <f>'шпоргалка-3'!C116</f>
      </c>
      <c r="P116" s="104">
        <f>'шпоргалка-3'!D116</f>
      </c>
      <c r="Q116">
        <f>'шпоргалка-3'!E116</f>
      </c>
    </row>
    <row r="117" spans="1:17" x14ac:dyDescent="0.25">
      <c r="A117">
        <f>'шпоргалка-1'!A117</f>
        <v>6</v>
      </c>
      <c r="B117" t="e">
        <f>'шпоргалка-1'!B117</f>
        <v>#REF!</v>
      </c>
      <c r="C117" s="102" t="e">
        <f>'шпоргалка-1'!C117</f>
        <v>#REF!</v>
      </c>
      <c r="D117" s="104" t="e">
        <f>'шпоргалка-1'!D117</f>
        <v>#REF!</v>
      </c>
      <c r="E117" t="e">
        <f>'шпоргалка-1'!E117</f>
        <v>#REF!</v>
      </c>
      <c r="G117">
        <f>'шпоргалка-2'!A117</f>
        <v>6</v>
      </c>
      <c r="H117" t="str">
        <f>'шпоргалка-2'!B117</f>
        <v>резерв</v>
      </c>
      <c r="I117" s="102">
        <f>'шпоргалка-2'!C117</f>
      </c>
      <c r="J117" s="104">
        <f>'шпоргалка-2'!D117</f>
      </c>
      <c r="K117">
        <f>'шпоргалка-2'!E117</f>
      </c>
      <c r="M117">
        <f>'шпоргалка-3'!A117</f>
        <v>6</v>
      </c>
      <c r="N117" t="str">
        <f>'шпоргалка-3'!B117</f>
        <v>резерв</v>
      </c>
      <c r="O117" s="102">
        <f>'шпоргалка-3'!C117</f>
      </c>
      <c r="P117" s="104">
        <f>'шпоргалка-3'!D117</f>
      </c>
      <c r="Q117">
        <f>'шпоргалка-3'!E117</f>
      </c>
    </row>
    <row r="118" spans="1:17" x14ac:dyDescent="0.25">
      <c r="A118">
        <f>'шпоргалка-1'!A118</f>
        <v>7</v>
      </c>
      <c r="B118" t="e">
        <f>'шпоргалка-1'!B118</f>
        <v>#REF!</v>
      </c>
      <c r="C118" s="102" t="e">
        <f>'шпоргалка-1'!C118</f>
        <v>#REF!</v>
      </c>
      <c r="D118" s="104" t="e">
        <f>'шпоргалка-1'!D118</f>
        <v>#REF!</v>
      </c>
      <c r="E118" t="e">
        <f>'шпоргалка-1'!E118</f>
        <v>#REF!</v>
      </c>
      <c r="G118">
        <f>'шпоргалка-2'!A118</f>
        <v>7</v>
      </c>
      <c r="H118" t="str">
        <f>'шпоргалка-2'!B118</f>
        <v>резерв</v>
      </c>
      <c r="I118" s="102">
        <f>'шпоргалка-2'!C118</f>
      </c>
      <c r="J118" s="104">
        <f>'шпоргалка-2'!D118</f>
      </c>
      <c r="K118">
        <f>'шпоргалка-2'!E118</f>
      </c>
      <c r="M118">
        <f>'шпоргалка-3'!A118</f>
        <v>7</v>
      </c>
      <c r="N118" t="str">
        <f>'шпоргалка-3'!B118</f>
        <v>резерв</v>
      </c>
      <c r="O118" s="102">
        <f>'шпоргалка-3'!C118</f>
      </c>
      <c r="P118" s="104">
        <f>'шпоргалка-3'!D118</f>
      </c>
      <c r="Q118">
        <f>'шпоргалка-3'!E118</f>
      </c>
    </row>
    <row r="119" spans="1:17" x14ac:dyDescent="0.25">
      <c r="A119">
        <f>'шпоргалка-1'!A119</f>
        <v>8</v>
      </c>
      <c r="B119" t="e">
        <f>'шпоргалка-1'!B119</f>
        <v>#REF!</v>
      </c>
      <c r="C119" s="102" t="e">
        <f>'шпоргалка-1'!C119</f>
        <v>#REF!</v>
      </c>
      <c r="D119" s="104" t="e">
        <f>'шпоргалка-1'!D119</f>
        <v>#REF!</v>
      </c>
      <c r="E119" t="e">
        <f>'шпоргалка-1'!E119</f>
        <v>#REF!</v>
      </c>
      <c r="G119">
        <f>'шпоргалка-2'!A119</f>
        <v>8</v>
      </c>
      <c r="H119" t="str">
        <f>'шпоргалка-2'!B119</f>
        <v>резерв</v>
      </c>
      <c r="I119" s="102">
        <f>'шпоргалка-2'!C119</f>
      </c>
      <c r="J119" s="104">
        <f>'шпоргалка-2'!D119</f>
      </c>
      <c r="K119">
        <f>'шпоргалка-2'!E119</f>
      </c>
      <c r="M119">
        <f>'шпоргалка-3'!A119</f>
        <v>8</v>
      </c>
      <c r="N119" t="str">
        <f>'шпоргалка-3'!B119</f>
        <v>резерв</v>
      </c>
      <c r="O119" s="102">
        <f>'шпоргалка-3'!C119</f>
      </c>
      <c r="P119" s="104">
        <f>'шпоргалка-3'!D119</f>
      </c>
      <c r="Q119">
        <f>'шпоргалка-3'!E119</f>
      </c>
    </row>
    <row r="120" spans="2:14" x14ac:dyDescent="0.25">
      <c r="B120" t="str">
        <f>'шпоргалка-1'!B120</f>
        <v>SV004 - 14</v>
      </c>
      <c r="H120" t="str">
        <f>'шпоргалка-2'!B120</f>
        <v>SV004 - 14</v>
      </c>
      <c r="N120" t="str">
        <f>'шпоргалка-3'!B120</f>
        <v>SV004 - 14</v>
      </c>
    </row>
    <row r="121" spans="1:17" x14ac:dyDescent="0.25">
      <c r="A121">
        <f>'шпоргалка-1'!A121</f>
        <v>1</v>
      </c>
      <c r="B121" t="e">
        <f>'шпоргалка-1'!B121</f>
        <v>#REF!</v>
      </c>
      <c r="C121" s="102" t="e">
        <f>'шпоргалка-1'!C121</f>
        <v>#REF!</v>
      </c>
      <c r="D121" s="104" t="e">
        <f>'шпоргалка-1'!D121</f>
        <v>#REF!</v>
      </c>
      <c r="E121" t="e">
        <f>'шпоргалка-1'!E121</f>
        <v>#REF!</v>
      </c>
      <c r="G121">
        <f>'шпоргалка-2'!A121</f>
        <v>1</v>
      </c>
      <c r="H121" t="str">
        <f>'шпоргалка-2'!B121</f>
        <v>резерв</v>
      </c>
      <c r="I121" s="102">
        <f>'шпоргалка-2'!C121</f>
      </c>
      <c r="J121" s="104">
        <f>'шпоргалка-2'!D121</f>
      </c>
      <c r="K121">
        <f>'шпоргалка-2'!E121</f>
      </c>
      <c r="M121">
        <f>'шпоргалка-3'!A121</f>
        <v>1</v>
      </c>
      <c r="N121" t="str">
        <f>'шпоргалка-3'!B121</f>
        <v>резерв</v>
      </c>
      <c r="O121" s="102">
        <f>'шпоргалка-3'!C121</f>
      </c>
      <c r="P121" s="104">
        <f>'шпоргалка-3'!D121</f>
      </c>
      <c r="Q121">
        <f>'шпоргалка-3'!E121</f>
      </c>
    </row>
    <row r="122" spans="1:17" x14ac:dyDescent="0.25">
      <c r="A122">
        <f>'шпоргалка-1'!A122</f>
        <v>2</v>
      </c>
      <c r="B122" t="e">
        <f>'шпоргалка-1'!B122</f>
        <v>#REF!</v>
      </c>
      <c r="C122" s="102" t="e">
        <f>'шпоргалка-1'!C122</f>
        <v>#REF!</v>
      </c>
      <c r="D122" s="104" t="e">
        <f>'шпоргалка-1'!D122</f>
        <v>#REF!</v>
      </c>
      <c r="E122" t="e">
        <f>'шпоргалка-1'!E122</f>
        <v>#REF!</v>
      </c>
      <c r="G122">
        <f>'шпоргалка-2'!A122</f>
        <v>2</v>
      </c>
      <c r="H122" t="str">
        <f>'шпоргалка-2'!B122</f>
        <v>резерв</v>
      </c>
      <c r="I122" s="102">
        <f>'шпоргалка-2'!C122</f>
      </c>
      <c r="J122" s="104">
        <f>'шпоргалка-2'!D122</f>
      </c>
      <c r="K122">
        <f>'шпоргалка-2'!E122</f>
      </c>
      <c r="M122">
        <f>'шпоргалка-3'!A122</f>
        <v>2</v>
      </c>
      <c r="N122" t="str">
        <f>'шпоргалка-3'!B122</f>
        <v>резерв</v>
      </c>
      <c r="O122" s="102">
        <f>'шпоргалка-3'!C122</f>
      </c>
      <c r="P122" s="104">
        <f>'шпоргалка-3'!D122</f>
      </c>
      <c r="Q122">
        <f>'шпоргалка-3'!E122</f>
      </c>
    </row>
    <row r="123" spans="1:17" x14ac:dyDescent="0.25">
      <c r="A123">
        <f>'шпоргалка-1'!A123</f>
        <v>3</v>
      </c>
      <c r="B123" t="e">
        <f>'шпоргалка-1'!B123</f>
        <v>#REF!</v>
      </c>
      <c r="C123" s="102" t="e">
        <f>'шпоргалка-1'!C123</f>
        <v>#REF!</v>
      </c>
      <c r="D123" s="104" t="e">
        <f>'шпоргалка-1'!D123</f>
        <v>#REF!</v>
      </c>
      <c r="E123" t="e">
        <f>'шпоргалка-1'!E123</f>
        <v>#REF!</v>
      </c>
      <c r="G123">
        <f>'шпоргалка-2'!A123</f>
        <v>3</v>
      </c>
      <c r="H123" t="str">
        <f>'шпоргалка-2'!B123</f>
        <v>резерв</v>
      </c>
      <c r="I123" s="102">
        <f>'шпоргалка-2'!C123</f>
      </c>
      <c r="J123" s="104">
        <f>'шпоргалка-2'!D123</f>
      </c>
      <c r="K123">
        <f>'шпоргалка-2'!E123</f>
      </c>
      <c r="M123">
        <f>'шпоргалка-3'!A123</f>
        <v>3</v>
      </c>
      <c r="N123" t="str">
        <f>'шпоргалка-3'!B123</f>
        <v>резерв</v>
      </c>
      <c r="O123" s="102">
        <f>'шпоргалка-3'!C123</f>
      </c>
      <c r="P123" s="104">
        <f>'шпоргалка-3'!D123</f>
      </c>
      <c r="Q123">
        <f>'шпоргалка-3'!E123</f>
      </c>
    </row>
    <row r="124" spans="1:17" x14ac:dyDescent="0.25">
      <c r="A124">
        <f>'шпоргалка-1'!A124</f>
        <v>4</v>
      </c>
      <c r="B124" t="e">
        <f>'шпоргалка-1'!B124</f>
        <v>#REF!</v>
      </c>
      <c r="C124" s="102" t="e">
        <f>'шпоргалка-1'!C124</f>
        <v>#REF!</v>
      </c>
      <c r="D124" s="104" t="e">
        <f>'шпоргалка-1'!D124</f>
        <v>#REF!</v>
      </c>
      <c r="E124" t="e">
        <f>'шпоргалка-1'!E124</f>
        <v>#REF!</v>
      </c>
      <c r="G124">
        <f>'шпоргалка-2'!A124</f>
        <v>4</v>
      </c>
      <c r="H124" t="str">
        <f>'шпоргалка-2'!B124</f>
        <v>резерв</v>
      </c>
      <c r="I124" s="102">
        <f>'шпоргалка-2'!C124</f>
      </c>
      <c r="J124" s="104">
        <f>'шпоргалка-2'!D124</f>
      </c>
      <c r="K124">
        <f>'шпоргалка-2'!E124</f>
      </c>
      <c r="M124">
        <f>'шпоргалка-3'!A124</f>
        <v>4</v>
      </c>
      <c r="N124" t="str">
        <f>'шпоргалка-3'!B124</f>
        <v>резерв</v>
      </c>
      <c r="O124" s="102">
        <f>'шпоргалка-3'!C124</f>
      </c>
      <c r="P124" s="104">
        <f>'шпоргалка-3'!D124</f>
      </c>
      <c r="Q124">
        <f>'шпоргалка-3'!E124</f>
      </c>
    </row>
    <row r="125" spans="1:17" x14ac:dyDescent="0.25">
      <c r="A125">
        <f>'шпоргалка-1'!A125</f>
        <v>5</v>
      </c>
      <c r="B125" t="e">
        <f>'шпоргалка-1'!B125</f>
        <v>#REF!</v>
      </c>
      <c r="C125" s="102" t="e">
        <f>'шпоргалка-1'!C125</f>
        <v>#REF!</v>
      </c>
      <c r="D125" s="104" t="e">
        <f>'шпоргалка-1'!D125</f>
        <v>#REF!</v>
      </c>
      <c r="E125" t="e">
        <f>'шпоргалка-1'!E125</f>
        <v>#REF!</v>
      </c>
      <c r="G125">
        <f>'шпоргалка-2'!A125</f>
        <v>5</v>
      </c>
      <c r="H125" t="str">
        <f>'шпоргалка-2'!B125</f>
        <v>резерв</v>
      </c>
      <c r="I125" s="102">
        <f>'шпоргалка-2'!C125</f>
      </c>
      <c r="J125" s="104">
        <f>'шпоргалка-2'!D125</f>
      </c>
      <c r="K125">
        <f>'шпоргалка-2'!E125</f>
      </c>
      <c r="M125">
        <f>'шпоргалка-3'!A125</f>
        <v>5</v>
      </c>
      <c r="N125" t="str">
        <f>'шпоргалка-3'!B125</f>
        <v>резерв</v>
      </c>
      <c r="O125" s="102">
        <f>'шпоргалка-3'!C125</f>
      </c>
      <c r="P125" s="104">
        <f>'шпоргалка-3'!D125</f>
      </c>
      <c r="Q125">
        <f>'шпоргалка-3'!E125</f>
      </c>
    </row>
    <row r="126" spans="1:17" x14ac:dyDescent="0.25">
      <c r="A126">
        <f>'шпоргалка-1'!A126</f>
        <v>6</v>
      </c>
      <c r="B126" t="e">
        <f>'шпоргалка-1'!B126</f>
        <v>#REF!</v>
      </c>
      <c r="C126" s="102" t="e">
        <f>'шпоргалка-1'!C126</f>
        <v>#REF!</v>
      </c>
      <c r="D126" s="104" t="e">
        <f>'шпоргалка-1'!D126</f>
        <v>#REF!</v>
      </c>
      <c r="E126" t="e">
        <f>'шпоргалка-1'!E126</f>
        <v>#REF!</v>
      </c>
      <c r="G126">
        <f>'шпоргалка-2'!A126</f>
        <v>6</v>
      </c>
      <c r="H126" t="str">
        <f>'шпоргалка-2'!B126</f>
        <v>резерв</v>
      </c>
      <c r="I126" s="102">
        <f>'шпоргалка-2'!C126</f>
      </c>
      <c r="J126" s="104">
        <f>'шпоргалка-2'!D126</f>
      </c>
      <c r="K126">
        <f>'шпоргалка-2'!E126</f>
      </c>
      <c r="M126">
        <f>'шпоргалка-3'!A126</f>
        <v>6</v>
      </c>
      <c r="N126" t="str">
        <f>'шпоргалка-3'!B126</f>
        <v>резерв</v>
      </c>
      <c r="O126" s="102">
        <f>'шпоргалка-3'!C126</f>
      </c>
      <c r="P126" s="104">
        <f>'шпоргалка-3'!D126</f>
      </c>
      <c r="Q126">
        <f>'шпоргалка-3'!E126</f>
      </c>
    </row>
    <row r="127" spans="1:17" x14ac:dyDescent="0.25">
      <c r="A127">
        <f>'шпоргалка-1'!A127</f>
        <v>7</v>
      </c>
      <c r="B127" t="e">
        <f>'шпоргалка-1'!B127</f>
        <v>#REF!</v>
      </c>
      <c r="C127" s="102" t="e">
        <f>'шпоргалка-1'!C127</f>
        <v>#REF!</v>
      </c>
      <c r="D127" s="104" t="e">
        <f>'шпоргалка-1'!D127</f>
        <v>#REF!</v>
      </c>
      <c r="E127" t="e">
        <f>'шпоргалка-1'!E127</f>
        <v>#REF!</v>
      </c>
      <c r="G127">
        <f>'шпоргалка-2'!A127</f>
        <v>7</v>
      </c>
      <c r="H127" t="str">
        <f>'шпоргалка-2'!B127</f>
        <v>резерв</v>
      </c>
      <c r="I127" s="102">
        <f>'шпоргалка-2'!C127</f>
      </c>
      <c r="J127" s="104">
        <f>'шпоргалка-2'!D127</f>
      </c>
      <c r="K127">
        <f>'шпоргалка-2'!E127</f>
      </c>
      <c r="M127">
        <f>'шпоргалка-3'!A127</f>
        <v>7</v>
      </c>
      <c r="N127" t="str">
        <f>'шпоргалка-3'!B127</f>
        <v>резерв</v>
      </c>
      <c r="O127" s="102">
        <f>'шпоргалка-3'!C127</f>
      </c>
      <c r="P127" s="104">
        <f>'шпоргалка-3'!D127</f>
      </c>
      <c r="Q127">
        <f>'шпоргалка-3'!E127</f>
      </c>
    </row>
    <row r="128" spans="1:17" x14ac:dyDescent="0.25">
      <c r="A128">
        <f>'шпоргалка-1'!A128</f>
        <v>8</v>
      </c>
      <c r="B128" t="e">
        <f>'шпоргалка-1'!B128</f>
        <v>#REF!</v>
      </c>
      <c r="C128" s="102" t="e">
        <f>'шпоргалка-1'!C128</f>
        <v>#REF!</v>
      </c>
      <c r="D128" s="104" t="e">
        <f>'шпоргалка-1'!D128</f>
        <v>#REF!</v>
      </c>
      <c r="E128" t="e">
        <f>'шпоргалка-1'!E128</f>
        <v>#REF!</v>
      </c>
      <c r="G128">
        <f>'шпоргалка-2'!A128</f>
        <v>8</v>
      </c>
      <c r="H128" t="str">
        <f>'шпоргалка-2'!B128</f>
        <v>резерв</v>
      </c>
      <c r="I128" s="102">
        <f>'шпоргалка-2'!C128</f>
      </c>
      <c r="J128" s="104">
        <f>'шпоргалка-2'!D128</f>
      </c>
      <c r="K128">
        <f>'шпоргалка-2'!E128</f>
      </c>
      <c r="M128">
        <f>'шпоргалка-3'!A128</f>
        <v>8</v>
      </c>
      <c r="N128" t="str">
        <f>'шпоргалка-3'!B128</f>
        <v>резерв</v>
      </c>
      <c r="O128" s="102">
        <f>'шпоргалка-3'!C128</f>
      </c>
      <c r="P128" s="104">
        <f>'шпоргалка-3'!D128</f>
      </c>
      <c r="Q128">
        <f>'шпоргалка-3'!E128</f>
      </c>
    </row>
    <row r="129" spans="2:14" x14ac:dyDescent="0.25">
      <c r="B129" t="str">
        <f>'шпоргалка-1'!B129</f>
        <v>SV004 - 15</v>
      </c>
      <c r="H129" t="str">
        <f>'шпоргалка-2'!B129</f>
        <v>SV004 - 15</v>
      </c>
      <c r="N129" t="str">
        <f>'шпоргалка-3'!B129</f>
        <v>SV004 - 15</v>
      </c>
    </row>
    <row r="130" spans="1:17" x14ac:dyDescent="0.25">
      <c r="A130">
        <f>'шпоргалка-1'!A130</f>
        <v>1</v>
      </c>
      <c r="B130" t="e">
        <f>'шпоргалка-1'!B130</f>
        <v>#REF!</v>
      </c>
      <c r="C130" s="102" t="e">
        <f>'шпоргалка-1'!C130</f>
        <v>#REF!</v>
      </c>
      <c r="D130" s="104" t="e">
        <f>'шпоргалка-1'!D130</f>
        <v>#REF!</v>
      </c>
      <c r="E130" t="e">
        <f>'шпоргалка-1'!E130</f>
        <v>#REF!</v>
      </c>
      <c r="G130">
        <f>'шпоргалка-2'!A130</f>
        <v>1</v>
      </c>
      <c r="H130" t="str">
        <f>'шпоргалка-2'!B130</f>
        <v>резерв</v>
      </c>
      <c r="I130" s="102">
        <f>'шпоргалка-2'!C130</f>
      </c>
      <c r="J130" s="104">
        <f>'шпоргалка-2'!D130</f>
      </c>
      <c r="K130">
        <f>'шпоргалка-2'!E130</f>
      </c>
      <c r="M130">
        <f>'шпоргалка-3'!A130</f>
        <v>1</v>
      </c>
      <c r="N130" t="str">
        <f>'шпоргалка-3'!B130</f>
        <v>резерв</v>
      </c>
      <c r="O130" s="102">
        <f>'шпоргалка-3'!C130</f>
      </c>
      <c r="P130" s="104">
        <f>'шпоргалка-3'!D130</f>
      </c>
      <c r="Q130">
        <f>'шпоргалка-3'!E130</f>
      </c>
    </row>
    <row r="131" spans="1:17" x14ac:dyDescent="0.25">
      <c r="A131">
        <f>'шпоргалка-1'!A131</f>
        <v>2</v>
      </c>
      <c r="B131" t="e">
        <f>'шпоргалка-1'!B131</f>
        <v>#REF!</v>
      </c>
      <c r="C131" s="102" t="e">
        <f>'шпоргалка-1'!C131</f>
        <v>#REF!</v>
      </c>
      <c r="D131" s="104" t="e">
        <f>'шпоргалка-1'!D131</f>
        <v>#REF!</v>
      </c>
      <c r="E131" t="e">
        <f>'шпоргалка-1'!E131</f>
        <v>#REF!</v>
      </c>
      <c r="G131">
        <f>'шпоргалка-2'!A131</f>
        <v>2</v>
      </c>
      <c r="H131" t="str">
        <f>'шпоргалка-2'!B131</f>
        <v>резерв</v>
      </c>
      <c r="I131" s="102">
        <f>'шпоргалка-2'!C131</f>
      </c>
      <c r="J131" s="104">
        <f>'шпоргалка-2'!D131</f>
      </c>
      <c r="K131">
        <f>'шпоргалка-2'!E131</f>
      </c>
      <c r="M131">
        <f>'шпоргалка-3'!A131</f>
        <v>2</v>
      </c>
      <c r="N131" t="str">
        <f>'шпоргалка-3'!B131</f>
        <v>резерв</v>
      </c>
      <c r="O131" s="102">
        <f>'шпоргалка-3'!C131</f>
      </c>
      <c r="P131" s="104">
        <f>'шпоргалка-3'!D131</f>
      </c>
      <c r="Q131">
        <f>'шпоргалка-3'!E131</f>
      </c>
    </row>
    <row r="132" spans="1:17" x14ac:dyDescent="0.25">
      <c r="A132">
        <f>'шпоргалка-1'!A132</f>
        <v>3</v>
      </c>
      <c r="B132" t="e">
        <f>'шпоргалка-1'!B132</f>
        <v>#REF!</v>
      </c>
      <c r="C132" s="102" t="e">
        <f>'шпоргалка-1'!C132</f>
        <v>#REF!</v>
      </c>
      <c r="D132" s="104" t="e">
        <f>'шпоргалка-1'!D132</f>
        <v>#REF!</v>
      </c>
      <c r="E132" t="e">
        <f>'шпоргалка-1'!E132</f>
        <v>#REF!</v>
      </c>
      <c r="G132">
        <f>'шпоргалка-2'!A132</f>
        <v>3</v>
      </c>
      <c r="H132" t="str">
        <f>'шпоргалка-2'!B132</f>
        <v>резерв</v>
      </c>
      <c r="I132" s="102">
        <f>'шпоргалка-2'!C132</f>
      </c>
      <c r="J132" s="104">
        <f>'шпоргалка-2'!D132</f>
      </c>
      <c r="K132">
        <f>'шпоргалка-2'!E132</f>
      </c>
      <c r="M132">
        <f>'шпоргалка-3'!A132</f>
        <v>3</v>
      </c>
      <c r="N132" t="str">
        <f>'шпоргалка-3'!B132</f>
        <v>резерв</v>
      </c>
      <c r="O132" s="102">
        <f>'шпоргалка-3'!C132</f>
      </c>
      <c r="P132" s="104">
        <f>'шпоргалка-3'!D132</f>
      </c>
      <c r="Q132">
        <f>'шпоргалка-3'!E132</f>
      </c>
    </row>
    <row r="133" spans="1:17" x14ac:dyDescent="0.25">
      <c r="A133">
        <f>'шпоргалка-1'!A133</f>
        <v>4</v>
      </c>
      <c r="B133" t="e">
        <f>'шпоргалка-1'!B133</f>
        <v>#REF!</v>
      </c>
      <c r="C133" s="102" t="e">
        <f>'шпоргалка-1'!C133</f>
        <v>#REF!</v>
      </c>
      <c r="D133" s="104" t="e">
        <f>'шпоргалка-1'!D133</f>
        <v>#REF!</v>
      </c>
      <c r="E133" t="e">
        <f>'шпоргалка-1'!E133</f>
        <v>#REF!</v>
      </c>
      <c r="G133">
        <f>'шпоргалка-2'!A133</f>
        <v>4</v>
      </c>
      <c r="H133" t="str">
        <f>'шпоргалка-2'!B133</f>
        <v>резерв</v>
      </c>
      <c r="I133" s="102">
        <f>'шпоргалка-2'!C133</f>
      </c>
      <c r="J133" s="104">
        <f>'шпоргалка-2'!D133</f>
      </c>
      <c r="K133">
        <f>'шпоргалка-2'!E133</f>
      </c>
      <c r="M133">
        <f>'шпоргалка-3'!A133</f>
        <v>4</v>
      </c>
      <c r="N133" t="str">
        <f>'шпоргалка-3'!B133</f>
        <v>резерв</v>
      </c>
      <c r="O133" s="102">
        <f>'шпоргалка-3'!C133</f>
      </c>
      <c r="P133" s="104">
        <f>'шпоргалка-3'!D133</f>
      </c>
      <c r="Q133">
        <f>'шпоргалка-3'!E133</f>
      </c>
    </row>
    <row r="134" spans="1:17" x14ac:dyDescent="0.25">
      <c r="A134">
        <f>'шпоргалка-1'!A134</f>
        <v>5</v>
      </c>
      <c r="B134" t="e">
        <f>'шпоргалка-1'!B134</f>
        <v>#REF!</v>
      </c>
      <c r="C134" s="102" t="e">
        <f>'шпоргалка-1'!C134</f>
        <v>#REF!</v>
      </c>
      <c r="D134" s="104" t="e">
        <f>'шпоргалка-1'!D134</f>
        <v>#REF!</v>
      </c>
      <c r="E134" t="e">
        <f>'шпоргалка-1'!E134</f>
        <v>#REF!</v>
      </c>
      <c r="G134">
        <f>'шпоргалка-2'!A134</f>
        <v>5</v>
      </c>
      <c r="H134" t="str">
        <f>'шпоргалка-2'!B134</f>
        <v>резерв</v>
      </c>
      <c r="I134" s="102">
        <f>'шпоргалка-2'!C134</f>
      </c>
      <c r="J134" s="104">
        <f>'шпоргалка-2'!D134</f>
      </c>
      <c r="K134">
        <f>'шпоргалка-2'!E134</f>
      </c>
      <c r="M134">
        <f>'шпоргалка-3'!A134</f>
        <v>5</v>
      </c>
      <c r="N134" t="str">
        <f>'шпоргалка-3'!B134</f>
        <v>резерв</v>
      </c>
      <c r="O134" s="102">
        <f>'шпоргалка-3'!C134</f>
      </c>
      <c r="P134" s="104">
        <f>'шпоргалка-3'!D134</f>
      </c>
      <c r="Q134">
        <f>'шпоргалка-3'!E134</f>
      </c>
    </row>
    <row r="135" spans="1:17" x14ac:dyDescent="0.25">
      <c r="A135">
        <f>'шпоргалка-1'!A135</f>
        <v>6</v>
      </c>
      <c r="B135" t="e">
        <f>'шпоргалка-1'!B135</f>
        <v>#REF!</v>
      </c>
      <c r="C135" s="102" t="e">
        <f>'шпоргалка-1'!C135</f>
        <v>#REF!</v>
      </c>
      <c r="D135" s="104" t="e">
        <f>'шпоргалка-1'!D135</f>
        <v>#REF!</v>
      </c>
      <c r="E135" t="e">
        <f>'шпоргалка-1'!E135</f>
        <v>#REF!</v>
      </c>
      <c r="G135">
        <f>'шпоргалка-2'!A135</f>
        <v>6</v>
      </c>
      <c r="H135" t="str">
        <f>'шпоргалка-2'!B135</f>
        <v>резерв</v>
      </c>
      <c r="I135" s="102">
        <f>'шпоргалка-2'!C135</f>
      </c>
      <c r="J135" s="104">
        <f>'шпоргалка-2'!D135</f>
      </c>
      <c r="K135">
        <f>'шпоргалка-2'!E135</f>
      </c>
      <c r="M135">
        <f>'шпоргалка-3'!A135</f>
        <v>6</v>
      </c>
      <c r="N135" t="str">
        <f>'шпоргалка-3'!B135</f>
        <v>резерв</v>
      </c>
      <c r="O135" s="102">
        <f>'шпоргалка-3'!C135</f>
      </c>
      <c r="P135" s="104">
        <f>'шпоргалка-3'!D135</f>
      </c>
      <c r="Q135">
        <f>'шпоргалка-3'!E135</f>
      </c>
    </row>
    <row r="136" spans="1:17" x14ac:dyDescent="0.25">
      <c r="A136">
        <f>'шпоргалка-1'!A136</f>
        <v>7</v>
      </c>
      <c r="B136" t="e">
        <f>'шпоргалка-1'!B136</f>
        <v>#REF!</v>
      </c>
      <c r="C136" s="102" t="e">
        <f>'шпоргалка-1'!C136</f>
        <v>#REF!</v>
      </c>
      <c r="D136" s="104" t="e">
        <f>'шпоргалка-1'!D136</f>
        <v>#REF!</v>
      </c>
      <c r="E136" t="e">
        <f>'шпоргалка-1'!E136</f>
        <v>#REF!</v>
      </c>
      <c r="G136">
        <f>'шпоргалка-2'!A136</f>
        <v>7</v>
      </c>
      <c r="H136" t="str">
        <f>'шпоргалка-2'!B136</f>
        <v>резерв</v>
      </c>
      <c r="I136" s="102">
        <f>'шпоргалка-2'!C136</f>
      </c>
      <c r="J136" s="104">
        <f>'шпоргалка-2'!D136</f>
      </c>
      <c r="K136">
        <f>'шпоргалка-2'!E136</f>
      </c>
      <c r="M136">
        <f>'шпоргалка-3'!A136</f>
        <v>7</v>
      </c>
      <c r="N136" t="str">
        <f>'шпоргалка-3'!B136</f>
        <v>резерв</v>
      </c>
      <c r="O136" s="102">
        <f>'шпоргалка-3'!C136</f>
      </c>
      <c r="P136" s="104">
        <f>'шпоргалка-3'!D136</f>
      </c>
      <c r="Q136">
        <f>'шпоргалка-3'!E136</f>
      </c>
    </row>
    <row r="137" spans="1:17" x14ac:dyDescent="0.25">
      <c r="A137">
        <f>'шпоргалка-1'!A137</f>
        <v>8</v>
      </c>
      <c r="B137" t="e">
        <f>'шпоргалка-1'!B137</f>
        <v>#REF!</v>
      </c>
      <c r="C137" s="102" t="e">
        <f>'шпоргалка-1'!C137</f>
        <v>#REF!</v>
      </c>
      <c r="D137" s="104" t="e">
        <f>'шпоргалка-1'!D137</f>
        <v>#REF!</v>
      </c>
      <c r="E137" t="e">
        <f>'шпоргалка-1'!E137</f>
        <v>#REF!</v>
      </c>
      <c r="G137">
        <f>'шпоргалка-2'!A137</f>
        <v>8</v>
      </c>
      <c r="H137" t="str">
        <f>'шпоргалка-2'!B137</f>
        <v>резерв</v>
      </c>
      <c r="I137" s="102">
        <f>'шпоргалка-2'!C137</f>
      </c>
      <c r="J137" s="104">
        <f>'шпоргалка-2'!D137</f>
      </c>
      <c r="K137">
        <f>'шпоргалка-2'!E137</f>
      </c>
      <c r="M137">
        <f>'шпоргалка-3'!A137</f>
        <v>8</v>
      </c>
      <c r="N137" t="str">
        <f>'шпоргалка-3'!B137</f>
        <v>резерв</v>
      </c>
      <c r="O137" s="102">
        <f>'шпоргалка-3'!C137</f>
      </c>
      <c r="P137" s="104">
        <f>'шпоргалка-3'!D137</f>
      </c>
      <c r="Q137">
        <f>'шпоргалка-3'!E137</f>
      </c>
    </row>
    <row r="138" spans="2:14" x14ac:dyDescent="0.25">
      <c r="B138" t="str">
        <f>'шпоргалка-1'!B138</f>
        <v>SV004 - 16</v>
      </c>
      <c r="H138" t="str">
        <f>'шпоргалка-2'!B138</f>
        <v>SV004 - 16</v>
      </c>
      <c r="N138" t="str">
        <f>'шпоргалка-3'!B138</f>
        <v>SV004 - 16</v>
      </c>
    </row>
    <row r="139" spans="1:17" x14ac:dyDescent="0.25">
      <c r="A139">
        <f>'шпоргалка-1'!A139</f>
        <v>1</v>
      </c>
      <c r="B139" t="e">
        <f>'шпоргалка-1'!B139</f>
        <v>#REF!</v>
      </c>
      <c r="C139" s="102" t="e">
        <f>'шпоргалка-1'!C139</f>
        <v>#REF!</v>
      </c>
      <c r="D139" s="104" t="e">
        <f>'шпоргалка-1'!D139</f>
        <v>#REF!</v>
      </c>
      <c r="E139" t="e">
        <f>'шпоргалка-1'!E139</f>
        <v>#REF!</v>
      </c>
      <c r="G139">
        <f>'шпоргалка-2'!A139</f>
        <v>1</v>
      </c>
      <c r="H139" t="str">
        <f>'шпоргалка-2'!B139</f>
        <v>резерв</v>
      </c>
      <c r="I139" s="102">
        <f>'шпоргалка-2'!C139</f>
      </c>
      <c r="J139" s="104">
        <f>'шпоргалка-2'!D139</f>
      </c>
      <c r="K139">
        <f>'шпоргалка-2'!E139</f>
      </c>
      <c r="M139">
        <f>'шпоргалка-3'!A139</f>
        <v>1</v>
      </c>
      <c r="N139" t="str">
        <f>'шпоргалка-3'!B139</f>
        <v>резерв</v>
      </c>
      <c r="O139" s="102">
        <f>'шпоргалка-3'!C139</f>
      </c>
      <c r="P139" s="104">
        <f>'шпоргалка-3'!D139</f>
      </c>
      <c r="Q139">
        <f>'шпоргалка-3'!E139</f>
      </c>
    </row>
    <row r="140" spans="1:17" x14ac:dyDescent="0.25">
      <c r="A140">
        <f>'шпоргалка-1'!A140</f>
        <v>2</v>
      </c>
      <c r="B140" t="e">
        <f>'шпоргалка-1'!B140</f>
        <v>#REF!</v>
      </c>
      <c r="C140" s="102" t="e">
        <f>'шпоргалка-1'!C140</f>
        <v>#REF!</v>
      </c>
      <c r="D140" s="104" t="e">
        <f>'шпоргалка-1'!D140</f>
        <v>#REF!</v>
      </c>
      <c r="E140" t="e">
        <f>'шпоргалка-1'!E140</f>
        <v>#REF!</v>
      </c>
      <c r="G140">
        <f>'шпоргалка-2'!A140</f>
        <v>2</v>
      </c>
      <c r="H140" t="str">
        <f>'шпоргалка-2'!B140</f>
        <v>резерв</v>
      </c>
      <c r="I140" s="102">
        <f>'шпоргалка-2'!C140</f>
      </c>
      <c r="J140" s="104">
        <f>'шпоргалка-2'!D140</f>
      </c>
      <c r="K140">
        <f>'шпоргалка-2'!E140</f>
      </c>
      <c r="M140">
        <f>'шпоргалка-3'!A140</f>
        <v>2</v>
      </c>
      <c r="N140" t="str">
        <f>'шпоргалка-3'!B140</f>
        <v>резерв</v>
      </c>
      <c r="O140" s="102">
        <f>'шпоргалка-3'!C140</f>
      </c>
      <c r="P140" s="104">
        <f>'шпоргалка-3'!D140</f>
      </c>
      <c r="Q140">
        <f>'шпоргалка-3'!E140</f>
      </c>
    </row>
    <row r="141" spans="1:17" x14ac:dyDescent="0.25">
      <c r="A141">
        <f>'шпоргалка-1'!A141</f>
        <v>3</v>
      </c>
      <c r="B141" t="e">
        <f>'шпоргалка-1'!B141</f>
        <v>#REF!</v>
      </c>
      <c r="C141" s="102" t="e">
        <f>'шпоргалка-1'!C141</f>
        <v>#REF!</v>
      </c>
      <c r="D141" s="104" t="e">
        <f>'шпоргалка-1'!D141</f>
        <v>#REF!</v>
      </c>
      <c r="E141" t="e">
        <f>'шпоргалка-1'!E141</f>
        <v>#REF!</v>
      </c>
      <c r="G141">
        <f>'шпоргалка-2'!A141</f>
        <v>3</v>
      </c>
      <c r="H141" t="str">
        <f>'шпоргалка-2'!B141</f>
        <v>резерв</v>
      </c>
      <c r="I141" s="102">
        <f>'шпоргалка-2'!C141</f>
      </c>
      <c r="J141" s="104">
        <f>'шпоргалка-2'!D141</f>
      </c>
      <c r="K141">
        <f>'шпоргалка-2'!E141</f>
      </c>
      <c r="M141">
        <f>'шпоргалка-3'!A141</f>
        <v>3</v>
      </c>
      <c r="N141" t="str">
        <f>'шпоргалка-3'!B141</f>
        <v>резерв</v>
      </c>
      <c r="O141" s="102">
        <f>'шпоргалка-3'!C141</f>
      </c>
      <c r="P141" s="104">
        <f>'шпоргалка-3'!D141</f>
      </c>
      <c r="Q141">
        <f>'шпоргалка-3'!E141</f>
      </c>
    </row>
    <row r="142" spans="1:17" x14ac:dyDescent="0.25">
      <c r="A142">
        <f>'шпоргалка-1'!A142</f>
        <v>4</v>
      </c>
      <c r="B142" t="e">
        <f>'шпоргалка-1'!B142</f>
        <v>#REF!</v>
      </c>
      <c r="C142" s="102" t="e">
        <f>'шпоргалка-1'!C142</f>
        <v>#REF!</v>
      </c>
      <c r="D142" s="104" t="e">
        <f>'шпоргалка-1'!D142</f>
        <v>#REF!</v>
      </c>
      <c r="E142" t="e">
        <f>'шпоргалка-1'!E142</f>
        <v>#REF!</v>
      </c>
      <c r="G142">
        <f>'шпоргалка-2'!A142</f>
        <v>4</v>
      </c>
      <c r="H142" t="str">
        <f>'шпоргалка-2'!B142</f>
        <v>резерв</v>
      </c>
      <c r="I142" s="102">
        <f>'шпоргалка-2'!C142</f>
      </c>
      <c r="J142" s="104">
        <f>'шпоргалка-2'!D142</f>
      </c>
      <c r="K142">
        <f>'шпоргалка-2'!E142</f>
      </c>
      <c r="M142">
        <f>'шпоргалка-3'!A142</f>
        <v>4</v>
      </c>
      <c r="N142" t="str">
        <f>'шпоргалка-3'!B142</f>
        <v>резерв</v>
      </c>
      <c r="O142" s="102">
        <f>'шпоргалка-3'!C142</f>
      </c>
      <c r="P142" s="104">
        <f>'шпоргалка-3'!D142</f>
      </c>
      <c r="Q142">
        <f>'шпоргалка-3'!E142</f>
      </c>
    </row>
    <row r="143" spans="1:17" x14ac:dyDescent="0.25">
      <c r="A143">
        <f>'шпоргалка-1'!A143</f>
        <v>5</v>
      </c>
      <c r="B143" t="e">
        <f>'шпоргалка-1'!B143</f>
        <v>#REF!</v>
      </c>
      <c r="C143" s="102" t="e">
        <f>'шпоргалка-1'!C143</f>
        <v>#REF!</v>
      </c>
      <c r="D143" s="104" t="e">
        <f>'шпоргалка-1'!D143</f>
        <v>#REF!</v>
      </c>
      <c r="E143" t="e">
        <f>'шпоргалка-1'!E143</f>
        <v>#REF!</v>
      </c>
      <c r="G143">
        <f>'шпоргалка-2'!A143</f>
        <v>5</v>
      </c>
      <c r="H143" t="str">
        <f>'шпоргалка-2'!B143</f>
        <v>резерв</v>
      </c>
      <c r="I143" s="102">
        <f>'шпоргалка-2'!C143</f>
      </c>
      <c r="J143" s="104">
        <f>'шпоргалка-2'!D143</f>
      </c>
      <c r="K143">
        <f>'шпоргалка-2'!E143</f>
      </c>
      <c r="M143">
        <f>'шпоргалка-3'!A143</f>
        <v>5</v>
      </c>
      <c r="N143" t="str">
        <f>'шпоргалка-3'!B143</f>
        <v>резерв</v>
      </c>
      <c r="O143" s="102">
        <f>'шпоргалка-3'!C143</f>
      </c>
      <c r="P143" s="104">
        <f>'шпоргалка-3'!D143</f>
      </c>
      <c r="Q143">
        <f>'шпоргалка-3'!E143</f>
      </c>
    </row>
    <row r="144" spans="1:17" x14ac:dyDescent="0.25">
      <c r="A144">
        <f>'шпоргалка-1'!A144</f>
        <v>6</v>
      </c>
      <c r="B144" t="e">
        <f>'шпоргалка-1'!B144</f>
        <v>#REF!</v>
      </c>
      <c r="C144" s="102" t="e">
        <f>'шпоргалка-1'!C144</f>
        <v>#REF!</v>
      </c>
      <c r="D144" s="104" t="e">
        <f>'шпоргалка-1'!D144</f>
        <v>#REF!</v>
      </c>
      <c r="E144" t="e">
        <f>'шпоргалка-1'!E144</f>
        <v>#REF!</v>
      </c>
      <c r="G144">
        <f>'шпоргалка-2'!A144</f>
        <v>6</v>
      </c>
      <c r="H144" t="str">
        <f>'шпоргалка-2'!B144</f>
        <v>резерв</v>
      </c>
      <c r="I144" s="102">
        <f>'шпоргалка-2'!C144</f>
      </c>
      <c r="J144" s="104">
        <f>'шпоргалка-2'!D144</f>
      </c>
      <c r="K144">
        <f>'шпоргалка-2'!E144</f>
      </c>
      <c r="M144">
        <f>'шпоргалка-3'!A144</f>
        <v>6</v>
      </c>
      <c r="N144" t="str">
        <f>'шпоргалка-3'!B144</f>
        <v>резерв</v>
      </c>
      <c r="O144" s="102">
        <f>'шпоргалка-3'!C144</f>
      </c>
      <c r="P144" s="104">
        <f>'шпоргалка-3'!D144</f>
      </c>
      <c r="Q144">
        <f>'шпоргалка-3'!E144</f>
      </c>
    </row>
    <row r="145" spans="1:17" x14ac:dyDescent="0.25">
      <c r="A145">
        <f>'шпоргалка-1'!A145</f>
        <v>7</v>
      </c>
      <c r="B145" t="e">
        <f>'шпоргалка-1'!B145</f>
        <v>#REF!</v>
      </c>
      <c r="C145" s="102" t="e">
        <f>'шпоргалка-1'!C145</f>
        <v>#REF!</v>
      </c>
      <c r="D145" s="104" t="e">
        <f>'шпоргалка-1'!D145</f>
        <v>#REF!</v>
      </c>
      <c r="E145" t="e">
        <f>'шпоргалка-1'!E145</f>
        <v>#REF!</v>
      </c>
      <c r="G145">
        <f>'шпоргалка-2'!A145</f>
        <v>7</v>
      </c>
      <c r="H145" t="str">
        <f>'шпоргалка-2'!B145</f>
        <v>резерв</v>
      </c>
      <c r="I145" s="102">
        <f>'шпоргалка-2'!C145</f>
      </c>
      <c r="J145" s="104">
        <f>'шпоргалка-2'!D145</f>
      </c>
      <c r="K145">
        <f>'шпоргалка-2'!E145</f>
      </c>
      <c r="M145">
        <f>'шпоргалка-3'!A145</f>
        <v>7</v>
      </c>
      <c r="N145" t="str">
        <f>'шпоргалка-3'!B145</f>
        <v>резерв</v>
      </c>
      <c r="O145" s="102">
        <f>'шпоргалка-3'!C145</f>
      </c>
      <c r="P145" s="104">
        <f>'шпоргалка-3'!D145</f>
      </c>
      <c r="Q145">
        <f>'шпоргалка-3'!E145</f>
      </c>
    </row>
    <row r="146" spans="1:17" x14ac:dyDescent="0.25">
      <c r="A146">
        <f>'шпоргалка-1'!A146</f>
        <v>8</v>
      </c>
      <c r="B146" t="e">
        <f>'шпоргалка-1'!B146</f>
        <v>#REF!</v>
      </c>
      <c r="C146" s="102" t="e">
        <f>'шпоргалка-1'!C146</f>
        <v>#REF!</v>
      </c>
      <c r="D146" s="104" t="e">
        <f>'шпоргалка-1'!D146</f>
        <v>#REF!</v>
      </c>
      <c r="E146" t="e">
        <f>'шпоргалка-1'!E146</f>
        <v>#REF!</v>
      </c>
      <c r="G146">
        <f>'шпоргалка-2'!A146</f>
        <v>8</v>
      </c>
      <c r="H146" t="str">
        <f>'шпоргалка-2'!B146</f>
        <v>резерв</v>
      </c>
      <c r="I146" s="102">
        <f>'шпоргалка-2'!C146</f>
      </c>
      <c r="J146" s="104">
        <f>'шпоргалка-2'!D146</f>
      </c>
      <c r="K146">
        <f>'шпоргалка-2'!E146</f>
      </c>
      <c r="M146">
        <f>'шпоргалка-3'!A146</f>
        <v>8</v>
      </c>
      <c r="N146" t="str">
        <f>'шпоргалка-3'!B146</f>
        <v>резерв</v>
      </c>
      <c r="O146" s="102">
        <f>'шпоргалка-3'!C146</f>
      </c>
      <c r="P146" s="104">
        <f>'шпоргалка-3'!D146</f>
      </c>
      <c r="Q146">
        <f>'шпоргалка-3'!E146</f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 zoomScale="100" zoomScaleNormal="100">
      <selection activeCell="O13" sqref="O13"/>
    </sheetView>
  </sheetViews>
  <sheetFormatPr defaultRowHeight="15" outlineLevelRow="0" outlineLevelCol="0" x14ac:dyDescent="0.25"/>
  <cols>
    <col min="1" max="1" width="13" customWidth="1"/>
    <col min="2" max="2" width="2.7109375" style="105" customWidth="1"/>
    <col min="3" max="3" width="17.85546875" style="106" customWidth="1"/>
    <col min="4" max="4" width="2.7109375" style="105" customWidth="1"/>
    <col min="5" max="5" width="17.85546875" style="106" customWidth="1"/>
    <col min="6" max="6" width="2.7109375" style="105" customWidth="1"/>
    <col min="7" max="7" width="17.85546875" style="106" customWidth="1"/>
    <col min="8" max="8" width="2.7109375" style="105" customWidth="1"/>
    <col min="9" max="9" width="17.85546875" style="106" customWidth="1"/>
  </cols>
  <sheetData>
    <row r="1" ht="15.75" customHeight="1" x14ac:dyDescent="0.25"/>
    <row r="2" ht="24.75" customHeight="1" spans="2:12" x14ac:dyDescent="0.25">
      <c r="B2" s="107">
        <v>1</v>
      </c>
      <c r="C2" s="108" t="str">
        <f>CONCATENATE("п.",'шпоргалка-2'!D4," - ",'шпоргалка-2'!B4)</f>
        <v>п. - резерв</v>
      </c>
      <c r="D2" s="107">
        <v>1</v>
      </c>
      <c r="E2" s="108" t="str">
        <f>C2</f>
        <v>п. - резерв</v>
      </c>
      <c r="F2" s="107">
        <v>17</v>
      </c>
      <c r="G2" s="108" t="str">
        <f>CONCATENATE("п.",'шпоргалка-2'!D22," - ",'шпоргалка-2'!B22)</f>
        <v>п. - резерв</v>
      </c>
      <c r="H2" s="107">
        <v>17</v>
      </c>
      <c r="I2" s="108" t="str">
        <f t="shared" ref="I2:I17" si="0">G2</f>
        <v>п. - резерв</v>
      </c>
      <c r="K2" s="109" t="s">
        <v>109</v>
      </c>
      <c r="L2" s="110"/>
    </row>
    <row r="3" ht="24.75" customHeight="1" spans="2:12" x14ac:dyDescent="0.25">
      <c r="B3" s="107">
        <v>2</v>
      </c>
      <c r="C3" s="108" t="str">
        <f>CONCATENATE("п.",'шпоргалка-2'!D5," - ",'шпоргалка-2'!B5)</f>
        <v>п. - резерв</v>
      </c>
      <c r="D3" s="107">
        <v>2</v>
      </c>
      <c r="E3" s="108" t="str">
        <f>C3</f>
        <v>п. - резерв</v>
      </c>
      <c r="F3" s="107">
        <v>18</v>
      </c>
      <c r="G3" s="108" t="str">
        <f>CONCATENATE("п.",'шпоргалка-2'!D23," - ",'шпоргалка-2'!B23)</f>
        <v>п. - резерв</v>
      </c>
      <c r="H3" s="107">
        <v>18</v>
      </c>
      <c r="I3" s="108" t="str">
        <f t="shared" si="0"/>
        <v>п. - резерв</v>
      </c>
      <c r="K3" s="34"/>
      <c r="L3" s="34"/>
    </row>
    <row r="4" ht="24.75" customHeight="1" spans="2:12" x14ac:dyDescent="0.25">
      <c r="B4" s="107">
        <v>3</v>
      </c>
      <c r="C4" s="108" t="str">
        <f>CONCATENATE("п.",'шпоргалка-2'!D6," - ",'шпоргалка-2'!B6)</f>
        <v>п. - резерв</v>
      </c>
      <c r="D4" s="107">
        <v>3</v>
      </c>
      <c r="E4" s="108" t="str">
        <f t="shared" ref="E4:E9" si="1">C4</f>
        <v>п. - резерв</v>
      </c>
      <c r="F4" s="107">
        <v>19</v>
      </c>
      <c r="G4" s="108" t="str">
        <f>CONCATENATE("п.",'шпоргалка-2'!D24," - ",'шпоргалка-2'!B24)</f>
        <v>п. - резерв</v>
      </c>
      <c r="H4" s="107">
        <v>19</v>
      </c>
      <c r="I4" s="108" t="str">
        <f t="shared" si="0"/>
        <v>п. - резерв</v>
      </c>
      <c r="K4" s="34"/>
      <c r="L4" s="34"/>
    </row>
    <row r="5" ht="24.75" customHeight="1" spans="2:12" x14ac:dyDescent="0.25">
      <c r="B5" s="107">
        <v>4</v>
      </c>
      <c r="C5" s="108" t="str">
        <f>CONCATENATE("п.",'шпоргалка-2'!D7," - ",'шпоргалка-2'!B7)</f>
        <v>п. - резерв</v>
      </c>
      <c r="D5" s="107">
        <v>4</v>
      </c>
      <c r="E5" s="108" t="str">
        <f t="shared" si="1"/>
        <v>п. - резерв</v>
      </c>
      <c r="F5" s="107">
        <v>20</v>
      </c>
      <c r="G5" s="108" t="str">
        <f>CONCATENATE("п.",'шпоргалка-2'!D25," - ",'шпоргалка-2'!B25)</f>
        <v>п. - резерв</v>
      </c>
      <c r="H5" s="107">
        <v>20</v>
      </c>
      <c r="I5" s="108" t="str">
        <f t="shared" si="0"/>
        <v>п. - резерв</v>
      </c>
      <c r="K5" s="34"/>
      <c r="L5" s="34"/>
    </row>
    <row r="6" ht="24.75" customHeight="1" spans="2:12" x14ac:dyDescent="0.25">
      <c r="B6" s="107">
        <v>5</v>
      </c>
      <c r="C6" s="108" t="str">
        <f>CONCATENATE("п.",'шпоргалка-2'!D8," - ",'шпоргалка-2'!B8)</f>
        <v>п. - резерв</v>
      </c>
      <c r="D6" s="107">
        <v>5</v>
      </c>
      <c r="E6" s="108" t="str">
        <f t="shared" si="1"/>
        <v>п. - резерв</v>
      </c>
      <c r="F6" s="107">
        <v>21</v>
      </c>
      <c r="G6" s="108" t="str">
        <f>CONCATENATE("п.",'шпоргалка-2'!D26," - ",'шпоргалка-2'!B26)</f>
        <v>п. - резерв</v>
      </c>
      <c r="H6" s="107">
        <v>21</v>
      </c>
      <c r="I6" s="108" t="str">
        <f t="shared" si="0"/>
        <v>п. - резерв</v>
      </c>
      <c r="K6" s="34"/>
      <c r="L6" s="34"/>
    </row>
    <row r="7" ht="24.75" customHeight="1" spans="2:12" x14ac:dyDescent="0.25">
      <c r="B7" s="107">
        <v>6</v>
      </c>
      <c r="C7" s="108" t="str">
        <f>CONCATENATE("п.",'шпоргалка-2'!D9," - ",'шпоргалка-2'!B9)</f>
        <v>п. - резерв</v>
      </c>
      <c r="D7" s="107">
        <v>6</v>
      </c>
      <c r="E7" s="108" t="str">
        <f t="shared" si="1"/>
        <v>п. - резерв</v>
      </c>
      <c r="F7" s="107">
        <v>22</v>
      </c>
      <c r="G7" s="108" t="str">
        <f>CONCATENATE("п.",'шпоргалка-2'!D27," - ",'шпоргалка-2'!B27)</f>
        <v>п. - резерв</v>
      </c>
      <c r="H7" s="107">
        <v>22</v>
      </c>
      <c r="I7" s="108" t="str">
        <f t="shared" si="0"/>
        <v>п. - резерв</v>
      </c>
      <c r="K7" s="34"/>
      <c r="L7" s="34"/>
    </row>
    <row r="8" ht="24.75" customHeight="1" spans="2:12" x14ac:dyDescent="0.25">
      <c r="B8" s="107">
        <v>7</v>
      </c>
      <c r="C8" s="108" t="str">
        <f>CONCATENATE("п.",'шпоргалка-2'!D10," - ",'шпоргалка-2'!B10)</f>
        <v>п. - резерв</v>
      </c>
      <c r="D8" s="107">
        <v>7</v>
      </c>
      <c r="E8" s="108" t="str">
        <f t="shared" si="1"/>
        <v>п. - резерв</v>
      </c>
      <c r="F8" s="107">
        <v>23</v>
      </c>
      <c r="G8" s="108" t="str">
        <f>CONCATENATE("п.",'шпоргалка-2'!D28," - ",'шпоргалка-2'!B28)</f>
        <v>п. - резерв</v>
      </c>
      <c r="H8" s="107">
        <v>23</v>
      </c>
      <c r="I8" s="108" t="str">
        <f t="shared" si="0"/>
        <v>п. - резерв</v>
      </c>
      <c r="K8" s="34"/>
      <c r="L8" s="34"/>
    </row>
    <row r="9" ht="24.75" customHeight="1" spans="2:12" x14ac:dyDescent="0.25">
      <c r="B9" s="107">
        <v>8</v>
      </c>
      <c r="C9" s="108" t="str">
        <f>CONCATENATE("п.",'шпоргалка-2'!D11," - ",'шпоргалка-2'!B11)</f>
        <v>п. - резерв</v>
      </c>
      <c r="D9" s="107">
        <v>8</v>
      </c>
      <c r="E9" s="108" t="str">
        <f t="shared" si="1"/>
        <v>п. - резерв</v>
      </c>
      <c r="F9" s="107">
        <v>24</v>
      </c>
      <c r="G9" s="108" t="str">
        <f>CONCATENATE("п.",'шпоргалка-2'!D29," - ",'шпоргалка-2'!B29)</f>
        <v>п. - резерв</v>
      </c>
      <c r="H9" s="107">
        <v>24</v>
      </c>
      <c r="I9" s="108" t="str">
        <f t="shared" si="0"/>
        <v>п. - резерв</v>
      </c>
      <c r="K9" s="34"/>
      <c r="L9" s="34"/>
    </row>
    <row r="10" ht="24.75" customHeight="1" spans="2:12" x14ac:dyDescent="0.25">
      <c r="B10" s="107">
        <v>9</v>
      </c>
      <c r="C10" s="108" t="str">
        <f>CONCATENATE("п.",'шпоргалка-2'!D13," - ",'шпоргалка-2'!B13)</f>
        <v>п. - резерв</v>
      </c>
      <c r="D10" s="107">
        <v>9</v>
      </c>
      <c r="E10" s="108" t="str">
        <f>C10</f>
        <v>п. - резерв</v>
      </c>
      <c r="F10" s="107">
        <v>25</v>
      </c>
      <c r="G10" s="108" t="str">
        <f>CONCATENATE("п.",'шпоргалка-2'!D31," - ",'шпоргалка-2'!B31)</f>
        <v>п. - резерв</v>
      </c>
      <c r="H10" s="107">
        <v>25</v>
      </c>
      <c r="I10" s="108" t="str">
        <f t="shared" si="0"/>
        <v>п. - резерв</v>
      </c>
      <c r="K10" s="34"/>
      <c r="L10" s="34"/>
    </row>
    <row r="11" ht="24.75" customHeight="1" spans="2:12" x14ac:dyDescent="0.25">
      <c r="B11" s="107">
        <v>10</v>
      </c>
      <c r="C11" s="108" t="str">
        <f>CONCATENATE("п.",'шпоргалка-2'!D14," - ",'шпоргалка-2'!B14)</f>
        <v>п. - резерв</v>
      </c>
      <c r="D11" s="107">
        <v>10</v>
      </c>
      <c r="E11" s="108" t="str">
        <f>C11</f>
        <v>п. - резерв</v>
      </c>
      <c r="F11" s="107">
        <v>26</v>
      </c>
      <c r="G11" s="108" t="str">
        <f>CONCATENATE("п.",'шпоргалка-2'!D32," - ",'шпоргалка-2'!B32)</f>
        <v>п. - резерв</v>
      </c>
      <c r="H11" s="107">
        <v>26</v>
      </c>
      <c r="I11" s="108" t="str">
        <f t="shared" si="0"/>
        <v>п. - резерв</v>
      </c>
      <c r="K11" s="34"/>
      <c r="L11" s="34"/>
    </row>
    <row r="12" ht="24.75" customHeight="1" spans="2:12" x14ac:dyDescent="0.25">
      <c r="B12" s="107">
        <v>11</v>
      </c>
      <c r="C12" s="108" t="str">
        <f>CONCATENATE("п.",'шпоргалка-2'!D15," - ",'шпоргалка-2'!B15)</f>
        <v>п. - резерв</v>
      </c>
      <c r="D12" s="107">
        <v>11</v>
      </c>
      <c r="E12" s="108" t="str">
        <f t="shared" ref="E12:E17" si="2">C12</f>
        <v>п. - резерв</v>
      </c>
      <c r="F12" s="107">
        <v>27</v>
      </c>
      <c r="G12" s="108" t="str">
        <f>CONCATENATE("п.",'шпоргалка-2'!D33," - ",'шпоргалка-2'!B33)</f>
        <v>п. - резерв</v>
      </c>
      <c r="H12" s="107">
        <v>27</v>
      </c>
      <c r="I12" s="108" t="str">
        <f t="shared" si="0"/>
        <v>п. - резерв</v>
      </c>
      <c r="K12" s="34"/>
      <c r="L12" s="34"/>
    </row>
    <row r="13" ht="24.75" customHeight="1" spans="2:12" x14ac:dyDescent="0.25">
      <c r="B13" s="107">
        <v>12</v>
      </c>
      <c r="C13" s="108" t="str">
        <f>CONCATENATE("п.",'шпоргалка-2'!D16," - ",'шпоргалка-2'!B16)</f>
        <v>п. - резерв</v>
      </c>
      <c r="D13" s="107">
        <v>12</v>
      </c>
      <c r="E13" s="108" t="str">
        <f t="shared" si="2"/>
        <v>п. - резерв</v>
      </c>
      <c r="F13" s="107">
        <v>28</v>
      </c>
      <c r="G13" s="108" t="str">
        <f>CONCATENATE("п.",'шпоргалка-2'!D34," - ",'шпоргалка-2'!B34)</f>
        <v>п. - резерв</v>
      </c>
      <c r="H13" s="107">
        <v>28</v>
      </c>
      <c r="I13" s="108" t="str">
        <f t="shared" si="0"/>
        <v>п. - резерв</v>
      </c>
      <c r="K13" s="34"/>
      <c r="L13" s="34"/>
    </row>
    <row r="14" ht="24.75" customHeight="1" spans="2:12" x14ac:dyDescent="0.25">
      <c r="B14" s="107">
        <v>13</v>
      </c>
      <c r="C14" s="108" t="str">
        <f>CONCATENATE("п.",'шпоргалка-2'!D17," - ",'шпоргалка-2'!B17)</f>
        <v>п. - резерв</v>
      </c>
      <c r="D14" s="107">
        <v>13</v>
      </c>
      <c r="E14" s="108" t="str">
        <f t="shared" si="2"/>
        <v>п. - резерв</v>
      </c>
      <c r="F14" s="107">
        <v>29</v>
      </c>
      <c r="G14" s="108" t="str">
        <f>CONCATENATE("п.",'шпоргалка-2'!D35," - ",'шпоргалка-2'!B35)</f>
        <v>п. - резерв</v>
      </c>
      <c r="H14" s="107">
        <v>29</v>
      </c>
      <c r="I14" s="108" t="str">
        <f t="shared" si="0"/>
        <v>п. - резерв</v>
      </c>
      <c r="K14" s="34"/>
      <c r="L14" s="34"/>
    </row>
    <row r="15" ht="24.75" customHeight="1" spans="2:12" x14ac:dyDescent="0.25">
      <c r="B15" s="107">
        <v>14</v>
      </c>
      <c r="C15" s="108" t="str">
        <f>CONCATENATE("п.",'шпоргалка-2'!D18," - ",'шпоргалка-2'!B18)</f>
        <v>п. - резерв</v>
      </c>
      <c r="D15" s="107">
        <v>14</v>
      </c>
      <c r="E15" s="108" t="str">
        <f t="shared" si="2"/>
        <v>п. - резерв</v>
      </c>
      <c r="F15" s="107">
        <v>30</v>
      </c>
      <c r="G15" s="108" t="str">
        <f>CONCATENATE("п.",'шпоргалка-2'!D36," - ",'шпоргалка-2'!B36)</f>
        <v>п. - резерв</v>
      </c>
      <c r="H15" s="107">
        <v>30</v>
      </c>
      <c r="I15" s="108" t="str">
        <f t="shared" si="0"/>
        <v>п. - резерв</v>
      </c>
      <c r="K15" s="34"/>
      <c r="L15" s="34"/>
    </row>
    <row r="16" ht="24.75" customHeight="1" spans="2:12" x14ac:dyDescent="0.25">
      <c r="B16" s="107">
        <v>15</v>
      </c>
      <c r="C16" s="108" t="str">
        <f>CONCATENATE("п.",'шпоргалка-2'!D19," - ",'шпоргалка-2'!B19)</f>
        <v>п. - резерв</v>
      </c>
      <c r="D16" s="107">
        <v>15</v>
      </c>
      <c r="E16" s="108" t="str">
        <f t="shared" si="2"/>
        <v>п. - резерв</v>
      </c>
      <c r="F16" s="107">
        <v>31</v>
      </c>
      <c r="G16" s="108" t="str">
        <f>CONCATENATE("п.",'шпоргалка-2'!D37," - ",'шпоргалка-2'!B37)</f>
        <v>п. - резерв</v>
      </c>
      <c r="H16" s="107">
        <v>31</v>
      </c>
      <c r="I16" s="108" t="str">
        <f t="shared" si="0"/>
        <v>п. - резерв</v>
      </c>
      <c r="K16" s="34"/>
      <c r="L16" s="34"/>
    </row>
    <row r="17" ht="24.75" customHeight="1" spans="2:12" x14ac:dyDescent="0.25">
      <c r="B17" s="107">
        <v>16</v>
      </c>
      <c r="C17" s="108" t="str">
        <f>CONCATENATE("п.",'шпоргалка-2'!D20," - ",'шпоргалка-2'!B20)</f>
        <v>п. - резерв</v>
      </c>
      <c r="D17" s="107">
        <v>16</v>
      </c>
      <c r="E17" s="108" t="str">
        <f t="shared" si="2"/>
        <v>п. - резерв</v>
      </c>
      <c r="F17" s="107">
        <v>32</v>
      </c>
      <c r="G17" s="108" t="str">
        <f>CONCATENATE("п.",'шпоргалка-2'!D38," - ",'шпоргалка-2'!B38)</f>
        <v>п. - резерв</v>
      </c>
      <c r="H17" s="107">
        <v>32</v>
      </c>
      <c r="I17" s="108" t="str">
        <f t="shared" si="0"/>
        <v>п. - резерв</v>
      </c>
      <c r="K17" s="34"/>
      <c r="L17" s="34"/>
    </row>
    <row r="20" ht="15.75" customHeight="1" x14ac:dyDescent="0.25"/>
    <row r="21" ht="24.75" customHeight="1" spans="2:12" x14ac:dyDescent="0.25">
      <c r="B21" s="107">
        <v>33</v>
      </c>
      <c r="C21" s="108" t="str">
        <f>CONCATENATE("п.",'шпоргалка-2'!D40," - ",'шпоргалка-2'!B40)</f>
        <v>п. - резерв</v>
      </c>
      <c r="D21" s="107">
        <v>33</v>
      </c>
      <c r="E21" s="108" t="str">
        <f t="shared" ref="E21:E36" si="3">C21</f>
        <v>п. - резерв</v>
      </c>
      <c r="F21" s="107">
        <v>49</v>
      </c>
      <c r="G21" s="108" t="str">
        <f>CONCATENATE("п.",'шпоргалка-2'!D58," - ",'шпоргалка-2'!B58)</f>
        <v>п. - резерв</v>
      </c>
      <c r="H21" s="107">
        <v>49</v>
      </c>
      <c r="I21" s="108" t="str">
        <f>G21</f>
        <v>п. - резерв</v>
      </c>
      <c r="K21" s="109" t="s">
        <v>110</v>
      </c>
      <c r="L21" s="110"/>
    </row>
    <row r="22" ht="24.75" customHeight="1" spans="2:12" x14ac:dyDescent="0.25">
      <c r="B22" s="107">
        <v>34</v>
      </c>
      <c r="C22" s="108" t="str">
        <f>CONCATENATE("п.",'шпоргалка-2'!D41," - ",'шпоргалка-2'!B41)</f>
        <v>п. - резерв</v>
      </c>
      <c r="D22" s="107">
        <v>34</v>
      </c>
      <c r="E22" s="108" t="str">
        <f t="shared" si="3"/>
        <v>п. - резерв</v>
      </c>
      <c r="F22" s="107">
        <v>50</v>
      </c>
      <c r="G22" s="108" t="str">
        <f>CONCATENATE("п.",'шпоргалка-2'!D59," - ",'шпоргалка-2'!B59)</f>
        <v>п. - резерв</v>
      </c>
      <c r="H22" s="107">
        <v>50</v>
      </c>
      <c r="I22" s="108" t="str">
        <f>G22</f>
        <v>п. - резерв</v>
      </c>
      <c r="K22" s="34"/>
      <c r="L22" s="34"/>
    </row>
    <row r="23" ht="24.75" customHeight="1" spans="2:12" x14ac:dyDescent="0.25">
      <c r="B23" s="107">
        <v>35</v>
      </c>
      <c r="C23" s="108" t="str">
        <f>CONCATENATE("п.",'шпоргалка-2'!D42," - ",'шпоргалка-2'!B42)</f>
        <v>п. - резерв</v>
      </c>
      <c r="D23" s="107">
        <v>35</v>
      </c>
      <c r="E23" s="108" t="str">
        <f t="shared" si="3"/>
        <v>п. - резерв</v>
      </c>
      <c r="F23" s="107">
        <v>51</v>
      </c>
      <c r="G23" s="108" t="str">
        <f>CONCATENATE("п.",'шпоргалка-2'!D60," - ",'шпоргалка-2'!B60)</f>
        <v>п. - резерв</v>
      </c>
      <c r="H23" s="107">
        <v>51</v>
      </c>
      <c r="I23" s="108" t="str">
        <f t="shared" ref="I23:I36" si="4">G23</f>
        <v>п. - резерв</v>
      </c>
      <c r="K23" s="34"/>
      <c r="L23" s="34"/>
    </row>
    <row r="24" ht="24.75" customHeight="1" spans="2:12" x14ac:dyDescent="0.25">
      <c r="B24" s="107">
        <v>36</v>
      </c>
      <c r="C24" s="108" t="str">
        <f>CONCATENATE("п.",'шпоргалка-2'!D43," - ",'шпоргалка-2'!B43)</f>
        <v>п. - резерв</v>
      </c>
      <c r="D24" s="107">
        <v>36</v>
      </c>
      <c r="E24" s="108" t="str">
        <f t="shared" si="3"/>
        <v>п. - резерв</v>
      </c>
      <c r="F24" s="107">
        <v>52</v>
      </c>
      <c r="G24" s="108" t="str">
        <f>CONCATENATE("п.",'шпоргалка-2'!D61," - ",'шпоргалка-2'!B61)</f>
        <v>п. - резерв</v>
      </c>
      <c r="H24" s="107">
        <v>52</v>
      </c>
      <c r="I24" s="108" t="str">
        <f t="shared" si="4"/>
        <v>п. - резерв</v>
      </c>
      <c r="K24" s="34"/>
      <c r="L24" s="34"/>
    </row>
    <row r="25" ht="24.75" customHeight="1" spans="2:12" x14ac:dyDescent="0.25">
      <c r="B25" s="107">
        <v>37</v>
      </c>
      <c r="C25" s="108" t="str">
        <f>CONCATENATE("п.",'шпоргалка-2'!D44," - ",'шпоргалка-2'!B44)</f>
        <v>п. - резерв</v>
      </c>
      <c r="D25" s="107">
        <v>37</v>
      </c>
      <c r="E25" s="108" t="str">
        <f t="shared" si="3"/>
        <v>п. - резерв</v>
      </c>
      <c r="F25" s="107">
        <v>53</v>
      </c>
      <c r="G25" s="108" t="str">
        <f>CONCATENATE("п.",'шпоргалка-2'!D62," - ",'шпоргалка-2'!B62)</f>
        <v>п. - резерв</v>
      </c>
      <c r="H25" s="107">
        <v>53</v>
      </c>
      <c r="I25" s="108" t="str">
        <f t="shared" si="4"/>
        <v>п. - резерв</v>
      </c>
      <c r="K25" s="34"/>
      <c r="L25" s="34"/>
    </row>
    <row r="26" ht="24.75" customHeight="1" spans="2:12" x14ac:dyDescent="0.25">
      <c r="B26" s="107">
        <v>38</v>
      </c>
      <c r="C26" s="108" t="str">
        <f>CONCATENATE("п.",'шпоргалка-2'!D45," - ",'шпоргалка-2'!B45)</f>
        <v>п. - резерв</v>
      </c>
      <c r="D26" s="107">
        <v>38</v>
      </c>
      <c r="E26" s="108" t="str">
        <f t="shared" si="3"/>
        <v>п. - резерв</v>
      </c>
      <c r="F26" s="107">
        <v>54</v>
      </c>
      <c r="G26" s="108" t="str">
        <f>CONCATENATE("п.",'шпоргалка-2'!D63," - ",'шпоргалка-2'!B63)</f>
        <v>п. - резерв</v>
      </c>
      <c r="H26" s="107">
        <v>54</v>
      </c>
      <c r="I26" s="108" t="str">
        <f t="shared" si="4"/>
        <v>п. - резерв</v>
      </c>
      <c r="K26" s="34"/>
      <c r="L26" s="34"/>
    </row>
    <row r="27" ht="24.75" customHeight="1" spans="2:12" x14ac:dyDescent="0.25">
      <c r="B27" s="107">
        <v>39</v>
      </c>
      <c r="C27" s="108" t="str">
        <f>CONCATENATE("п.",'шпоргалка-2'!D46," - ",'шпоргалка-2'!B46)</f>
        <v>п. - резерв</v>
      </c>
      <c r="D27" s="107">
        <v>39</v>
      </c>
      <c r="E27" s="108" t="str">
        <f t="shared" si="3"/>
        <v>п. - резерв</v>
      </c>
      <c r="F27" s="107">
        <v>55</v>
      </c>
      <c r="G27" s="108" t="str">
        <f>CONCATENATE("п.",'шпоргалка-2'!D64," - ",'шпоргалка-2'!B64)</f>
        <v>п. - резерв</v>
      </c>
      <c r="H27" s="107">
        <v>55</v>
      </c>
      <c r="I27" s="108" t="str">
        <f t="shared" si="4"/>
        <v>п. - резерв</v>
      </c>
      <c r="K27" s="34"/>
      <c r="L27" s="34"/>
    </row>
    <row r="28" ht="24.75" customHeight="1" spans="2:12" x14ac:dyDescent="0.25">
      <c r="B28" s="107">
        <v>40</v>
      </c>
      <c r="C28" s="108" t="str">
        <f>CONCATENATE("п.",'шпоргалка-2'!D47," - ",'шпоргалка-2'!B47)</f>
        <v>п. - резерв</v>
      </c>
      <c r="D28" s="107">
        <v>40</v>
      </c>
      <c r="E28" s="108" t="str">
        <f t="shared" si="3"/>
        <v>п. - резерв</v>
      </c>
      <c r="F28" s="107">
        <v>56</v>
      </c>
      <c r="G28" s="108" t="str">
        <f>CONCATENATE("п.",'шпоргалка-2'!D65," - ",'шпоргалка-2'!B65)</f>
        <v>п. - резерв</v>
      </c>
      <c r="H28" s="107">
        <v>56</v>
      </c>
      <c r="I28" s="108" t="str">
        <f t="shared" si="4"/>
        <v>п. - резерв</v>
      </c>
      <c r="K28" s="34"/>
      <c r="L28" s="34"/>
    </row>
    <row r="29" ht="24.75" customHeight="1" spans="2:12" x14ac:dyDescent="0.25">
      <c r="B29" s="107">
        <v>41</v>
      </c>
      <c r="C29" s="108" t="str">
        <f>CONCATENATE("п.",'шпоргалка-2'!D49," - ",'шпоргалка-2'!B49)</f>
        <v>п. - резерв</v>
      </c>
      <c r="D29" s="107">
        <v>41</v>
      </c>
      <c r="E29" s="108" t="str">
        <f t="shared" si="3"/>
        <v>п. - резерв</v>
      </c>
      <c r="F29" s="107">
        <v>57</v>
      </c>
      <c r="G29" s="108" t="str">
        <f>CONCATENATE("п.",'шпоргалка-2'!D67," - ",'шпоргалка-2'!B67)</f>
        <v>п. - резерв</v>
      </c>
      <c r="H29" s="107">
        <v>57</v>
      </c>
      <c r="I29" s="108" t="str">
        <f t="shared" si="4"/>
        <v>п. - резерв</v>
      </c>
      <c r="K29" s="34"/>
      <c r="L29" s="34"/>
    </row>
    <row r="30" ht="24.75" customHeight="1" spans="2:12" x14ac:dyDescent="0.25">
      <c r="B30" s="107">
        <v>42</v>
      </c>
      <c r="C30" s="108" t="str">
        <f>CONCATENATE("п.",'шпоргалка-2'!D50," - ",'шпоргалка-2'!B50)</f>
        <v>п. - резерв</v>
      </c>
      <c r="D30" s="107">
        <v>42</v>
      </c>
      <c r="E30" s="108" t="str">
        <f t="shared" si="3"/>
        <v>п. - резерв</v>
      </c>
      <c r="F30" s="107">
        <v>58</v>
      </c>
      <c r="G30" s="108" t="str">
        <f>CONCATENATE("п.",'шпоргалка-2'!D68," - ",'шпоргалка-2'!B68)</f>
        <v>п. - резерв</v>
      </c>
      <c r="H30" s="107">
        <v>58</v>
      </c>
      <c r="I30" s="108" t="str">
        <f t="shared" si="4"/>
        <v>п. - резерв</v>
      </c>
      <c r="K30" s="34"/>
      <c r="L30" s="34"/>
    </row>
    <row r="31" ht="24.75" customHeight="1" spans="2:12" x14ac:dyDescent="0.25">
      <c r="B31" s="107">
        <v>43</v>
      </c>
      <c r="C31" s="108" t="str">
        <f>CONCATENATE("п.",'шпоргалка-2'!D51," - ",'шпоргалка-2'!B51)</f>
        <v>п. - резерв</v>
      </c>
      <c r="D31" s="107">
        <v>43</v>
      </c>
      <c r="E31" s="108" t="str">
        <f t="shared" si="3"/>
        <v>п. - резерв</v>
      </c>
      <c r="F31" s="107">
        <v>59</v>
      </c>
      <c r="G31" s="108" t="str">
        <f>CONCATENATE("п.",'шпоргалка-2'!D69," - ",'шпоргалка-2'!B69)</f>
        <v>п. - резерв</v>
      </c>
      <c r="H31" s="107">
        <v>59</v>
      </c>
      <c r="I31" s="108" t="str">
        <f t="shared" si="4"/>
        <v>п. - резерв</v>
      </c>
      <c r="K31" s="34"/>
      <c r="L31" s="34"/>
    </row>
    <row r="32" ht="24.75" customHeight="1" spans="2:12" x14ac:dyDescent="0.25">
      <c r="B32" s="107">
        <v>44</v>
      </c>
      <c r="C32" s="108" t="str">
        <f>CONCATENATE("п.",'шпоргалка-2'!D52," - ",'шпоргалка-2'!B52)</f>
        <v>п. - резерв</v>
      </c>
      <c r="D32" s="107">
        <v>44</v>
      </c>
      <c r="E32" s="108" t="str">
        <f t="shared" si="3"/>
        <v>п. - резерв</v>
      </c>
      <c r="F32" s="107">
        <v>60</v>
      </c>
      <c r="G32" s="108" t="str">
        <f>CONCATENATE("п.",'шпоргалка-2'!D70," - ",'шпоргалка-2'!B70)</f>
        <v>п. - резерв</v>
      </c>
      <c r="H32" s="107">
        <v>60</v>
      </c>
      <c r="I32" s="108" t="str">
        <f t="shared" si="4"/>
        <v>п. - резерв</v>
      </c>
      <c r="K32" s="34"/>
      <c r="L32" s="34"/>
    </row>
    <row r="33" ht="24.75" customHeight="1" spans="2:12" x14ac:dyDescent="0.25">
      <c r="B33" s="107">
        <v>45</v>
      </c>
      <c r="C33" s="108" t="str">
        <f>CONCATENATE("п.",'шпоргалка-2'!D53," - ",'шпоргалка-2'!B53)</f>
        <v>п. - резерв</v>
      </c>
      <c r="D33" s="107">
        <v>45</v>
      </c>
      <c r="E33" s="108" t="str">
        <f t="shared" si="3"/>
        <v>п. - резерв</v>
      </c>
      <c r="F33" s="107">
        <v>61</v>
      </c>
      <c r="G33" s="108" t="str">
        <f>CONCATENATE("п.",'шпоргалка-2'!D71," - ",'шпоргалка-2'!B71)</f>
        <v>п. - резерв</v>
      </c>
      <c r="H33" s="107">
        <v>61</v>
      </c>
      <c r="I33" s="108" t="str">
        <f t="shared" si="4"/>
        <v>п. - резерв</v>
      </c>
      <c r="K33" s="34"/>
      <c r="L33" s="34"/>
    </row>
    <row r="34" ht="24.75" customHeight="1" spans="2:12" x14ac:dyDescent="0.25">
      <c r="B34" s="107">
        <v>46</v>
      </c>
      <c r="C34" s="108" t="str">
        <f>CONCATENATE("п.",'шпоргалка-2'!D54," - ",'шпоргалка-2'!B54)</f>
        <v>п. - резерв</v>
      </c>
      <c r="D34" s="107">
        <v>46</v>
      </c>
      <c r="E34" s="108" t="str">
        <f t="shared" si="3"/>
        <v>п. - резерв</v>
      </c>
      <c r="F34" s="107">
        <v>62</v>
      </c>
      <c r="G34" s="108" t="str">
        <f>CONCATENATE("п.",'шпоргалка-2'!D72," - ",'шпоргалка-2'!B72)</f>
        <v>п. - резерв</v>
      </c>
      <c r="H34" s="107">
        <v>62</v>
      </c>
      <c r="I34" s="108" t="str">
        <f t="shared" si="4"/>
        <v>п. - резерв</v>
      </c>
      <c r="K34" s="34"/>
      <c r="L34" s="34"/>
    </row>
    <row r="35" ht="24.75" customHeight="1" spans="2:12" x14ac:dyDescent="0.25">
      <c r="B35" s="107">
        <v>47</v>
      </c>
      <c r="C35" s="108" t="str">
        <f>CONCATENATE("п.",'шпоргалка-2'!D55," - ",'шпоргалка-2'!B55)</f>
        <v>п. - резерв</v>
      </c>
      <c r="D35" s="107">
        <v>47</v>
      </c>
      <c r="E35" s="108" t="str">
        <f t="shared" si="3"/>
        <v>п. - резерв</v>
      </c>
      <c r="F35" s="107">
        <v>63</v>
      </c>
      <c r="G35" s="108" t="str">
        <f>CONCATENATE("п.",'шпоргалка-2'!D73," - ",'шпоргалка-2'!B73)</f>
        <v>п. - резерв</v>
      </c>
      <c r="H35" s="107">
        <v>63</v>
      </c>
      <c r="I35" s="108" t="str">
        <f t="shared" si="4"/>
        <v>п. - резерв</v>
      </c>
      <c r="K35" s="34"/>
      <c r="L35" s="34"/>
    </row>
    <row r="36" ht="24.75" customHeight="1" spans="2:12" x14ac:dyDescent="0.25">
      <c r="B36" s="107">
        <v>48</v>
      </c>
      <c r="C36" s="108" t="str">
        <f>CONCATENATE("п.",'шпоргалка-2'!D56," - ",'шпоргалка-2'!B56)</f>
        <v>п. - резерв</v>
      </c>
      <c r="D36" s="107">
        <v>48</v>
      </c>
      <c r="E36" s="108" t="str">
        <f t="shared" si="3"/>
        <v>п. - резерв</v>
      </c>
      <c r="F36" s="107">
        <v>64</v>
      </c>
      <c r="G36" s="108" t="str">
        <f>CONCATENATE("п.",'шпоргалка-2'!D74," - ",'шпоргалка-2'!B74)</f>
        <v>п. - резерв</v>
      </c>
      <c r="H36" s="107">
        <v>64</v>
      </c>
      <c r="I36" s="108" t="str">
        <f t="shared" si="4"/>
        <v>п. - резерв</v>
      </c>
      <c r="K36" s="34"/>
      <c r="L36" s="34"/>
    </row>
  </sheetData>
  <mergeCells count="32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 zoomScale="100" zoomScaleNormal="100">
      <selection activeCell="O34" sqref="O34"/>
    </sheetView>
  </sheetViews>
  <sheetFormatPr defaultRowHeight="15" outlineLevelRow="0" outlineLevelCol="0" x14ac:dyDescent="0.25"/>
  <cols>
    <col min="1" max="1" width="13" customWidth="1"/>
    <col min="2" max="2" width="2.7109375" style="105" customWidth="1"/>
    <col min="3" max="3" width="17.85546875" style="106" customWidth="1"/>
    <col min="4" max="4" width="2.7109375" style="105" customWidth="1"/>
    <col min="5" max="5" width="17.85546875" style="106" customWidth="1"/>
    <col min="6" max="6" width="2.7109375" style="105" customWidth="1"/>
    <col min="7" max="7" width="17.85546875" style="106" customWidth="1"/>
    <col min="8" max="8" width="2.7109375" style="105" customWidth="1"/>
    <col min="9" max="9" width="17.85546875" style="106" customWidth="1"/>
  </cols>
  <sheetData>
    <row r="1" ht="15.75" customHeight="1" x14ac:dyDescent="0.25"/>
    <row r="2" ht="24.75" customHeight="1" spans="2:12" x14ac:dyDescent="0.25">
      <c r="B2" s="107">
        <v>1</v>
      </c>
      <c r="C2" s="108" t="str">
        <f>CONCATENATE("п.",'шпоргалка-1'!D4," - ",'шпоргалка-1'!B4)</f>
        <v>п. - резерв</v>
      </c>
      <c r="D2" s="107">
        <v>1</v>
      </c>
      <c r="E2" s="108" t="str">
        <f>C2</f>
        <v>п. - резерв</v>
      </c>
      <c r="F2" s="107">
        <v>17</v>
      </c>
      <c r="G2" s="108" t="e">
        <f>CONCATENATE("п.",'шпоргалка-1'!D22," - ",'шпоргалка-1'!B22)</f>
        <v>#REF!</v>
      </c>
      <c r="H2" s="107">
        <v>17</v>
      </c>
      <c r="I2" s="108" t="e">
        <f t="shared" ref="I2:I17" si="0">G2</f>
        <v>#REF!</v>
      </c>
      <c r="K2" s="109" t="s">
        <v>109</v>
      </c>
      <c r="L2" s="110"/>
    </row>
    <row r="3" ht="24.75" customHeight="1" spans="2:12" x14ac:dyDescent="0.25">
      <c r="B3" s="107">
        <v>2</v>
      </c>
      <c r="C3" s="108" t="str">
        <f>CONCATENATE("п.",'шпоргалка-1'!D5," - ",'шпоргалка-1'!B5)</f>
        <v>п. - резерв</v>
      </c>
      <c r="D3" s="107">
        <v>2</v>
      </c>
      <c r="E3" s="108" t="str">
        <f>C3</f>
        <v>п. - резерв</v>
      </c>
      <c r="F3" s="107">
        <v>18</v>
      </c>
      <c r="G3" s="108" t="e">
        <f>CONCATENATE("п.",'шпоргалка-1'!D23," - ",'шпоргалка-1'!B23)</f>
        <v>#REF!</v>
      </c>
      <c r="H3" s="107">
        <v>18</v>
      </c>
      <c r="I3" s="108" t="e">
        <f t="shared" si="0"/>
        <v>#REF!</v>
      </c>
      <c r="K3" s="34"/>
      <c r="L3" s="34"/>
    </row>
    <row r="4" ht="24.75" customHeight="1" spans="2:12" x14ac:dyDescent="0.25">
      <c r="B4" s="107">
        <v>3</v>
      </c>
      <c r="C4" s="108" t="str">
        <f>CONCATENATE("п.",'шпоргалка-1'!D6," - ",'шпоргалка-1'!B6)</f>
        <v>п. - резерв</v>
      </c>
      <c r="D4" s="107">
        <v>3</v>
      </c>
      <c r="E4" s="108" t="str">
        <f t="shared" ref="E4:E9" si="1">C4</f>
        <v>п. - резерв</v>
      </c>
      <c r="F4" s="107">
        <v>19</v>
      </c>
      <c r="G4" s="108" t="e">
        <f>CONCATENATE("п.",'шпоргалка-1'!D24," - ",'шпоргалка-1'!B24)</f>
        <v>#REF!</v>
      </c>
      <c r="H4" s="107">
        <v>19</v>
      </c>
      <c r="I4" s="108" t="e">
        <f t="shared" si="0"/>
        <v>#REF!</v>
      </c>
      <c r="K4" s="34"/>
      <c r="L4" s="34"/>
    </row>
    <row r="5" ht="24.75" customHeight="1" spans="2:12" x14ac:dyDescent="0.25">
      <c r="B5" s="107">
        <v>4</v>
      </c>
      <c r="C5" s="108" t="str">
        <f>CONCATENATE("п.",'шпоргалка-1'!D7," - ",'шпоргалка-1'!B7)</f>
        <v>п. - резерв</v>
      </c>
      <c r="D5" s="107">
        <v>4</v>
      </c>
      <c r="E5" s="108" t="str">
        <f t="shared" si="1"/>
        <v>п. - резерв</v>
      </c>
      <c r="F5" s="107">
        <v>20</v>
      </c>
      <c r="G5" s="108" t="e">
        <f>CONCATENATE("п.",'шпоргалка-1'!D25," - ",'шпоргалка-1'!B25)</f>
        <v>#REF!</v>
      </c>
      <c r="H5" s="107">
        <v>20</v>
      </c>
      <c r="I5" s="108" t="e">
        <f t="shared" si="0"/>
        <v>#REF!</v>
      </c>
      <c r="K5" s="34"/>
      <c r="L5" s="34"/>
    </row>
    <row r="6" ht="24.75" customHeight="1" spans="2:12" x14ac:dyDescent="0.25">
      <c r="B6" s="107">
        <v>5</v>
      </c>
      <c r="C6" s="108" t="e">
        <f>CONCATENATE("п.",'шпоргалка-1'!D8," - ",'шпоргалка-1'!B8)</f>
        <v>#REF!</v>
      </c>
      <c r="D6" s="107">
        <v>5</v>
      </c>
      <c r="E6" s="108" t="e">
        <f t="shared" si="1"/>
        <v>#REF!</v>
      </c>
      <c r="F6" s="107">
        <v>21</v>
      </c>
      <c r="G6" s="108" t="e">
        <f>CONCATENATE("п.",'шпоргалка-1'!D26," - ",'шпоргалка-1'!B26)</f>
        <v>#REF!</v>
      </c>
      <c r="H6" s="107">
        <v>21</v>
      </c>
      <c r="I6" s="108" t="e">
        <f t="shared" si="0"/>
        <v>#REF!</v>
      </c>
      <c r="K6" s="34"/>
      <c r="L6" s="34"/>
    </row>
    <row r="7" ht="24.75" customHeight="1" spans="2:12" x14ac:dyDescent="0.25">
      <c r="B7" s="107">
        <v>6</v>
      </c>
      <c r="C7" s="108" t="e">
        <f>CONCATENATE("п.",'шпоргалка-1'!D9," - ",'шпоргалка-1'!B9)</f>
        <v>#REF!</v>
      </c>
      <c r="D7" s="107">
        <v>6</v>
      </c>
      <c r="E7" s="108" t="e">
        <f t="shared" si="1"/>
        <v>#REF!</v>
      </c>
      <c r="F7" s="107">
        <v>22</v>
      </c>
      <c r="G7" s="108" t="e">
        <f>CONCATENATE("п.",'шпоргалка-1'!D27," - ",'шпоргалка-1'!B27)</f>
        <v>#REF!</v>
      </c>
      <c r="H7" s="107">
        <v>22</v>
      </c>
      <c r="I7" s="108" t="e">
        <f t="shared" si="0"/>
        <v>#REF!</v>
      </c>
      <c r="K7" s="34"/>
      <c r="L7" s="34"/>
    </row>
    <row r="8" ht="24.75" customHeight="1" spans="2:12" x14ac:dyDescent="0.25">
      <c r="B8" s="107">
        <v>7</v>
      </c>
      <c r="C8" s="108" t="e">
        <f>CONCATENATE("п.",'шпоргалка-1'!D10," - ",'шпоргалка-1'!B10)</f>
        <v>#REF!</v>
      </c>
      <c r="D8" s="107">
        <v>7</v>
      </c>
      <c r="E8" s="108" t="e">
        <f t="shared" si="1"/>
        <v>#REF!</v>
      </c>
      <c r="F8" s="107">
        <v>23</v>
      </c>
      <c r="G8" s="108" t="e">
        <f>CONCATENATE("п.",'шпоргалка-1'!D28," - ",'шпоргалка-1'!B28)</f>
        <v>#REF!</v>
      </c>
      <c r="H8" s="107">
        <v>23</v>
      </c>
      <c r="I8" s="108" t="e">
        <f t="shared" si="0"/>
        <v>#REF!</v>
      </c>
      <c r="K8" s="34"/>
      <c r="L8" s="34"/>
    </row>
    <row r="9" ht="24.75" customHeight="1" spans="2:12" x14ac:dyDescent="0.25">
      <c r="B9" s="107">
        <v>8</v>
      </c>
      <c r="C9" s="108" t="e">
        <f>CONCATENATE("п.",'шпоргалка-1'!D11," - ",'шпоргалка-1'!B11)</f>
        <v>#REF!</v>
      </c>
      <c r="D9" s="107">
        <v>8</v>
      </c>
      <c r="E9" s="108" t="e">
        <f t="shared" si="1"/>
        <v>#REF!</v>
      </c>
      <c r="F9" s="107">
        <v>24</v>
      </c>
      <c r="G9" s="108" t="e">
        <f>CONCATENATE("п.",'шпоргалка-1'!D29," - ",'шпоргалка-1'!B29)</f>
        <v>#REF!</v>
      </c>
      <c r="H9" s="107">
        <v>24</v>
      </c>
      <c r="I9" s="108" t="e">
        <f t="shared" si="0"/>
        <v>#REF!</v>
      </c>
      <c r="K9" s="34"/>
      <c r="L9" s="34"/>
    </row>
    <row r="10" ht="24.75" customHeight="1" spans="2:12" x14ac:dyDescent="0.25">
      <c r="B10" s="107">
        <v>9</v>
      </c>
      <c r="C10" s="108" t="e">
        <f>CONCATENATE("п.",'шпоргалка-1'!D13," - ",'шпоргалка-1'!B13)</f>
        <v>#REF!</v>
      </c>
      <c r="D10" s="107">
        <v>9</v>
      </c>
      <c r="E10" s="108" t="e">
        <f>C10</f>
        <v>#REF!</v>
      </c>
      <c r="F10" s="107">
        <v>25</v>
      </c>
      <c r="G10" s="108" t="e">
        <f>CONCATENATE("п.",'шпоргалка-1'!D31," - ",'шпоргалка-1'!B31)</f>
        <v>#REF!</v>
      </c>
      <c r="H10" s="107">
        <v>25</v>
      </c>
      <c r="I10" s="108" t="e">
        <f t="shared" si="0"/>
        <v>#REF!</v>
      </c>
      <c r="K10" s="34"/>
      <c r="L10" s="34"/>
    </row>
    <row r="11" ht="24.75" customHeight="1" spans="2:12" x14ac:dyDescent="0.25">
      <c r="B11" s="107">
        <v>10</v>
      </c>
      <c r="C11" s="108" t="e">
        <f>CONCATENATE("п.",'шпоргалка-1'!D14," - ",'шпоргалка-1'!B14)</f>
        <v>#REF!</v>
      </c>
      <c r="D11" s="107">
        <v>10</v>
      </c>
      <c r="E11" s="108" t="e">
        <f>C11</f>
        <v>#REF!</v>
      </c>
      <c r="F11" s="107">
        <v>26</v>
      </c>
      <c r="G11" s="108" t="e">
        <f>CONCATENATE("п.",'шпоргалка-1'!D32," - ",'шпоргалка-1'!B32)</f>
        <v>#REF!</v>
      </c>
      <c r="H11" s="107">
        <v>26</v>
      </c>
      <c r="I11" s="108" t="e">
        <f t="shared" si="0"/>
        <v>#REF!</v>
      </c>
      <c r="K11" s="34"/>
      <c r="L11" s="34"/>
    </row>
    <row r="12" ht="24.75" customHeight="1" spans="2:12" x14ac:dyDescent="0.25">
      <c r="B12" s="107">
        <v>11</v>
      </c>
      <c r="C12" s="108" t="e">
        <f>CONCATENATE("п.",'шпоргалка-1'!D15," - ",'шпоргалка-1'!B15)</f>
        <v>#REF!</v>
      </c>
      <c r="D12" s="107">
        <v>11</v>
      </c>
      <c r="E12" s="108" t="e">
        <f t="shared" ref="E12:E17" si="2">C12</f>
        <v>#REF!</v>
      </c>
      <c r="F12" s="107">
        <v>27</v>
      </c>
      <c r="G12" s="108" t="e">
        <f>CONCATENATE("п.",'шпоргалка-1'!D33," - ",'шпоргалка-1'!B33)</f>
        <v>#REF!</v>
      </c>
      <c r="H12" s="107">
        <v>27</v>
      </c>
      <c r="I12" s="108" t="e">
        <f t="shared" si="0"/>
        <v>#REF!</v>
      </c>
      <c r="K12" s="34"/>
      <c r="L12" s="34"/>
    </row>
    <row r="13" ht="24.75" customHeight="1" spans="2:12" x14ac:dyDescent="0.25">
      <c r="B13" s="107">
        <v>12</v>
      </c>
      <c r="C13" s="108" t="e">
        <f>CONCATENATE("п.",'шпоргалка-1'!D16," - ",'шпоргалка-1'!B16)</f>
        <v>#REF!</v>
      </c>
      <c r="D13" s="107">
        <v>12</v>
      </c>
      <c r="E13" s="108" t="e">
        <f t="shared" si="2"/>
        <v>#REF!</v>
      </c>
      <c r="F13" s="107">
        <v>28</v>
      </c>
      <c r="G13" s="108" t="e">
        <f>CONCATENATE("п.",'шпоргалка-1'!D34," - ",'шпоргалка-1'!B34)</f>
        <v>#REF!</v>
      </c>
      <c r="H13" s="107">
        <v>28</v>
      </c>
      <c r="I13" s="108" t="e">
        <f t="shared" si="0"/>
        <v>#REF!</v>
      </c>
      <c r="K13" s="34"/>
      <c r="L13" s="34"/>
    </row>
    <row r="14" ht="24.75" customHeight="1" spans="2:12" x14ac:dyDescent="0.25">
      <c r="B14" s="107">
        <v>13</v>
      </c>
      <c r="C14" s="108" t="e">
        <f>CONCATENATE("п.",'шпоргалка-1'!D17," - ",'шпоргалка-1'!B17)</f>
        <v>#REF!</v>
      </c>
      <c r="D14" s="107">
        <v>13</v>
      </c>
      <c r="E14" s="108" t="e">
        <f t="shared" si="2"/>
        <v>#REF!</v>
      </c>
      <c r="F14" s="107">
        <v>29</v>
      </c>
      <c r="G14" s="108" t="e">
        <f>CONCATENATE("п.",'шпоргалка-1'!D35," - ",'шпоргалка-1'!B35)</f>
        <v>#REF!</v>
      </c>
      <c r="H14" s="107">
        <v>29</v>
      </c>
      <c r="I14" s="108" t="e">
        <f t="shared" si="0"/>
        <v>#REF!</v>
      </c>
      <c r="K14" s="34"/>
      <c r="L14" s="34"/>
    </row>
    <row r="15" ht="24.75" customHeight="1" spans="2:12" x14ac:dyDescent="0.25">
      <c r="B15" s="107">
        <v>14</v>
      </c>
      <c r="C15" s="108" t="e">
        <f>CONCATENATE("п.",'шпоргалка-1'!D18," - ",'шпоргалка-1'!B18)</f>
        <v>#REF!</v>
      </c>
      <c r="D15" s="107">
        <v>14</v>
      </c>
      <c r="E15" s="108" t="e">
        <f t="shared" si="2"/>
        <v>#REF!</v>
      </c>
      <c r="F15" s="107">
        <v>30</v>
      </c>
      <c r="G15" s="108" t="e">
        <f>CONCATENATE("п.",'шпоргалка-1'!D36," - ",'шпоргалка-1'!B36)</f>
        <v>#REF!</v>
      </c>
      <c r="H15" s="107">
        <v>30</v>
      </c>
      <c r="I15" s="108" t="e">
        <f t="shared" si="0"/>
        <v>#REF!</v>
      </c>
      <c r="K15" s="34"/>
      <c r="L15" s="34"/>
    </row>
    <row r="16" ht="24.75" customHeight="1" spans="2:12" x14ac:dyDescent="0.25">
      <c r="B16" s="107">
        <v>15</v>
      </c>
      <c r="C16" s="108" t="e">
        <f>CONCATENATE("п.",'шпоргалка-1'!D19," - ",'шпоргалка-1'!B19)</f>
        <v>#REF!</v>
      </c>
      <c r="D16" s="107">
        <v>15</v>
      </c>
      <c r="E16" s="108" t="e">
        <f t="shared" si="2"/>
        <v>#REF!</v>
      </c>
      <c r="F16" s="107">
        <v>31</v>
      </c>
      <c r="G16" s="108" t="e">
        <f>CONCATENATE("п.",'шпоргалка-1'!D37," - ",'шпоргалка-1'!B37)</f>
        <v>#REF!</v>
      </c>
      <c r="H16" s="107">
        <v>31</v>
      </c>
      <c r="I16" s="108" t="e">
        <f t="shared" si="0"/>
        <v>#REF!</v>
      </c>
      <c r="K16" s="34"/>
      <c r="L16" s="34"/>
    </row>
    <row r="17" ht="24.75" customHeight="1" spans="2:12" x14ac:dyDescent="0.25">
      <c r="B17" s="107">
        <v>16</v>
      </c>
      <c r="C17" s="108" t="e">
        <f>CONCATENATE("п.",'шпоргалка-1'!D20," - ",'шпоргалка-1'!B20)</f>
        <v>#REF!</v>
      </c>
      <c r="D17" s="107">
        <v>16</v>
      </c>
      <c r="E17" s="108" t="e">
        <f t="shared" si="2"/>
        <v>#REF!</v>
      </c>
      <c r="F17" s="107">
        <v>32</v>
      </c>
      <c r="G17" s="108" t="e">
        <f>CONCATENATE("п.",'шпоргалка-1'!D38," - ",'шпоргалка-1'!B38)</f>
        <v>#REF!</v>
      </c>
      <c r="H17" s="107">
        <v>32</v>
      </c>
      <c r="I17" s="108" t="e">
        <f t="shared" si="0"/>
        <v>#REF!</v>
      </c>
      <c r="K17" s="34"/>
      <c r="L17" s="34"/>
    </row>
    <row r="20" ht="15.75" customHeight="1" x14ac:dyDescent="0.25"/>
    <row r="21" ht="24.75" customHeight="1" spans="2:12" x14ac:dyDescent="0.25">
      <c r="B21" s="107">
        <v>33</v>
      </c>
      <c r="C21" s="108" t="e">
        <f>CONCATENATE("п.",'шпоргалка-1'!D40," - ",'шпоргалка-1'!B40)</f>
        <v>#REF!</v>
      </c>
      <c r="D21" s="107">
        <v>33</v>
      </c>
      <c r="E21" s="108" t="e">
        <f t="shared" ref="E21:E36" si="3">C21</f>
        <v>#REF!</v>
      </c>
      <c r="F21" s="107">
        <v>49</v>
      </c>
      <c r="G21" s="108" t="e">
        <f>CONCATENATE("п.",'шпоргалка-1'!D58," - ",'шпоргалка-1'!B58)</f>
        <v>#REF!</v>
      </c>
      <c r="H21" s="107">
        <v>49</v>
      </c>
      <c r="I21" s="108" t="e">
        <f>G21</f>
        <v>#REF!</v>
      </c>
      <c r="K21" s="109" t="s">
        <v>110</v>
      </c>
      <c r="L21" s="110"/>
    </row>
    <row r="22" ht="24.75" customHeight="1" spans="2:12" x14ac:dyDescent="0.25">
      <c r="B22" s="107">
        <v>34</v>
      </c>
      <c r="C22" s="108" t="e">
        <f>CONCATENATE("п.",'шпоргалка-1'!D41," - ",'шпоргалка-1'!B41)</f>
        <v>#REF!</v>
      </c>
      <c r="D22" s="107">
        <v>34</v>
      </c>
      <c r="E22" s="108" t="e">
        <f t="shared" si="3"/>
        <v>#REF!</v>
      </c>
      <c r="F22" s="107">
        <v>50</v>
      </c>
      <c r="G22" s="108" t="e">
        <f>CONCATENATE("п.",'шпоргалка-1'!D59," - ",'шпоргалка-1'!B59)</f>
        <v>#REF!</v>
      </c>
      <c r="H22" s="107">
        <v>50</v>
      </c>
      <c r="I22" s="108" t="e">
        <f>G22</f>
        <v>#REF!</v>
      </c>
      <c r="K22" s="34"/>
      <c r="L22" s="34"/>
    </row>
    <row r="23" ht="24.75" customHeight="1" spans="2:12" x14ac:dyDescent="0.25">
      <c r="B23" s="107">
        <v>35</v>
      </c>
      <c r="C23" s="108" t="e">
        <f>CONCATENATE("п.",'шпоргалка-1'!D42," - ",'шпоргалка-1'!B42)</f>
        <v>#REF!</v>
      </c>
      <c r="D23" s="107">
        <v>35</v>
      </c>
      <c r="E23" s="108" t="e">
        <f t="shared" si="3"/>
        <v>#REF!</v>
      </c>
      <c r="F23" s="107">
        <v>51</v>
      </c>
      <c r="G23" s="108" t="e">
        <f>CONCATENATE("п.",'шпоргалка-1'!D60," - ",'шпоргалка-1'!B60)</f>
        <v>#REF!</v>
      </c>
      <c r="H23" s="107">
        <v>51</v>
      </c>
      <c r="I23" s="108" t="e">
        <f t="shared" ref="I23:I36" si="4">G23</f>
        <v>#REF!</v>
      </c>
      <c r="K23" s="34"/>
      <c r="L23" s="34"/>
    </row>
    <row r="24" ht="24.75" customHeight="1" spans="2:12" x14ac:dyDescent="0.25">
      <c r="B24" s="107">
        <v>36</v>
      </c>
      <c r="C24" s="108" t="e">
        <f>CONCATENATE("п.",'шпоргалка-1'!D43," - ",'шпоргалка-1'!B43)</f>
        <v>#REF!</v>
      </c>
      <c r="D24" s="107">
        <v>36</v>
      </c>
      <c r="E24" s="108" t="e">
        <f t="shared" si="3"/>
        <v>#REF!</v>
      </c>
      <c r="F24" s="107">
        <v>52</v>
      </c>
      <c r="G24" s="108" t="e">
        <f>CONCATENATE("п.",'шпоргалка-1'!D61," - ",'шпоргалка-1'!B61)</f>
        <v>#REF!</v>
      </c>
      <c r="H24" s="107">
        <v>52</v>
      </c>
      <c r="I24" s="108" t="e">
        <f t="shared" si="4"/>
        <v>#REF!</v>
      </c>
      <c r="K24" s="34"/>
      <c r="L24" s="34"/>
    </row>
    <row r="25" ht="24.75" customHeight="1" spans="2:12" x14ac:dyDescent="0.25">
      <c r="B25" s="107">
        <v>37</v>
      </c>
      <c r="C25" s="108" t="e">
        <f>CONCATENATE("п.",'шпоргалка-1'!D44," - ",'шпоргалка-1'!B44)</f>
        <v>#REF!</v>
      </c>
      <c r="D25" s="107">
        <v>37</v>
      </c>
      <c r="E25" s="108" t="e">
        <f t="shared" si="3"/>
        <v>#REF!</v>
      </c>
      <c r="F25" s="107">
        <v>53</v>
      </c>
      <c r="G25" s="108" t="e">
        <f>CONCATENATE("п.",'шпоргалка-1'!D62," - ",'шпоргалка-1'!B62)</f>
        <v>#REF!</v>
      </c>
      <c r="H25" s="107">
        <v>53</v>
      </c>
      <c r="I25" s="108" t="e">
        <f t="shared" si="4"/>
        <v>#REF!</v>
      </c>
      <c r="K25" s="34"/>
      <c r="L25" s="34"/>
    </row>
    <row r="26" ht="24.75" customHeight="1" spans="2:12" x14ac:dyDescent="0.25">
      <c r="B26" s="107">
        <v>38</v>
      </c>
      <c r="C26" s="108" t="e">
        <f>CONCATENATE("п.",'шпоргалка-1'!D45," - ",'шпоргалка-1'!B45)</f>
        <v>#REF!</v>
      </c>
      <c r="D26" s="107">
        <v>38</v>
      </c>
      <c r="E26" s="108" t="e">
        <f t="shared" si="3"/>
        <v>#REF!</v>
      </c>
      <c r="F26" s="107">
        <v>54</v>
      </c>
      <c r="G26" s="108" t="e">
        <f>CONCATENATE("п.",'шпоргалка-1'!D63," - ",'шпоргалка-1'!B63)</f>
        <v>#REF!</v>
      </c>
      <c r="H26" s="107">
        <v>54</v>
      </c>
      <c r="I26" s="108" t="e">
        <f t="shared" si="4"/>
        <v>#REF!</v>
      </c>
      <c r="K26" s="34"/>
      <c r="L26" s="34"/>
    </row>
    <row r="27" ht="24.75" customHeight="1" spans="2:12" x14ac:dyDescent="0.25">
      <c r="B27" s="107">
        <v>39</v>
      </c>
      <c r="C27" s="108" t="e">
        <f>CONCATENATE("п.",'шпоргалка-1'!D46," - ",'шпоргалка-1'!B46)</f>
        <v>#REF!</v>
      </c>
      <c r="D27" s="107">
        <v>39</v>
      </c>
      <c r="E27" s="108" t="e">
        <f t="shared" si="3"/>
        <v>#REF!</v>
      </c>
      <c r="F27" s="107">
        <v>55</v>
      </c>
      <c r="G27" s="108" t="e">
        <f>CONCATENATE("п.",'шпоргалка-1'!D64," - ",'шпоргалка-1'!B64)</f>
        <v>#REF!</v>
      </c>
      <c r="H27" s="107">
        <v>55</v>
      </c>
      <c r="I27" s="108" t="e">
        <f t="shared" si="4"/>
        <v>#REF!</v>
      </c>
      <c r="K27" s="34"/>
      <c r="L27" s="34"/>
    </row>
    <row r="28" ht="24.75" customHeight="1" spans="2:12" x14ac:dyDescent="0.25">
      <c r="B28" s="107">
        <v>40</v>
      </c>
      <c r="C28" s="108" t="e">
        <f>CONCATENATE("п.",'шпоргалка-1'!D47," - ",'шпоргалка-1'!B47)</f>
        <v>#REF!</v>
      </c>
      <c r="D28" s="107">
        <v>40</v>
      </c>
      <c r="E28" s="108" t="e">
        <f t="shared" si="3"/>
        <v>#REF!</v>
      </c>
      <c r="F28" s="107">
        <v>56</v>
      </c>
      <c r="G28" s="108" t="e">
        <f>CONCATENATE("п.",'шпоргалка-1'!D65," - ",'шпоргалка-1'!B65)</f>
        <v>#REF!</v>
      </c>
      <c r="H28" s="107">
        <v>56</v>
      </c>
      <c r="I28" s="108" t="e">
        <f t="shared" si="4"/>
        <v>#REF!</v>
      </c>
      <c r="K28" s="34"/>
      <c r="L28" s="34"/>
    </row>
    <row r="29" ht="24.75" customHeight="1" spans="2:12" x14ac:dyDescent="0.25">
      <c r="B29" s="107">
        <v>41</v>
      </c>
      <c r="C29" s="108" t="e">
        <f>CONCATENATE("п.",'шпоргалка-1'!D49," - ",'шпоргалка-1'!B49)</f>
        <v>#REF!</v>
      </c>
      <c r="D29" s="107">
        <v>41</v>
      </c>
      <c r="E29" s="108" t="e">
        <f t="shared" si="3"/>
        <v>#REF!</v>
      </c>
      <c r="F29" s="107">
        <v>57</v>
      </c>
      <c r="G29" s="108" t="e">
        <f>CONCATENATE("п.",'шпоргалка-1'!D67," - ",'шпоргалка-1'!B67)</f>
        <v>#REF!</v>
      </c>
      <c r="H29" s="107">
        <v>57</v>
      </c>
      <c r="I29" s="108" t="e">
        <f t="shared" si="4"/>
        <v>#REF!</v>
      </c>
      <c r="K29" s="34"/>
      <c r="L29" s="34"/>
    </row>
    <row r="30" ht="24.75" customHeight="1" spans="2:12" x14ac:dyDescent="0.25">
      <c r="B30" s="107">
        <v>42</v>
      </c>
      <c r="C30" s="108" t="e">
        <f>CONCATENATE("п.",'шпоргалка-1'!D50," - ",'шпоргалка-1'!B50)</f>
        <v>#REF!</v>
      </c>
      <c r="D30" s="107">
        <v>42</v>
      </c>
      <c r="E30" s="108" t="e">
        <f t="shared" si="3"/>
        <v>#REF!</v>
      </c>
      <c r="F30" s="107">
        <v>58</v>
      </c>
      <c r="G30" s="108" t="e">
        <f>CONCATENATE("п.",'шпоргалка-1'!D68," - ",'шпоргалка-1'!B68)</f>
        <v>#REF!</v>
      </c>
      <c r="H30" s="107">
        <v>58</v>
      </c>
      <c r="I30" s="108" t="e">
        <f t="shared" si="4"/>
        <v>#REF!</v>
      </c>
      <c r="K30" s="34"/>
      <c r="L30" s="34"/>
    </row>
    <row r="31" ht="24.75" customHeight="1" spans="2:12" x14ac:dyDescent="0.25">
      <c r="B31" s="107">
        <v>43</v>
      </c>
      <c r="C31" s="108" t="e">
        <f>CONCATENATE("п.",'шпоргалка-1'!D51," - ",'шпоргалка-1'!B51)</f>
        <v>#REF!</v>
      </c>
      <c r="D31" s="107">
        <v>43</v>
      </c>
      <c r="E31" s="108" t="e">
        <f t="shared" si="3"/>
        <v>#REF!</v>
      </c>
      <c r="F31" s="107">
        <v>59</v>
      </c>
      <c r="G31" s="108" t="e">
        <f>CONCATENATE("п.",'шпоргалка-1'!D69," - ",'шпоргалка-1'!B69)</f>
        <v>#REF!</v>
      </c>
      <c r="H31" s="107">
        <v>59</v>
      </c>
      <c r="I31" s="108" t="e">
        <f t="shared" si="4"/>
        <v>#REF!</v>
      </c>
      <c r="K31" s="34"/>
      <c r="L31" s="34"/>
    </row>
    <row r="32" ht="24.75" customHeight="1" spans="2:12" x14ac:dyDescent="0.25">
      <c r="B32" s="107">
        <v>44</v>
      </c>
      <c r="C32" s="108" t="e">
        <f>CONCATENATE("п.",'шпоргалка-1'!D52," - ",'шпоргалка-1'!B52)</f>
        <v>#REF!</v>
      </c>
      <c r="D32" s="107">
        <v>44</v>
      </c>
      <c r="E32" s="108" t="e">
        <f t="shared" si="3"/>
        <v>#REF!</v>
      </c>
      <c r="F32" s="107">
        <v>60</v>
      </c>
      <c r="G32" s="108" t="e">
        <f>CONCATENATE("п.",'шпоргалка-1'!D70," - ",'шпоргалка-1'!B70)</f>
        <v>#REF!</v>
      </c>
      <c r="H32" s="107">
        <v>60</v>
      </c>
      <c r="I32" s="108" t="e">
        <f t="shared" si="4"/>
        <v>#REF!</v>
      </c>
      <c r="K32" s="34"/>
      <c r="L32" s="34"/>
    </row>
    <row r="33" ht="24.75" customHeight="1" spans="2:12" x14ac:dyDescent="0.25">
      <c r="B33" s="107">
        <v>45</v>
      </c>
      <c r="C33" s="108" t="e">
        <f>CONCATENATE("п.",'шпоргалка-1'!D53," - ",'шпоргалка-1'!B53)</f>
        <v>#REF!</v>
      </c>
      <c r="D33" s="107">
        <v>45</v>
      </c>
      <c r="E33" s="108" t="e">
        <f t="shared" si="3"/>
        <v>#REF!</v>
      </c>
      <c r="F33" s="107">
        <v>61</v>
      </c>
      <c r="G33" s="108" t="e">
        <f>CONCATENATE("п.",'шпоргалка-1'!D71," - ",'шпоргалка-1'!B71)</f>
        <v>#REF!</v>
      </c>
      <c r="H33" s="107">
        <v>61</v>
      </c>
      <c r="I33" s="108" t="e">
        <f t="shared" si="4"/>
        <v>#REF!</v>
      </c>
      <c r="K33" s="34"/>
      <c r="L33" s="34"/>
    </row>
    <row r="34" ht="24.75" customHeight="1" spans="2:12" x14ac:dyDescent="0.25">
      <c r="B34" s="107">
        <v>46</v>
      </c>
      <c r="C34" s="108" t="e">
        <f>CONCATENATE("п.",'шпоргалка-1'!D54," - ",'шпоргалка-1'!B54)</f>
        <v>#REF!</v>
      </c>
      <c r="D34" s="107">
        <v>46</v>
      </c>
      <c r="E34" s="108" t="e">
        <f t="shared" si="3"/>
        <v>#REF!</v>
      </c>
      <c r="F34" s="107">
        <v>62</v>
      </c>
      <c r="G34" s="108" t="e">
        <f>CONCATENATE("п.",'шпоргалка-1'!D72," - ",'шпоргалка-1'!B72)</f>
        <v>#REF!</v>
      </c>
      <c r="H34" s="107">
        <v>62</v>
      </c>
      <c r="I34" s="108" t="e">
        <f t="shared" si="4"/>
        <v>#REF!</v>
      </c>
      <c r="K34" s="34"/>
      <c r="L34" s="34"/>
    </row>
    <row r="35" ht="24.75" customHeight="1" spans="2:12" x14ac:dyDescent="0.25">
      <c r="B35" s="107">
        <v>47</v>
      </c>
      <c r="C35" s="108" t="e">
        <f>CONCATENATE("п.",'шпоргалка-1'!D55," - ",'шпоргалка-1'!B55)</f>
        <v>#REF!</v>
      </c>
      <c r="D35" s="107">
        <v>47</v>
      </c>
      <c r="E35" s="108" t="e">
        <f t="shared" si="3"/>
        <v>#REF!</v>
      </c>
      <c r="F35" s="107">
        <v>63</v>
      </c>
      <c r="G35" s="108" t="e">
        <f>CONCATENATE("п.",'шпоргалка-1'!D73," - ",'шпоргалка-1'!B73)</f>
        <v>#REF!</v>
      </c>
      <c r="H35" s="107">
        <v>63</v>
      </c>
      <c r="I35" s="108" t="e">
        <f t="shared" si="4"/>
        <v>#REF!</v>
      </c>
      <c r="K35" s="34"/>
      <c r="L35" s="34"/>
    </row>
    <row r="36" ht="24.75" customHeight="1" spans="2:12" x14ac:dyDescent="0.25">
      <c r="B36" s="107">
        <v>48</v>
      </c>
      <c r="C36" s="108" t="e">
        <f>CONCATENATE("п.",'шпоргалка-1'!D56," - ",'шпоргалка-1'!B56)</f>
        <v>#REF!</v>
      </c>
      <c r="D36" s="107">
        <v>48</v>
      </c>
      <c r="E36" s="108" t="e">
        <f t="shared" si="3"/>
        <v>#REF!</v>
      </c>
      <c r="F36" s="107">
        <v>64</v>
      </c>
      <c r="G36" s="108" t="e">
        <f>CONCATENATE("п.",'шпоргалка-1'!D74," - ",'шпоргалка-1'!B74)</f>
        <v>#REF!</v>
      </c>
      <c r="H36" s="107">
        <v>64</v>
      </c>
      <c r="I36" s="108" t="e">
        <f t="shared" si="4"/>
        <v>#REF!</v>
      </c>
      <c r="K36" s="34"/>
      <c r="L36" s="34"/>
    </row>
  </sheetData>
  <mergeCells count="32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ageMargins left="0.25" right="0.25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workbookViewId="0" zoomScale="100" zoomScaleNormal="100">
      <selection activeCell="O13" sqref="O13"/>
    </sheetView>
  </sheetViews>
  <sheetFormatPr defaultRowHeight="15" outlineLevelRow="0" outlineLevelCol="0" x14ac:dyDescent="0.25"/>
  <cols>
    <col min="1" max="1" width="13" customWidth="1"/>
    <col min="2" max="2" width="2.7109375" style="105" customWidth="1"/>
    <col min="3" max="3" width="17.85546875" style="106" customWidth="1"/>
    <col min="4" max="4" width="2.7109375" style="105" customWidth="1"/>
    <col min="5" max="5" width="17.85546875" style="106" customWidth="1"/>
    <col min="6" max="6" width="2.7109375" style="105" customWidth="1"/>
    <col min="7" max="7" width="17.85546875" style="106" customWidth="1"/>
    <col min="8" max="8" width="2.7109375" style="105" customWidth="1"/>
    <col min="9" max="9" width="17.85546875" style="106" customWidth="1"/>
  </cols>
  <sheetData>
    <row r="1" ht="15.75" customHeight="1" x14ac:dyDescent="0.25"/>
    <row r="2" ht="24.75" customHeight="1" spans="2:12" x14ac:dyDescent="0.25">
      <c r="B2" s="107">
        <v>1</v>
      </c>
      <c r="C2" s="108" t="str">
        <f>CONCATENATE("п.",'шпоргалка-3'!D4," - ",'шпоргалка-3'!B4)</f>
        <v>п. - резерв</v>
      </c>
      <c r="D2" s="107">
        <v>1</v>
      </c>
      <c r="E2" s="108" t="str">
        <f>C2</f>
        <v>п. - резерв</v>
      </c>
      <c r="F2" s="107">
        <v>17</v>
      </c>
      <c r="G2" s="108" t="str">
        <f>CONCATENATE("п.",'шпоргалка-3'!D22," - ",'шпоргалка-3'!B22)</f>
        <v>п. - резерв</v>
      </c>
      <c r="H2" s="107">
        <v>17</v>
      </c>
      <c r="I2" s="108" t="str">
        <f t="shared" ref="I2:I17" si="0">G2</f>
        <v>п. - резерв</v>
      </c>
      <c r="K2" s="109" t="s">
        <v>109</v>
      </c>
      <c r="L2" s="110"/>
    </row>
    <row r="3" ht="24.75" customHeight="1" spans="2:12" x14ac:dyDescent="0.25">
      <c r="B3" s="107">
        <v>2</v>
      </c>
      <c r="C3" s="108" t="str">
        <f>CONCATENATE("п.",'шпоргалка-3'!D5," - ",'шпоргалка-3'!B5)</f>
        <v>п. - резерв</v>
      </c>
      <c r="D3" s="107">
        <v>2</v>
      </c>
      <c r="E3" s="108" t="str">
        <f>C3</f>
        <v>п. - резерв</v>
      </c>
      <c r="F3" s="107">
        <v>18</v>
      </c>
      <c r="G3" s="108" t="str">
        <f>CONCATENATE("п.",'шпоргалка-3'!D23," - ",'шпоргалка-3'!B23)</f>
        <v>п. - резерв</v>
      </c>
      <c r="H3" s="107">
        <v>18</v>
      </c>
      <c r="I3" s="108" t="str">
        <f t="shared" si="0"/>
        <v>п. - резерв</v>
      </c>
      <c r="K3" s="34"/>
      <c r="L3" s="34"/>
    </row>
    <row r="4" ht="24.75" customHeight="1" spans="2:12" x14ac:dyDescent="0.25">
      <c r="B4" s="107">
        <v>3</v>
      </c>
      <c r="C4" s="108" t="str">
        <f>CONCATENATE("п.",'шпоргалка-3'!D6," - ",'шпоргалка-3'!B6)</f>
        <v>п. - резерв</v>
      </c>
      <c r="D4" s="107">
        <v>3</v>
      </c>
      <c r="E4" s="108" t="str">
        <f t="shared" ref="E4:E9" si="1">C4</f>
        <v>п. - резерв</v>
      </c>
      <c r="F4" s="107">
        <v>19</v>
      </c>
      <c r="G4" s="108" t="str">
        <f>CONCATENATE("п.",'шпоргалка-3'!D24," - ",'шпоргалка-3'!B24)</f>
        <v>п. - резерв</v>
      </c>
      <c r="H4" s="107">
        <v>19</v>
      </c>
      <c r="I4" s="108" t="str">
        <f t="shared" si="0"/>
        <v>п. - резерв</v>
      </c>
      <c r="K4" s="34"/>
      <c r="L4" s="34"/>
    </row>
    <row r="5" ht="24.75" customHeight="1" spans="2:12" x14ac:dyDescent="0.25">
      <c r="B5" s="107">
        <v>4</v>
      </c>
      <c r="C5" s="108" t="str">
        <f>CONCATENATE("п.",'шпоргалка-3'!D7," - ",'шпоргалка-3'!B7)</f>
        <v>п. - резерв</v>
      </c>
      <c r="D5" s="107">
        <v>4</v>
      </c>
      <c r="E5" s="108" t="str">
        <f t="shared" si="1"/>
        <v>п. - резерв</v>
      </c>
      <c r="F5" s="107">
        <v>20</v>
      </c>
      <c r="G5" s="108" t="str">
        <f>CONCATENATE("п.",'шпоргалка-3'!D25," - ",'шпоргалка-3'!B25)</f>
        <v>п. - резерв</v>
      </c>
      <c r="H5" s="107">
        <v>20</v>
      </c>
      <c r="I5" s="108" t="str">
        <f t="shared" si="0"/>
        <v>п. - резерв</v>
      </c>
      <c r="K5" s="34"/>
      <c r="L5" s="34"/>
    </row>
    <row r="6" ht="24.75" customHeight="1" spans="2:12" x14ac:dyDescent="0.25">
      <c r="B6" s="107">
        <v>5</v>
      </c>
      <c r="C6" s="108" t="str">
        <f>CONCATENATE("п.",'шпоргалка-3'!D8," - ",'шпоргалка-3'!B8)</f>
        <v>п. - резерв</v>
      </c>
      <c r="D6" s="107">
        <v>5</v>
      </c>
      <c r="E6" s="108" t="str">
        <f t="shared" si="1"/>
        <v>п. - резерв</v>
      </c>
      <c r="F6" s="107">
        <v>21</v>
      </c>
      <c r="G6" s="108" t="str">
        <f>CONCATENATE("п.",'шпоргалка-3'!D26," - ",'шпоргалка-3'!B26)</f>
        <v>п. - резерв</v>
      </c>
      <c r="H6" s="107">
        <v>21</v>
      </c>
      <c r="I6" s="108" t="str">
        <f t="shared" si="0"/>
        <v>п. - резерв</v>
      </c>
      <c r="K6" s="34"/>
      <c r="L6" s="34"/>
    </row>
    <row r="7" ht="24.75" customHeight="1" spans="2:12" x14ac:dyDescent="0.25">
      <c r="B7" s="107">
        <v>6</v>
      </c>
      <c r="C7" s="108" t="str">
        <f>CONCATENATE("п.",'шпоргалка-3'!D9," - ",'шпоргалка-3'!B9)</f>
        <v>п. - резерв</v>
      </c>
      <c r="D7" s="107">
        <v>6</v>
      </c>
      <c r="E7" s="108" t="str">
        <f t="shared" si="1"/>
        <v>п. - резерв</v>
      </c>
      <c r="F7" s="107">
        <v>22</v>
      </c>
      <c r="G7" s="108" t="str">
        <f>CONCATENATE("п.",'шпоргалка-3'!D27," - ",'шпоргалка-3'!B27)</f>
        <v>п. - резерв</v>
      </c>
      <c r="H7" s="107">
        <v>22</v>
      </c>
      <c r="I7" s="108" t="str">
        <f t="shared" si="0"/>
        <v>п. - резерв</v>
      </c>
      <c r="K7" s="34"/>
      <c r="L7" s="34"/>
    </row>
    <row r="8" ht="24.75" customHeight="1" spans="2:12" x14ac:dyDescent="0.25">
      <c r="B8" s="107">
        <v>7</v>
      </c>
      <c r="C8" s="108" t="str">
        <f>CONCATENATE("п.",'шпоргалка-3'!D10," - ",'шпоргалка-3'!B10)</f>
        <v>п. - резерв</v>
      </c>
      <c r="D8" s="107">
        <v>7</v>
      </c>
      <c r="E8" s="108" t="str">
        <f t="shared" si="1"/>
        <v>п. - резерв</v>
      </c>
      <c r="F8" s="107">
        <v>23</v>
      </c>
      <c r="G8" s="108" t="str">
        <f>CONCATENATE("п.",'шпоргалка-3'!D28," - ",'шпоргалка-3'!B28)</f>
        <v>п. - резерв</v>
      </c>
      <c r="H8" s="107">
        <v>23</v>
      </c>
      <c r="I8" s="108" t="str">
        <f t="shared" si="0"/>
        <v>п. - резерв</v>
      </c>
      <c r="K8" s="34"/>
      <c r="L8" s="34"/>
    </row>
    <row r="9" ht="24.75" customHeight="1" spans="2:12" x14ac:dyDescent="0.25">
      <c r="B9" s="107">
        <v>8</v>
      </c>
      <c r="C9" s="108" t="str">
        <f>CONCATENATE("п.",'шпоргалка-3'!D11," - ",'шпоргалка-3'!B11)</f>
        <v>п. - резерв</v>
      </c>
      <c r="D9" s="107">
        <v>8</v>
      </c>
      <c r="E9" s="108" t="str">
        <f t="shared" si="1"/>
        <v>п. - резерв</v>
      </c>
      <c r="F9" s="107">
        <v>24</v>
      </c>
      <c r="G9" s="108" t="str">
        <f>CONCATENATE("п.",'шпоргалка-3'!D29," - ",'шпоргалка-3'!B29)</f>
        <v>п. - резерв</v>
      </c>
      <c r="H9" s="107">
        <v>24</v>
      </c>
      <c r="I9" s="108" t="str">
        <f t="shared" si="0"/>
        <v>п. - резерв</v>
      </c>
      <c r="K9" s="34"/>
      <c r="L9" s="34"/>
    </row>
    <row r="10" ht="24.75" customHeight="1" spans="2:12" x14ac:dyDescent="0.25">
      <c r="B10" s="107">
        <v>9</v>
      </c>
      <c r="C10" s="108" t="str">
        <f>CONCATENATE("п.",'шпоргалка-3'!D13," - ",'шпоргалка-3'!B13)</f>
        <v>п. - резерв</v>
      </c>
      <c r="D10" s="107">
        <v>9</v>
      </c>
      <c r="E10" s="108" t="str">
        <f>C10</f>
        <v>п. - резерв</v>
      </c>
      <c r="F10" s="107">
        <v>25</v>
      </c>
      <c r="G10" s="108" t="str">
        <f>CONCATENATE("п.",'шпоргалка-3'!D31," - ",'шпоргалка-3'!B31)</f>
        <v>п. - резерв</v>
      </c>
      <c r="H10" s="107">
        <v>25</v>
      </c>
      <c r="I10" s="108" t="str">
        <f t="shared" si="0"/>
        <v>п. - резерв</v>
      </c>
      <c r="K10" s="34"/>
      <c r="L10" s="34"/>
    </row>
    <row r="11" ht="24.75" customHeight="1" spans="2:12" x14ac:dyDescent="0.25">
      <c r="B11" s="107">
        <v>10</v>
      </c>
      <c r="C11" s="108" t="str">
        <f>CONCATENATE("п.",'шпоргалка-3'!D14," - ",'шпоргалка-3'!B14)</f>
        <v>п. - резерв</v>
      </c>
      <c r="D11" s="107">
        <v>10</v>
      </c>
      <c r="E11" s="108" t="str">
        <f>C11</f>
        <v>п. - резерв</v>
      </c>
      <c r="F11" s="107">
        <v>26</v>
      </c>
      <c r="G11" s="108" t="str">
        <f>CONCATENATE("п.",'шпоргалка-3'!D32," - ",'шпоргалка-3'!B32)</f>
        <v>п. - резерв</v>
      </c>
      <c r="H11" s="107">
        <v>26</v>
      </c>
      <c r="I11" s="108" t="str">
        <f t="shared" si="0"/>
        <v>п. - резерв</v>
      </c>
      <c r="K11" s="34"/>
      <c r="L11" s="34"/>
    </row>
    <row r="12" ht="24.75" customHeight="1" spans="2:12" x14ac:dyDescent="0.25">
      <c r="B12" s="107">
        <v>11</v>
      </c>
      <c r="C12" s="108" t="str">
        <f>CONCATENATE("п.",'шпоргалка-3'!D15," - ",'шпоргалка-3'!B15)</f>
        <v>п. - резерв</v>
      </c>
      <c r="D12" s="107">
        <v>11</v>
      </c>
      <c r="E12" s="108" t="str">
        <f t="shared" ref="E12:E17" si="2">C12</f>
        <v>п. - резерв</v>
      </c>
      <c r="F12" s="107">
        <v>27</v>
      </c>
      <c r="G12" s="108" t="str">
        <f>CONCATENATE("п.",'шпоргалка-3'!D33," - ",'шпоргалка-3'!B33)</f>
        <v>п. - резерв</v>
      </c>
      <c r="H12" s="107">
        <v>27</v>
      </c>
      <c r="I12" s="108" t="str">
        <f t="shared" si="0"/>
        <v>п. - резерв</v>
      </c>
      <c r="K12" s="34"/>
      <c r="L12" s="34"/>
    </row>
    <row r="13" ht="24.75" customHeight="1" spans="2:12" x14ac:dyDescent="0.25">
      <c r="B13" s="107">
        <v>12</v>
      </c>
      <c r="C13" s="108" t="str">
        <f>CONCATENATE("п.",'шпоргалка-3'!D16," - ",'шпоргалка-3'!B16)</f>
        <v>п. - резерв</v>
      </c>
      <c r="D13" s="107">
        <v>12</v>
      </c>
      <c r="E13" s="108" t="str">
        <f t="shared" si="2"/>
        <v>п. - резерв</v>
      </c>
      <c r="F13" s="107">
        <v>28</v>
      </c>
      <c r="G13" s="108" t="str">
        <f>CONCATENATE("п.",'шпоргалка-3'!D34," - ",'шпоргалка-3'!B34)</f>
        <v>п. - резерв</v>
      </c>
      <c r="H13" s="107">
        <v>28</v>
      </c>
      <c r="I13" s="108" t="str">
        <f t="shared" si="0"/>
        <v>п. - резерв</v>
      </c>
      <c r="K13" s="34"/>
      <c r="L13" s="34"/>
    </row>
    <row r="14" ht="24.75" customHeight="1" spans="2:12" x14ac:dyDescent="0.25">
      <c r="B14" s="107">
        <v>13</v>
      </c>
      <c r="C14" s="108" t="str">
        <f>CONCATENATE("п.",'шпоргалка-3'!D17," - ",'шпоргалка-3'!B17)</f>
        <v>п. - резерв</v>
      </c>
      <c r="D14" s="107">
        <v>13</v>
      </c>
      <c r="E14" s="108" t="str">
        <f t="shared" si="2"/>
        <v>п. - резерв</v>
      </c>
      <c r="F14" s="107">
        <v>29</v>
      </c>
      <c r="G14" s="108" t="str">
        <f>CONCATENATE("п.",'шпоргалка-3'!D35," - ",'шпоргалка-3'!B35)</f>
        <v>п. - резерв</v>
      </c>
      <c r="H14" s="107">
        <v>29</v>
      </c>
      <c r="I14" s="108" t="str">
        <f t="shared" si="0"/>
        <v>п. - резерв</v>
      </c>
      <c r="K14" s="34"/>
      <c r="L14" s="34"/>
    </row>
    <row r="15" ht="24.75" customHeight="1" spans="2:12" x14ac:dyDescent="0.25">
      <c r="B15" s="107">
        <v>14</v>
      </c>
      <c r="C15" s="108" t="str">
        <f>CONCATENATE("п.",'шпоргалка-3'!D18," - ",'шпоргалка-3'!B18)</f>
        <v>п. - резерв</v>
      </c>
      <c r="D15" s="107">
        <v>14</v>
      </c>
      <c r="E15" s="108" t="str">
        <f t="shared" si="2"/>
        <v>п. - резерв</v>
      </c>
      <c r="F15" s="107">
        <v>30</v>
      </c>
      <c r="G15" s="108" t="str">
        <f>CONCATENATE("п.",'шпоргалка-3'!D36," - ",'шпоргалка-3'!B36)</f>
        <v>п. - резерв</v>
      </c>
      <c r="H15" s="107">
        <v>30</v>
      </c>
      <c r="I15" s="108" t="str">
        <f t="shared" si="0"/>
        <v>п. - резерв</v>
      </c>
      <c r="K15" s="34"/>
      <c r="L15" s="34"/>
    </row>
    <row r="16" ht="24.75" customHeight="1" spans="2:12" x14ac:dyDescent="0.25">
      <c r="B16" s="107">
        <v>15</v>
      </c>
      <c r="C16" s="108" t="str">
        <f>CONCATENATE("п.",'шпоргалка-3'!D19," - ",'шпоргалка-3'!B19)</f>
        <v>п. - резерв</v>
      </c>
      <c r="D16" s="107">
        <v>15</v>
      </c>
      <c r="E16" s="108" t="str">
        <f t="shared" si="2"/>
        <v>п. - резерв</v>
      </c>
      <c r="F16" s="107">
        <v>31</v>
      </c>
      <c r="G16" s="108" t="str">
        <f>CONCATENATE("п.",'шпоргалка-3'!D37," - ",'шпоргалка-3'!B37)</f>
        <v>п. - резерв</v>
      </c>
      <c r="H16" s="107">
        <v>31</v>
      </c>
      <c r="I16" s="108" t="str">
        <f t="shared" si="0"/>
        <v>п. - резерв</v>
      </c>
      <c r="K16" s="34"/>
      <c r="L16" s="34"/>
    </row>
    <row r="17" ht="24.75" customHeight="1" spans="2:12" x14ac:dyDescent="0.25">
      <c r="B17" s="107">
        <v>16</v>
      </c>
      <c r="C17" s="108" t="str">
        <f>CONCATENATE("п.",'шпоргалка-3'!D20," - ",'шпоргалка-3'!B20)</f>
        <v>п. - резерв</v>
      </c>
      <c r="D17" s="107">
        <v>16</v>
      </c>
      <c r="E17" s="108" t="str">
        <f t="shared" si="2"/>
        <v>п. - резерв</v>
      </c>
      <c r="F17" s="107">
        <v>32</v>
      </c>
      <c r="G17" s="108" t="str">
        <f>CONCATENATE("п.",'шпоргалка-3'!D38," - ",'шпоргалка-3'!B38)</f>
        <v>п. - резерв</v>
      </c>
      <c r="H17" s="107">
        <v>32</v>
      </c>
      <c r="I17" s="108" t="str">
        <f t="shared" si="0"/>
        <v>п. - резерв</v>
      </c>
      <c r="K17" s="34"/>
      <c r="L17" s="34"/>
    </row>
    <row r="20" ht="15.75" customHeight="1" x14ac:dyDescent="0.25"/>
    <row r="21" ht="24.75" customHeight="1" spans="2:12" x14ac:dyDescent="0.25">
      <c r="B21" s="107">
        <v>33</v>
      </c>
      <c r="C21" s="108" t="str">
        <f>CONCATENATE("п.",'шпоргалка-3'!D40," - ",'шпоргалка-3'!B40)</f>
        <v>п. - резерв</v>
      </c>
      <c r="D21" s="107">
        <v>33</v>
      </c>
      <c r="E21" s="108" t="str">
        <f t="shared" ref="E21:E36" si="3">C21</f>
        <v>п. - резерв</v>
      </c>
      <c r="F21" s="107">
        <v>49</v>
      </c>
      <c r="G21" s="108" t="str">
        <f>CONCATENATE("п.",'шпоргалка-3'!D58," - ",'шпоргалка-3'!B58)</f>
        <v>п. - резерв</v>
      </c>
      <c r="H21" s="107">
        <v>49</v>
      </c>
      <c r="I21" s="108" t="str">
        <f>G21</f>
        <v>п. - резерв</v>
      </c>
      <c r="K21" s="109" t="s">
        <v>110</v>
      </c>
      <c r="L21" s="110"/>
    </row>
    <row r="22" ht="24.75" customHeight="1" spans="2:12" x14ac:dyDescent="0.25">
      <c r="B22" s="107">
        <v>34</v>
      </c>
      <c r="C22" s="108" t="str">
        <f>CONCATENATE("п.",'шпоргалка-3'!D41," - ",'шпоргалка-3'!B41)</f>
        <v>п. - резерв</v>
      </c>
      <c r="D22" s="107">
        <v>34</v>
      </c>
      <c r="E22" s="108" t="str">
        <f t="shared" si="3"/>
        <v>п. - резерв</v>
      </c>
      <c r="F22" s="107">
        <v>50</v>
      </c>
      <c r="G22" s="108" t="str">
        <f>CONCATENATE("п.",'шпоргалка-3'!D59," - ",'шпоргалка-3'!B59)</f>
        <v>п. - резерв</v>
      </c>
      <c r="H22" s="107">
        <v>50</v>
      </c>
      <c r="I22" s="108" t="str">
        <f>G22</f>
        <v>п. - резерв</v>
      </c>
      <c r="K22" s="34"/>
      <c r="L22" s="34"/>
    </row>
    <row r="23" ht="24.75" customHeight="1" spans="2:12" x14ac:dyDescent="0.25">
      <c r="B23" s="107">
        <v>35</v>
      </c>
      <c r="C23" s="108" t="str">
        <f>CONCATENATE("п.",'шпоргалка-3'!D42," - ",'шпоргалка-3'!B42)</f>
        <v>п. - резерв</v>
      </c>
      <c r="D23" s="107">
        <v>35</v>
      </c>
      <c r="E23" s="108" t="str">
        <f t="shared" si="3"/>
        <v>п. - резерв</v>
      </c>
      <c r="F23" s="107">
        <v>51</v>
      </c>
      <c r="G23" s="108" t="str">
        <f>CONCATENATE("п.",'шпоргалка-3'!D60," - ",'шпоргалка-3'!B60)</f>
        <v>п. - резерв</v>
      </c>
      <c r="H23" s="107">
        <v>51</v>
      </c>
      <c r="I23" s="108" t="str">
        <f t="shared" ref="I23:I36" si="4">G23</f>
        <v>п. - резерв</v>
      </c>
      <c r="K23" s="34"/>
      <c r="L23" s="34"/>
    </row>
    <row r="24" ht="24.75" customHeight="1" spans="2:12" x14ac:dyDescent="0.25">
      <c r="B24" s="107">
        <v>36</v>
      </c>
      <c r="C24" s="108" t="str">
        <f>CONCATENATE("п.",'шпоргалка-3'!D43," - ",'шпоргалка-3'!B43)</f>
        <v>п. - резерв</v>
      </c>
      <c r="D24" s="107">
        <v>36</v>
      </c>
      <c r="E24" s="108" t="str">
        <f t="shared" si="3"/>
        <v>п. - резерв</v>
      </c>
      <c r="F24" s="107">
        <v>52</v>
      </c>
      <c r="G24" s="108" t="str">
        <f>CONCATENATE("п.",'шпоргалка-3'!D61," - ",'шпоргалка-3'!B61)</f>
        <v>п. - резерв</v>
      </c>
      <c r="H24" s="107">
        <v>52</v>
      </c>
      <c r="I24" s="108" t="str">
        <f t="shared" si="4"/>
        <v>п. - резерв</v>
      </c>
      <c r="K24" s="34"/>
      <c r="L24" s="34"/>
    </row>
    <row r="25" ht="24.75" customHeight="1" spans="2:12" x14ac:dyDescent="0.25">
      <c r="B25" s="107">
        <v>37</v>
      </c>
      <c r="C25" s="108" t="str">
        <f>CONCATENATE("п.",'шпоргалка-3'!D44," - ",'шпоргалка-3'!B44)</f>
        <v>п. - резерв</v>
      </c>
      <c r="D25" s="107">
        <v>37</v>
      </c>
      <c r="E25" s="108" t="str">
        <f t="shared" si="3"/>
        <v>п. - резерв</v>
      </c>
      <c r="F25" s="107">
        <v>53</v>
      </c>
      <c r="G25" s="108" t="str">
        <f>CONCATENATE("п.",'шпоргалка-3'!D62," - ",'шпоргалка-3'!B62)</f>
        <v>п. - резерв</v>
      </c>
      <c r="H25" s="107">
        <v>53</v>
      </c>
      <c r="I25" s="108" t="str">
        <f t="shared" si="4"/>
        <v>п. - резерв</v>
      </c>
      <c r="K25" s="34"/>
      <c r="L25" s="34"/>
    </row>
    <row r="26" ht="24.75" customHeight="1" spans="2:12" x14ac:dyDescent="0.25">
      <c r="B26" s="107">
        <v>38</v>
      </c>
      <c r="C26" s="108" t="str">
        <f>CONCATENATE("п.",'шпоргалка-3'!D45," - ",'шпоргалка-3'!B45)</f>
        <v>п. - резерв</v>
      </c>
      <c r="D26" s="107">
        <v>38</v>
      </c>
      <c r="E26" s="108" t="str">
        <f t="shared" si="3"/>
        <v>п. - резерв</v>
      </c>
      <c r="F26" s="107">
        <v>54</v>
      </c>
      <c r="G26" s="108" t="str">
        <f>CONCATENATE("п.",'шпоргалка-3'!D63," - ",'шпоргалка-3'!B63)</f>
        <v>п. - резерв</v>
      </c>
      <c r="H26" s="107">
        <v>54</v>
      </c>
      <c r="I26" s="108" t="str">
        <f t="shared" si="4"/>
        <v>п. - резерв</v>
      </c>
      <c r="K26" s="34"/>
      <c r="L26" s="34"/>
    </row>
    <row r="27" ht="24.75" customHeight="1" spans="2:12" x14ac:dyDescent="0.25">
      <c r="B27" s="107">
        <v>39</v>
      </c>
      <c r="C27" s="108" t="str">
        <f>CONCATENATE("п.",'шпоргалка-3'!D46," - ",'шпоргалка-3'!B46)</f>
        <v>п. - резерв</v>
      </c>
      <c r="D27" s="107">
        <v>39</v>
      </c>
      <c r="E27" s="108" t="str">
        <f t="shared" si="3"/>
        <v>п. - резерв</v>
      </c>
      <c r="F27" s="107">
        <v>55</v>
      </c>
      <c r="G27" s="108" t="str">
        <f>CONCATENATE("п.",'шпоргалка-3'!D64," - ",'шпоргалка-3'!B64)</f>
        <v>п. - резерв</v>
      </c>
      <c r="H27" s="107">
        <v>55</v>
      </c>
      <c r="I27" s="108" t="str">
        <f t="shared" si="4"/>
        <v>п. - резерв</v>
      </c>
      <c r="K27" s="34"/>
      <c r="L27" s="34"/>
    </row>
    <row r="28" ht="24.75" customHeight="1" spans="2:12" x14ac:dyDescent="0.25">
      <c r="B28" s="107">
        <v>40</v>
      </c>
      <c r="C28" s="108" t="str">
        <f>CONCATENATE("п.",'шпоргалка-3'!D47," - ",'шпоргалка-3'!B47)</f>
        <v>п. - резерв</v>
      </c>
      <c r="D28" s="107">
        <v>40</v>
      </c>
      <c r="E28" s="108" t="str">
        <f t="shared" si="3"/>
        <v>п. - резерв</v>
      </c>
      <c r="F28" s="107">
        <v>56</v>
      </c>
      <c r="G28" s="108" t="str">
        <f>CONCATENATE("п.",'шпоргалка-3'!D65," - ",'шпоргалка-3'!B65)</f>
        <v>п. - резерв</v>
      </c>
      <c r="H28" s="107">
        <v>56</v>
      </c>
      <c r="I28" s="108" t="str">
        <f t="shared" si="4"/>
        <v>п. - резерв</v>
      </c>
      <c r="K28" s="34"/>
      <c r="L28" s="34"/>
    </row>
    <row r="29" ht="24.75" customHeight="1" spans="2:12" x14ac:dyDescent="0.25">
      <c r="B29" s="107">
        <v>41</v>
      </c>
      <c r="C29" s="108" t="str">
        <f>CONCATENATE("п.",'шпоргалка-3'!D49," - ",'шпоргалка-3'!B49)</f>
        <v>п. - резерв</v>
      </c>
      <c r="D29" s="107">
        <v>41</v>
      </c>
      <c r="E29" s="108" t="str">
        <f t="shared" si="3"/>
        <v>п. - резерв</v>
      </c>
      <c r="F29" s="107">
        <v>57</v>
      </c>
      <c r="G29" s="108" t="str">
        <f>CONCATENATE("п.",'шпоргалка-3'!D67," - ",'шпоргалка-3'!B67)</f>
        <v>п. - резерв</v>
      </c>
      <c r="H29" s="107">
        <v>57</v>
      </c>
      <c r="I29" s="108" t="str">
        <f t="shared" si="4"/>
        <v>п. - резерв</v>
      </c>
      <c r="K29" s="34"/>
      <c r="L29" s="34"/>
    </row>
    <row r="30" ht="24.75" customHeight="1" spans="2:12" x14ac:dyDescent="0.25">
      <c r="B30" s="107">
        <v>42</v>
      </c>
      <c r="C30" s="108" t="str">
        <f>CONCATENATE("п.",'шпоргалка-3'!D50," - ",'шпоргалка-3'!B50)</f>
        <v>п. - резерв</v>
      </c>
      <c r="D30" s="107">
        <v>42</v>
      </c>
      <c r="E30" s="108" t="str">
        <f t="shared" si="3"/>
        <v>п. - резерв</v>
      </c>
      <c r="F30" s="107">
        <v>58</v>
      </c>
      <c r="G30" s="108" t="str">
        <f>CONCATENATE("п.",'шпоргалка-3'!D68," - ",'шпоргалка-3'!B68)</f>
        <v>п. - резерв</v>
      </c>
      <c r="H30" s="107">
        <v>58</v>
      </c>
      <c r="I30" s="108" t="str">
        <f t="shared" si="4"/>
        <v>п. - резерв</v>
      </c>
      <c r="K30" s="34"/>
      <c r="L30" s="34"/>
    </row>
    <row r="31" ht="24.75" customHeight="1" spans="2:12" x14ac:dyDescent="0.25">
      <c r="B31" s="107">
        <v>43</v>
      </c>
      <c r="C31" s="108" t="str">
        <f>CONCATENATE("п.",'шпоргалка-3'!D51," - ",'шпоргалка-3'!B51)</f>
        <v>п. - резерв</v>
      </c>
      <c r="D31" s="107">
        <v>43</v>
      </c>
      <c r="E31" s="108" t="str">
        <f t="shared" si="3"/>
        <v>п. - резерв</v>
      </c>
      <c r="F31" s="107">
        <v>59</v>
      </c>
      <c r="G31" s="108" t="str">
        <f>CONCATENATE("п.",'шпоргалка-3'!D69," - ",'шпоргалка-3'!B69)</f>
        <v>п. - резерв</v>
      </c>
      <c r="H31" s="107">
        <v>59</v>
      </c>
      <c r="I31" s="108" t="str">
        <f t="shared" si="4"/>
        <v>п. - резерв</v>
      </c>
      <c r="K31" s="34"/>
      <c r="L31" s="34"/>
    </row>
    <row r="32" ht="24.75" customHeight="1" spans="2:12" x14ac:dyDescent="0.25">
      <c r="B32" s="107">
        <v>44</v>
      </c>
      <c r="C32" s="108" t="str">
        <f>CONCATENATE("п.",'шпоргалка-3'!D52," - ",'шпоргалка-3'!B52)</f>
        <v>п. - резерв</v>
      </c>
      <c r="D32" s="107">
        <v>44</v>
      </c>
      <c r="E32" s="108" t="str">
        <f t="shared" si="3"/>
        <v>п. - резерв</v>
      </c>
      <c r="F32" s="107">
        <v>60</v>
      </c>
      <c r="G32" s="108" t="str">
        <f>CONCATENATE("п.",'шпоргалка-3'!D70," - ",'шпоргалка-3'!B70)</f>
        <v>п. - резерв</v>
      </c>
      <c r="H32" s="107">
        <v>60</v>
      </c>
      <c r="I32" s="108" t="str">
        <f t="shared" si="4"/>
        <v>п. - резерв</v>
      </c>
      <c r="K32" s="34"/>
      <c r="L32" s="34"/>
    </row>
    <row r="33" ht="24.75" customHeight="1" spans="2:12" x14ac:dyDescent="0.25">
      <c r="B33" s="107">
        <v>45</v>
      </c>
      <c r="C33" s="108" t="str">
        <f>CONCATENATE("п.",'шпоргалка-3'!D53," - ",'шпоргалка-3'!B53)</f>
        <v>п. - резерв</v>
      </c>
      <c r="D33" s="107">
        <v>45</v>
      </c>
      <c r="E33" s="108" t="str">
        <f t="shared" si="3"/>
        <v>п. - резерв</v>
      </c>
      <c r="F33" s="107">
        <v>61</v>
      </c>
      <c r="G33" s="108" t="str">
        <f>CONCATENATE("п.",'шпоргалка-3'!D71," - ",'шпоргалка-3'!B71)</f>
        <v>п. - резерв</v>
      </c>
      <c r="H33" s="107">
        <v>61</v>
      </c>
      <c r="I33" s="108" t="str">
        <f t="shared" si="4"/>
        <v>п. - резерв</v>
      </c>
      <c r="K33" s="34"/>
      <c r="L33" s="34"/>
    </row>
    <row r="34" ht="24.75" customHeight="1" spans="2:12" x14ac:dyDescent="0.25">
      <c r="B34" s="107">
        <v>46</v>
      </c>
      <c r="C34" s="108" t="str">
        <f>CONCATENATE("п.",'шпоргалка-3'!D54," - ",'шпоргалка-3'!B54)</f>
        <v>п. - резерв</v>
      </c>
      <c r="D34" s="107">
        <v>46</v>
      </c>
      <c r="E34" s="108" t="str">
        <f t="shared" si="3"/>
        <v>п. - резерв</v>
      </c>
      <c r="F34" s="107">
        <v>62</v>
      </c>
      <c r="G34" s="108" t="str">
        <f>CONCATENATE("п.",'шпоргалка-3'!D72," - ",'шпоргалка-3'!B72)</f>
        <v>п. - резерв</v>
      </c>
      <c r="H34" s="107">
        <v>62</v>
      </c>
      <c r="I34" s="108" t="str">
        <f t="shared" si="4"/>
        <v>п. - резерв</v>
      </c>
      <c r="K34" s="34"/>
      <c r="L34" s="34"/>
    </row>
    <row r="35" ht="24.75" customHeight="1" spans="2:12" x14ac:dyDescent="0.25">
      <c r="B35" s="107">
        <v>47</v>
      </c>
      <c r="C35" s="108" t="str">
        <f>CONCATENATE("п.",'шпоргалка-3'!D55," - ",'шпоргалка-3'!B55)</f>
        <v>п. - резерв</v>
      </c>
      <c r="D35" s="107">
        <v>47</v>
      </c>
      <c r="E35" s="108" t="str">
        <f t="shared" si="3"/>
        <v>п. - резерв</v>
      </c>
      <c r="F35" s="107">
        <v>63</v>
      </c>
      <c r="G35" s="108" t="str">
        <f>CONCATENATE("п.",'шпоргалка-3'!D73," - ",'шпоргалка-3'!B73)</f>
        <v>п. - резерв</v>
      </c>
      <c r="H35" s="107">
        <v>63</v>
      </c>
      <c r="I35" s="108" t="str">
        <f t="shared" si="4"/>
        <v>п. - резерв</v>
      </c>
      <c r="K35" s="34"/>
      <c r="L35" s="34"/>
    </row>
    <row r="36" ht="24.75" customHeight="1" spans="2:12" x14ac:dyDescent="0.25">
      <c r="B36" s="107">
        <v>48</v>
      </c>
      <c r="C36" s="108" t="str">
        <f>CONCATENATE("п.",'шпоргалка-3'!D56," - ",'шпоргалка-3'!B56)</f>
        <v>п. - резерв</v>
      </c>
      <c r="D36" s="107">
        <v>48</v>
      </c>
      <c r="E36" s="108" t="str">
        <f t="shared" si="3"/>
        <v>п. - резерв</v>
      </c>
      <c r="F36" s="107">
        <v>64</v>
      </c>
      <c r="G36" s="108" t="str">
        <f>CONCATENATE("п.",'шпоргалка-3'!D74," - ",'шпоргалка-3'!B74)</f>
        <v>п. - резерв</v>
      </c>
      <c r="H36" s="107">
        <v>64</v>
      </c>
      <c r="I36" s="108" t="str">
        <f t="shared" si="4"/>
        <v>п. - резерв</v>
      </c>
      <c r="K36" s="34"/>
      <c r="L36" s="34"/>
    </row>
  </sheetData>
  <mergeCells count="32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SV777-1 (SV004)</vt:lpstr>
      <vt:lpstr>SV777-2 (SV004)</vt:lpstr>
      <vt:lpstr>SV777-3 (SV004)</vt:lpstr>
      <vt:lpstr>шпоргалка-1</vt:lpstr>
      <vt:lpstr>шпоргалка-2</vt:lpstr>
      <vt:lpstr>шпоргалка-3</vt:lpstr>
      <vt:lpstr>Шпоргалка общая</vt:lpstr>
      <vt:lpstr>Disp-1</vt:lpstr>
      <vt:lpstr>Disp-2</vt:lpstr>
      <vt:lpstr>Disp-3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паша-нетбук</dc:creator>
  <cp:lastModifiedBy>Антон Дружинин</cp:lastModifiedBy>
  <cp:lastPrinted>2023-05-23T06:47:53Z</cp:lastPrinted>
  <dcterms:created xsi:type="dcterms:W3CDTF">2011-09-21T09:47:06Z</dcterms:created>
  <dcterms:modified xsi:type="dcterms:W3CDTF">2026-07-03T04:26:44Z</dcterms:modified>
</cp:coreProperties>
</file>