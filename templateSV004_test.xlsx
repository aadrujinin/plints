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6\Documents\adruzhinin_soft\расшивки\расшивки\access-control-service_sv005_working\"/>
    </mc:Choice>
  </mc:AlternateContent>
  <xr:revisionPtr revIDLastSave="0" documentId="13_ncr:1_{ACFF3830-23E5-4240-B51C-5F0C586E273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43" i="4" l="1"/>
  <c r="N645" i="4" s="1"/>
  <c r="N623" i="4"/>
  <c r="N625" i="4" s="1"/>
  <c r="N603" i="4" l="1"/>
  <c r="N605" i="4" s="1"/>
  <c r="N583" i="4"/>
  <c r="N585" i="4" s="1"/>
  <c r="N563" i="4"/>
  <c r="N565" i="4" s="1"/>
  <c r="N543" i="4"/>
  <c r="N545" i="4" s="1"/>
  <c r="N523" i="4"/>
  <c r="N525" i="4" s="1"/>
  <c r="N503" i="4"/>
  <c r="N505" i="4" s="1"/>
  <c r="N483" i="4"/>
  <c r="N485" i="4" s="1"/>
  <c r="N463" i="4"/>
  <c r="N465" i="4" s="1"/>
  <c r="N443" i="4"/>
  <c r="N445" i="4" s="1"/>
  <c r="N423" i="4"/>
  <c r="N425" i="4" s="1"/>
  <c r="N403" i="4"/>
  <c r="N405" i="4" s="1"/>
  <c r="N383" i="4"/>
  <c r="N385" i="4" s="1"/>
  <c r="N363" i="4"/>
  <c r="N365" i="4" s="1"/>
  <c r="N343" i="4"/>
  <c r="N345" i="4" s="1"/>
  <c r="N323" i="4"/>
  <c r="N325" i="4" s="1"/>
  <c r="N303" i="4"/>
  <c r="N305" i="4" s="1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B4" i="6" l="1"/>
  <c r="AK3" i="8" l="1"/>
  <c r="N3" i="8"/>
  <c r="AK5" i="8" l="1"/>
  <c r="AK5" i="7"/>
  <c r="N23" i="8" l="1"/>
  <c r="N5" i="8"/>
  <c r="N25" i="8" s="1"/>
  <c r="N26" i="8" s="1"/>
  <c r="N47" i="8" s="1"/>
  <c r="N667" i="8"/>
  <c r="J667" i="8"/>
  <c r="F667" i="8"/>
  <c r="B667" i="8"/>
  <c r="N647" i="8"/>
  <c r="J647" i="8"/>
  <c r="F647" i="8"/>
  <c r="B647" i="8"/>
  <c r="N625" i="8"/>
  <c r="J625" i="8"/>
  <c r="F625" i="8"/>
  <c r="B625" i="8"/>
  <c r="N605" i="8"/>
  <c r="J605" i="8"/>
  <c r="F605" i="8"/>
  <c r="B605" i="8"/>
  <c r="N583" i="8"/>
  <c r="J583" i="8"/>
  <c r="F583" i="8"/>
  <c r="B583" i="8"/>
  <c r="N563" i="8"/>
  <c r="J563" i="8"/>
  <c r="F563" i="8"/>
  <c r="B563" i="8"/>
  <c r="N541" i="8"/>
  <c r="J541" i="8"/>
  <c r="F541" i="8"/>
  <c r="B541" i="8"/>
  <c r="N521" i="8"/>
  <c r="J521" i="8"/>
  <c r="F521" i="8"/>
  <c r="B521" i="8"/>
  <c r="N499" i="8"/>
  <c r="J499" i="8"/>
  <c r="F499" i="8"/>
  <c r="B499" i="8"/>
  <c r="N479" i="8"/>
  <c r="J479" i="8"/>
  <c r="F479" i="8"/>
  <c r="B479" i="8"/>
  <c r="N457" i="8"/>
  <c r="J457" i="8"/>
  <c r="F457" i="8"/>
  <c r="B457" i="8"/>
  <c r="N437" i="8"/>
  <c r="J437" i="8"/>
  <c r="F437" i="8"/>
  <c r="B437" i="8"/>
  <c r="N415" i="8"/>
  <c r="J415" i="8"/>
  <c r="F415" i="8"/>
  <c r="B415" i="8"/>
  <c r="N395" i="8"/>
  <c r="J395" i="8"/>
  <c r="F395" i="8"/>
  <c r="B395" i="8"/>
  <c r="N373" i="8"/>
  <c r="J373" i="8"/>
  <c r="F373" i="8"/>
  <c r="B373" i="8"/>
  <c r="N353" i="8"/>
  <c r="J353" i="8"/>
  <c r="F353" i="8"/>
  <c r="B353" i="8"/>
  <c r="N331" i="8"/>
  <c r="J331" i="8"/>
  <c r="F331" i="8"/>
  <c r="B331" i="8"/>
  <c r="N311" i="8"/>
  <c r="J311" i="8"/>
  <c r="F311" i="8"/>
  <c r="B311" i="8"/>
  <c r="N289" i="8"/>
  <c r="J289" i="8"/>
  <c r="F289" i="8"/>
  <c r="B289" i="8"/>
  <c r="N269" i="8"/>
  <c r="J269" i="8"/>
  <c r="F269" i="8"/>
  <c r="B269" i="8"/>
  <c r="N247" i="8"/>
  <c r="J247" i="8"/>
  <c r="F247" i="8"/>
  <c r="B247" i="8"/>
  <c r="N227" i="8"/>
  <c r="J227" i="8"/>
  <c r="F227" i="8"/>
  <c r="B227" i="8"/>
  <c r="N205" i="8"/>
  <c r="J205" i="8"/>
  <c r="F205" i="8"/>
  <c r="B205" i="8"/>
  <c r="N185" i="8"/>
  <c r="J185" i="8"/>
  <c r="F185" i="8"/>
  <c r="B185" i="8"/>
  <c r="N163" i="8"/>
  <c r="J163" i="8"/>
  <c r="F163" i="8"/>
  <c r="B163" i="8"/>
  <c r="N143" i="8"/>
  <c r="J143" i="8"/>
  <c r="F143" i="8"/>
  <c r="B143" i="8"/>
  <c r="N121" i="8"/>
  <c r="J121" i="8"/>
  <c r="F121" i="8"/>
  <c r="B121" i="8"/>
  <c r="N101" i="8"/>
  <c r="J101" i="8"/>
  <c r="F101" i="8"/>
  <c r="B101" i="8"/>
  <c r="N79" i="8"/>
  <c r="J79" i="8"/>
  <c r="F79" i="8"/>
  <c r="B79" i="8"/>
  <c r="N59" i="8"/>
  <c r="J59" i="8"/>
  <c r="F59" i="8"/>
  <c r="B59" i="8"/>
  <c r="N37" i="8"/>
  <c r="J37" i="8"/>
  <c r="F37" i="8"/>
  <c r="B37" i="8"/>
  <c r="N24" i="8"/>
  <c r="N46" i="8" s="1"/>
  <c r="N66" i="8" s="1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22" i="8"/>
  <c r="N44" i="8" s="1"/>
  <c r="N45" i="8" s="1"/>
  <c r="N17" i="8"/>
  <c r="J17" i="8"/>
  <c r="F17" i="8"/>
  <c r="B17" i="8"/>
  <c r="N5" i="7"/>
  <c r="N25" i="7" s="1"/>
  <c r="N3" i="7"/>
  <c r="N667" i="7"/>
  <c r="J667" i="7"/>
  <c r="F667" i="7"/>
  <c r="B667" i="7"/>
  <c r="N647" i="7"/>
  <c r="J647" i="7"/>
  <c r="F647" i="7"/>
  <c r="B647" i="7"/>
  <c r="N625" i="7"/>
  <c r="J625" i="7"/>
  <c r="F625" i="7"/>
  <c r="B625" i="7"/>
  <c r="N605" i="7"/>
  <c r="J605" i="7"/>
  <c r="F605" i="7"/>
  <c r="B605" i="7"/>
  <c r="N583" i="7"/>
  <c r="J583" i="7"/>
  <c r="F583" i="7"/>
  <c r="B583" i="7"/>
  <c r="N563" i="7"/>
  <c r="J563" i="7"/>
  <c r="F563" i="7"/>
  <c r="B563" i="7"/>
  <c r="N541" i="7"/>
  <c r="J541" i="7"/>
  <c r="F541" i="7"/>
  <c r="B541" i="7"/>
  <c r="N521" i="7"/>
  <c r="J521" i="7"/>
  <c r="F521" i="7"/>
  <c r="B521" i="7"/>
  <c r="N499" i="7"/>
  <c r="J499" i="7"/>
  <c r="F499" i="7"/>
  <c r="B499" i="7"/>
  <c r="N479" i="7"/>
  <c r="J479" i="7"/>
  <c r="F479" i="7"/>
  <c r="B479" i="7"/>
  <c r="N457" i="7"/>
  <c r="J457" i="7"/>
  <c r="F457" i="7"/>
  <c r="B457" i="7"/>
  <c r="N437" i="7"/>
  <c r="J437" i="7"/>
  <c r="F437" i="7"/>
  <c r="B437" i="7"/>
  <c r="N415" i="7"/>
  <c r="J415" i="7"/>
  <c r="F415" i="7"/>
  <c r="B415" i="7"/>
  <c r="N395" i="7"/>
  <c r="J395" i="7"/>
  <c r="F395" i="7"/>
  <c r="B395" i="7"/>
  <c r="N373" i="7"/>
  <c r="J373" i="7"/>
  <c r="F373" i="7"/>
  <c r="B373" i="7"/>
  <c r="N353" i="7"/>
  <c r="J353" i="7"/>
  <c r="F353" i="7"/>
  <c r="B353" i="7"/>
  <c r="N331" i="7"/>
  <c r="J331" i="7"/>
  <c r="F331" i="7"/>
  <c r="B331" i="7"/>
  <c r="N311" i="7"/>
  <c r="J311" i="7"/>
  <c r="F311" i="7"/>
  <c r="B311" i="7"/>
  <c r="N289" i="7"/>
  <c r="J289" i="7"/>
  <c r="F289" i="7"/>
  <c r="B289" i="7"/>
  <c r="N269" i="7"/>
  <c r="J269" i="7"/>
  <c r="F269" i="7"/>
  <c r="B269" i="7"/>
  <c r="N247" i="7"/>
  <c r="J247" i="7"/>
  <c r="F247" i="7"/>
  <c r="B247" i="7"/>
  <c r="N227" i="7"/>
  <c r="J227" i="7"/>
  <c r="F227" i="7"/>
  <c r="B227" i="7"/>
  <c r="N205" i="7"/>
  <c r="J205" i="7"/>
  <c r="F205" i="7"/>
  <c r="B205" i="7"/>
  <c r="N185" i="7"/>
  <c r="J185" i="7"/>
  <c r="F185" i="7"/>
  <c r="B185" i="7"/>
  <c r="N163" i="7"/>
  <c r="J163" i="7"/>
  <c r="F163" i="7"/>
  <c r="B163" i="7"/>
  <c r="N143" i="7"/>
  <c r="J143" i="7"/>
  <c r="F143" i="7"/>
  <c r="B143" i="7"/>
  <c r="N121" i="7"/>
  <c r="J121" i="7"/>
  <c r="F121" i="7"/>
  <c r="B121" i="7"/>
  <c r="N101" i="7"/>
  <c r="J101" i="7"/>
  <c r="F101" i="7"/>
  <c r="B101" i="7"/>
  <c r="N79" i="7"/>
  <c r="J79" i="7"/>
  <c r="F79" i="7"/>
  <c r="B79" i="7"/>
  <c r="N59" i="7"/>
  <c r="J59" i="7"/>
  <c r="F59" i="7"/>
  <c r="B59" i="7"/>
  <c r="N37" i="7"/>
  <c r="J37" i="7"/>
  <c r="F37" i="7"/>
  <c r="B37" i="7"/>
  <c r="N24" i="7"/>
  <c r="N46" i="7" s="1"/>
  <c r="N66" i="7" s="1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22" i="7"/>
  <c r="N44" i="7" s="1"/>
  <c r="N45" i="7" s="1"/>
  <c r="N17" i="7"/>
  <c r="J17" i="7"/>
  <c r="F17" i="7"/>
  <c r="N48" i="8" l="1"/>
  <c r="N67" i="8"/>
  <c r="N65" i="8"/>
  <c r="N64" i="8"/>
  <c r="N86" i="8" s="1"/>
  <c r="N87" i="8" s="1"/>
  <c r="N26" i="7"/>
  <c r="N64" i="7"/>
  <c r="N86" i="7" s="1"/>
  <c r="N87" i="7" s="1"/>
  <c r="N65" i="7"/>
  <c r="N23" i="7"/>
  <c r="N68" i="8" l="1"/>
  <c r="N89" i="8" s="1"/>
  <c r="N106" i="8"/>
  <c r="N128" i="8" s="1"/>
  <c r="N129" i="8" s="1"/>
  <c r="N107" i="8"/>
  <c r="N47" i="7"/>
  <c r="N106" i="7"/>
  <c r="N128" i="7" s="1"/>
  <c r="N129" i="7" s="1"/>
  <c r="N107" i="7"/>
  <c r="N90" i="8" l="1"/>
  <c r="N109" i="8" s="1"/>
  <c r="N148" i="8"/>
  <c r="N170" i="8" s="1"/>
  <c r="N171" i="8" s="1"/>
  <c r="N149" i="8"/>
  <c r="N48" i="7"/>
  <c r="N67" i="7" s="1"/>
  <c r="N148" i="7"/>
  <c r="N170" i="7" s="1"/>
  <c r="N171" i="7" s="1"/>
  <c r="N149" i="7"/>
  <c r="N110" i="8" l="1"/>
  <c r="N131" i="8" s="1"/>
  <c r="N190" i="8"/>
  <c r="N212" i="8" s="1"/>
  <c r="N213" i="8" s="1"/>
  <c r="N191" i="8"/>
  <c r="N68" i="7"/>
  <c r="N89" i="7" s="1"/>
  <c r="N190" i="7"/>
  <c r="N212" i="7" s="1"/>
  <c r="N213" i="7" s="1"/>
  <c r="N191" i="7"/>
  <c r="N132" i="8" l="1"/>
  <c r="N151" i="8" s="1"/>
  <c r="N232" i="8"/>
  <c r="N254" i="8" s="1"/>
  <c r="N255" i="8" s="1"/>
  <c r="N233" i="8"/>
  <c r="N90" i="7"/>
  <c r="N109" i="7" s="1"/>
  <c r="N233" i="7"/>
  <c r="N232" i="7"/>
  <c r="N254" i="7" s="1"/>
  <c r="N255" i="7" s="1"/>
  <c r="N152" i="8" l="1"/>
  <c r="N173" i="8" s="1"/>
  <c r="N275" i="8"/>
  <c r="N274" i="8"/>
  <c r="N296" i="8" s="1"/>
  <c r="N297" i="8" s="1"/>
  <c r="N110" i="7"/>
  <c r="N131" i="7" s="1"/>
  <c r="N274" i="7"/>
  <c r="N296" i="7" s="1"/>
  <c r="N297" i="7" s="1"/>
  <c r="N275" i="7"/>
  <c r="AK3" i="7"/>
  <c r="N174" i="8" l="1"/>
  <c r="N193" i="8" s="1"/>
  <c r="N316" i="8"/>
  <c r="N338" i="8" s="1"/>
  <c r="N339" i="8" s="1"/>
  <c r="N317" i="8"/>
  <c r="N132" i="7"/>
  <c r="N151" i="7" s="1"/>
  <c r="N316" i="7"/>
  <c r="N338" i="7" s="1"/>
  <c r="N339" i="7" s="1"/>
  <c r="N317" i="7"/>
  <c r="O2" i="15"/>
  <c r="N3" i="15"/>
  <c r="M4" i="15"/>
  <c r="M5" i="15"/>
  <c r="M6" i="15"/>
  <c r="M7" i="15"/>
  <c r="M8" i="15"/>
  <c r="M9" i="15"/>
  <c r="M10" i="15"/>
  <c r="M11" i="15"/>
  <c r="N12" i="15"/>
  <c r="M13" i="15"/>
  <c r="M14" i="15"/>
  <c r="M15" i="15"/>
  <c r="M16" i="15"/>
  <c r="M17" i="15"/>
  <c r="M18" i="15"/>
  <c r="M19" i="15"/>
  <c r="M20" i="15"/>
  <c r="N21" i="15"/>
  <c r="M22" i="15"/>
  <c r="M23" i="15"/>
  <c r="M24" i="15"/>
  <c r="M25" i="15"/>
  <c r="M26" i="15"/>
  <c r="M27" i="15"/>
  <c r="M28" i="15"/>
  <c r="M29" i="15"/>
  <c r="N30" i="15"/>
  <c r="M31" i="15"/>
  <c r="M32" i="15"/>
  <c r="M33" i="15"/>
  <c r="M34" i="15"/>
  <c r="M35" i="15"/>
  <c r="M36" i="15"/>
  <c r="M37" i="15"/>
  <c r="M38" i="15"/>
  <c r="N39" i="15"/>
  <c r="M40" i="15"/>
  <c r="M41" i="15"/>
  <c r="M42" i="15"/>
  <c r="M43" i="15"/>
  <c r="M44" i="15"/>
  <c r="M45" i="15"/>
  <c r="M46" i="15"/>
  <c r="M47" i="15"/>
  <c r="N48" i="15"/>
  <c r="M49" i="15"/>
  <c r="M50" i="15"/>
  <c r="M51" i="15"/>
  <c r="M52" i="15"/>
  <c r="M53" i="15"/>
  <c r="M54" i="15"/>
  <c r="M55" i="15"/>
  <c r="M56" i="15"/>
  <c r="N57" i="15"/>
  <c r="M58" i="15"/>
  <c r="M59" i="15"/>
  <c r="M60" i="15"/>
  <c r="M61" i="15"/>
  <c r="M62" i="15"/>
  <c r="M63" i="15"/>
  <c r="M64" i="15"/>
  <c r="M65" i="15"/>
  <c r="N66" i="15"/>
  <c r="M67" i="15"/>
  <c r="M68" i="15"/>
  <c r="M69" i="15"/>
  <c r="M70" i="15"/>
  <c r="M71" i="15"/>
  <c r="M72" i="15"/>
  <c r="M73" i="15"/>
  <c r="M74" i="15"/>
  <c r="N75" i="15"/>
  <c r="M76" i="15"/>
  <c r="M77" i="15"/>
  <c r="M78" i="15"/>
  <c r="M79" i="15"/>
  <c r="M80" i="15"/>
  <c r="M81" i="15"/>
  <c r="M82" i="15"/>
  <c r="M83" i="15"/>
  <c r="N84" i="15"/>
  <c r="M85" i="15"/>
  <c r="M86" i="15"/>
  <c r="M87" i="15"/>
  <c r="M88" i="15"/>
  <c r="M89" i="15"/>
  <c r="M90" i="15"/>
  <c r="M91" i="15"/>
  <c r="M92" i="15"/>
  <c r="N93" i="15"/>
  <c r="M94" i="15"/>
  <c r="M95" i="15"/>
  <c r="M96" i="15"/>
  <c r="M97" i="15"/>
  <c r="M98" i="15"/>
  <c r="M99" i="15"/>
  <c r="M100" i="15"/>
  <c r="M101" i="15"/>
  <c r="N102" i="15"/>
  <c r="M103" i="15"/>
  <c r="M104" i="15"/>
  <c r="M105" i="15"/>
  <c r="M106" i="15"/>
  <c r="M107" i="15"/>
  <c r="M108" i="15"/>
  <c r="M109" i="15"/>
  <c r="M110" i="15"/>
  <c r="N111" i="15"/>
  <c r="M112" i="15"/>
  <c r="M113" i="15"/>
  <c r="M114" i="15"/>
  <c r="M115" i="15"/>
  <c r="M116" i="15"/>
  <c r="M117" i="15"/>
  <c r="M118" i="15"/>
  <c r="M119" i="15"/>
  <c r="N120" i="15"/>
  <c r="M121" i="15"/>
  <c r="M122" i="15"/>
  <c r="M123" i="15"/>
  <c r="M124" i="15"/>
  <c r="M125" i="15"/>
  <c r="M126" i="15"/>
  <c r="M127" i="15"/>
  <c r="M128" i="15"/>
  <c r="N129" i="15"/>
  <c r="M130" i="15"/>
  <c r="M131" i="15"/>
  <c r="M132" i="15"/>
  <c r="M133" i="15"/>
  <c r="M134" i="15"/>
  <c r="M135" i="15"/>
  <c r="M136" i="15"/>
  <c r="M137" i="15"/>
  <c r="N138" i="15"/>
  <c r="M139" i="15"/>
  <c r="M140" i="15"/>
  <c r="M141" i="15"/>
  <c r="M142" i="15"/>
  <c r="M143" i="15"/>
  <c r="M144" i="15"/>
  <c r="M145" i="15"/>
  <c r="M146" i="15"/>
  <c r="I2" i="15"/>
  <c r="H3" i="15"/>
  <c r="G4" i="15"/>
  <c r="G5" i="15"/>
  <c r="G6" i="15"/>
  <c r="G7" i="15"/>
  <c r="G8" i="15"/>
  <c r="G9" i="15"/>
  <c r="G10" i="15"/>
  <c r="G11" i="15"/>
  <c r="H12" i="15"/>
  <c r="G13" i="15"/>
  <c r="G14" i="15"/>
  <c r="G15" i="15"/>
  <c r="G16" i="15"/>
  <c r="G17" i="15"/>
  <c r="G18" i="15"/>
  <c r="G19" i="15"/>
  <c r="G20" i="15"/>
  <c r="H21" i="15"/>
  <c r="G22" i="15"/>
  <c r="G23" i="15"/>
  <c r="G24" i="15"/>
  <c r="G25" i="15"/>
  <c r="G26" i="15"/>
  <c r="G27" i="15"/>
  <c r="G28" i="15"/>
  <c r="G29" i="15"/>
  <c r="H30" i="15"/>
  <c r="G31" i="15"/>
  <c r="G32" i="15"/>
  <c r="G33" i="15"/>
  <c r="G34" i="15"/>
  <c r="G35" i="15"/>
  <c r="G36" i="15"/>
  <c r="G37" i="15"/>
  <c r="G38" i="15"/>
  <c r="H39" i="15"/>
  <c r="G40" i="15"/>
  <c r="G41" i="15"/>
  <c r="G42" i="15"/>
  <c r="G43" i="15"/>
  <c r="G44" i="15"/>
  <c r="G45" i="15"/>
  <c r="G46" i="15"/>
  <c r="G47" i="15"/>
  <c r="H48" i="15"/>
  <c r="G49" i="15"/>
  <c r="G50" i="15"/>
  <c r="G51" i="15"/>
  <c r="G52" i="15"/>
  <c r="G53" i="15"/>
  <c r="G54" i="15"/>
  <c r="G55" i="15"/>
  <c r="G56" i="15"/>
  <c r="H57" i="15"/>
  <c r="G58" i="15"/>
  <c r="G59" i="15"/>
  <c r="G60" i="15"/>
  <c r="G61" i="15"/>
  <c r="G62" i="15"/>
  <c r="G63" i="15"/>
  <c r="G64" i="15"/>
  <c r="G65" i="15"/>
  <c r="H66" i="15"/>
  <c r="G67" i="15"/>
  <c r="G68" i="15"/>
  <c r="G69" i="15"/>
  <c r="G70" i="15"/>
  <c r="G71" i="15"/>
  <c r="G72" i="15"/>
  <c r="G73" i="15"/>
  <c r="G74" i="15"/>
  <c r="H75" i="15"/>
  <c r="G76" i="15"/>
  <c r="G77" i="15"/>
  <c r="G78" i="15"/>
  <c r="G79" i="15"/>
  <c r="G80" i="15"/>
  <c r="G81" i="15"/>
  <c r="G82" i="15"/>
  <c r="G83" i="15"/>
  <c r="H84" i="15"/>
  <c r="G85" i="15"/>
  <c r="G86" i="15"/>
  <c r="G87" i="15"/>
  <c r="G88" i="15"/>
  <c r="G89" i="15"/>
  <c r="G90" i="15"/>
  <c r="G91" i="15"/>
  <c r="G92" i="15"/>
  <c r="H93" i="15"/>
  <c r="G94" i="15"/>
  <c r="G95" i="15"/>
  <c r="G96" i="15"/>
  <c r="G97" i="15"/>
  <c r="G98" i="15"/>
  <c r="G99" i="15"/>
  <c r="G100" i="15"/>
  <c r="G101" i="15"/>
  <c r="H102" i="15"/>
  <c r="G103" i="15"/>
  <c r="G104" i="15"/>
  <c r="G105" i="15"/>
  <c r="G106" i="15"/>
  <c r="G107" i="15"/>
  <c r="G108" i="15"/>
  <c r="G109" i="15"/>
  <c r="G110" i="15"/>
  <c r="H111" i="15"/>
  <c r="G112" i="15"/>
  <c r="G113" i="15"/>
  <c r="G114" i="15"/>
  <c r="G115" i="15"/>
  <c r="G116" i="15"/>
  <c r="G117" i="15"/>
  <c r="G118" i="15"/>
  <c r="G119" i="15"/>
  <c r="H120" i="15"/>
  <c r="G121" i="15"/>
  <c r="G122" i="15"/>
  <c r="G123" i="15"/>
  <c r="G124" i="15"/>
  <c r="G125" i="15"/>
  <c r="G126" i="15"/>
  <c r="G127" i="15"/>
  <c r="G128" i="15"/>
  <c r="H129" i="15"/>
  <c r="G130" i="15"/>
  <c r="G131" i="15"/>
  <c r="G132" i="15"/>
  <c r="G133" i="15"/>
  <c r="G134" i="15"/>
  <c r="G135" i="15"/>
  <c r="G136" i="15"/>
  <c r="G137" i="15"/>
  <c r="H138" i="15"/>
  <c r="G139" i="15"/>
  <c r="G140" i="15"/>
  <c r="G141" i="15"/>
  <c r="G142" i="15"/>
  <c r="G143" i="15"/>
  <c r="G144" i="15"/>
  <c r="G145" i="15"/>
  <c r="G146" i="15"/>
  <c r="C2" i="15"/>
  <c r="B3" i="15"/>
  <c r="A4" i="15"/>
  <c r="A5" i="15"/>
  <c r="A6" i="15"/>
  <c r="A7" i="15"/>
  <c r="A8" i="15"/>
  <c r="A9" i="15"/>
  <c r="A10" i="15"/>
  <c r="A11" i="15"/>
  <c r="B12" i="15"/>
  <c r="A13" i="15"/>
  <c r="A14" i="15"/>
  <c r="A15" i="15"/>
  <c r="A16" i="15"/>
  <c r="A17" i="15"/>
  <c r="A18" i="15"/>
  <c r="A19" i="15"/>
  <c r="A20" i="15"/>
  <c r="B21" i="15"/>
  <c r="A22" i="15"/>
  <c r="A23" i="15"/>
  <c r="A24" i="15"/>
  <c r="A25" i="15"/>
  <c r="A26" i="15"/>
  <c r="A27" i="15"/>
  <c r="A28" i="15"/>
  <c r="A29" i="15"/>
  <c r="B30" i="15"/>
  <c r="A31" i="15"/>
  <c r="A32" i="15"/>
  <c r="A33" i="15"/>
  <c r="A34" i="15"/>
  <c r="A35" i="15"/>
  <c r="A36" i="15"/>
  <c r="A37" i="15"/>
  <c r="A38" i="15"/>
  <c r="B39" i="15"/>
  <c r="A40" i="15"/>
  <c r="A41" i="15"/>
  <c r="A42" i="15"/>
  <c r="A43" i="15"/>
  <c r="A44" i="15"/>
  <c r="A45" i="15"/>
  <c r="A46" i="15"/>
  <c r="A47" i="15"/>
  <c r="B48" i="15"/>
  <c r="A49" i="15"/>
  <c r="A50" i="15"/>
  <c r="A51" i="15"/>
  <c r="A52" i="15"/>
  <c r="A53" i="15"/>
  <c r="A54" i="15"/>
  <c r="A55" i="15"/>
  <c r="A56" i="15"/>
  <c r="B57" i="15"/>
  <c r="A58" i="15"/>
  <c r="A59" i="15"/>
  <c r="A60" i="15"/>
  <c r="A61" i="15"/>
  <c r="A62" i="15"/>
  <c r="A63" i="15"/>
  <c r="A64" i="15"/>
  <c r="A65" i="15"/>
  <c r="B66" i="15"/>
  <c r="A67" i="15"/>
  <c r="A68" i="15"/>
  <c r="A69" i="15"/>
  <c r="A70" i="15"/>
  <c r="A71" i="15"/>
  <c r="A72" i="15"/>
  <c r="A73" i="15"/>
  <c r="A74" i="15"/>
  <c r="B75" i="15"/>
  <c r="A76" i="15"/>
  <c r="A77" i="15"/>
  <c r="A78" i="15"/>
  <c r="A79" i="15"/>
  <c r="A80" i="15"/>
  <c r="A81" i="15"/>
  <c r="A82" i="15"/>
  <c r="A83" i="15"/>
  <c r="B84" i="15"/>
  <c r="A85" i="15"/>
  <c r="A86" i="15"/>
  <c r="A87" i="15"/>
  <c r="A88" i="15"/>
  <c r="A89" i="15"/>
  <c r="A90" i="15"/>
  <c r="A91" i="15"/>
  <c r="A92" i="15"/>
  <c r="A93" i="15"/>
  <c r="B93" i="15"/>
  <c r="A94" i="15"/>
  <c r="A95" i="15"/>
  <c r="A96" i="15"/>
  <c r="A97" i="15"/>
  <c r="A98" i="15"/>
  <c r="A99" i="15"/>
  <c r="A100" i="15"/>
  <c r="A101" i="15"/>
  <c r="A102" i="15"/>
  <c r="B102" i="15"/>
  <c r="A103" i="15"/>
  <c r="A104" i="15"/>
  <c r="A105" i="15"/>
  <c r="A106" i="15"/>
  <c r="A107" i="15"/>
  <c r="A108" i="15"/>
  <c r="A109" i="15"/>
  <c r="A110" i="15"/>
  <c r="B111" i="15"/>
  <c r="A112" i="15"/>
  <c r="A113" i="15"/>
  <c r="A114" i="15"/>
  <c r="A115" i="15"/>
  <c r="A116" i="15"/>
  <c r="A117" i="15"/>
  <c r="A118" i="15"/>
  <c r="A119" i="15"/>
  <c r="B120" i="15"/>
  <c r="A121" i="15"/>
  <c r="A122" i="15"/>
  <c r="A123" i="15"/>
  <c r="A124" i="15"/>
  <c r="A125" i="15"/>
  <c r="A126" i="15"/>
  <c r="A127" i="15"/>
  <c r="A128" i="15"/>
  <c r="B129" i="15"/>
  <c r="A130" i="15"/>
  <c r="A131" i="15"/>
  <c r="A132" i="15"/>
  <c r="A133" i="15"/>
  <c r="A134" i="15"/>
  <c r="A135" i="15"/>
  <c r="A136" i="15"/>
  <c r="A137" i="15"/>
  <c r="B138" i="15"/>
  <c r="A139" i="15"/>
  <c r="A140" i="15"/>
  <c r="A141" i="15"/>
  <c r="A142" i="15"/>
  <c r="A143" i="15"/>
  <c r="A144" i="15"/>
  <c r="A145" i="15"/>
  <c r="A146" i="15"/>
  <c r="C143" i="10"/>
  <c r="O143" i="15" s="1"/>
  <c r="C136" i="10"/>
  <c r="O136" i="15" s="1"/>
  <c r="C135" i="10"/>
  <c r="O135" i="15" s="1"/>
  <c r="C133" i="10"/>
  <c r="O133" i="15" s="1"/>
  <c r="C130" i="10"/>
  <c r="O130" i="15" s="1"/>
  <c r="C128" i="10"/>
  <c r="O128" i="15" s="1"/>
  <c r="C126" i="10"/>
  <c r="O126" i="15" s="1"/>
  <c r="C125" i="10"/>
  <c r="O125" i="15" s="1"/>
  <c r="C123" i="10"/>
  <c r="O123" i="15" s="1"/>
  <c r="C122" i="10"/>
  <c r="O122" i="15" s="1"/>
  <c r="C118" i="10"/>
  <c r="O118" i="15" s="1"/>
  <c r="C115" i="10"/>
  <c r="O115" i="15" s="1"/>
  <c r="C103" i="10"/>
  <c r="O103" i="15" s="1"/>
  <c r="C99" i="10"/>
  <c r="O99" i="15" s="1"/>
  <c r="C96" i="10"/>
  <c r="O96" i="15" s="1"/>
  <c r="C89" i="10"/>
  <c r="O89" i="15" s="1"/>
  <c r="C86" i="10"/>
  <c r="O86" i="15" s="1"/>
  <c r="C82" i="10"/>
  <c r="O82" i="15" s="1"/>
  <c r="C79" i="10"/>
  <c r="O79" i="15" s="1"/>
  <c r="C71" i="10"/>
  <c r="O71" i="15" s="1"/>
  <c r="C68" i="10"/>
  <c r="O68" i="15" s="1"/>
  <c r="C67" i="10"/>
  <c r="O67" i="15" s="1"/>
  <c r="C61" i="10"/>
  <c r="O61" i="15" s="1"/>
  <c r="C60" i="10"/>
  <c r="O60" i="15" s="1"/>
  <c r="C56" i="10"/>
  <c r="O56" i="15" s="1"/>
  <c r="C54" i="10"/>
  <c r="O54" i="15" s="1"/>
  <c r="C53" i="10"/>
  <c r="O53" i="15" s="1"/>
  <c r="C51" i="10"/>
  <c r="O51" i="15" s="1"/>
  <c r="C47" i="10"/>
  <c r="O47" i="15" s="1"/>
  <c r="C46" i="10"/>
  <c r="O46" i="15" s="1"/>
  <c r="C43" i="10"/>
  <c r="O43" i="15" s="1"/>
  <c r="C31" i="10"/>
  <c r="O31" i="15" s="1"/>
  <c r="C25" i="10"/>
  <c r="O25" i="15" s="1"/>
  <c r="C22" i="10"/>
  <c r="O22" i="15" s="1"/>
  <c r="C20" i="10"/>
  <c r="O20" i="15" s="1"/>
  <c r="C18" i="10"/>
  <c r="O18" i="15" s="1"/>
  <c r="C17" i="10"/>
  <c r="O17" i="15" s="1"/>
  <c r="C16" i="10"/>
  <c r="O16" i="15" s="1"/>
  <c r="C15" i="10"/>
  <c r="O15" i="15" s="1"/>
  <c r="C14" i="10"/>
  <c r="O14" i="15" s="1"/>
  <c r="C13" i="10"/>
  <c r="O13" i="15" s="1"/>
  <c r="C10" i="10"/>
  <c r="O10" i="15" s="1"/>
  <c r="C7" i="10"/>
  <c r="O7" i="15" s="1"/>
  <c r="C140" i="10"/>
  <c r="O140" i="15" s="1"/>
  <c r="C139" i="10"/>
  <c r="O139" i="15" s="1"/>
  <c r="C119" i="10"/>
  <c r="O119" i="15" s="1"/>
  <c r="C107" i="10"/>
  <c r="O107" i="15" s="1"/>
  <c r="C104" i="10"/>
  <c r="O104" i="15" s="1"/>
  <c r="C94" i="10"/>
  <c r="O94" i="15" s="1"/>
  <c r="C92" i="10"/>
  <c r="O92" i="15" s="1"/>
  <c r="C83" i="10"/>
  <c r="O83" i="15" s="1"/>
  <c r="C58" i="10"/>
  <c r="O58" i="15" s="1"/>
  <c r="C50" i="10"/>
  <c r="O50" i="15" s="1"/>
  <c r="C35" i="10"/>
  <c r="O35" i="15" s="1"/>
  <c r="C32" i="10"/>
  <c r="O32" i="15" s="1"/>
  <c r="C28" i="10"/>
  <c r="O28" i="15" s="1"/>
  <c r="C24" i="10"/>
  <c r="O24" i="15" s="1"/>
  <c r="C11" i="10"/>
  <c r="O11" i="15" s="1"/>
  <c r="C135" i="9"/>
  <c r="I135" i="15" s="1"/>
  <c r="C128" i="9"/>
  <c r="I128" i="15" s="1"/>
  <c r="C125" i="9"/>
  <c r="I125" i="15" s="1"/>
  <c r="C122" i="9"/>
  <c r="I122" i="15" s="1"/>
  <c r="C99" i="9"/>
  <c r="I99" i="15" s="1"/>
  <c r="C96" i="9"/>
  <c r="I96" i="15" s="1"/>
  <c r="C92" i="9"/>
  <c r="I92" i="15" s="1"/>
  <c r="C89" i="9"/>
  <c r="I89" i="15" s="1"/>
  <c r="C86" i="9"/>
  <c r="I86" i="15" s="1"/>
  <c r="C71" i="9"/>
  <c r="I71" i="15" s="1"/>
  <c r="C68" i="9"/>
  <c r="I68" i="15" s="1"/>
  <c r="C63" i="9"/>
  <c r="I63" i="15" s="1"/>
  <c r="C59" i="9"/>
  <c r="I59" i="15" s="1"/>
  <c r="C56" i="9"/>
  <c r="I56" i="15" s="1"/>
  <c r="C55" i="9"/>
  <c r="I55" i="15" s="1"/>
  <c r="C53" i="9"/>
  <c r="I53" i="15" s="1"/>
  <c r="C50" i="9"/>
  <c r="I50" i="15" s="1"/>
  <c r="C35" i="9"/>
  <c r="I35" i="15" s="1"/>
  <c r="C32" i="9"/>
  <c r="I32" i="15" s="1"/>
  <c r="C31" i="9"/>
  <c r="I31" i="15" s="1"/>
  <c r="C27" i="9"/>
  <c r="I27" i="15" s="1"/>
  <c r="C26" i="9"/>
  <c r="I26" i="15" s="1"/>
  <c r="C23" i="9"/>
  <c r="I23" i="15" s="1"/>
  <c r="C20" i="9"/>
  <c r="I20" i="15" s="1"/>
  <c r="C19" i="9"/>
  <c r="I19" i="15" s="1"/>
  <c r="C17" i="9"/>
  <c r="I17" i="15" s="1"/>
  <c r="C16" i="9"/>
  <c r="I16" i="15" s="1"/>
  <c r="C14" i="9"/>
  <c r="I14" i="15" s="1"/>
  <c r="N3" i="4"/>
  <c r="N5" i="4" s="1"/>
  <c r="E146" i="10"/>
  <c r="Q146" i="15" s="1"/>
  <c r="C146" i="10"/>
  <c r="O146" i="15" s="1"/>
  <c r="B146" i="10"/>
  <c r="E145" i="10"/>
  <c r="Q145" i="15" s="1"/>
  <c r="C145" i="10"/>
  <c r="O145" i="15" s="1"/>
  <c r="B145" i="10"/>
  <c r="E144" i="10"/>
  <c r="Q144" i="15" s="1"/>
  <c r="C144" i="10"/>
  <c r="O144" i="15" s="1"/>
  <c r="B144" i="10"/>
  <c r="E143" i="10"/>
  <c r="Q143" i="15" s="1"/>
  <c r="B143" i="10"/>
  <c r="E142" i="10"/>
  <c r="Q142" i="15" s="1"/>
  <c r="C142" i="10"/>
  <c r="O142" i="15" s="1"/>
  <c r="B142" i="10"/>
  <c r="E141" i="10"/>
  <c r="Q141" i="15" s="1"/>
  <c r="C141" i="10"/>
  <c r="O141" i="15" s="1"/>
  <c r="B141" i="10"/>
  <c r="E140" i="10"/>
  <c r="Q140" i="15" s="1"/>
  <c r="B140" i="10"/>
  <c r="E139" i="10"/>
  <c r="Q139" i="15" s="1"/>
  <c r="B139" i="10"/>
  <c r="E137" i="10"/>
  <c r="Q137" i="15" s="1"/>
  <c r="C137" i="10"/>
  <c r="O137" i="15" s="1"/>
  <c r="B137" i="10"/>
  <c r="E136" i="10"/>
  <c r="Q136" i="15" s="1"/>
  <c r="B136" i="10"/>
  <c r="E135" i="10"/>
  <c r="Q135" i="15" s="1"/>
  <c r="B135" i="10"/>
  <c r="E134" i="10"/>
  <c r="Q134" i="15" s="1"/>
  <c r="C134" i="10"/>
  <c r="O134" i="15" s="1"/>
  <c r="B134" i="10"/>
  <c r="E133" i="10"/>
  <c r="Q133" i="15" s="1"/>
  <c r="B133" i="10"/>
  <c r="E132" i="10"/>
  <c r="Q132" i="15" s="1"/>
  <c r="C132" i="10"/>
  <c r="O132" i="15" s="1"/>
  <c r="B132" i="10"/>
  <c r="E131" i="10"/>
  <c r="Q131" i="15" s="1"/>
  <c r="C131" i="10"/>
  <c r="O131" i="15" s="1"/>
  <c r="B131" i="10"/>
  <c r="E130" i="10"/>
  <c r="Q130" i="15" s="1"/>
  <c r="B130" i="10"/>
  <c r="E128" i="10"/>
  <c r="Q128" i="15" s="1"/>
  <c r="B128" i="10"/>
  <c r="E127" i="10"/>
  <c r="Q127" i="15" s="1"/>
  <c r="C127" i="10"/>
  <c r="O127" i="15" s="1"/>
  <c r="B127" i="10"/>
  <c r="E126" i="10"/>
  <c r="Q126" i="15" s="1"/>
  <c r="B126" i="10"/>
  <c r="E125" i="10"/>
  <c r="Q125" i="15" s="1"/>
  <c r="B125" i="10"/>
  <c r="E124" i="10"/>
  <c r="Q124" i="15" s="1"/>
  <c r="C124" i="10"/>
  <c r="O124" i="15" s="1"/>
  <c r="B124" i="10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C117" i="10"/>
  <c r="O117" i="15" s="1"/>
  <c r="B117" i="10"/>
  <c r="E116" i="10"/>
  <c r="Q116" i="15" s="1"/>
  <c r="C116" i="10"/>
  <c r="O116" i="15" s="1"/>
  <c r="B116" i="10"/>
  <c r="E115" i="10"/>
  <c r="Q115" i="15" s="1"/>
  <c r="B115" i="10"/>
  <c r="E114" i="10"/>
  <c r="Q114" i="15" s="1"/>
  <c r="C114" i="10"/>
  <c r="O114" i="15" s="1"/>
  <c r="B114" i="10"/>
  <c r="E113" i="10"/>
  <c r="Q113" i="15" s="1"/>
  <c r="C113" i="10"/>
  <c r="O113" i="15" s="1"/>
  <c r="B113" i="10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C109" i="10"/>
  <c r="O109" i="15" s="1"/>
  <c r="B109" i="10"/>
  <c r="E108" i="10"/>
  <c r="Q108" i="15" s="1"/>
  <c r="C108" i="10"/>
  <c r="O108" i="15" s="1"/>
  <c r="B108" i="10"/>
  <c r="E107" i="10"/>
  <c r="Q107" i="15" s="1"/>
  <c r="B107" i="10"/>
  <c r="E106" i="10"/>
  <c r="Q106" i="15" s="1"/>
  <c r="C106" i="10"/>
  <c r="O106" i="15" s="1"/>
  <c r="B106" i="10"/>
  <c r="E105" i="10"/>
  <c r="Q105" i="15" s="1"/>
  <c r="C105" i="10"/>
  <c r="O105" i="15" s="1"/>
  <c r="B105" i="10"/>
  <c r="E104" i="10"/>
  <c r="Q104" i="15" s="1"/>
  <c r="B104" i="10"/>
  <c r="E103" i="10"/>
  <c r="Q103" i="15" s="1"/>
  <c r="B103" i="10"/>
  <c r="E101" i="10"/>
  <c r="Q101" i="15" s="1"/>
  <c r="C101" i="10"/>
  <c r="O101" i="15" s="1"/>
  <c r="B101" i="10"/>
  <c r="E100" i="10"/>
  <c r="Q100" i="15" s="1"/>
  <c r="C100" i="10"/>
  <c r="O100" i="15" s="1"/>
  <c r="B100" i="10"/>
  <c r="E99" i="10"/>
  <c r="Q99" i="15" s="1"/>
  <c r="B99" i="10"/>
  <c r="E98" i="10"/>
  <c r="Q98" i="15" s="1"/>
  <c r="C98" i="10"/>
  <c r="O98" i="15" s="1"/>
  <c r="B98" i="10"/>
  <c r="E97" i="10"/>
  <c r="Q97" i="15" s="1"/>
  <c r="C97" i="10"/>
  <c r="O97" i="15" s="1"/>
  <c r="B97" i="10"/>
  <c r="E96" i="10"/>
  <c r="Q96" i="15" s="1"/>
  <c r="B96" i="10"/>
  <c r="E95" i="10"/>
  <c r="Q95" i="15" s="1"/>
  <c r="C95" i="10"/>
  <c r="O95" i="15" s="1"/>
  <c r="B95" i="10"/>
  <c r="E94" i="10"/>
  <c r="Q94" i="15" s="1"/>
  <c r="B94" i="10"/>
  <c r="E92" i="10"/>
  <c r="Q92" i="15" s="1"/>
  <c r="B92" i="10"/>
  <c r="E91" i="10"/>
  <c r="Q91" i="15" s="1"/>
  <c r="C91" i="10"/>
  <c r="O91" i="15" s="1"/>
  <c r="B91" i="10"/>
  <c r="E90" i="10"/>
  <c r="Q90" i="15" s="1"/>
  <c r="C90" i="10"/>
  <c r="O90" i="15" s="1"/>
  <c r="B90" i="10"/>
  <c r="E89" i="10"/>
  <c r="Q89" i="15" s="1"/>
  <c r="B89" i="10"/>
  <c r="E88" i="10"/>
  <c r="Q88" i="15" s="1"/>
  <c r="C88" i="10"/>
  <c r="O88" i="15" s="1"/>
  <c r="B88" i="10"/>
  <c r="E87" i="10"/>
  <c r="Q87" i="15" s="1"/>
  <c r="C87" i="10"/>
  <c r="O87" i="15" s="1"/>
  <c r="B87" i="10"/>
  <c r="E86" i="10"/>
  <c r="Q86" i="15" s="1"/>
  <c r="B86" i="10"/>
  <c r="E85" i="10"/>
  <c r="Q85" i="15" s="1"/>
  <c r="C85" i="10"/>
  <c r="O85" i="15" s="1"/>
  <c r="B85" i="10"/>
  <c r="E83" i="10"/>
  <c r="Q83" i="15" s="1"/>
  <c r="B83" i="10"/>
  <c r="E82" i="10"/>
  <c r="Q82" i="15" s="1"/>
  <c r="B82" i="10"/>
  <c r="E81" i="10"/>
  <c r="Q81" i="15" s="1"/>
  <c r="C81" i="10"/>
  <c r="O81" i="15" s="1"/>
  <c r="B81" i="10"/>
  <c r="E80" i="10"/>
  <c r="Q80" i="15" s="1"/>
  <c r="C80" i="10"/>
  <c r="O80" i="15" s="1"/>
  <c r="B80" i="10"/>
  <c r="E79" i="10"/>
  <c r="Q79" i="15" s="1"/>
  <c r="B79" i="10"/>
  <c r="E78" i="10"/>
  <c r="Q78" i="15" s="1"/>
  <c r="C78" i="10"/>
  <c r="O78" i="15" s="1"/>
  <c r="B78" i="10"/>
  <c r="E77" i="10"/>
  <c r="Q77" i="15" s="1"/>
  <c r="C77" i="10"/>
  <c r="O77" i="15" s="1"/>
  <c r="B77" i="10"/>
  <c r="E76" i="10"/>
  <c r="Q76" i="15" s="1"/>
  <c r="C76" i="10"/>
  <c r="O76" i="15" s="1"/>
  <c r="B76" i="10"/>
  <c r="E74" i="10"/>
  <c r="Q74" i="15" s="1"/>
  <c r="C74" i="10"/>
  <c r="O74" i="15" s="1"/>
  <c r="B74" i="10"/>
  <c r="E73" i="10"/>
  <c r="Q73" i="15" s="1"/>
  <c r="C73" i="10"/>
  <c r="O73" i="15" s="1"/>
  <c r="B73" i="10"/>
  <c r="E72" i="10"/>
  <c r="Q72" i="15" s="1"/>
  <c r="C72" i="10"/>
  <c r="O72" i="15" s="1"/>
  <c r="B72" i="10"/>
  <c r="E71" i="10"/>
  <c r="Q71" i="15" s="1"/>
  <c r="B71" i="10"/>
  <c r="E70" i="10"/>
  <c r="Q70" i="15" s="1"/>
  <c r="C70" i="10"/>
  <c r="O70" i="15" s="1"/>
  <c r="B70" i="10"/>
  <c r="E69" i="10"/>
  <c r="Q69" i="15" s="1"/>
  <c r="C69" i="10"/>
  <c r="O69" i="15" s="1"/>
  <c r="B69" i="10"/>
  <c r="E68" i="10"/>
  <c r="Q68" i="15" s="1"/>
  <c r="B68" i="10"/>
  <c r="E67" i="10"/>
  <c r="Q67" i="15" s="1"/>
  <c r="B67" i="10"/>
  <c r="E65" i="10"/>
  <c r="Q65" i="15" s="1"/>
  <c r="C65" i="10"/>
  <c r="O65" i="15" s="1"/>
  <c r="B65" i="10"/>
  <c r="E64" i="10"/>
  <c r="Q64" i="15" s="1"/>
  <c r="C64" i="10"/>
  <c r="O64" i="15" s="1"/>
  <c r="B64" i="10"/>
  <c r="E63" i="10"/>
  <c r="Q63" i="15" s="1"/>
  <c r="C63" i="10"/>
  <c r="O63" i="15" s="1"/>
  <c r="B63" i="10"/>
  <c r="E62" i="10"/>
  <c r="Q62" i="15" s="1"/>
  <c r="C62" i="10"/>
  <c r="O62" i="15" s="1"/>
  <c r="B62" i="10"/>
  <c r="E61" i="10"/>
  <c r="Q61" i="15" s="1"/>
  <c r="B61" i="10"/>
  <c r="E60" i="10"/>
  <c r="Q60" i="15" s="1"/>
  <c r="B60" i="10"/>
  <c r="E59" i="10"/>
  <c r="Q59" i="15" s="1"/>
  <c r="C59" i="10"/>
  <c r="O59" i="15" s="1"/>
  <c r="B59" i="10"/>
  <c r="E58" i="10"/>
  <c r="Q58" i="15" s="1"/>
  <c r="B58" i="10"/>
  <c r="E56" i="10"/>
  <c r="Q56" i="15" s="1"/>
  <c r="B56" i="10"/>
  <c r="E55" i="10"/>
  <c r="Q55" i="15" s="1"/>
  <c r="C55" i="10"/>
  <c r="O55" i="15" s="1"/>
  <c r="B55" i="10"/>
  <c r="E54" i="10"/>
  <c r="Q54" i="15" s="1"/>
  <c r="B54" i="10"/>
  <c r="E53" i="10"/>
  <c r="Q53" i="15" s="1"/>
  <c r="B53" i="10"/>
  <c r="E52" i="10"/>
  <c r="Q52" i="15" s="1"/>
  <c r="C52" i="10"/>
  <c r="O52" i="15" s="1"/>
  <c r="B52" i="10"/>
  <c r="E51" i="10"/>
  <c r="Q51" i="15" s="1"/>
  <c r="B51" i="10"/>
  <c r="E50" i="10"/>
  <c r="Q50" i="15" s="1"/>
  <c r="B50" i="10"/>
  <c r="E49" i="10"/>
  <c r="Q49" i="15" s="1"/>
  <c r="C49" i="10"/>
  <c r="O49" i="15" s="1"/>
  <c r="B49" i="10"/>
  <c r="E47" i="10"/>
  <c r="Q47" i="15" s="1"/>
  <c r="B47" i="10"/>
  <c r="E46" i="10"/>
  <c r="Q46" i="15" s="1"/>
  <c r="B46" i="10"/>
  <c r="E45" i="10"/>
  <c r="Q45" i="15" s="1"/>
  <c r="C45" i="10"/>
  <c r="O45" i="15" s="1"/>
  <c r="B45" i="10"/>
  <c r="E44" i="10"/>
  <c r="Q44" i="15" s="1"/>
  <c r="C44" i="10"/>
  <c r="O44" i="15" s="1"/>
  <c r="B44" i="10"/>
  <c r="E43" i="10"/>
  <c r="Q43" i="15" s="1"/>
  <c r="B43" i="10"/>
  <c r="E42" i="10"/>
  <c r="Q42" i="15" s="1"/>
  <c r="C42" i="10"/>
  <c r="O42" i="15" s="1"/>
  <c r="B42" i="10"/>
  <c r="E41" i="10"/>
  <c r="Q41" i="15" s="1"/>
  <c r="C41" i="10"/>
  <c r="O41" i="15" s="1"/>
  <c r="B41" i="10"/>
  <c r="E40" i="10"/>
  <c r="Q40" i="15" s="1"/>
  <c r="C40" i="10"/>
  <c r="O40" i="15" s="1"/>
  <c r="B40" i="10"/>
  <c r="E38" i="10"/>
  <c r="Q38" i="15" s="1"/>
  <c r="C38" i="10"/>
  <c r="O38" i="15" s="1"/>
  <c r="B38" i="10"/>
  <c r="E37" i="10"/>
  <c r="Q37" i="15" s="1"/>
  <c r="C37" i="10"/>
  <c r="O37" i="15" s="1"/>
  <c r="B37" i="10"/>
  <c r="E36" i="10"/>
  <c r="Q36" i="15" s="1"/>
  <c r="C36" i="10"/>
  <c r="O36" i="15" s="1"/>
  <c r="B36" i="10"/>
  <c r="E35" i="10"/>
  <c r="Q35" i="15" s="1"/>
  <c r="B35" i="10"/>
  <c r="E34" i="10"/>
  <c r="Q34" i="15" s="1"/>
  <c r="C34" i="10"/>
  <c r="O34" i="15" s="1"/>
  <c r="B34" i="10"/>
  <c r="E33" i="10"/>
  <c r="Q33" i="15" s="1"/>
  <c r="C33" i="10"/>
  <c r="O33" i="15" s="1"/>
  <c r="B33" i="10"/>
  <c r="E32" i="10"/>
  <c r="Q32" i="15" s="1"/>
  <c r="B32" i="10"/>
  <c r="E31" i="10"/>
  <c r="Q31" i="15" s="1"/>
  <c r="B31" i="10"/>
  <c r="E29" i="10"/>
  <c r="Q29" i="15" s="1"/>
  <c r="C29" i="10"/>
  <c r="O29" i="15" s="1"/>
  <c r="B29" i="10"/>
  <c r="E28" i="10"/>
  <c r="Q28" i="15" s="1"/>
  <c r="B28" i="10"/>
  <c r="E27" i="10"/>
  <c r="Q27" i="15" s="1"/>
  <c r="C27" i="10"/>
  <c r="O27" i="15" s="1"/>
  <c r="B27" i="10"/>
  <c r="E26" i="10"/>
  <c r="Q26" i="15" s="1"/>
  <c r="C26" i="10"/>
  <c r="O26" i="15" s="1"/>
  <c r="B26" i="10"/>
  <c r="E25" i="10"/>
  <c r="Q25" i="15" s="1"/>
  <c r="B25" i="10"/>
  <c r="E24" i="10"/>
  <c r="Q24" i="15" s="1"/>
  <c r="B24" i="10"/>
  <c r="E23" i="10"/>
  <c r="Q23" i="15" s="1"/>
  <c r="C23" i="10"/>
  <c r="O23" i="15" s="1"/>
  <c r="B23" i="10"/>
  <c r="E22" i="10"/>
  <c r="Q22" i="15" s="1"/>
  <c r="B22" i="10"/>
  <c r="E20" i="10"/>
  <c r="Q20" i="15" s="1"/>
  <c r="B20" i="10"/>
  <c r="E19" i="10"/>
  <c r="Q19" i="15" s="1"/>
  <c r="C19" i="10"/>
  <c r="O19" i="15" s="1"/>
  <c r="B19" i="10"/>
  <c r="E18" i="10"/>
  <c r="Q18" i="15" s="1"/>
  <c r="B18" i="10"/>
  <c r="E17" i="10"/>
  <c r="Q17" i="15" s="1"/>
  <c r="B17" i="10"/>
  <c r="E16" i="10"/>
  <c r="Q16" i="15" s="1"/>
  <c r="B16" i="10"/>
  <c r="E15" i="10"/>
  <c r="Q15" i="15" s="1"/>
  <c r="B15" i="10"/>
  <c r="E14" i="10"/>
  <c r="Q14" i="15" s="1"/>
  <c r="B14" i="10"/>
  <c r="E13" i="10"/>
  <c r="Q13" i="15" s="1"/>
  <c r="B13" i="10"/>
  <c r="E11" i="10"/>
  <c r="Q11" i="15" s="1"/>
  <c r="B11" i="10"/>
  <c r="E10" i="10"/>
  <c r="Q10" i="15" s="1"/>
  <c r="B10" i="10"/>
  <c r="E9" i="10"/>
  <c r="Q9" i="15" s="1"/>
  <c r="C9" i="10"/>
  <c r="O9" i="15" s="1"/>
  <c r="B9" i="10"/>
  <c r="E8" i="10"/>
  <c r="Q8" i="15" s="1"/>
  <c r="C8" i="10"/>
  <c r="O8" i="15" s="1"/>
  <c r="B8" i="10"/>
  <c r="E7" i="10"/>
  <c r="Q7" i="15" s="1"/>
  <c r="B7" i="10"/>
  <c r="E6" i="10"/>
  <c r="Q6" i="15" s="1"/>
  <c r="C6" i="10"/>
  <c r="O6" i="15" s="1"/>
  <c r="B6" i="10"/>
  <c r="E5" i="10"/>
  <c r="Q5" i="15" s="1"/>
  <c r="C5" i="10"/>
  <c r="O5" i="15" s="1"/>
  <c r="B5" i="10"/>
  <c r="E4" i="10"/>
  <c r="Q4" i="15" s="1"/>
  <c r="C4" i="10"/>
  <c r="O4" i="15" s="1"/>
  <c r="B4" i="10"/>
  <c r="E146" i="9"/>
  <c r="K146" i="15" s="1"/>
  <c r="C146" i="9"/>
  <c r="I146" i="15" s="1"/>
  <c r="B146" i="9"/>
  <c r="E145" i="9"/>
  <c r="K145" i="15" s="1"/>
  <c r="C145" i="9"/>
  <c r="I145" i="15" s="1"/>
  <c r="B145" i="9"/>
  <c r="E144" i="9"/>
  <c r="K144" i="15" s="1"/>
  <c r="C144" i="9"/>
  <c r="I144" i="15" s="1"/>
  <c r="B144" i="9"/>
  <c r="E143" i="9"/>
  <c r="K143" i="15" s="1"/>
  <c r="C143" i="9"/>
  <c r="I143" i="15" s="1"/>
  <c r="B143" i="9"/>
  <c r="E142" i="9"/>
  <c r="K142" i="15" s="1"/>
  <c r="C142" i="9"/>
  <c r="I142" i="15" s="1"/>
  <c r="B142" i="9"/>
  <c r="E141" i="9"/>
  <c r="K141" i="15" s="1"/>
  <c r="C141" i="9"/>
  <c r="I141" i="15" s="1"/>
  <c r="B141" i="9"/>
  <c r="E140" i="9"/>
  <c r="K140" i="15" s="1"/>
  <c r="C140" i="9"/>
  <c r="I140" i="15" s="1"/>
  <c r="B140" i="9"/>
  <c r="E139" i="9"/>
  <c r="K139" i="15" s="1"/>
  <c r="C139" i="9"/>
  <c r="I139" i="15" s="1"/>
  <c r="B139" i="9"/>
  <c r="E137" i="9"/>
  <c r="K137" i="15" s="1"/>
  <c r="C137" i="9"/>
  <c r="I137" i="15" s="1"/>
  <c r="B137" i="9"/>
  <c r="E136" i="9"/>
  <c r="K136" i="15" s="1"/>
  <c r="C136" i="9"/>
  <c r="I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C132" i="9"/>
  <c r="I132" i="15" s="1"/>
  <c r="B132" i="9"/>
  <c r="E131" i="9"/>
  <c r="K131" i="15" s="1"/>
  <c r="C131" i="9"/>
  <c r="I131" i="15" s="1"/>
  <c r="B131" i="9"/>
  <c r="E130" i="9"/>
  <c r="K130" i="15" s="1"/>
  <c r="C130" i="9"/>
  <c r="I130" i="15" s="1"/>
  <c r="B130" i="9"/>
  <c r="E128" i="9"/>
  <c r="K128" i="15" s="1"/>
  <c r="B128" i="9"/>
  <c r="E127" i="9"/>
  <c r="K127" i="15" s="1"/>
  <c r="C127" i="9"/>
  <c r="I127" i="15" s="1"/>
  <c r="B127" i="9"/>
  <c r="E126" i="9"/>
  <c r="K126" i="15" s="1"/>
  <c r="C126" i="9"/>
  <c r="I126" i="15" s="1"/>
  <c r="B126" i="9"/>
  <c r="E125" i="9"/>
  <c r="K125" i="15" s="1"/>
  <c r="B125" i="9"/>
  <c r="E124" i="9"/>
  <c r="K124" i="15" s="1"/>
  <c r="C124" i="9"/>
  <c r="I124" i="15" s="1"/>
  <c r="B124" i="9"/>
  <c r="E123" i="9"/>
  <c r="K123" i="15" s="1"/>
  <c r="C123" i="9"/>
  <c r="I123" i="15" s="1"/>
  <c r="B123" i="9"/>
  <c r="E122" i="9"/>
  <c r="K122" i="15" s="1"/>
  <c r="B122" i="9"/>
  <c r="E121" i="9"/>
  <c r="K121" i="15" s="1"/>
  <c r="C121" i="9"/>
  <c r="I121" i="15" s="1"/>
  <c r="B121" i="9"/>
  <c r="E119" i="9"/>
  <c r="K119" i="15" s="1"/>
  <c r="C119" i="9"/>
  <c r="I119" i="15" s="1"/>
  <c r="B119" i="9"/>
  <c r="E118" i="9"/>
  <c r="K118" i="15" s="1"/>
  <c r="C118" i="9"/>
  <c r="I118" i="15" s="1"/>
  <c r="B118" i="9"/>
  <c r="E117" i="9"/>
  <c r="K117" i="15" s="1"/>
  <c r="C117" i="9"/>
  <c r="I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C114" i="9"/>
  <c r="I114" i="15" s="1"/>
  <c r="B114" i="9"/>
  <c r="E113" i="9"/>
  <c r="K113" i="15" s="1"/>
  <c r="C113" i="9"/>
  <c r="I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K109" i="15" s="1"/>
  <c r="C109" i="9"/>
  <c r="I109" i="15" s="1"/>
  <c r="B109" i="9"/>
  <c r="E108" i="9"/>
  <c r="K108" i="15" s="1"/>
  <c r="C108" i="9"/>
  <c r="I108" i="15" s="1"/>
  <c r="B108" i="9"/>
  <c r="E107" i="9"/>
  <c r="K107" i="15" s="1"/>
  <c r="C107" i="9"/>
  <c r="I107" i="15" s="1"/>
  <c r="B107" i="9"/>
  <c r="E106" i="9"/>
  <c r="K106" i="15" s="1"/>
  <c r="C106" i="9"/>
  <c r="I106" i="15" s="1"/>
  <c r="B106" i="9"/>
  <c r="E105" i="9"/>
  <c r="K105" i="15" s="1"/>
  <c r="C105" i="9"/>
  <c r="I105" i="15" s="1"/>
  <c r="B105" i="9"/>
  <c r="E104" i="9"/>
  <c r="K104" i="15" s="1"/>
  <c r="C104" i="9"/>
  <c r="I104" i="15" s="1"/>
  <c r="B104" i="9"/>
  <c r="E103" i="9"/>
  <c r="K103" i="15" s="1"/>
  <c r="C103" i="9"/>
  <c r="I103" i="15" s="1"/>
  <c r="B103" i="9"/>
  <c r="E101" i="9"/>
  <c r="K101" i="15" s="1"/>
  <c r="C101" i="9"/>
  <c r="I101" i="15" s="1"/>
  <c r="B101" i="9"/>
  <c r="E100" i="9"/>
  <c r="K100" i="15" s="1"/>
  <c r="C100" i="9"/>
  <c r="I100" i="15" s="1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K96" i="15" s="1"/>
  <c r="B96" i="9"/>
  <c r="E95" i="9"/>
  <c r="K95" i="15" s="1"/>
  <c r="C95" i="9"/>
  <c r="I95" i="15" s="1"/>
  <c r="B95" i="9"/>
  <c r="E94" i="9"/>
  <c r="K94" i="15" s="1"/>
  <c r="C94" i="9"/>
  <c r="I94" i="15" s="1"/>
  <c r="B94" i="9"/>
  <c r="E92" i="9"/>
  <c r="K92" i="15" s="1"/>
  <c r="B92" i="9"/>
  <c r="E91" i="9"/>
  <c r="K91" i="15" s="1"/>
  <c r="C91" i="9"/>
  <c r="I91" i="15" s="1"/>
  <c r="B91" i="9"/>
  <c r="E90" i="9"/>
  <c r="K90" i="15" s="1"/>
  <c r="C90" i="9"/>
  <c r="I90" i="15" s="1"/>
  <c r="B90" i="9"/>
  <c r="E89" i="9"/>
  <c r="K89" i="15" s="1"/>
  <c r="B89" i="9"/>
  <c r="E88" i="9"/>
  <c r="K88" i="15" s="1"/>
  <c r="C88" i="9"/>
  <c r="I88" i="15" s="1"/>
  <c r="B88" i="9"/>
  <c r="E87" i="9"/>
  <c r="K87" i="15" s="1"/>
  <c r="C87" i="9"/>
  <c r="I87" i="15" s="1"/>
  <c r="B87" i="9"/>
  <c r="E86" i="9"/>
  <c r="K86" i="15" s="1"/>
  <c r="B86" i="9"/>
  <c r="E85" i="9"/>
  <c r="K85" i="15" s="1"/>
  <c r="C85" i="9"/>
  <c r="I85" i="15" s="1"/>
  <c r="B85" i="9"/>
  <c r="E83" i="9"/>
  <c r="K83" i="15" s="1"/>
  <c r="C83" i="9"/>
  <c r="I83" i="15" s="1"/>
  <c r="B83" i="9"/>
  <c r="E82" i="9"/>
  <c r="K82" i="15" s="1"/>
  <c r="C82" i="9"/>
  <c r="I82" i="15" s="1"/>
  <c r="B82" i="9"/>
  <c r="E81" i="9"/>
  <c r="K81" i="15" s="1"/>
  <c r="C81" i="9"/>
  <c r="I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C78" i="9"/>
  <c r="I78" i="15" s="1"/>
  <c r="B78" i="9"/>
  <c r="E77" i="9"/>
  <c r="K77" i="15" s="1"/>
  <c r="C77" i="9"/>
  <c r="I77" i="15" s="1"/>
  <c r="B77" i="9"/>
  <c r="E76" i="9"/>
  <c r="K76" i="15" s="1"/>
  <c r="C76" i="9"/>
  <c r="I76" i="15" s="1"/>
  <c r="B76" i="9"/>
  <c r="E74" i="9"/>
  <c r="K74" i="15" s="1"/>
  <c r="C74" i="9"/>
  <c r="I74" i="15" s="1"/>
  <c r="B74" i="9"/>
  <c r="E73" i="9"/>
  <c r="K73" i="15" s="1"/>
  <c r="C73" i="9"/>
  <c r="I73" i="15" s="1"/>
  <c r="B73" i="9"/>
  <c r="E72" i="9"/>
  <c r="K72" i="15" s="1"/>
  <c r="C72" i="9"/>
  <c r="I72" i="15" s="1"/>
  <c r="B72" i="9"/>
  <c r="E71" i="9"/>
  <c r="K71" i="15" s="1"/>
  <c r="B71" i="9"/>
  <c r="E70" i="9"/>
  <c r="K70" i="15" s="1"/>
  <c r="C70" i="9"/>
  <c r="I70" i="15" s="1"/>
  <c r="B70" i="9"/>
  <c r="E69" i="9"/>
  <c r="K69" i="15" s="1"/>
  <c r="C69" i="9"/>
  <c r="I69" i="15" s="1"/>
  <c r="B69" i="9"/>
  <c r="E68" i="9"/>
  <c r="K68" i="15" s="1"/>
  <c r="B68" i="9"/>
  <c r="E67" i="9"/>
  <c r="K67" i="15" s="1"/>
  <c r="C67" i="9"/>
  <c r="I67" i="15" s="1"/>
  <c r="B67" i="9"/>
  <c r="E65" i="9"/>
  <c r="K65" i="15" s="1"/>
  <c r="C65" i="9"/>
  <c r="I65" i="15" s="1"/>
  <c r="B65" i="9"/>
  <c r="E64" i="9"/>
  <c r="K64" i="15" s="1"/>
  <c r="C64" i="9"/>
  <c r="I64" i="15" s="1"/>
  <c r="B64" i="9"/>
  <c r="E63" i="9"/>
  <c r="K63" i="15" s="1"/>
  <c r="B63" i="9"/>
  <c r="E62" i="9"/>
  <c r="K62" i="15" s="1"/>
  <c r="C62" i="9"/>
  <c r="I62" i="15" s="1"/>
  <c r="B62" i="9"/>
  <c r="E61" i="9"/>
  <c r="K61" i="15" s="1"/>
  <c r="C61" i="9"/>
  <c r="I61" i="15" s="1"/>
  <c r="B61" i="9"/>
  <c r="E60" i="9"/>
  <c r="K60" i="15" s="1"/>
  <c r="C60" i="9"/>
  <c r="I60" i="15" s="1"/>
  <c r="B60" i="9"/>
  <c r="E59" i="9"/>
  <c r="K59" i="15" s="1"/>
  <c r="B59" i="9"/>
  <c r="E58" i="9"/>
  <c r="K58" i="15" s="1"/>
  <c r="C58" i="9"/>
  <c r="I58" i="15" s="1"/>
  <c r="B58" i="9"/>
  <c r="E56" i="9"/>
  <c r="K56" i="15" s="1"/>
  <c r="B56" i="9"/>
  <c r="E55" i="9"/>
  <c r="K55" i="15" s="1"/>
  <c r="B55" i="9"/>
  <c r="E54" i="9"/>
  <c r="K54" i="15" s="1"/>
  <c r="C54" i="9"/>
  <c r="I54" i="15" s="1"/>
  <c r="B54" i="9"/>
  <c r="E53" i="9"/>
  <c r="K53" i="15" s="1"/>
  <c r="B53" i="9"/>
  <c r="E52" i="9"/>
  <c r="K52" i="15" s="1"/>
  <c r="C52" i="9"/>
  <c r="I52" i="15" s="1"/>
  <c r="B52" i="9"/>
  <c r="E51" i="9"/>
  <c r="K51" i="15" s="1"/>
  <c r="C51" i="9"/>
  <c r="I51" i="15" s="1"/>
  <c r="B51" i="9"/>
  <c r="E50" i="9"/>
  <c r="K50" i="15" s="1"/>
  <c r="B50" i="9"/>
  <c r="E49" i="9"/>
  <c r="K49" i="15" s="1"/>
  <c r="C49" i="9"/>
  <c r="I49" i="15" s="1"/>
  <c r="B49" i="9"/>
  <c r="E47" i="9"/>
  <c r="K47" i="15" s="1"/>
  <c r="C47" i="9"/>
  <c r="I47" i="15" s="1"/>
  <c r="B47" i="9"/>
  <c r="E46" i="9"/>
  <c r="K46" i="15" s="1"/>
  <c r="C46" i="9"/>
  <c r="I46" i="15" s="1"/>
  <c r="B46" i="9"/>
  <c r="E45" i="9"/>
  <c r="K45" i="15" s="1"/>
  <c r="C45" i="9"/>
  <c r="I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C42" i="9"/>
  <c r="I42" i="15" s="1"/>
  <c r="B42" i="9"/>
  <c r="E41" i="9"/>
  <c r="K41" i="15" s="1"/>
  <c r="C41" i="9"/>
  <c r="I41" i="15" s="1"/>
  <c r="B41" i="9"/>
  <c r="E40" i="9"/>
  <c r="K40" i="15" s="1"/>
  <c r="C40" i="9"/>
  <c r="I40" i="15" s="1"/>
  <c r="B40" i="9"/>
  <c r="E38" i="9"/>
  <c r="K38" i="15" s="1"/>
  <c r="C38" i="9"/>
  <c r="I38" i="15" s="1"/>
  <c r="B38" i="9"/>
  <c r="E37" i="9"/>
  <c r="K37" i="15" s="1"/>
  <c r="C37" i="9"/>
  <c r="I37" i="15" s="1"/>
  <c r="B37" i="9"/>
  <c r="E36" i="9"/>
  <c r="K36" i="15" s="1"/>
  <c r="C36" i="9"/>
  <c r="I36" i="15" s="1"/>
  <c r="B36" i="9"/>
  <c r="E35" i="9"/>
  <c r="K35" i="15" s="1"/>
  <c r="B35" i="9"/>
  <c r="E34" i="9"/>
  <c r="K34" i="15" s="1"/>
  <c r="C34" i="9"/>
  <c r="I34" i="15" s="1"/>
  <c r="B34" i="9"/>
  <c r="E33" i="9"/>
  <c r="K33" i="15" s="1"/>
  <c r="C33" i="9"/>
  <c r="I33" i="15" s="1"/>
  <c r="B33" i="9"/>
  <c r="E32" i="9"/>
  <c r="K32" i="15" s="1"/>
  <c r="B32" i="9"/>
  <c r="E31" i="9"/>
  <c r="K31" i="15" s="1"/>
  <c r="B31" i="9"/>
  <c r="E29" i="9"/>
  <c r="K29" i="15" s="1"/>
  <c r="C29" i="9"/>
  <c r="I29" i="15" s="1"/>
  <c r="B29" i="9"/>
  <c r="E28" i="9"/>
  <c r="K28" i="15" s="1"/>
  <c r="C28" i="9"/>
  <c r="I28" i="15" s="1"/>
  <c r="B28" i="9"/>
  <c r="E27" i="9"/>
  <c r="K27" i="15" s="1"/>
  <c r="B27" i="9"/>
  <c r="E26" i="9"/>
  <c r="K26" i="15" s="1"/>
  <c r="B26" i="9"/>
  <c r="E25" i="9"/>
  <c r="K25" i="15" s="1"/>
  <c r="C25" i="9"/>
  <c r="I25" i="15" s="1"/>
  <c r="B25" i="9"/>
  <c r="E24" i="9"/>
  <c r="K24" i="15" s="1"/>
  <c r="C24" i="9"/>
  <c r="I24" i="15" s="1"/>
  <c r="B24" i="9"/>
  <c r="E23" i="9"/>
  <c r="K23" i="15" s="1"/>
  <c r="B23" i="9"/>
  <c r="E22" i="9"/>
  <c r="K22" i="15" s="1"/>
  <c r="C22" i="9"/>
  <c r="I22" i="15" s="1"/>
  <c r="B22" i="9"/>
  <c r="E20" i="9"/>
  <c r="K20" i="15" s="1"/>
  <c r="B20" i="9"/>
  <c r="E19" i="9"/>
  <c r="K19" i="15" s="1"/>
  <c r="B19" i="9"/>
  <c r="E18" i="9"/>
  <c r="K18" i="15" s="1"/>
  <c r="C18" i="9"/>
  <c r="I18" i="15" s="1"/>
  <c r="B18" i="9"/>
  <c r="E17" i="9"/>
  <c r="K17" i="15" s="1"/>
  <c r="B17" i="9"/>
  <c r="E16" i="9"/>
  <c r="K16" i="15" s="1"/>
  <c r="B16" i="9"/>
  <c r="E15" i="9"/>
  <c r="K15" i="15" s="1"/>
  <c r="C15" i="9"/>
  <c r="I15" i="15" s="1"/>
  <c r="B15" i="9"/>
  <c r="E14" i="9"/>
  <c r="K14" i="15" s="1"/>
  <c r="B14" i="9"/>
  <c r="E13" i="9"/>
  <c r="K13" i="15" s="1"/>
  <c r="C13" i="9"/>
  <c r="I13" i="15" s="1"/>
  <c r="B13" i="9"/>
  <c r="E11" i="9"/>
  <c r="K11" i="15" s="1"/>
  <c r="C11" i="9"/>
  <c r="I11" i="15" s="1"/>
  <c r="B11" i="9"/>
  <c r="E10" i="9"/>
  <c r="K10" i="15" s="1"/>
  <c r="C10" i="9"/>
  <c r="I10" i="15" s="1"/>
  <c r="B10" i="9"/>
  <c r="E9" i="9"/>
  <c r="K9" i="15" s="1"/>
  <c r="C9" i="9"/>
  <c r="I9" i="15" s="1"/>
  <c r="B9" i="9"/>
  <c r="E8" i="9"/>
  <c r="K8" i="15" s="1"/>
  <c r="C8" i="9"/>
  <c r="I8" i="15" s="1"/>
  <c r="B8" i="9"/>
  <c r="E7" i="9"/>
  <c r="K7" i="15" s="1"/>
  <c r="C7" i="9"/>
  <c r="I7" i="15" s="1"/>
  <c r="B7" i="9"/>
  <c r="E6" i="9"/>
  <c r="K6" i="15" s="1"/>
  <c r="C6" i="9"/>
  <c r="I6" i="15" s="1"/>
  <c r="B6" i="9"/>
  <c r="E5" i="9"/>
  <c r="K5" i="15" s="1"/>
  <c r="C5" i="9"/>
  <c r="I5" i="15" s="1"/>
  <c r="B5" i="9"/>
  <c r="E4" i="9"/>
  <c r="K4" i="15" s="1"/>
  <c r="C4" i="9"/>
  <c r="I4" i="15" s="1"/>
  <c r="B4" i="9"/>
  <c r="N194" i="8" l="1"/>
  <c r="N215" i="8" s="1"/>
  <c r="N13" i="15"/>
  <c r="N101" i="15"/>
  <c r="N144" i="15"/>
  <c r="N33" i="15"/>
  <c r="N61" i="15"/>
  <c r="N64" i="15"/>
  <c r="N68" i="15"/>
  <c r="N88" i="15"/>
  <c r="N91" i="15"/>
  <c r="N137" i="15"/>
  <c r="N40" i="15"/>
  <c r="N47" i="15"/>
  <c r="N79" i="15"/>
  <c r="N104" i="15"/>
  <c r="N107" i="15"/>
  <c r="N358" i="8"/>
  <c r="N380" i="8" s="1"/>
  <c r="N381" i="8" s="1"/>
  <c r="N359" i="8"/>
  <c r="N134" i="15"/>
  <c r="N19" i="15"/>
  <c r="N16" i="15"/>
  <c r="N24" i="15"/>
  <c r="N63" i="15"/>
  <c r="N117" i="15"/>
  <c r="N140" i="15"/>
  <c r="N143" i="15"/>
  <c r="N29" i="15"/>
  <c r="N123" i="15"/>
  <c r="N119" i="15"/>
  <c r="N15" i="15"/>
  <c r="N35" i="15"/>
  <c r="N49" i="15"/>
  <c r="N77" i="15"/>
  <c r="N80" i="15"/>
  <c r="N105" i="15"/>
  <c r="N108" i="15"/>
  <c r="N136" i="15"/>
  <c r="N152" i="7"/>
  <c r="N173" i="7" s="1"/>
  <c r="H64" i="15"/>
  <c r="H134" i="15"/>
  <c r="H146" i="15"/>
  <c r="H68" i="15"/>
  <c r="H74" i="15"/>
  <c r="H94" i="15"/>
  <c r="H141" i="15"/>
  <c r="H5" i="15"/>
  <c r="H22" i="15"/>
  <c r="H125" i="15"/>
  <c r="H128" i="15"/>
  <c r="H132" i="15"/>
  <c r="H144" i="15"/>
  <c r="H85" i="15"/>
  <c r="H126" i="15"/>
  <c r="H105" i="15"/>
  <c r="H133" i="15"/>
  <c r="H145" i="15"/>
  <c r="N358" i="7"/>
  <c r="N380" i="7" s="1"/>
  <c r="N381" i="7" s="1"/>
  <c r="N359" i="7"/>
  <c r="H106" i="15"/>
  <c r="H36" i="15"/>
  <c r="H45" i="15"/>
  <c r="H62" i="15"/>
  <c r="H81" i="15"/>
  <c r="H135" i="15"/>
  <c r="H139" i="15"/>
  <c r="H29" i="15"/>
  <c r="H52" i="15"/>
  <c r="H101" i="15"/>
  <c r="H130" i="15"/>
  <c r="H142" i="15"/>
  <c r="H108" i="15"/>
  <c r="H18" i="15"/>
  <c r="H33" i="15"/>
  <c r="H65" i="15"/>
  <c r="H19" i="15"/>
  <c r="H4" i="15"/>
  <c r="H24" i="15"/>
  <c r="H41" i="15"/>
  <c r="H50" i="15"/>
  <c r="H53" i="15"/>
  <c r="H77" i="15"/>
  <c r="H127" i="15"/>
  <c r="H131" i="15"/>
  <c r="H143" i="15"/>
  <c r="D8" i="10"/>
  <c r="N8" i="15"/>
  <c r="D52" i="10"/>
  <c r="D20" i="10"/>
  <c r="D32" i="10"/>
  <c r="D38" i="10"/>
  <c r="N38" i="15"/>
  <c r="D83" i="10"/>
  <c r="P83" i="15" s="1"/>
  <c r="N83" i="15"/>
  <c r="D45" i="10"/>
  <c r="D56" i="10"/>
  <c r="D95" i="10"/>
  <c r="P95" i="15" s="1"/>
  <c r="D122" i="10"/>
  <c r="P122" i="15" s="1"/>
  <c r="N122" i="15"/>
  <c r="D133" i="10"/>
  <c r="P133" i="15" s="1"/>
  <c r="D141" i="10"/>
  <c r="P141" i="15" s="1"/>
  <c r="D6" i="10"/>
  <c r="N6" i="15"/>
  <c r="D9" i="10"/>
  <c r="D36" i="10"/>
  <c r="D18" i="10"/>
  <c r="N18" i="15"/>
  <c r="D26" i="10"/>
  <c r="N26" i="15"/>
  <c r="D23" i="10"/>
  <c r="D43" i="10"/>
  <c r="N43" i="15"/>
  <c r="N46" i="15"/>
  <c r="D54" i="10"/>
  <c r="N54" i="15"/>
  <c r="D62" i="10"/>
  <c r="N62" i="15"/>
  <c r="D69" i="10"/>
  <c r="N69" i="15"/>
  <c r="D72" i="10"/>
  <c r="D96" i="10"/>
  <c r="P96" i="15" s="1"/>
  <c r="D99" i="10"/>
  <c r="P99" i="15" s="1"/>
  <c r="N99" i="15"/>
  <c r="N103" i="15"/>
  <c r="D113" i="10"/>
  <c r="P113" i="15" s="1"/>
  <c r="N113" i="15"/>
  <c r="D116" i="10"/>
  <c r="P116" i="15" s="1"/>
  <c r="D119" i="10"/>
  <c r="P119" i="15" s="1"/>
  <c r="N127" i="15"/>
  <c r="D142" i="10"/>
  <c r="P142" i="15" s="1"/>
  <c r="N145" i="15"/>
  <c r="N133" i="15"/>
  <c r="N45" i="15"/>
  <c r="N36" i="15"/>
  <c r="D5" i="10"/>
  <c r="D70" i="10"/>
  <c r="N70" i="15"/>
  <c r="D7" i="10"/>
  <c r="N7" i="15"/>
  <c r="D34" i="10"/>
  <c r="N34" i="15"/>
  <c r="N37" i="15"/>
  <c r="D51" i="10"/>
  <c r="D59" i="10"/>
  <c r="N59" i="15"/>
  <c r="D65" i="10"/>
  <c r="N65" i="15"/>
  <c r="D86" i="10"/>
  <c r="P86" i="15" s="1"/>
  <c r="N86" i="15"/>
  <c r="D89" i="10"/>
  <c r="P89" i="15" s="1"/>
  <c r="D92" i="10"/>
  <c r="P92" i="15" s="1"/>
  <c r="D124" i="10"/>
  <c r="P124" i="15" s="1"/>
  <c r="D27" i="10"/>
  <c r="N27" i="15"/>
  <c r="N31" i="15"/>
  <c r="D41" i="10"/>
  <c r="N41" i="15"/>
  <c r="D44" i="10"/>
  <c r="D47" i="10"/>
  <c r="N55" i="15"/>
  <c r="D79" i="10"/>
  <c r="P79" i="15" s="1"/>
  <c r="N82" i="15"/>
  <c r="D97" i="10"/>
  <c r="P97" i="15" s="1"/>
  <c r="N97" i="15"/>
  <c r="D104" i="10"/>
  <c r="P104" i="15" s="1"/>
  <c r="D107" i="10"/>
  <c r="P107" i="15" s="1"/>
  <c r="D110" i="10"/>
  <c r="P110" i="15" s="1"/>
  <c r="N110" i="15"/>
  <c r="D132" i="10"/>
  <c r="P132" i="15" s="1"/>
  <c r="D135" i="10"/>
  <c r="P135" i="15" s="1"/>
  <c r="N116" i="15"/>
  <c r="N96" i="15"/>
  <c r="N76" i="15"/>
  <c r="N73" i="15"/>
  <c r="N44" i="15"/>
  <c r="N5" i="15"/>
  <c r="D87" i="10"/>
  <c r="P87" i="15" s="1"/>
  <c r="N87" i="15"/>
  <c r="D90" i="10"/>
  <c r="P90" i="15" s="1"/>
  <c r="N90" i="15"/>
  <c r="N94" i="15"/>
  <c r="D114" i="10"/>
  <c r="P114" i="15" s="1"/>
  <c r="N114" i="15"/>
  <c r="D117" i="10"/>
  <c r="P117" i="15" s="1"/>
  <c r="D128" i="10"/>
  <c r="P128" i="15" s="1"/>
  <c r="D140" i="10"/>
  <c r="P140" i="15" s="1"/>
  <c r="D143" i="10"/>
  <c r="P143" i="15" s="1"/>
  <c r="D146" i="10"/>
  <c r="P146" i="15" s="1"/>
  <c r="N146" i="15"/>
  <c r="N124" i="15"/>
  <c r="N67" i="15"/>
  <c r="N52" i="15"/>
  <c r="D105" i="10"/>
  <c r="P105" i="15" s="1"/>
  <c r="D108" i="10"/>
  <c r="P108" i="15" s="1"/>
  <c r="D125" i="10"/>
  <c r="P125" i="15" s="1"/>
  <c r="N125" i="15"/>
  <c r="N141" i="15"/>
  <c r="N72" i="15"/>
  <c r="N32" i="15"/>
  <c r="N10" i="15"/>
  <c r="N132" i="15"/>
  <c r="N121" i="15"/>
  <c r="N95" i="15"/>
  <c r="N92" i="15"/>
  <c r="N23" i="15"/>
  <c r="N20" i="15"/>
  <c r="N4" i="15"/>
  <c r="D63" i="10"/>
  <c r="D60" i="10"/>
  <c r="D77" i="10"/>
  <c r="P77" i="15" s="1"/>
  <c r="D25" i="10"/>
  <c r="N25" i="15"/>
  <c r="D42" i="10"/>
  <c r="N42" i="15"/>
  <c r="D98" i="10"/>
  <c r="P98" i="15" s="1"/>
  <c r="N98" i="15"/>
  <c r="N22" i="15"/>
  <c r="D33" i="10"/>
  <c r="D53" i="10"/>
  <c r="N53" i="15"/>
  <c r="D61" i="10"/>
  <c r="D68" i="10"/>
  <c r="D71" i="10"/>
  <c r="N71" i="15"/>
  <c r="D74" i="10"/>
  <c r="N74" i="15"/>
  <c r="N85" i="15"/>
  <c r="D88" i="10"/>
  <c r="P88" i="15" s="1"/>
  <c r="D115" i="10"/>
  <c r="P115" i="15" s="1"/>
  <c r="N115" i="15"/>
  <c r="N118" i="15"/>
  <c r="D126" i="10"/>
  <c r="P126" i="15" s="1"/>
  <c r="N126" i="15"/>
  <c r="D137" i="10"/>
  <c r="P137" i="15" s="1"/>
  <c r="N139" i="15"/>
  <c r="N135" i="15"/>
  <c r="N112" i="15"/>
  <c r="N100" i="15"/>
  <c r="N60" i="15"/>
  <c r="N51" i="15"/>
  <c r="N28" i="15"/>
  <c r="N9" i="15"/>
  <c r="D11" i="10"/>
  <c r="N11" i="15"/>
  <c r="D24" i="10"/>
  <c r="D35" i="10"/>
  <c r="D80" i="10"/>
  <c r="P80" i="15" s="1"/>
  <c r="D17" i="10"/>
  <c r="D101" i="10"/>
  <c r="P101" i="15" s="1"/>
  <c r="N130" i="15"/>
  <c r="D144" i="10"/>
  <c r="P144" i="15" s="1"/>
  <c r="D29" i="10"/>
  <c r="D50" i="10"/>
  <c r="N50" i="15"/>
  <c r="N58" i="15"/>
  <c r="D78" i="10"/>
  <c r="P78" i="15" s="1"/>
  <c r="N78" i="15"/>
  <c r="D81" i="10"/>
  <c r="P81" i="15" s="1"/>
  <c r="N81" i="15"/>
  <c r="D106" i="10"/>
  <c r="P106" i="15" s="1"/>
  <c r="N106" i="15"/>
  <c r="N109" i="15"/>
  <c r="D123" i="10"/>
  <c r="P123" i="15" s="1"/>
  <c r="D131" i="10"/>
  <c r="P131" i="15" s="1"/>
  <c r="N131" i="15"/>
  <c r="D134" i="10"/>
  <c r="P134" i="15" s="1"/>
  <c r="N142" i="15"/>
  <c r="N128" i="15"/>
  <c r="N89" i="15"/>
  <c r="N56" i="15"/>
  <c r="N17" i="15"/>
  <c r="D59" i="9"/>
  <c r="H59" i="15"/>
  <c r="D69" i="9"/>
  <c r="D107" i="9"/>
  <c r="J107" i="15" s="1"/>
  <c r="H107" i="15"/>
  <c r="H9" i="15"/>
  <c r="D56" i="9"/>
  <c r="H56" i="15"/>
  <c r="H63" i="15"/>
  <c r="D67" i="9"/>
  <c r="H67" i="15"/>
  <c r="H70" i="15"/>
  <c r="H82" i="15"/>
  <c r="D140" i="9"/>
  <c r="J140" i="15" s="1"/>
  <c r="H117" i="15"/>
  <c r="H34" i="15"/>
  <c r="D31" i="9"/>
  <c r="H31" i="15"/>
  <c r="D77" i="9"/>
  <c r="J77" i="15" s="1"/>
  <c r="D86" i="9"/>
  <c r="J86" i="15" s="1"/>
  <c r="H86" i="15"/>
  <c r="D89" i="9"/>
  <c r="J89" i="15" s="1"/>
  <c r="D92" i="9"/>
  <c r="J92" i="15" s="1"/>
  <c r="D96" i="9"/>
  <c r="J96" i="15" s="1"/>
  <c r="H99" i="15"/>
  <c r="D103" i="9"/>
  <c r="J103" i="15" s="1"/>
  <c r="H103" i="15"/>
  <c r="D112" i="9"/>
  <c r="J112" i="15" s="1"/>
  <c r="D121" i="9"/>
  <c r="J121" i="15" s="1"/>
  <c r="D131" i="9"/>
  <c r="J131" i="15" s="1"/>
  <c r="D143" i="9"/>
  <c r="J143" i="15" s="1"/>
  <c r="D44" i="9"/>
  <c r="H44" i="15"/>
  <c r="D58" i="9"/>
  <c r="H58" i="15"/>
  <c r="D80" i="9"/>
  <c r="J80" i="15" s="1"/>
  <c r="H115" i="15"/>
  <c r="D134" i="9"/>
  <c r="J134" i="15" s="1"/>
  <c r="D137" i="9"/>
  <c r="J137" i="15" s="1"/>
  <c r="D146" i="9"/>
  <c r="J146" i="15" s="1"/>
  <c r="H137" i="15"/>
  <c r="H96" i="15"/>
  <c r="H73" i="15"/>
  <c r="H16" i="15"/>
  <c r="H7" i="15"/>
  <c r="H10" i="15"/>
  <c r="H28" i="15"/>
  <c r="D32" i="9"/>
  <c r="H32" i="15"/>
  <c r="D35" i="9"/>
  <c r="H35" i="15"/>
  <c r="D38" i="9"/>
  <c r="H38" i="15"/>
  <c r="D47" i="9"/>
  <c r="H47" i="15"/>
  <c r="D51" i="9"/>
  <c r="H51" i="15"/>
  <c r="H54" i="15"/>
  <c r="D68" i="9"/>
  <c r="D71" i="9"/>
  <c r="H71" i="15"/>
  <c r="D74" i="9"/>
  <c r="D83" i="9"/>
  <c r="J83" i="15" s="1"/>
  <c r="H83" i="15"/>
  <c r="D87" i="9"/>
  <c r="J87" i="15" s="1"/>
  <c r="H87" i="15"/>
  <c r="D94" i="9"/>
  <c r="J94" i="15" s="1"/>
  <c r="H100" i="15"/>
  <c r="D141" i="9"/>
  <c r="J141" i="15" s="1"/>
  <c r="D78" i="9"/>
  <c r="J78" i="15" s="1"/>
  <c r="D104" i="9"/>
  <c r="J104" i="15" s="1"/>
  <c r="H104" i="15"/>
  <c r="D113" i="9"/>
  <c r="J113" i="15" s="1"/>
  <c r="D122" i="9"/>
  <c r="J122" i="15" s="1"/>
  <c r="D125" i="9"/>
  <c r="J125" i="15" s="1"/>
  <c r="D128" i="9"/>
  <c r="J128" i="15" s="1"/>
  <c r="D132" i="9"/>
  <c r="J132" i="15" s="1"/>
  <c r="H122" i="15"/>
  <c r="H113" i="15"/>
  <c r="H90" i="15"/>
  <c r="D4" i="9"/>
  <c r="D13" i="9"/>
  <c r="H13" i="15"/>
  <c r="D24" i="9"/>
  <c r="H27" i="15"/>
  <c r="D41" i="9"/>
  <c r="D50" i="9"/>
  <c r="D8" i="9"/>
  <c r="H124" i="15"/>
  <c r="H92" i="15"/>
  <c r="H61" i="15"/>
  <c r="D33" i="9"/>
  <c r="D62" i="9"/>
  <c r="H72" i="15"/>
  <c r="D116" i="9"/>
  <c r="J116" i="15" s="1"/>
  <c r="H116" i="15"/>
  <c r="D11" i="9"/>
  <c r="H11" i="15"/>
  <c r="D15" i="9"/>
  <c r="H15" i="15"/>
  <c r="D29" i="9"/>
  <c r="D40" i="9"/>
  <c r="D49" i="9"/>
  <c r="H55" i="15"/>
  <c r="D76" i="9"/>
  <c r="J76" i="15" s="1"/>
  <c r="H76" i="15"/>
  <c r="D85" i="9"/>
  <c r="J85" i="15" s="1"/>
  <c r="H88" i="15"/>
  <c r="H91" i="15"/>
  <c r="D95" i="9"/>
  <c r="J95" i="15" s="1"/>
  <c r="H95" i="15"/>
  <c r="D98" i="9"/>
  <c r="J98" i="15" s="1"/>
  <c r="H98" i="15"/>
  <c r="D101" i="9"/>
  <c r="J101" i="15" s="1"/>
  <c r="D110" i="9"/>
  <c r="J110" i="15" s="1"/>
  <c r="H110" i="15"/>
  <c r="D119" i="9"/>
  <c r="J119" i="15" s="1"/>
  <c r="H119" i="15"/>
  <c r="D123" i="9"/>
  <c r="J123" i="15" s="1"/>
  <c r="H123" i="15"/>
  <c r="D130" i="9"/>
  <c r="J130" i="15" s="1"/>
  <c r="H121" i="15"/>
  <c r="H118" i="15"/>
  <c r="H109" i="15"/>
  <c r="H89" i="15"/>
  <c r="H78" i="15"/>
  <c r="H69" i="15"/>
  <c r="H49" i="15"/>
  <c r="H46" i="15"/>
  <c r="H37" i="15"/>
  <c r="D53" i="9"/>
  <c r="D5" i="9"/>
  <c r="D14" i="9"/>
  <c r="H14" i="15"/>
  <c r="D22" i="9"/>
  <c r="D42" i="9"/>
  <c r="H42" i="15"/>
  <c r="D65" i="9"/>
  <c r="D139" i="9"/>
  <c r="J139" i="15" s="1"/>
  <c r="D6" i="9"/>
  <c r="H6" i="15"/>
  <c r="D23" i="9"/>
  <c r="H23" i="15"/>
  <c r="D26" i="9"/>
  <c r="H26" i="15"/>
  <c r="H43" i="15"/>
  <c r="D60" i="9"/>
  <c r="H60" i="15"/>
  <c r="H79" i="15"/>
  <c r="D105" i="9"/>
  <c r="J105" i="15" s="1"/>
  <c r="D114" i="9"/>
  <c r="J114" i="15" s="1"/>
  <c r="H114" i="15"/>
  <c r="H140" i="15"/>
  <c r="H136" i="15"/>
  <c r="H112" i="15"/>
  <c r="H97" i="15"/>
  <c r="H80" i="15"/>
  <c r="H40" i="15"/>
  <c r="H25" i="15"/>
  <c r="H8" i="15"/>
  <c r="D14" i="10"/>
  <c r="D16" i="10"/>
  <c r="N14" i="15"/>
  <c r="D15" i="10"/>
  <c r="D20" i="9"/>
  <c r="D17" i="9"/>
  <c r="H17" i="15"/>
  <c r="H20" i="15"/>
  <c r="D64" i="10"/>
  <c r="D136" i="10"/>
  <c r="P136" i="15" s="1"/>
  <c r="D13" i="10"/>
  <c r="D19" i="10"/>
  <c r="D49" i="10"/>
  <c r="D55" i="10"/>
  <c r="D85" i="10"/>
  <c r="P85" i="15" s="1"/>
  <c r="D91" i="10"/>
  <c r="P91" i="15" s="1"/>
  <c r="D121" i="10"/>
  <c r="P121" i="15" s="1"/>
  <c r="D127" i="10"/>
  <c r="P127" i="15" s="1"/>
  <c r="D40" i="10"/>
  <c r="D76" i="10"/>
  <c r="P76" i="15" s="1"/>
  <c r="D112" i="10"/>
  <c r="P112" i="15" s="1"/>
  <c r="D10" i="10"/>
  <c r="D37" i="10"/>
  <c r="D46" i="10"/>
  <c r="D73" i="10"/>
  <c r="D82" i="10"/>
  <c r="P82" i="15" s="1"/>
  <c r="D109" i="10"/>
  <c r="P109" i="15" s="1"/>
  <c r="D118" i="10"/>
  <c r="P118" i="15" s="1"/>
  <c r="D145" i="10"/>
  <c r="P145" i="15" s="1"/>
  <c r="D28" i="10"/>
  <c r="D67" i="10"/>
  <c r="D103" i="10"/>
  <c r="P103" i="15" s="1"/>
  <c r="D139" i="10"/>
  <c r="P139" i="15" s="1"/>
  <c r="D100" i="10"/>
  <c r="P100" i="15" s="1"/>
  <c r="D4" i="10"/>
  <c r="D31" i="10"/>
  <c r="D22" i="10"/>
  <c r="D58" i="10"/>
  <c r="D94" i="10"/>
  <c r="P94" i="15" s="1"/>
  <c r="D130" i="10"/>
  <c r="P130" i="15" s="1"/>
  <c r="D81" i="9"/>
  <c r="J81" i="15" s="1"/>
  <c r="D64" i="9"/>
  <c r="D124" i="9"/>
  <c r="J124" i="15" s="1"/>
  <c r="D25" i="9"/>
  <c r="D54" i="9"/>
  <c r="D90" i="9"/>
  <c r="J90" i="15" s="1"/>
  <c r="D106" i="9"/>
  <c r="J106" i="15" s="1"/>
  <c r="D115" i="9"/>
  <c r="J115" i="15" s="1"/>
  <c r="D36" i="9"/>
  <c r="D45" i="9"/>
  <c r="D72" i="9"/>
  <c r="D144" i="9"/>
  <c r="J144" i="15" s="1"/>
  <c r="D10" i="9"/>
  <c r="D108" i="9"/>
  <c r="J108" i="15" s="1"/>
  <c r="D117" i="9"/>
  <c r="J117" i="15" s="1"/>
  <c r="D28" i="9"/>
  <c r="D61" i="9"/>
  <c r="D99" i="9"/>
  <c r="J99" i="15" s="1"/>
  <c r="D127" i="9"/>
  <c r="J127" i="15" s="1"/>
  <c r="D18" i="9"/>
  <c r="D97" i="9"/>
  <c r="J97" i="15" s="1"/>
  <c r="D100" i="9"/>
  <c r="J100" i="15" s="1"/>
  <c r="D109" i="9"/>
  <c r="J109" i="15" s="1"/>
  <c r="D118" i="9"/>
  <c r="J118" i="15" s="1"/>
  <c r="D9" i="9"/>
  <c r="D55" i="9"/>
  <c r="D91" i="9"/>
  <c r="J91" i="15" s="1"/>
  <c r="D16" i="9"/>
  <c r="D43" i="9"/>
  <c r="D126" i="9"/>
  <c r="J126" i="15" s="1"/>
  <c r="D142" i="9"/>
  <c r="J142" i="15" s="1"/>
  <c r="D52" i="9"/>
  <c r="D88" i="9"/>
  <c r="J88" i="15" s="1"/>
  <c r="D135" i="9"/>
  <c r="J135" i="15" s="1"/>
  <c r="D19" i="9"/>
  <c r="D79" i="9"/>
  <c r="J79" i="15" s="1"/>
  <c r="D7" i="9"/>
  <c r="D27" i="9"/>
  <c r="D34" i="9"/>
  <c r="D37" i="9"/>
  <c r="D46" i="9"/>
  <c r="D63" i="9"/>
  <c r="D70" i="9"/>
  <c r="D73" i="9"/>
  <c r="D82" i="9"/>
  <c r="J82" i="15" s="1"/>
  <c r="D133" i="9"/>
  <c r="J133" i="15" s="1"/>
  <c r="D136" i="9"/>
  <c r="J136" i="15" s="1"/>
  <c r="D145" i="9"/>
  <c r="J145" i="15" s="1"/>
  <c r="J43" i="15" l="1"/>
  <c r="C24" i="18"/>
  <c r="E24" i="18" s="1"/>
  <c r="P22" i="15"/>
  <c r="G2" i="20"/>
  <c r="I2" i="20" s="1"/>
  <c r="J20" i="15"/>
  <c r="C17" i="18"/>
  <c r="E17" i="18" s="1"/>
  <c r="J62" i="15"/>
  <c r="G25" i="18"/>
  <c r="I25" i="18" s="1"/>
  <c r="P62" i="15"/>
  <c r="G25" i="20"/>
  <c r="I25" i="20" s="1"/>
  <c r="J52" i="15"/>
  <c r="C32" i="18"/>
  <c r="E32" i="18" s="1"/>
  <c r="P46" i="15"/>
  <c r="C27" i="20"/>
  <c r="E27" i="20" s="1"/>
  <c r="J42" i="15"/>
  <c r="C23" i="18"/>
  <c r="E23" i="18" s="1"/>
  <c r="J51" i="15"/>
  <c r="C31" i="18"/>
  <c r="E31" i="18" s="1"/>
  <c r="J32" i="15"/>
  <c r="G11" i="18"/>
  <c r="I11" i="18" s="1"/>
  <c r="J44" i="15"/>
  <c r="C25" i="18"/>
  <c r="E25" i="18" s="1"/>
  <c r="P5" i="15"/>
  <c r="C3" i="20"/>
  <c r="E3" i="20" s="1"/>
  <c r="P43" i="15"/>
  <c r="C24" i="20"/>
  <c r="E24" i="20" s="1"/>
  <c r="P45" i="15"/>
  <c r="C26" i="20"/>
  <c r="E26" i="20" s="1"/>
  <c r="J34" i="15"/>
  <c r="G13" i="18"/>
  <c r="I13" i="18" s="1"/>
  <c r="P67" i="15"/>
  <c r="G29" i="20"/>
  <c r="I29" i="20" s="1"/>
  <c r="P37" i="15"/>
  <c r="G16" i="20"/>
  <c r="I16" i="20" s="1"/>
  <c r="J22" i="15"/>
  <c r="G2" i="18"/>
  <c r="I2" i="18" s="1"/>
  <c r="J49" i="15"/>
  <c r="C29" i="18"/>
  <c r="E29" i="18" s="1"/>
  <c r="J50" i="15"/>
  <c r="C30" i="18"/>
  <c r="E30" i="18" s="1"/>
  <c r="J56" i="15"/>
  <c r="C36" i="18"/>
  <c r="E36" i="18" s="1"/>
  <c r="P35" i="15"/>
  <c r="G14" i="20"/>
  <c r="I14" i="20" s="1"/>
  <c r="P68" i="15"/>
  <c r="G30" i="20"/>
  <c r="I30" i="20" s="1"/>
  <c r="P44" i="15"/>
  <c r="C25" i="20"/>
  <c r="E25" i="20" s="1"/>
  <c r="P69" i="15"/>
  <c r="G31" i="20"/>
  <c r="I31" i="20" s="1"/>
  <c r="P23" i="15"/>
  <c r="G3" i="20"/>
  <c r="I3" i="20" s="1"/>
  <c r="P6" i="15"/>
  <c r="C4" i="20"/>
  <c r="E4" i="20" s="1"/>
  <c r="P8" i="15"/>
  <c r="C6" i="20"/>
  <c r="E6" i="20" s="1"/>
  <c r="J14" i="15"/>
  <c r="C11" i="18"/>
  <c r="E11" i="18" s="1"/>
  <c r="P34" i="15"/>
  <c r="G13" i="20"/>
  <c r="I13" i="20" s="1"/>
  <c r="P26" i="15"/>
  <c r="G6" i="20"/>
  <c r="I6" i="20" s="1"/>
  <c r="P31" i="15"/>
  <c r="G10" i="20"/>
  <c r="I10" i="20" s="1"/>
  <c r="P15" i="15"/>
  <c r="C12" i="20"/>
  <c r="E12" i="20" s="1"/>
  <c r="J5" i="15"/>
  <c r="C3" i="18"/>
  <c r="E3" i="18" s="1"/>
  <c r="J33" i="15"/>
  <c r="G12" i="18"/>
  <c r="I12" i="18" s="1"/>
  <c r="J71" i="15"/>
  <c r="G33" i="18"/>
  <c r="I33" i="18" s="1"/>
  <c r="P11" i="15"/>
  <c r="C9" i="20"/>
  <c r="E9" i="20" s="1"/>
  <c r="J37" i="15"/>
  <c r="G16" i="18"/>
  <c r="I16" i="18" s="1"/>
  <c r="J28" i="15"/>
  <c r="G8" i="18"/>
  <c r="I8" i="18" s="1"/>
  <c r="J26" i="15"/>
  <c r="G6" i="18"/>
  <c r="I6" i="18" s="1"/>
  <c r="J8" i="15"/>
  <c r="C6" i="18"/>
  <c r="E6" i="18" s="1"/>
  <c r="P71" i="15"/>
  <c r="G33" i="20"/>
  <c r="I33" i="20" s="1"/>
  <c r="P47" i="15"/>
  <c r="C28" i="20"/>
  <c r="E28" i="20" s="1"/>
  <c r="P51" i="15"/>
  <c r="C31" i="20"/>
  <c r="E31" i="20" s="1"/>
  <c r="J27" i="15"/>
  <c r="G7" i="18"/>
  <c r="I7" i="18" s="1"/>
  <c r="P58" i="15"/>
  <c r="G21" i="20"/>
  <c r="I21" i="20" s="1"/>
  <c r="P28" i="15"/>
  <c r="G8" i="20"/>
  <c r="I8" i="20" s="1"/>
  <c r="P10" i="15"/>
  <c r="C8" i="20"/>
  <c r="E8" i="20" s="1"/>
  <c r="P55" i="15"/>
  <c r="C35" i="20"/>
  <c r="E35" i="20" s="1"/>
  <c r="J17" i="15"/>
  <c r="C14" i="18"/>
  <c r="E14" i="18" s="1"/>
  <c r="J23" i="15"/>
  <c r="G3" i="18"/>
  <c r="I3" i="18" s="1"/>
  <c r="J40" i="15"/>
  <c r="C21" i="18"/>
  <c r="E21" i="18" s="1"/>
  <c r="J41" i="15"/>
  <c r="C22" i="18"/>
  <c r="E22" i="18" s="1"/>
  <c r="J74" i="15"/>
  <c r="G36" i="18"/>
  <c r="I36" i="18" s="1"/>
  <c r="J47" i="15"/>
  <c r="C28" i="18"/>
  <c r="E28" i="18" s="1"/>
  <c r="P50" i="15"/>
  <c r="C30" i="20"/>
  <c r="E30" i="20" s="1"/>
  <c r="P24" i="15"/>
  <c r="G4" i="20"/>
  <c r="I4" i="20" s="1"/>
  <c r="P61" i="15"/>
  <c r="G24" i="20"/>
  <c r="I24" i="20" s="1"/>
  <c r="P42" i="15"/>
  <c r="C23" i="20"/>
  <c r="E23" i="20" s="1"/>
  <c r="J7" i="15"/>
  <c r="C5" i="18"/>
  <c r="E5" i="18" s="1"/>
  <c r="J54" i="15"/>
  <c r="C34" i="18"/>
  <c r="E34" i="18" s="1"/>
  <c r="P49" i="15"/>
  <c r="C29" i="20"/>
  <c r="E29" i="20" s="1"/>
  <c r="P41" i="15"/>
  <c r="C22" i="20"/>
  <c r="E22" i="20" s="1"/>
  <c r="J18" i="15"/>
  <c r="C15" i="18"/>
  <c r="E15" i="18" s="1"/>
  <c r="J6" i="15"/>
  <c r="C4" i="18"/>
  <c r="E4" i="18" s="1"/>
  <c r="J24" i="15"/>
  <c r="G4" i="18"/>
  <c r="I4" i="18" s="1"/>
  <c r="P53" i="15"/>
  <c r="C33" i="20"/>
  <c r="E33" i="20" s="1"/>
  <c r="P38" i="15"/>
  <c r="G17" i="20"/>
  <c r="I17" i="20" s="1"/>
  <c r="J19" i="15"/>
  <c r="C16" i="18"/>
  <c r="E16" i="18" s="1"/>
  <c r="J72" i="15"/>
  <c r="G34" i="18"/>
  <c r="I34" i="18" s="1"/>
  <c r="P13" i="15"/>
  <c r="C10" i="20"/>
  <c r="E10" i="20" s="1"/>
  <c r="J60" i="15"/>
  <c r="G23" i="18"/>
  <c r="I23" i="18" s="1"/>
  <c r="J53" i="15"/>
  <c r="C33" i="18"/>
  <c r="E33" i="18" s="1"/>
  <c r="J15" i="15"/>
  <c r="C12" i="18"/>
  <c r="E12" i="18" s="1"/>
  <c r="P65" i="15"/>
  <c r="G28" i="20"/>
  <c r="I28" i="20" s="1"/>
  <c r="P7" i="15"/>
  <c r="C5" i="20"/>
  <c r="E5" i="20" s="1"/>
  <c r="P18" i="15"/>
  <c r="C15" i="20"/>
  <c r="E15" i="20" s="1"/>
  <c r="P32" i="15"/>
  <c r="G11" i="20"/>
  <c r="I11" i="20" s="1"/>
  <c r="J64" i="15"/>
  <c r="G27" i="18"/>
  <c r="I27" i="18" s="1"/>
  <c r="P16" i="15"/>
  <c r="C13" i="20"/>
  <c r="E13" i="20" s="1"/>
  <c r="J65" i="15"/>
  <c r="G28" i="18"/>
  <c r="I28" i="18" s="1"/>
  <c r="J13" i="15"/>
  <c r="C10" i="18"/>
  <c r="E10" i="18" s="1"/>
  <c r="J35" i="15"/>
  <c r="G14" i="18"/>
  <c r="I14" i="18" s="1"/>
  <c r="J58" i="15"/>
  <c r="G21" i="18"/>
  <c r="I21" i="18" s="1"/>
  <c r="J67" i="15"/>
  <c r="G29" i="18"/>
  <c r="I29" i="18" s="1"/>
  <c r="P74" i="15"/>
  <c r="G36" i="20"/>
  <c r="I36" i="20" s="1"/>
  <c r="P60" i="15"/>
  <c r="G23" i="20"/>
  <c r="I23" i="20" s="1"/>
  <c r="P27" i="15"/>
  <c r="G7" i="20"/>
  <c r="I7" i="20" s="1"/>
  <c r="P36" i="15"/>
  <c r="G15" i="20"/>
  <c r="I15" i="20" s="1"/>
  <c r="P20" i="15"/>
  <c r="C17" i="20"/>
  <c r="E17" i="20" s="1"/>
  <c r="J10" i="15"/>
  <c r="C8" i="18"/>
  <c r="E8" i="18" s="1"/>
  <c r="J29" i="15"/>
  <c r="G9" i="18"/>
  <c r="I9" i="18" s="1"/>
  <c r="P29" i="15"/>
  <c r="G9" i="20"/>
  <c r="I9" i="20" s="1"/>
  <c r="J73" i="15"/>
  <c r="G35" i="18"/>
  <c r="I35" i="18" s="1"/>
  <c r="J16" i="15"/>
  <c r="C13" i="18"/>
  <c r="E13" i="18" s="1"/>
  <c r="J25" i="15"/>
  <c r="G5" i="18"/>
  <c r="I5" i="18" s="1"/>
  <c r="P19" i="15"/>
  <c r="C16" i="20"/>
  <c r="E16" i="20" s="1"/>
  <c r="J38" i="15"/>
  <c r="G17" i="18"/>
  <c r="I17" i="18" s="1"/>
  <c r="P25" i="15"/>
  <c r="G5" i="20"/>
  <c r="I5" i="20" s="1"/>
  <c r="J70" i="15"/>
  <c r="G32" i="18"/>
  <c r="I32" i="18" s="1"/>
  <c r="P4" i="15"/>
  <c r="C2" i="20"/>
  <c r="E2" i="20" s="1"/>
  <c r="P40" i="15"/>
  <c r="C21" i="20"/>
  <c r="E21" i="20" s="1"/>
  <c r="J68" i="15"/>
  <c r="G30" i="18"/>
  <c r="I30" i="18" s="1"/>
  <c r="J69" i="15"/>
  <c r="G31" i="18"/>
  <c r="I31" i="18" s="1"/>
  <c r="P33" i="15"/>
  <c r="G12" i="20"/>
  <c r="I12" i="20" s="1"/>
  <c r="P54" i="15"/>
  <c r="C34" i="20"/>
  <c r="E34" i="20" s="1"/>
  <c r="J63" i="15"/>
  <c r="G26" i="18"/>
  <c r="I26" i="18" s="1"/>
  <c r="J55" i="15"/>
  <c r="C35" i="18"/>
  <c r="E35" i="18" s="1"/>
  <c r="J45" i="15"/>
  <c r="C26" i="18"/>
  <c r="E26" i="18" s="1"/>
  <c r="J46" i="15"/>
  <c r="C27" i="18"/>
  <c r="E27" i="18" s="1"/>
  <c r="J9" i="15"/>
  <c r="C7" i="18"/>
  <c r="E7" i="18" s="1"/>
  <c r="J61" i="15"/>
  <c r="G24" i="18"/>
  <c r="I24" i="18" s="1"/>
  <c r="J36" i="15"/>
  <c r="G15" i="18"/>
  <c r="I15" i="18" s="1"/>
  <c r="P73" i="15"/>
  <c r="G35" i="20"/>
  <c r="I35" i="20" s="1"/>
  <c r="P64" i="15"/>
  <c r="G27" i="20"/>
  <c r="I27" i="20" s="1"/>
  <c r="P14" i="15"/>
  <c r="C11" i="20"/>
  <c r="E11" i="20" s="1"/>
  <c r="J11" i="15"/>
  <c r="C9" i="18"/>
  <c r="E9" i="18" s="1"/>
  <c r="J31" i="15"/>
  <c r="G10" i="18"/>
  <c r="I10" i="18" s="1"/>
  <c r="J59" i="15"/>
  <c r="G22" i="18"/>
  <c r="I22" i="18" s="1"/>
  <c r="P17" i="15"/>
  <c r="C14" i="20"/>
  <c r="E14" i="20" s="1"/>
  <c r="P63" i="15"/>
  <c r="G26" i="20"/>
  <c r="I26" i="20" s="1"/>
  <c r="P59" i="15"/>
  <c r="G22" i="20"/>
  <c r="I22" i="20" s="1"/>
  <c r="P70" i="15"/>
  <c r="G32" i="20"/>
  <c r="I32" i="20" s="1"/>
  <c r="P72" i="15"/>
  <c r="G34" i="20"/>
  <c r="I34" i="20" s="1"/>
  <c r="P9" i="15"/>
  <c r="C7" i="20"/>
  <c r="E7" i="20" s="1"/>
  <c r="P56" i="15"/>
  <c r="C36" i="20"/>
  <c r="E36" i="20" s="1"/>
  <c r="P52" i="15"/>
  <c r="C32" i="20"/>
  <c r="E32" i="20" s="1"/>
  <c r="J4" i="15"/>
  <c r="C2" i="18"/>
  <c r="E2" i="18" s="1"/>
  <c r="N216" i="8"/>
  <c r="N235" i="8" s="1"/>
  <c r="N400" i="8"/>
  <c r="N422" i="8" s="1"/>
  <c r="N423" i="8" s="1"/>
  <c r="N401" i="8"/>
  <c r="N174" i="7"/>
  <c r="N193" i="7" s="1"/>
  <c r="N400" i="7"/>
  <c r="N422" i="7" s="1"/>
  <c r="N423" i="7" s="1"/>
  <c r="N401" i="7"/>
  <c r="E187" i="6"/>
  <c r="E186" i="6"/>
  <c r="E185" i="6"/>
  <c r="E184" i="6"/>
  <c r="E183" i="6"/>
  <c r="E182" i="6"/>
  <c r="E181" i="6"/>
  <c r="E180" i="6"/>
  <c r="E146" i="6"/>
  <c r="E146" i="15" s="1"/>
  <c r="B146" i="6"/>
  <c r="E145" i="6"/>
  <c r="E145" i="15" s="1"/>
  <c r="B145" i="6"/>
  <c r="E144" i="6"/>
  <c r="E144" i="15" s="1"/>
  <c r="B144" i="6"/>
  <c r="E143" i="6"/>
  <c r="E143" i="15" s="1"/>
  <c r="B143" i="6"/>
  <c r="E142" i="6"/>
  <c r="E142" i="15" s="1"/>
  <c r="B142" i="6"/>
  <c r="E141" i="6"/>
  <c r="E141" i="15" s="1"/>
  <c r="B141" i="6"/>
  <c r="E140" i="6"/>
  <c r="E140" i="15" s="1"/>
  <c r="B140" i="6"/>
  <c r="E139" i="6"/>
  <c r="E139" i="15" s="1"/>
  <c r="B139" i="6"/>
  <c r="E137" i="6"/>
  <c r="E137" i="15" s="1"/>
  <c r="B137" i="6"/>
  <c r="E136" i="6"/>
  <c r="E136" i="15" s="1"/>
  <c r="B136" i="6"/>
  <c r="E135" i="6"/>
  <c r="E135" i="15" s="1"/>
  <c r="B135" i="6"/>
  <c r="E134" i="6"/>
  <c r="E134" i="15" s="1"/>
  <c r="B134" i="6"/>
  <c r="E133" i="6"/>
  <c r="E133" i="15" s="1"/>
  <c r="B133" i="6"/>
  <c r="E132" i="6"/>
  <c r="E132" i="15" s="1"/>
  <c r="B132" i="6"/>
  <c r="E131" i="6"/>
  <c r="E131" i="15" s="1"/>
  <c r="B131" i="6"/>
  <c r="E130" i="6"/>
  <c r="E130" i="15" s="1"/>
  <c r="B130" i="6"/>
  <c r="E128" i="6"/>
  <c r="E128" i="15" s="1"/>
  <c r="B128" i="6"/>
  <c r="E127" i="6"/>
  <c r="E127" i="15" s="1"/>
  <c r="B127" i="6"/>
  <c r="E126" i="6"/>
  <c r="E126" i="15" s="1"/>
  <c r="B126" i="6"/>
  <c r="E125" i="6"/>
  <c r="E125" i="15" s="1"/>
  <c r="B125" i="6"/>
  <c r="E124" i="6"/>
  <c r="E124" i="15" s="1"/>
  <c r="B124" i="6"/>
  <c r="E123" i="6"/>
  <c r="E123" i="15" s="1"/>
  <c r="B123" i="6"/>
  <c r="E122" i="6"/>
  <c r="E122" i="15" s="1"/>
  <c r="B122" i="6"/>
  <c r="E121" i="6"/>
  <c r="E121" i="15" s="1"/>
  <c r="B121" i="6"/>
  <c r="E119" i="6"/>
  <c r="E119" i="15" s="1"/>
  <c r="B119" i="6"/>
  <c r="E118" i="6"/>
  <c r="E118" i="15" s="1"/>
  <c r="B118" i="6"/>
  <c r="E117" i="6"/>
  <c r="E117" i="15" s="1"/>
  <c r="B117" i="6"/>
  <c r="E116" i="6"/>
  <c r="E116" i="15" s="1"/>
  <c r="B116" i="6"/>
  <c r="E115" i="6"/>
  <c r="E115" i="15" s="1"/>
  <c r="B115" i="6"/>
  <c r="E114" i="6"/>
  <c r="E114" i="15" s="1"/>
  <c r="B114" i="6"/>
  <c r="E113" i="6"/>
  <c r="E113" i="15" s="1"/>
  <c r="B113" i="6"/>
  <c r="E112" i="6"/>
  <c r="E112" i="15" s="1"/>
  <c r="B112" i="6"/>
  <c r="E110" i="6"/>
  <c r="E110" i="15" s="1"/>
  <c r="B110" i="6"/>
  <c r="E109" i="6"/>
  <c r="E109" i="15" s="1"/>
  <c r="B109" i="6"/>
  <c r="E108" i="6"/>
  <c r="E108" i="15" s="1"/>
  <c r="B108" i="6"/>
  <c r="E107" i="6"/>
  <c r="E107" i="15" s="1"/>
  <c r="B107" i="6"/>
  <c r="E106" i="6"/>
  <c r="E106" i="15" s="1"/>
  <c r="B106" i="6"/>
  <c r="E105" i="6"/>
  <c r="E105" i="15" s="1"/>
  <c r="B105" i="6"/>
  <c r="E104" i="6"/>
  <c r="E104" i="15" s="1"/>
  <c r="B104" i="6"/>
  <c r="E103" i="6"/>
  <c r="E103" i="15" s="1"/>
  <c r="B103" i="6"/>
  <c r="E101" i="6"/>
  <c r="E101" i="15" s="1"/>
  <c r="B101" i="6"/>
  <c r="E100" i="6"/>
  <c r="E100" i="15" s="1"/>
  <c r="B100" i="6"/>
  <c r="E99" i="6"/>
  <c r="E99" i="15" s="1"/>
  <c r="B99" i="6"/>
  <c r="E98" i="6"/>
  <c r="E98" i="15" s="1"/>
  <c r="B98" i="6"/>
  <c r="E97" i="6"/>
  <c r="E97" i="15" s="1"/>
  <c r="B97" i="6"/>
  <c r="E96" i="6"/>
  <c r="E96" i="15" s="1"/>
  <c r="B96" i="6"/>
  <c r="E95" i="6"/>
  <c r="E95" i="15" s="1"/>
  <c r="B95" i="6"/>
  <c r="E94" i="6"/>
  <c r="E94" i="15" s="1"/>
  <c r="B94" i="6"/>
  <c r="E92" i="6"/>
  <c r="E92" i="15" s="1"/>
  <c r="B92" i="6"/>
  <c r="E91" i="6"/>
  <c r="E91" i="15" s="1"/>
  <c r="B91" i="6"/>
  <c r="E90" i="6"/>
  <c r="E90" i="15" s="1"/>
  <c r="B90" i="6"/>
  <c r="E89" i="6"/>
  <c r="E89" i="15" s="1"/>
  <c r="B89" i="6"/>
  <c r="E88" i="6"/>
  <c r="E88" i="15" s="1"/>
  <c r="B88" i="6"/>
  <c r="E87" i="6"/>
  <c r="E87" i="15" s="1"/>
  <c r="B87" i="6"/>
  <c r="E86" i="6"/>
  <c r="E86" i="15" s="1"/>
  <c r="B86" i="6"/>
  <c r="E85" i="6"/>
  <c r="E85" i="15" s="1"/>
  <c r="B85" i="6"/>
  <c r="E83" i="6"/>
  <c r="E83" i="15" s="1"/>
  <c r="B83" i="6"/>
  <c r="E82" i="6"/>
  <c r="E82" i="15" s="1"/>
  <c r="B82" i="6"/>
  <c r="E81" i="6"/>
  <c r="E81" i="15" s="1"/>
  <c r="B81" i="6"/>
  <c r="E80" i="6"/>
  <c r="E80" i="15" s="1"/>
  <c r="B80" i="6"/>
  <c r="E79" i="6"/>
  <c r="E79" i="15" s="1"/>
  <c r="B79" i="6"/>
  <c r="E78" i="6"/>
  <c r="E78" i="15" s="1"/>
  <c r="B78" i="6"/>
  <c r="E77" i="6"/>
  <c r="E77" i="15" s="1"/>
  <c r="B77" i="6"/>
  <c r="E76" i="6"/>
  <c r="E76" i="15" s="1"/>
  <c r="B76" i="6"/>
  <c r="E74" i="6"/>
  <c r="E74" i="15" s="1"/>
  <c r="B74" i="6"/>
  <c r="E73" i="6"/>
  <c r="E73" i="15" s="1"/>
  <c r="B73" i="6"/>
  <c r="E72" i="6"/>
  <c r="E72" i="15" s="1"/>
  <c r="B72" i="6"/>
  <c r="E71" i="6"/>
  <c r="E71" i="15" s="1"/>
  <c r="B71" i="6"/>
  <c r="E70" i="6"/>
  <c r="E70" i="15" s="1"/>
  <c r="B70" i="6"/>
  <c r="E69" i="6"/>
  <c r="E69" i="15" s="1"/>
  <c r="B69" i="6"/>
  <c r="E68" i="6"/>
  <c r="E68" i="15" s="1"/>
  <c r="B68" i="6"/>
  <c r="E67" i="6"/>
  <c r="E67" i="15" s="1"/>
  <c r="B67" i="6"/>
  <c r="E65" i="6"/>
  <c r="E65" i="15" s="1"/>
  <c r="B65" i="6"/>
  <c r="E64" i="6"/>
  <c r="E64" i="15" s="1"/>
  <c r="B64" i="6"/>
  <c r="E63" i="6"/>
  <c r="E63" i="15" s="1"/>
  <c r="B63" i="6"/>
  <c r="E62" i="6"/>
  <c r="E62" i="15" s="1"/>
  <c r="B62" i="6"/>
  <c r="E61" i="6"/>
  <c r="E61" i="15" s="1"/>
  <c r="B61" i="6"/>
  <c r="E60" i="6"/>
  <c r="E60" i="15" s="1"/>
  <c r="B60" i="6"/>
  <c r="E59" i="6"/>
  <c r="E59" i="15" s="1"/>
  <c r="B59" i="6"/>
  <c r="E58" i="6"/>
  <c r="E58" i="15" s="1"/>
  <c r="B58" i="6"/>
  <c r="E56" i="6"/>
  <c r="E56" i="15" s="1"/>
  <c r="B56" i="6"/>
  <c r="E55" i="6"/>
  <c r="E55" i="15" s="1"/>
  <c r="B55" i="6"/>
  <c r="E54" i="6"/>
  <c r="E54" i="15" s="1"/>
  <c r="B54" i="6"/>
  <c r="E53" i="6"/>
  <c r="E53" i="15" s="1"/>
  <c r="B53" i="6"/>
  <c r="E52" i="6"/>
  <c r="E52" i="15" s="1"/>
  <c r="B52" i="6"/>
  <c r="E51" i="6"/>
  <c r="E51" i="15" s="1"/>
  <c r="B51" i="6"/>
  <c r="E50" i="6"/>
  <c r="E50" i="15" s="1"/>
  <c r="B50" i="6"/>
  <c r="E49" i="6"/>
  <c r="E49" i="15" s="1"/>
  <c r="B49" i="6"/>
  <c r="E47" i="6"/>
  <c r="E47" i="15" s="1"/>
  <c r="B47" i="6"/>
  <c r="E46" i="6"/>
  <c r="E46" i="15" s="1"/>
  <c r="B46" i="6"/>
  <c r="E45" i="6"/>
  <c r="E45" i="15" s="1"/>
  <c r="B45" i="6"/>
  <c r="E44" i="6"/>
  <c r="E44" i="15" s="1"/>
  <c r="B44" i="6"/>
  <c r="E43" i="6"/>
  <c r="E43" i="15" s="1"/>
  <c r="B43" i="6"/>
  <c r="E42" i="6"/>
  <c r="E42" i="15" s="1"/>
  <c r="B42" i="6"/>
  <c r="E41" i="6"/>
  <c r="E41" i="15" s="1"/>
  <c r="B41" i="6"/>
  <c r="E40" i="6"/>
  <c r="E40" i="15" s="1"/>
  <c r="B40" i="6"/>
  <c r="E38" i="6"/>
  <c r="E38" i="15" s="1"/>
  <c r="B38" i="6"/>
  <c r="E37" i="6"/>
  <c r="E37" i="15" s="1"/>
  <c r="B37" i="6"/>
  <c r="E36" i="6"/>
  <c r="E36" i="15" s="1"/>
  <c r="B36" i="6"/>
  <c r="E35" i="6"/>
  <c r="E35" i="15" s="1"/>
  <c r="B35" i="6"/>
  <c r="E34" i="6"/>
  <c r="E34" i="15" s="1"/>
  <c r="B34" i="6"/>
  <c r="E33" i="6"/>
  <c r="E33" i="15" s="1"/>
  <c r="B33" i="6"/>
  <c r="E32" i="6"/>
  <c r="E32" i="15" s="1"/>
  <c r="B32" i="6"/>
  <c r="E31" i="6"/>
  <c r="E31" i="15" s="1"/>
  <c r="B31" i="6"/>
  <c r="E29" i="6"/>
  <c r="E29" i="15" s="1"/>
  <c r="B29" i="6"/>
  <c r="E28" i="6"/>
  <c r="E28" i="15" s="1"/>
  <c r="B28" i="6"/>
  <c r="E27" i="6"/>
  <c r="E27" i="15" s="1"/>
  <c r="B27" i="6"/>
  <c r="E26" i="6"/>
  <c r="E26" i="15" s="1"/>
  <c r="B26" i="6"/>
  <c r="E25" i="6"/>
  <c r="E25" i="15" s="1"/>
  <c r="B25" i="6"/>
  <c r="E24" i="6"/>
  <c r="E24" i="15" s="1"/>
  <c r="B24" i="6"/>
  <c r="E23" i="6"/>
  <c r="E23" i="15" s="1"/>
  <c r="B23" i="6"/>
  <c r="E22" i="6"/>
  <c r="E22" i="15" s="1"/>
  <c r="B22" i="6"/>
  <c r="E20" i="6"/>
  <c r="E20" i="15" s="1"/>
  <c r="B20" i="6"/>
  <c r="E19" i="6"/>
  <c r="E19" i="15" s="1"/>
  <c r="B19" i="6"/>
  <c r="E18" i="6"/>
  <c r="E18" i="15" s="1"/>
  <c r="B18" i="6"/>
  <c r="E17" i="6"/>
  <c r="E17" i="15" s="1"/>
  <c r="B17" i="6"/>
  <c r="E16" i="6"/>
  <c r="E16" i="15" s="1"/>
  <c r="B16" i="6"/>
  <c r="E15" i="6"/>
  <c r="E15" i="15" s="1"/>
  <c r="B15" i="6"/>
  <c r="E14" i="6"/>
  <c r="E14" i="15" s="1"/>
  <c r="B14" i="6"/>
  <c r="E13" i="6"/>
  <c r="E13" i="15" s="1"/>
  <c r="B13" i="6"/>
  <c r="E11" i="6"/>
  <c r="E11" i="15" s="1"/>
  <c r="B11" i="6"/>
  <c r="E10" i="6"/>
  <c r="E10" i="15" s="1"/>
  <c r="B10" i="6"/>
  <c r="E9" i="6"/>
  <c r="E9" i="15" s="1"/>
  <c r="B9" i="6"/>
  <c r="E8" i="6"/>
  <c r="E8" i="15" s="1"/>
  <c r="B8" i="6"/>
  <c r="E7" i="6"/>
  <c r="E7" i="15" s="1"/>
  <c r="B7" i="6"/>
  <c r="E6" i="6"/>
  <c r="E6" i="15" s="1"/>
  <c r="B6" i="6"/>
  <c r="E5" i="6"/>
  <c r="E5" i="15" s="1"/>
  <c r="B5" i="6"/>
  <c r="E4" i="6"/>
  <c r="E4" i="15" s="1"/>
  <c r="C4" i="6"/>
  <c r="C4" i="15" l="1"/>
  <c r="B8" i="15"/>
  <c r="B9" i="15"/>
  <c r="N236" i="8"/>
  <c r="N257" i="8" s="1"/>
  <c r="N442" i="8"/>
  <c r="N464" i="8" s="1"/>
  <c r="N465" i="8" s="1"/>
  <c r="N443" i="8"/>
  <c r="N194" i="7"/>
  <c r="N215" i="7" s="1"/>
  <c r="N442" i="7"/>
  <c r="N464" i="7" s="1"/>
  <c r="N465" i="7" s="1"/>
  <c r="N443" i="7"/>
  <c r="B125" i="15"/>
  <c r="B143" i="15"/>
  <c r="B117" i="15"/>
  <c r="B122" i="15"/>
  <c r="B126" i="15"/>
  <c r="B131" i="15"/>
  <c r="B135" i="15"/>
  <c r="B140" i="15"/>
  <c r="B144" i="15"/>
  <c r="B134" i="15"/>
  <c r="B118" i="15"/>
  <c r="B136" i="15"/>
  <c r="B121" i="15"/>
  <c r="B139" i="15"/>
  <c r="B123" i="15"/>
  <c r="B127" i="15"/>
  <c r="B132" i="15"/>
  <c r="B141" i="15"/>
  <c r="B145" i="15"/>
  <c r="B119" i="15"/>
  <c r="B124" i="15"/>
  <c r="B128" i="15"/>
  <c r="B133" i="15"/>
  <c r="B137" i="15"/>
  <c r="B142" i="15"/>
  <c r="B146" i="15"/>
  <c r="B116" i="15"/>
  <c r="B130" i="15"/>
  <c r="B17" i="15"/>
  <c r="B26" i="15"/>
  <c r="B35" i="15"/>
  <c r="B49" i="15"/>
  <c r="B58" i="15"/>
  <c r="B67" i="15"/>
  <c r="B76" i="15"/>
  <c r="B80" i="15"/>
  <c r="B85" i="15"/>
  <c r="B89" i="15"/>
  <c r="B98" i="15"/>
  <c r="B103" i="15"/>
  <c r="B107" i="15"/>
  <c r="B112" i="15"/>
  <c r="B5" i="15"/>
  <c r="B18" i="15"/>
  <c r="B23" i="15"/>
  <c r="B27" i="15"/>
  <c r="B32" i="15"/>
  <c r="B36" i="15"/>
  <c r="B41" i="15"/>
  <c r="B45" i="15"/>
  <c r="B50" i="15"/>
  <c r="B54" i="15"/>
  <c r="B59" i="15"/>
  <c r="B63" i="15"/>
  <c r="B68" i="15"/>
  <c r="B72" i="15"/>
  <c r="B77" i="15"/>
  <c r="B81" i="15"/>
  <c r="B86" i="15"/>
  <c r="B90" i="15"/>
  <c r="B95" i="15"/>
  <c r="B99" i="15"/>
  <c r="B104" i="15"/>
  <c r="B108" i="15"/>
  <c r="B113" i="15"/>
  <c r="B22" i="15"/>
  <c r="B31" i="15"/>
  <c r="B40" i="15"/>
  <c r="B44" i="15"/>
  <c r="B53" i="15"/>
  <c r="B62" i="15"/>
  <c r="B71" i="15"/>
  <c r="B94" i="15"/>
  <c r="B6" i="15"/>
  <c r="B19" i="15"/>
  <c r="B24" i="15"/>
  <c r="B28" i="15"/>
  <c r="B33" i="15"/>
  <c r="B37" i="15"/>
  <c r="B42" i="15"/>
  <c r="B46" i="15"/>
  <c r="B51" i="15"/>
  <c r="B55" i="15"/>
  <c r="B60" i="15"/>
  <c r="B64" i="15"/>
  <c r="B69" i="15"/>
  <c r="B73" i="15"/>
  <c r="B78" i="15"/>
  <c r="B82" i="15"/>
  <c r="B87" i="15"/>
  <c r="B91" i="15"/>
  <c r="B96" i="15"/>
  <c r="B100" i="15"/>
  <c r="B105" i="15"/>
  <c r="B109" i="15"/>
  <c r="B114" i="15"/>
  <c r="B7" i="15"/>
  <c r="B20" i="15"/>
  <c r="B25" i="15"/>
  <c r="B52" i="15"/>
  <c r="B56" i="15"/>
  <c r="B61" i="15"/>
  <c r="B65" i="15"/>
  <c r="B70" i="15"/>
  <c r="B74" i="15"/>
  <c r="B79" i="15"/>
  <c r="B83" i="15"/>
  <c r="B88" i="15"/>
  <c r="B92" i="15"/>
  <c r="B97" i="15"/>
  <c r="B101" i="15"/>
  <c r="B106" i="15"/>
  <c r="B110" i="15"/>
  <c r="B115" i="15"/>
  <c r="B29" i="15"/>
  <c r="B34" i="15"/>
  <c r="B38" i="15"/>
  <c r="B43" i="15"/>
  <c r="B47" i="15"/>
  <c r="B14" i="15"/>
  <c r="B15" i="15"/>
  <c r="B16" i="15"/>
  <c r="B13" i="15"/>
  <c r="B11" i="15"/>
  <c r="B10" i="15"/>
  <c r="B4" i="15"/>
  <c r="D22" i="6"/>
  <c r="G2" i="19" s="1"/>
  <c r="D31" i="6"/>
  <c r="G10" i="19" s="1"/>
  <c r="D58" i="6"/>
  <c r="G21" i="19" s="1"/>
  <c r="D67" i="6"/>
  <c r="G29" i="19" s="1"/>
  <c r="D85" i="6"/>
  <c r="D112" i="6"/>
  <c r="D121" i="6"/>
  <c r="D130" i="6"/>
  <c r="D7" i="6"/>
  <c r="C5" i="19" s="1"/>
  <c r="D25" i="6"/>
  <c r="G5" i="19" s="1"/>
  <c r="D43" i="6"/>
  <c r="C24" i="19" s="1"/>
  <c r="D79" i="6"/>
  <c r="D88" i="6"/>
  <c r="D115" i="6"/>
  <c r="D19" i="6"/>
  <c r="C16" i="19" s="1"/>
  <c r="D46" i="6"/>
  <c r="C27" i="19" s="1"/>
  <c r="D55" i="6"/>
  <c r="C35" i="19" s="1"/>
  <c r="D64" i="6"/>
  <c r="D73" i="6"/>
  <c r="G35" i="19" s="1"/>
  <c r="D82" i="6"/>
  <c r="D91" i="6"/>
  <c r="D100" i="6"/>
  <c r="D109" i="6"/>
  <c r="D118" i="6"/>
  <c r="D127" i="6"/>
  <c r="D127" i="15" s="1"/>
  <c r="D136" i="6"/>
  <c r="D145" i="6"/>
  <c r="D5" i="6"/>
  <c r="C3" i="19" s="1"/>
  <c r="D14" i="6"/>
  <c r="C11" i="19" s="1"/>
  <c r="D23" i="6"/>
  <c r="G3" i="19" s="1"/>
  <c r="D32" i="6"/>
  <c r="G11" i="19" s="1"/>
  <c r="D41" i="6"/>
  <c r="C22" i="19" s="1"/>
  <c r="D50" i="6"/>
  <c r="C30" i="19" s="1"/>
  <c r="D59" i="6"/>
  <c r="G22" i="19" s="1"/>
  <c r="D68" i="6"/>
  <c r="G30" i="19" s="1"/>
  <c r="D77" i="6"/>
  <c r="D86" i="6"/>
  <c r="D95" i="6"/>
  <c r="D104" i="6"/>
  <c r="D113" i="6"/>
  <c r="D122" i="6"/>
  <c r="D131" i="6"/>
  <c r="D140" i="6"/>
  <c r="D13" i="6"/>
  <c r="C10" i="19" s="1"/>
  <c r="D49" i="6"/>
  <c r="C29" i="19" s="1"/>
  <c r="D76" i="6"/>
  <c r="D94" i="6"/>
  <c r="D103" i="6"/>
  <c r="D16" i="6"/>
  <c r="C13" i="19" s="1"/>
  <c r="D34" i="6"/>
  <c r="G13" i="19" s="1"/>
  <c r="D52" i="6"/>
  <c r="C32" i="19" s="1"/>
  <c r="D97" i="6"/>
  <c r="D124" i="6"/>
  <c r="D133" i="6"/>
  <c r="D28" i="6"/>
  <c r="G8" i="19" s="1"/>
  <c r="D37" i="6"/>
  <c r="G16" i="19" s="1"/>
  <c r="D17" i="6"/>
  <c r="C14" i="19" s="1"/>
  <c r="D53" i="6"/>
  <c r="C33" i="19" s="1"/>
  <c r="D71" i="6"/>
  <c r="G33" i="19" s="1"/>
  <c r="D80" i="6"/>
  <c r="D98" i="6"/>
  <c r="D107" i="6"/>
  <c r="D116" i="6"/>
  <c r="D11" i="6"/>
  <c r="C9" i="19" s="1"/>
  <c r="D20" i="6"/>
  <c r="C17" i="19" s="1"/>
  <c r="D29" i="6"/>
  <c r="G9" i="19" s="1"/>
  <c r="D38" i="6"/>
  <c r="G17" i="19" s="1"/>
  <c r="D47" i="6"/>
  <c r="C28" i="19" s="1"/>
  <c r="D56" i="6"/>
  <c r="D65" i="6"/>
  <c r="G28" i="19" s="1"/>
  <c r="D74" i="6"/>
  <c r="G36" i="19" s="1"/>
  <c r="D83" i="6"/>
  <c r="D92" i="6"/>
  <c r="D92" i="15" s="1"/>
  <c r="D101" i="6"/>
  <c r="D110" i="6"/>
  <c r="D119" i="6"/>
  <c r="D128" i="6"/>
  <c r="D137" i="6"/>
  <c r="D146" i="6"/>
  <c r="D6" i="6"/>
  <c r="D15" i="6"/>
  <c r="C12" i="19" s="1"/>
  <c r="D24" i="6"/>
  <c r="G4" i="19" s="1"/>
  <c r="D33" i="6"/>
  <c r="G12" i="19" s="1"/>
  <c r="D42" i="6"/>
  <c r="C23" i="19" s="1"/>
  <c r="D51" i="6"/>
  <c r="C31" i="19" s="1"/>
  <c r="D60" i="6"/>
  <c r="G23" i="19" s="1"/>
  <c r="D69" i="6"/>
  <c r="G31" i="19" s="1"/>
  <c r="D78" i="6"/>
  <c r="D87" i="6"/>
  <c r="D96" i="6"/>
  <c r="D105" i="6"/>
  <c r="D114" i="6"/>
  <c r="D123" i="6"/>
  <c r="D132" i="6"/>
  <c r="D141" i="6"/>
  <c r="D4" i="6"/>
  <c r="C2" i="19" s="1"/>
  <c r="E2" i="19" s="1"/>
  <c r="D40" i="6"/>
  <c r="D139" i="6"/>
  <c r="D61" i="6"/>
  <c r="G24" i="19" s="1"/>
  <c r="D70" i="6"/>
  <c r="G32" i="19" s="1"/>
  <c r="D106" i="6"/>
  <c r="D106" i="15" s="1"/>
  <c r="D142" i="6"/>
  <c r="D10" i="6"/>
  <c r="C8" i="19" s="1"/>
  <c r="D8" i="6"/>
  <c r="C6" i="19" s="1"/>
  <c r="D26" i="6"/>
  <c r="G6" i="19" s="1"/>
  <c r="D35" i="6"/>
  <c r="D44" i="6"/>
  <c r="C25" i="19" s="1"/>
  <c r="D62" i="6"/>
  <c r="G25" i="19" s="1"/>
  <c r="D89" i="6"/>
  <c r="D125" i="6"/>
  <c r="D134" i="6"/>
  <c r="D143" i="6"/>
  <c r="D9" i="6"/>
  <c r="C7" i="19" s="1"/>
  <c r="D18" i="6"/>
  <c r="C15" i="19" s="1"/>
  <c r="D27" i="6"/>
  <c r="G7" i="19" s="1"/>
  <c r="D36" i="6"/>
  <c r="G15" i="19" s="1"/>
  <c r="D45" i="6"/>
  <c r="C26" i="19" s="1"/>
  <c r="D54" i="6"/>
  <c r="C34" i="19" s="1"/>
  <c r="D63" i="6"/>
  <c r="G26" i="19" s="1"/>
  <c r="D72" i="6"/>
  <c r="G34" i="19" s="1"/>
  <c r="D81" i="6"/>
  <c r="D90" i="6"/>
  <c r="D99" i="6"/>
  <c r="D108" i="6"/>
  <c r="D117" i="6"/>
  <c r="D126" i="6"/>
  <c r="D135" i="6"/>
  <c r="D144" i="6"/>
  <c r="C146" i="6"/>
  <c r="C146" i="15" s="1"/>
  <c r="C145" i="6"/>
  <c r="C145" i="15" s="1"/>
  <c r="C144" i="6"/>
  <c r="C144" i="15" s="1"/>
  <c r="C143" i="6"/>
  <c r="C143" i="15" s="1"/>
  <c r="C142" i="6"/>
  <c r="C142" i="15" s="1"/>
  <c r="C141" i="6"/>
  <c r="C141" i="15" s="1"/>
  <c r="C140" i="6"/>
  <c r="C140" i="15" s="1"/>
  <c r="C139" i="6"/>
  <c r="C139" i="15" s="1"/>
  <c r="C137" i="6"/>
  <c r="C137" i="15" s="1"/>
  <c r="C136" i="6"/>
  <c r="C136" i="15" s="1"/>
  <c r="C135" i="6"/>
  <c r="C135" i="15" s="1"/>
  <c r="C134" i="6"/>
  <c r="C134" i="15" s="1"/>
  <c r="C133" i="6"/>
  <c r="C133" i="15" s="1"/>
  <c r="C132" i="6"/>
  <c r="C132" i="15" s="1"/>
  <c r="C131" i="6"/>
  <c r="C131" i="15" s="1"/>
  <c r="C130" i="6"/>
  <c r="C130" i="15" s="1"/>
  <c r="C128" i="6"/>
  <c r="C128" i="15" s="1"/>
  <c r="C127" i="6"/>
  <c r="C127" i="15" s="1"/>
  <c r="C126" i="6"/>
  <c r="C126" i="15" s="1"/>
  <c r="C125" i="6"/>
  <c r="C125" i="15" s="1"/>
  <c r="C124" i="6"/>
  <c r="C124" i="15" s="1"/>
  <c r="C123" i="6"/>
  <c r="C123" i="15" s="1"/>
  <c r="C122" i="6"/>
  <c r="C122" i="15" s="1"/>
  <c r="C121" i="6"/>
  <c r="C121" i="15" s="1"/>
  <c r="C119" i="6"/>
  <c r="C119" i="15" s="1"/>
  <c r="C118" i="6"/>
  <c r="C118" i="15" s="1"/>
  <c r="C117" i="6"/>
  <c r="C117" i="15" s="1"/>
  <c r="C116" i="6"/>
  <c r="C116" i="15" s="1"/>
  <c r="C115" i="6"/>
  <c r="C115" i="15" s="1"/>
  <c r="C114" i="6"/>
  <c r="C114" i="15" s="1"/>
  <c r="C113" i="6"/>
  <c r="C113" i="15" s="1"/>
  <c r="C112" i="6"/>
  <c r="C112" i="15" s="1"/>
  <c r="C110" i="6"/>
  <c r="C110" i="15" s="1"/>
  <c r="C109" i="6"/>
  <c r="C109" i="15" s="1"/>
  <c r="C108" i="6"/>
  <c r="C108" i="15" s="1"/>
  <c r="C107" i="6"/>
  <c r="C107" i="15" s="1"/>
  <c r="C106" i="6"/>
  <c r="C106" i="15" s="1"/>
  <c r="C105" i="6"/>
  <c r="C105" i="15" s="1"/>
  <c r="C104" i="6"/>
  <c r="C104" i="15" s="1"/>
  <c r="C103" i="6"/>
  <c r="C103" i="15" s="1"/>
  <c r="C101" i="6"/>
  <c r="C101" i="15" s="1"/>
  <c r="C100" i="6"/>
  <c r="C100" i="15" s="1"/>
  <c r="C99" i="6"/>
  <c r="C99" i="15" s="1"/>
  <c r="C98" i="6"/>
  <c r="C98" i="15" s="1"/>
  <c r="C97" i="6"/>
  <c r="C97" i="15" s="1"/>
  <c r="C96" i="6"/>
  <c r="C96" i="15" s="1"/>
  <c r="C95" i="6"/>
  <c r="C95" i="15" s="1"/>
  <c r="C94" i="6"/>
  <c r="C94" i="15" s="1"/>
  <c r="C92" i="6"/>
  <c r="C92" i="15" s="1"/>
  <c r="C91" i="6"/>
  <c r="C91" i="15" s="1"/>
  <c r="C90" i="6"/>
  <c r="C90" i="15" s="1"/>
  <c r="C89" i="6"/>
  <c r="C89" i="15" s="1"/>
  <c r="C88" i="6"/>
  <c r="C88" i="15" s="1"/>
  <c r="C87" i="6"/>
  <c r="C87" i="15" s="1"/>
  <c r="C86" i="6"/>
  <c r="C86" i="15" s="1"/>
  <c r="C85" i="6"/>
  <c r="C85" i="15" s="1"/>
  <c r="C83" i="6"/>
  <c r="C83" i="15" s="1"/>
  <c r="C82" i="6"/>
  <c r="C82" i="15" s="1"/>
  <c r="C81" i="6"/>
  <c r="C81" i="15" s="1"/>
  <c r="C80" i="6"/>
  <c r="C80" i="15" s="1"/>
  <c r="C79" i="6"/>
  <c r="C79" i="15" s="1"/>
  <c r="C78" i="6"/>
  <c r="C78" i="15" s="1"/>
  <c r="C77" i="6"/>
  <c r="C77" i="15" s="1"/>
  <c r="C76" i="6"/>
  <c r="C76" i="15" s="1"/>
  <c r="C74" i="6"/>
  <c r="C73" i="6"/>
  <c r="C72" i="6"/>
  <c r="C71" i="6"/>
  <c r="C70" i="6"/>
  <c r="C69" i="6"/>
  <c r="C68" i="6"/>
  <c r="C67" i="6"/>
  <c r="C65" i="6"/>
  <c r="C64" i="6"/>
  <c r="C63" i="6"/>
  <c r="C62" i="6"/>
  <c r="C61" i="6"/>
  <c r="C60" i="6"/>
  <c r="C59" i="6"/>
  <c r="C58" i="6"/>
  <c r="C56" i="6"/>
  <c r="C55" i="6"/>
  <c r="C54" i="6"/>
  <c r="C53" i="6"/>
  <c r="C52" i="6"/>
  <c r="C51" i="6"/>
  <c r="C50" i="6"/>
  <c r="C49" i="6"/>
  <c r="C47" i="6"/>
  <c r="C46" i="6"/>
  <c r="C45" i="6"/>
  <c r="C44" i="6"/>
  <c r="C43" i="6"/>
  <c r="C42" i="6"/>
  <c r="C41" i="6"/>
  <c r="C40" i="6"/>
  <c r="C40" i="15" s="1"/>
  <c r="C38" i="6"/>
  <c r="C37" i="6"/>
  <c r="C36" i="6"/>
  <c r="C35" i="6"/>
  <c r="C34" i="6"/>
  <c r="C33" i="6"/>
  <c r="C32" i="6"/>
  <c r="C31" i="6"/>
  <c r="C29" i="6"/>
  <c r="C28" i="6"/>
  <c r="C27" i="6"/>
  <c r="C26" i="6"/>
  <c r="C25" i="6"/>
  <c r="C24" i="6"/>
  <c r="C23" i="6"/>
  <c r="C22" i="6"/>
  <c r="C20" i="6"/>
  <c r="C19" i="6"/>
  <c r="C18" i="6"/>
  <c r="C17" i="6"/>
  <c r="C16" i="6"/>
  <c r="C16" i="15" s="1"/>
  <c r="C15" i="6"/>
  <c r="C15" i="15" s="1"/>
  <c r="C14" i="6"/>
  <c r="C14" i="15" s="1"/>
  <c r="C13" i="6"/>
  <c r="C13" i="15" s="1"/>
  <c r="C11" i="6"/>
  <c r="C11" i="15" s="1"/>
  <c r="C10" i="6"/>
  <c r="C10" i="15" s="1"/>
  <c r="C9" i="6"/>
  <c r="C9" i="15" s="1"/>
  <c r="C8" i="6"/>
  <c r="C7" i="6"/>
  <c r="C7" i="15" s="1"/>
  <c r="C6" i="6"/>
  <c r="C5" i="6"/>
  <c r="D64" i="15" l="1"/>
  <c r="G27" i="19"/>
  <c r="I27" i="19" s="1"/>
  <c r="D56" i="15"/>
  <c r="C36" i="19"/>
  <c r="E36" i="19" s="1"/>
  <c r="C21" i="19"/>
  <c r="E21" i="19" s="1"/>
  <c r="D35" i="15"/>
  <c r="G14" i="19"/>
  <c r="I14" i="19" s="1"/>
  <c r="D6" i="15"/>
  <c r="C4" i="19"/>
  <c r="E4" i="19" s="1"/>
  <c r="E13" i="19"/>
  <c r="C72" i="15"/>
  <c r="I34" i="19"/>
  <c r="C71" i="15"/>
  <c r="I33" i="19"/>
  <c r="C74" i="15"/>
  <c r="I36" i="19"/>
  <c r="C73" i="15"/>
  <c r="I35" i="19"/>
  <c r="C70" i="15"/>
  <c r="I32" i="19"/>
  <c r="C68" i="15"/>
  <c r="I30" i="19"/>
  <c r="C67" i="15"/>
  <c r="I29" i="19"/>
  <c r="C69" i="15"/>
  <c r="I31" i="19"/>
  <c r="C63" i="15"/>
  <c r="I26" i="19"/>
  <c r="C64" i="15"/>
  <c r="C65" i="15"/>
  <c r="I28" i="19"/>
  <c r="C62" i="15"/>
  <c r="I25" i="19"/>
  <c r="C59" i="15"/>
  <c r="I22" i="19"/>
  <c r="C61" i="15"/>
  <c r="I24" i="19"/>
  <c r="C58" i="15"/>
  <c r="I21" i="19"/>
  <c r="C60" i="15"/>
  <c r="I23" i="19"/>
  <c r="C56" i="15"/>
  <c r="C54" i="15"/>
  <c r="E34" i="19"/>
  <c r="C55" i="15"/>
  <c r="E35" i="19"/>
  <c r="C53" i="15"/>
  <c r="E33" i="19"/>
  <c r="C52" i="15"/>
  <c r="E32" i="19"/>
  <c r="C49" i="15"/>
  <c r="E29" i="19"/>
  <c r="C50" i="15"/>
  <c r="E30" i="19"/>
  <c r="C51" i="15"/>
  <c r="E31" i="19"/>
  <c r="C44" i="15"/>
  <c r="E25" i="19"/>
  <c r="C45" i="15"/>
  <c r="E26" i="19"/>
  <c r="C46" i="15"/>
  <c r="E27" i="19"/>
  <c r="C47" i="15"/>
  <c r="E28" i="19"/>
  <c r="C43" i="15"/>
  <c r="E24" i="19"/>
  <c r="C41" i="15"/>
  <c r="E22" i="19"/>
  <c r="C42" i="15"/>
  <c r="E23" i="19"/>
  <c r="C36" i="15"/>
  <c r="I15" i="19"/>
  <c r="C37" i="15"/>
  <c r="I16" i="19"/>
  <c r="C35" i="15"/>
  <c r="C38" i="15"/>
  <c r="I17" i="19"/>
  <c r="C33" i="15"/>
  <c r="I12" i="19"/>
  <c r="C34" i="15"/>
  <c r="I13" i="19"/>
  <c r="C31" i="15"/>
  <c r="I10" i="19"/>
  <c r="C32" i="15"/>
  <c r="I11" i="19"/>
  <c r="C26" i="15"/>
  <c r="I6" i="19"/>
  <c r="C27" i="15"/>
  <c r="I7" i="19"/>
  <c r="C28" i="15"/>
  <c r="I8" i="19"/>
  <c r="C29" i="15"/>
  <c r="I9" i="19"/>
  <c r="C22" i="15"/>
  <c r="I2" i="19"/>
  <c r="C23" i="15"/>
  <c r="I3" i="19"/>
  <c r="C25" i="15"/>
  <c r="I5" i="19"/>
  <c r="C24" i="15"/>
  <c r="I4" i="19"/>
  <c r="C19" i="15"/>
  <c r="E16" i="19"/>
  <c r="C17" i="15"/>
  <c r="E14" i="19"/>
  <c r="C18" i="15"/>
  <c r="E15" i="19"/>
  <c r="C20" i="15"/>
  <c r="E17" i="19"/>
  <c r="D15" i="15"/>
  <c r="E12" i="19"/>
  <c r="D14" i="15"/>
  <c r="E11" i="19"/>
  <c r="D13" i="15"/>
  <c r="E10" i="19"/>
  <c r="E9" i="19"/>
  <c r="E8" i="19"/>
  <c r="E7" i="19"/>
  <c r="E6" i="19"/>
  <c r="E5" i="19"/>
  <c r="E3" i="19"/>
  <c r="C5" i="15"/>
  <c r="C6" i="15"/>
  <c r="D7" i="15"/>
  <c r="C8" i="15"/>
  <c r="D4" i="15"/>
  <c r="N258" i="8"/>
  <c r="N277" i="8" s="1"/>
  <c r="N484" i="8"/>
  <c r="N506" i="8" s="1"/>
  <c r="N507" i="8" s="1"/>
  <c r="N485" i="8"/>
  <c r="N216" i="7"/>
  <c r="N235" i="7" s="1"/>
  <c r="N484" i="7"/>
  <c r="N506" i="7" s="1"/>
  <c r="N507" i="7" s="1"/>
  <c r="N485" i="7"/>
  <c r="D145" i="15"/>
  <c r="D144" i="15"/>
  <c r="D143" i="15"/>
  <c r="D123" i="15"/>
  <c r="D146" i="15"/>
  <c r="D140" i="15"/>
  <c r="D135" i="15"/>
  <c r="D134" i="15"/>
  <c r="D137" i="15"/>
  <c r="D136" i="15"/>
  <c r="D128" i="15"/>
  <c r="D130" i="15"/>
  <c r="D117" i="15"/>
  <c r="D121" i="15"/>
  <c r="D142" i="15"/>
  <c r="D124" i="15"/>
  <c r="D122" i="15"/>
  <c r="D132" i="15"/>
  <c r="D125" i="15"/>
  <c r="D131" i="15"/>
  <c r="D119" i="15"/>
  <c r="D118" i="15"/>
  <c r="D126" i="15"/>
  <c r="D116" i="15"/>
  <c r="D139" i="15"/>
  <c r="D133" i="15"/>
  <c r="D141" i="15"/>
  <c r="D74" i="15"/>
  <c r="D34" i="15"/>
  <c r="D81" i="15"/>
  <c r="D65" i="15"/>
  <c r="D17" i="15"/>
  <c r="D60" i="15"/>
  <c r="D26" i="15"/>
  <c r="D61" i="15"/>
  <c r="D51" i="15"/>
  <c r="D107" i="15"/>
  <c r="D28" i="15"/>
  <c r="D103" i="15"/>
  <c r="D77" i="15"/>
  <c r="D32" i="15"/>
  <c r="D91" i="15"/>
  <c r="D46" i="15"/>
  <c r="D43" i="15"/>
  <c r="D112" i="15"/>
  <c r="D22" i="15"/>
  <c r="D54" i="15"/>
  <c r="D114" i="15"/>
  <c r="D94" i="15"/>
  <c r="D68" i="15"/>
  <c r="D23" i="15"/>
  <c r="D82" i="15"/>
  <c r="D53" i="15"/>
  <c r="D50" i="15"/>
  <c r="D58" i="15"/>
  <c r="D109" i="15"/>
  <c r="D70" i="15"/>
  <c r="D31" i="15"/>
  <c r="D63" i="15"/>
  <c r="D45" i="15"/>
  <c r="D89" i="15"/>
  <c r="D105" i="15"/>
  <c r="D42" i="15"/>
  <c r="D47" i="15"/>
  <c r="D98" i="15"/>
  <c r="D76" i="15"/>
  <c r="D19" i="15"/>
  <c r="D25" i="15"/>
  <c r="D85" i="15"/>
  <c r="D101" i="15"/>
  <c r="D86" i="15"/>
  <c r="D100" i="15"/>
  <c r="D108" i="15"/>
  <c r="D62" i="15"/>
  <c r="D40" i="15"/>
  <c r="D33" i="15"/>
  <c r="D83" i="15"/>
  <c r="D38" i="15"/>
  <c r="D80" i="15"/>
  <c r="D97" i="15"/>
  <c r="D113" i="15"/>
  <c r="D59" i="15"/>
  <c r="D73" i="15"/>
  <c r="D115" i="15"/>
  <c r="D67" i="15"/>
  <c r="D90" i="15"/>
  <c r="D69" i="15"/>
  <c r="D110" i="15"/>
  <c r="D95" i="15"/>
  <c r="D79" i="15"/>
  <c r="D72" i="15"/>
  <c r="D37" i="15"/>
  <c r="D55" i="15"/>
  <c r="D36" i="15"/>
  <c r="D96" i="15"/>
  <c r="D99" i="15"/>
  <c r="D27" i="15"/>
  <c r="D44" i="15"/>
  <c r="D87" i="15"/>
  <c r="D24" i="15"/>
  <c r="D29" i="15"/>
  <c r="D71" i="15"/>
  <c r="D52" i="15"/>
  <c r="D49" i="15"/>
  <c r="D88" i="15"/>
  <c r="D18" i="15"/>
  <c r="D78" i="15"/>
  <c r="D20" i="15"/>
  <c r="D104" i="15"/>
  <c r="D41" i="15"/>
  <c r="D16" i="15"/>
  <c r="D9" i="15"/>
  <c r="D5" i="15"/>
  <c r="D10" i="15"/>
  <c r="D11" i="15"/>
  <c r="D8" i="15"/>
  <c r="N278" i="8" l="1"/>
  <c r="N299" i="8" s="1"/>
  <c r="N526" i="8"/>
  <c r="N548" i="8" s="1"/>
  <c r="N549" i="8" s="1"/>
  <c r="N527" i="8"/>
  <c r="N236" i="7"/>
  <c r="N257" i="7" s="1"/>
  <c r="N526" i="7"/>
  <c r="N548" i="7" s="1"/>
  <c r="N549" i="7" s="1"/>
  <c r="N527" i="7"/>
  <c r="N300" i="8" l="1"/>
  <c r="N319" i="8" s="1"/>
  <c r="N568" i="8"/>
  <c r="N590" i="8" s="1"/>
  <c r="N591" i="8" s="1"/>
  <c r="N569" i="8"/>
  <c r="N258" i="7"/>
  <c r="N277" i="7" s="1"/>
  <c r="N568" i="7"/>
  <c r="N590" i="7" s="1"/>
  <c r="N591" i="7" s="1"/>
  <c r="N569" i="7"/>
  <c r="N320" i="8" l="1"/>
  <c r="N341" i="8"/>
  <c r="N610" i="8"/>
  <c r="N632" i="8" s="1"/>
  <c r="N633" i="8" s="1"/>
  <c r="N611" i="8"/>
  <c r="N278" i="7"/>
  <c r="N299" i="7" s="1"/>
  <c r="N610" i="7"/>
  <c r="N632" i="7" s="1"/>
  <c r="N633" i="7" s="1"/>
  <c r="N611" i="7"/>
  <c r="N361" i="8" l="1"/>
  <c r="N342" i="8"/>
  <c r="N652" i="8"/>
  <c r="N653" i="8"/>
  <c r="N300" i="7"/>
  <c r="N319" i="7" s="1"/>
  <c r="N652" i="7"/>
  <c r="N653" i="7"/>
  <c r="N383" i="8" l="1"/>
  <c r="N362" i="8"/>
  <c r="N320" i="7"/>
  <c r="N341" i="7"/>
  <c r="N384" i="8" l="1"/>
  <c r="N403" i="8"/>
  <c r="N361" i="7"/>
  <c r="N342" i="7"/>
  <c r="N425" i="8" l="1"/>
  <c r="N404" i="8"/>
  <c r="N362" i="7"/>
  <c r="N383" i="7"/>
  <c r="N426" i="8" l="1"/>
  <c r="N445" i="8"/>
  <c r="N384" i="7"/>
  <c r="N403" i="7"/>
  <c r="N446" i="8" l="1"/>
  <c r="N467" i="8"/>
  <c r="N425" i="7"/>
  <c r="N404" i="7"/>
  <c r="N487" i="8" l="1"/>
  <c r="N468" i="8"/>
  <c r="N445" i="7"/>
  <c r="N426" i="7"/>
  <c r="N509" i="8" l="1"/>
  <c r="N488" i="8"/>
  <c r="N446" i="7"/>
  <c r="N467" i="7"/>
  <c r="N529" i="8" l="1"/>
  <c r="N510" i="8"/>
  <c r="N487" i="7"/>
  <c r="N468" i="7"/>
  <c r="N530" i="8" l="1"/>
  <c r="N551" i="8"/>
  <c r="N509" i="7"/>
  <c r="N488" i="7"/>
  <c r="N571" i="8" l="1"/>
  <c r="N552" i="8"/>
  <c r="N529" i="7"/>
  <c r="N510" i="7"/>
  <c r="N593" i="8" l="1"/>
  <c r="N572" i="8"/>
  <c r="N551" i="7"/>
  <c r="N530" i="7"/>
  <c r="N594" i="8" l="1"/>
  <c r="N613" i="8"/>
  <c r="N552" i="7"/>
  <c r="N571" i="7"/>
  <c r="N635" i="8" l="1"/>
  <c r="N614" i="8"/>
  <c r="N593" i="7"/>
  <c r="N572" i="7"/>
  <c r="N655" i="8" l="1"/>
  <c r="N636" i="8"/>
  <c r="N613" i="7"/>
  <c r="N594" i="7"/>
  <c r="N656" i="8" l="1"/>
  <c r="N614" i="7"/>
  <c r="N635" i="7"/>
  <c r="N655" i="7" l="1"/>
  <c r="N636" i="7"/>
  <c r="N656" i="7" l="1"/>
</calcChain>
</file>

<file path=xl/sharedStrings.xml><?xml version="1.0" encoding="utf-8"?>
<sst xmlns="http://schemas.openxmlformats.org/spreadsheetml/2006/main" count="5164" uniqueCount="71">
  <si>
    <t>Номер кабеля</t>
  </si>
  <si>
    <t>A</t>
  </si>
  <si>
    <t>B</t>
  </si>
  <si>
    <t>C</t>
  </si>
  <si>
    <t>D</t>
  </si>
  <si>
    <t>Наименование плинтодержателя</t>
  </si>
  <si>
    <t>к БП</t>
  </si>
  <si>
    <t>Стойка</t>
  </si>
  <si>
    <t>XK</t>
  </si>
  <si>
    <t>№</t>
  </si>
  <si>
    <t>Номер плинта</t>
  </si>
  <si>
    <t>A -</t>
  </si>
  <si>
    <t>питание "+"</t>
  </si>
  <si>
    <t>C -</t>
  </si>
  <si>
    <t>сигнальный</t>
  </si>
  <si>
    <t>B -</t>
  </si>
  <si>
    <t>питание "-"</t>
  </si>
  <si>
    <t>коричневый</t>
  </si>
  <si>
    <t>D -</t>
  </si>
  <si>
    <t>желтый</t>
  </si>
  <si>
    <t>RS 485</t>
  </si>
  <si>
    <t>GND</t>
  </si>
  <si>
    <t>земля.5</t>
  </si>
  <si>
    <t xml:space="preserve"> RS-485  1.1</t>
  </si>
  <si>
    <t>XB1</t>
  </si>
  <si>
    <t>1.1</t>
  </si>
  <si>
    <t>COM-1</t>
  </si>
  <si>
    <t>COM-2</t>
  </si>
  <si>
    <t>COM-3</t>
  </si>
  <si>
    <t>RS-485</t>
  </si>
  <si>
    <t>COM-4</t>
  </si>
  <si>
    <t>Device</t>
  </si>
  <si>
    <t>adress</t>
  </si>
  <si>
    <t>Display panel №1</t>
  </si>
  <si>
    <t>Display panel №2</t>
  </si>
  <si>
    <t>Контроллер SV 777</t>
  </si>
  <si>
    <t>Плата SV 004</t>
  </si>
  <si>
    <t>к SV 004*</t>
  </si>
  <si>
    <t>SV 485</t>
  </si>
  <si>
    <t>SV20P</t>
  </si>
  <si>
    <t>SVDPO</t>
  </si>
  <si>
    <t>красный</t>
  </si>
  <si>
    <t>черный</t>
  </si>
  <si>
    <t>синий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</si>
  <si>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</si>
  <si>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</si>
  <si>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</si>
  <si>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</si>
  <si>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</si>
  <si>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</si>
  <si>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</si>
  <si>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</si>
  <si>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</si>
  <si>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</si>
  <si>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</si>
  <si>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</si>
  <si>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</si>
  <si>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</si>
  <si>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</si>
  <si>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</si>
  <si>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</si>
  <si>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SV004 - 1</t>
  </si>
  <si>
    <t>SV004  - 5</t>
  </si>
  <si>
    <t>SV004 -7</t>
  </si>
  <si>
    <t>SV777 - 2</t>
  </si>
  <si>
    <t>SV777 - 3</t>
  </si>
  <si>
    <t xml:space="preserve">SV004 - 3 </t>
  </si>
  <si>
    <t>SV004  - 8</t>
  </si>
  <si>
    <t>1.3</t>
  </si>
  <si>
    <t>*******************************************************************************************</t>
  </si>
  <si>
    <t>Стойка1212121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</si>
</sst>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.5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19" xfId="0" applyBorder="1" applyProtection="1">
      <protection hidden="1"/>
    </xf>
    <xf numFmtId="0" fontId="2" fillId="0" borderId="0" xfId="0" applyFont="1" applyAlignment="1" applyProtection="1">
      <alignment horizontal="right"/>
      <protection hidden="1"/>
    </xf>
    <xf numFmtId="0" fontId="0" fillId="0" borderId="17" xfId="0" applyBorder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0" fillId="3" borderId="0" xfId="0" applyFill="1" applyProtection="1">
      <protection hidden="1"/>
    </xf>
    <xf numFmtId="0" fontId="0" fillId="0" borderId="4" xfId="0" applyBorder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textRotation="90"/>
      <protection hidden="1"/>
    </xf>
    <xf numFmtId="0" fontId="0" fillId="0" borderId="9" xfId="0" applyBorder="1" applyProtection="1"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 textRotation="90"/>
      <protection hidden="1"/>
    </xf>
    <xf numFmtId="0" fontId="0" fillId="0" borderId="0" xfId="0" applyAlignment="1" applyProtection="1">
      <alignment horizontal="center" vertical="center" textRotation="90"/>
      <protection hidden="1"/>
    </xf>
    <xf numFmtId="0" fontId="0" fillId="0" borderId="18" xfId="0" applyBorder="1" applyProtection="1"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164" fontId="0" fillId="0" borderId="0" xfId="0" applyNumberFormat="1" applyProtection="1"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64" fontId="0" fillId="0" borderId="11" xfId="0" applyNumberFormat="1" applyBorder="1" applyAlignment="1" applyProtection="1">
      <alignment horizontal="center" vertical="center"/>
      <protection hidden="1"/>
    </xf>
    <xf numFmtId="0" fontId="0" fillId="0" borderId="21" xfId="0" applyBorder="1" applyProtection="1">
      <protection hidden="1"/>
    </xf>
    <xf numFmtId="0" fontId="0" fillId="0" borderId="18" xfId="0" applyBorder="1" applyAlignment="1" applyProtection="1">
      <alignment horizontal="center" vertical="center"/>
      <protection hidden="1"/>
    </xf>
    <xf numFmtId="164" fontId="0" fillId="0" borderId="18" xfId="0" applyNumberFormat="1" applyBorder="1" applyProtection="1">
      <protection hidden="1"/>
    </xf>
    <xf numFmtId="0" fontId="4" fillId="3" borderId="20" xfId="0" applyFont="1" applyFill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1" fillId="0" borderId="0" xfId="0" applyNumberFormat="1" applyFont="1" applyProtection="1">
      <protection hidden="1"/>
    </xf>
    <xf numFmtId="49" fontId="0" fillId="3" borderId="0" xfId="0" applyNumberFormat="1" applyFill="1" applyProtection="1">
      <protection hidden="1"/>
    </xf>
    <xf numFmtId="49" fontId="0" fillId="0" borderId="5" xfId="0" applyNumberFormat="1" applyBorder="1" applyProtection="1"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12" xfId="0" applyNumberFormat="1" applyBorder="1" applyAlignment="1" applyProtection="1">
      <alignment horizontal="center" vertical="center"/>
      <protection hidden="1"/>
    </xf>
    <xf numFmtId="49" fontId="0" fillId="0" borderId="11" xfId="0" applyNumberFormat="1" applyBorder="1" applyAlignment="1" applyProtection="1">
      <alignment horizontal="center" vertical="center"/>
      <protection hidden="1"/>
    </xf>
    <xf numFmtId="49" fontId="0" fillId="0" borderId="1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8" xfId="0" applyNumberFormat="1" applyBorder="1" applyProtection="1">
      <protection hidden="1"/>
    </xf>
    <xf numFmtId="49" fontId="0" fillId="0" borderId="18" xfId="0" applyNumberFormat="1" applyBorder="1" applyAlignment="1" applyProtection="1">
      <alignment horizontal="center" vertical="center"/>
      <protection hidden="1"/>
    </xf>
    <xf numFmtId="49" fontId="0" fillId="0" borderId="0" xfId="0" applyNumberFormat="1"/>
    <xf numFmtId="49" fontId="0" fillId="0" borderId="19" xfId="0" applyNumberFormat="1" applyBorder="1" applyProtection="1">
      <protection hidden="1"/>
    </xf>
    <xf numFmtId="49" fontId="2" fillId="0" borderId="0" xfId="0" applyNumberFormat="1" applyFont="1" applyAlignment="1" applyProtection="1">
      <alignment horizontal="right"/>
      <protection hidden="1"/>
    </xf>
    <xf numFmtId="49" fontId="0" fillId="0" borderId="17" xfId="0" applyNumberForma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 textRotation="90"/>
      <protection hidden="1"/>
    </xf>
    <xf numFmtId="0" fontId="0" fillId="0" borderId="20" xfId="0" applyBorder="1" applyAlignment="1" applyProtection="1">
      <alignment horizontal="center" vertical="center" textRotation="90"/>
      <protection hidden="1"/>
    </xf>
    <xf numFmtId="0" fontId="0" fillId="0" borderId="0" xfId="0" applyFill="1" applyBorder="1" applyProtection="1">
      <protection hidden="1"/>
    </xf>
    <xf numFmtId="0" fontId="3" fillId="0" borderId="0" xfId="0" applyFont="1" applyFill="1" applyBorder="1" applyAlignment="1" applyProtection="1">
      <alignment horizontal="right"/>
      <protection hidden="1"/>
    </xf>
    <xf numFmtId="0" fontId="3" fillId="0" borderId="0" xfId="0" applyFont="1" applyFill="1" applyBorder="1" applyAlignment="1" applyProtection="1">
      <alignment horizontal="left"/>
      <protection hidden="1"/>
    </xf>
    <xf numFmtId="164" fontId="0" fillId="0" borderId="0" xfId="0" applyNumberFormat="1" applyFill="1" applyBorder="1" applyProtection="1"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4" fillId="0" borderId="0" xfId="0" applyFont="1" applyFill="1" applyBorder="1" applyAlignment="1" applyProtection="1">
      <alignment horizontal="center" vertical="center"/>
      <protection hidden="1"/>
    </xf>
    <xf numFmtId="164" fontId="0" fillId="0" borderId="0" xfId="0" applyNumberFormat="1" applyFill="1" applyBorder="1" applyAlignment="1" applyProtection="1">
      <alignment horizontal="center" vertical="center"/>
      <protection hidden="1"/>
    </xf>
    <xf numFmtId="49" fontId="0" fillId="0" borderId="0" xfId="0" applyNumberFormat="1" applyBorder="1" applyProtection="1">
      <protection hidden="1"/>
    </xf>
    <xf numFmtId="49" fontId="0" fillId="0" borderId="0" xfId="0" applyNumberFormat="1" applyBorder="1" applyAlignment="1" applyProtection="1">
      <alignment horizontal="center" vertical="center"/>
      <protection hidden="1"/>
    </xf>
    <xf numFmtId="0" fontId="1" fillId="0" borderId="0" xfId="0" applyFont="1" applyBorder="1" applyProtection="1">
      <protection hidden="1"/>
    </xf>
    <xf numFmtId="0" fontId="2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left"/>
      <protection hidden="1"/>
    </xf>
    <xf numFmtId="49" fontId="3" fillId="0" borderId="0" xfId="0" applyNumberFormat="1" applyFont="1" applyBorder="1" applyProtection="1">
      <protection hidden="1"/>
    </xf>
    <xf numFmtId="0" fontId="0" fillId="0" borderId="0" xfId="0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5" xfId="0" applyBorder="1" applyAlignment="1">
      <alignment horizontal="right" vertical="center"/>
    </xf>
    <xf numFmtId="49" fontId="0" fillId="2" borderId="5" xfId="0" applyNumberFormat="1" applyFill="1" applyBorder="1" applyAlignment="1" applyProtection="1">
      <alignment horizontal="left" vertical="center"/>
      <protection locked="0"/>
    </xf>
    <xf numFmtId="49" fontId="0" fillId="0" borderId="5" xfId="0" applyNumberFormat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2" borderId="5" xfId="0" applyFill="1" applyBorder="1" applyAlignment="1" applyProtection="1">
      <alignment horizontal="left" vertical="center" wrapText="1"/>
      <protection hidden="1"/>
    </xf>
    <xf numFmtId="0" fontId="0" fillId="2" borderId="5" xfId="0" applyFill="1" applyBorder="1" applyAlignment="1">
      <alignment horizontal="left" vertical="center" wrapText="1"/>
    </xf>
    <xf numFmtId="0" fontId="0" fillId="2" borderId="20" xfId="0" applyFill="1" applyBorder="1" applyAlignment="1">
      <alignment horizontal="left" vertical="center" wrapText="1"/>
    </xf>
    <xf numFmtId="49" fontId="0" fillId="2" borderId="5" xfId="0" applyNumberFormat="1" applyFill="1" applyBorder="1" applyAlignment="1" applyProtection="1">
      <alignment horizontal="left" vertical="center" wrapText="1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/>
      <protection locked="0"/>
    </xf>
    <xf numFmtId="49" fontId="0" fillId="0" borderId="2" xfId="0" applyNumberFormat="1" applyBorder="1" applyAlignment="1" applyProtection="1">
      <alignment horizontal="center" vertical="center"/>
      <protection hidden="1"/>
    </xf>
    <xf numFmtId="49" fontId="0" fillId="0" borderId="3" xfId="0" applyNumberFormat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2" fillId="0" borderId="0" xfId="0" applyFont="1" applyBorder="1" applyAlignment="1" applyProtection="1">
      <alignment horizontal="left" wrapText="1"/>
      <protection hidden="1"/>
    </xf>
    <xf numFmtId="0" fontId="2" fillId="0" borderId="0" xfId="0" applyFont="1" applyBorder="1" applyAlignment="1" applyProtection="1">
      <alignment horizontal="left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49" fontId="0" fillId="0" borderId="17" xfId="0" applyNumberFormat="1" applyBorder="1" applyAlignment="1" applyProtection="1">
      <alignment horizontal="center" vertical="center"/>
      <protection hidden="1"/>
    </xf>
    <xf numFmtId="0" fontId="0" fillId="0" borderId="19" xfId="0" applyBorder="1" applyAlignment="1" applyProtection="1">
      <alignment horizontal="left"/>
      <protection hidden="1"/>
    </xf>
    <xf numFmtId="0" fontId="0" fillId="0" borderId="28" xfId="0" applyBorder="1" applyAlignment="1" applyProtection="1">
      <alignment horizontal="center"/>
      <protection hidden="1"/>
    </xf>
    <xf numFmtId="0" fontId="0" fillId="0" borderId="29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0" fillId="0" borderId="0" xfId="0" applyAlignment="1" applyProtection="1">
      <alignment horizontal="left"/>
      <protection hidden="1"/>
    </xf>
    <xf numFmtId="49" fontId="0" fillId="2" borderId="15" xfId="0" applyNumberForma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right" vertical="center"/>
      <protection locked="0"/>
    </xf>
    <xf numFmtId="0" fontId="0" fillId="2" borderId="15" xfId="0" applyFill="1" applyBorder="1" applyAlignment="1" applyProtection="1">
      <alignment horizontal="right" vertical="center"/>
      <protection locked="0"/>
    </xf>
    <xf numFmtId="0" fontId="6" fillId="0" borderId="28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0" borderId="27" xfId="0" applyBorder="1" applyAlignment="1" applyProtection="1">
      <alignment horizontal="center"/>
      <protection hidden="1"/>
    </xf>
    <xf numFmtId="0" fontId="0" fillId="0" borderId="26" xfId="0" applyBorder="1" applyAlignment="1" applyProtection="1">
      <alignment horizontal="center"/>
      <protection hidden="1"/>
    </xf>
    <xf numFmtId="0" fontId="5" fillId="0" borderId="26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6" fillId="0" borderId="26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31" xfId="0" applyBorder="1" applyAlignment="1" applyProtection="1">
      <alignment horizontal="center"/>
      <protection hidden="1"/>
    </xf>
    <xf numFmtId="0" fontId="0" fillId="0" borderId="32" xfId="0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/>
      <protection hidden="1"/>
    </xf>
    <xf numFmtId="0" fontId="0" fillId="0" borderId="23" xfId="0" applyBorder="1" applyAlignment="1" applyProtection="1">
      <alignment horizontal="center"/>
      <protection hidden="1"/>
    </xf>
    <xf numFmtId="0" fontId="0" fillId="0" borderId="24" xfId="0" applyBorder="1" applyAlignment="1" applyProtection="1">
      <alignment horizontal="center"/>
      <protection hidden="1"/>
    </xf>
    <xf numFmtId="0" fontId="0" fillId="0" borderId="25" xfId="0" applyBorder="1" applyAlignment="1" applyProtection="1">
      <alignment horizontal="center"/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0" fillId="4" borderId="22" xfId="0" applyFill="1" applyBorder="1" applyAlignment="1" applyProtection="1">
      <alignment horizontal="center" vertical="center"/>
      <protection hidden="1"/>
    </xf>
    <xf numFmtId="0" fontId="0" fillId="4" borderId="15" xfId="0" applyFill="1" applyBorder="1" applyAlignment="1" applyProtection="1">
      <alignment horizontal="center" vertical="center"/>
      <protection hidden="1"/>
    </xf>
    <xf numFmtId="0" fontId="0" fillId="6" borderId="22" xfId="0" applyFill="1" applyBorder="1" applyAlignment="1" applyProtection="1">
      <alignment horizontal="center" vertical="center"/>
      <protection hidden="1"/>
    </xf>
    <xf numFmtId="0" fontId="0" fillId="6" borderId="15" xfId="0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17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left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5" fillId="0" borderId="31" xfId="0" applyFont="1" applyBorder="1" applyAlignment="1" applyProtection="1">
      <alignment horizontal="center" vertical="center"/>
      <protection hidden="1"/>
    </xf>
    <xf numFmtId="0" fontId="5" fillId="0" borderId="33" xfId="0" applyFont="1" applyBorder="1" applyAlignment="1" applyProtection="1">
      <alignment horizontal="center" vertical="center"/>
      <protection hidden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60"/>
  <sheetViews>
    <sheetView tabSelected="1" showWhiteSpace="0" view="pageLayout" topLeftCell="A625" zoomScaleNormal="100" zoomScaleSheetLayoutView="85" workbookViewId="0">
      <selection activeCell="N646" sqref="N646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84" customFormat="1" x14ac:dyDescent="0.25">
      <c r="A1" s="65" t="s">
        <v>69</v>
      </c>
      <c r="B1" s="65"/>
      <c r="C1" s="65"/>
      <c r="D1" s="77"/>
      <c r="E1" s="78"/>
      <c r="F1" s="65"/>
      <c r="G1" s="65"/>
      <c r="H1" s="77"/>
      <c r="I1" s="77"/>
      <c r="J1" s="65"/>
      <c r="K1" s="65"/>
      <c r="L1" s="77"/>
      <c r="M1" s="77"/>
      <c r="N1" s="65"/>
      <c r="O1" s="65"/>
      <c r="P1" s="77"/>
      <c r="Q1" s="77"/>
      <c r="R1" s="65"/>
      <c r="S1" s="65"/>
      <c r="T1" s="65"/>
      <c r="U1" s="65"/>
      <c r="V1" s="65"/>
      <c r="W1" s="65"/>
      <c r="X1" s="65"/>
      <c r="Y1" s="65"/>
      <c r="Z1" s="77"/>
      <c r="AA1" s="78"/>
      <c r="AB1" s="65"/>
      <c r="AC1" s="65"/>
      <c r="AD1" s="77"/>
      <c r="AE1" s="77"/>
      <c r="AF1" s="65"/>
      <c r="AG1" s="65"/>
      <c r="AH1" s="77"/>
      <c r="AI1" s="77"/>
      <c r="AJ1" s="65"/>
      <c r="AK1" s="65"/>
      <c r="AL1" s="77"/>
      <c r="AM1" s="77"/>
      <c r="AN1" s="65"/>
      <c r="AO1" s="65"/>
      <c r="AP1" s="65"/>
      <c r="AQ1" s="65"/>
      <c r="AR1" s="65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4" t="s">
        <v>68</v>
      </c>
      <c r="O2" s="115"/>
      <c r="P2" s="39"/>
      <c r="Q2" s="39"/>
      <c r="R2" s="5"/>
      <c r="S2" s="5"/>
      <c r="T2" s="5"/>
      <c r="U2" s="5"/>
      <c r="V2" s="5"/>
      <c r="W2" s="65"/>
      <c r="X2" s="65"/>
      <c r="Y2" s="65"/>
      <c r="Z2" s="65"/>
      <c r="AA2" s="65"/>
      <c r="AB2" s="79"/>
      <c r="AC2" s="65"/>
      <c r="AD2" s="65"/>
      <c r="AE2" s="65"/>
      <c r="AF2" s="65"/>
      <c r="AG2" s="65"/>
      <c r="AH2" s="65"/>
      <c r="AI2" s="65"/>
      <c r="AJ2" s="80"/>
      <c r="AK2" s="121"/>
      <c r="AL2" s="121"/>
      <c r="AM2" s="65"/>
      <c r="AN2" s="65"/>
      <c r="AO2" s="65"/>
      <c r="AP2" s="65"/>
      <c r="AQ2" s="65"/>
      <c r="AR2" s="6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6" t="str">
        <f>N2&amp;".1"</f>
        <v>1.3.1</v>
      </c>
      <c r="O3" s="116"/>
      <c r="P3" s="39"/>
      <c r="Q3" s="39"/>
      <c r="R3" s="5"/>
      <c r="S3" s="5"/>
      <c r="T3" s="5"/>
      <c r="U3" s="5"/>
      <c r="V3" s="5"/>
      <c r="W3" s="65"/>
      <c r="X3" s="65"/>
      <c r="Y3" s="65"/>
      <c r="Z3" s="65"/>
      <c r="AA3" s="65"/>
      <c r="AB3" s="79"/>
      <c r="AC3" s="65"/>
      <c r="AD3" s="65"/>
      <c r="AE3" s="65"/>
      <c r="AF3" s="65"/>
      <c r="AG3" s="65"/>
      <c r="AH3" s="65"/>
      <c r="AI3" s="65"/>
      <c r="AJ3" s="80"/>
      <c r="AK3" s="122"/>
      <c r="AL3" s="122"/>
      <c r="AM3" s="65"/>
      <c r="AN3" s="65"/>
      <c r="AO3" s="65"/>
      <c r="AP3" s="65"/>
      <c r="AQ3" s="65"/>
      <c r="AR3" s="6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81"/>
      <c r="AK4" s="82"/>
      <c r="AL4" s="65"/>
      <c r="AM4" s="65"/>
      <c r="AN4" s="65"/>
      <c r="AO4" s="65"/>
      <c r="AP4" s="65"/>
      <c r="AQ4" s="65"/>
      <c r="AR4" s="6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9</v>
      </c>
      <c r="N5" s="11" t="str">
        <f>"-"&amp;N3</f>
        <v>-1.3.1</v>
      </c>
      <c r="O5" s="12"/>
      <c r="P5" s="39"/>
      <c r="Q5" s="39"/>
      <c r="R5" s="5"/>
      <c r="S5" s="5"/>
      <c r="T5" s="5"/>
      <c r="U5" s="5"/>
      <c r="V5" s="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81"/>
      <c r="AK5" s="82"/>
      <c r="AL5" s="83"/>
      <c r="AM5" s="65"/>
      <c r="AN5" s="65"/>
      <c r="AO5" s="65"/>
      <c r="AP5" s="65"/>
      <c r="AQ5" s="65"/>
      <c r="AR5" s="6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0"/>
      <c r="AK6" s="71"/>
      <c r="AL6" s="69"/>
      <c r="AM6" s="69"/>
      <c r="AN6" s="69"/>
      <c r="AO6" s="69"/>
      <c r="AP6" s="69"/>
      <c r="AQ6" s="69"/>
      <c r="AR6" s="6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72"/>
      <c r="AL7" s="69"/>
      <c r="AM7" s="69"/>
      <c r="AN7" s="69"/>
      <c r="AO7" s="69"/>
      <c r="AP7" s="69"/>
      <c r="AQ7" s="69"/>
      <c r="AR7" s="6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6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72"/>
      <c r="AL8" s="69"/>
      <c r="AM8" s="69"/>
      <c r="AN8" s="69"/>
      <c r="AO8" s="69"/>
      <c r="AP8" s="69"/>
      <c r="AQ8" s="69"/>
      <c r="AR8" s="65"/>
    </row>
    <row r="9" spans="1:44" ht="15.6" customHeight="1" x14ac:dyDescent="0.25">
      <c r="A9" s="18"/>
      <c r="B9" s="19"/>
      <c r="C9" s="19"/>
      <c r="D9" s="117">
        <v>1</v>
      </c>
      <c r="E9" s="118"/>
      <c r="F9" s="19"/>
      <c r="G9" s="19"/>
      <c r="H9" s="117">
        <v>2</v>
      </c>
      <c r="I9" s="118"/>
      <c r="J9" s="19"/>
      <c r="K9" s="19"/>
      <c r="L9" s="117">
        <v>3</v>
      </c>
      <c r="M9" s="118"/>
      <c r="N9" s="19"/>
      <c r="O9" s="19"/>
      <c r="P9" s="117">
        <v>4</v>
      </c>
      <c r="Q9" s="118"/>
      <c r="R9" s="19"/>
      <c r="S9" s="19"/>
      <c r="T9" s="19"/>
      <c r="U9" s="19"/>
      <c r="V9" s="65"/>
      <c r="W9" s="69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73"/>
      <c r="AO9" s="73"/>
      <c r="AP9" s="74"/>
      <c r="AQ9" s="74"/>
      <c r="AR9" s="84"/>
    </row>
    <row r="10" spans="1:44" ht="15.6" customHeight="1" x14ac:dyDescent="0.25">
      <c r="A10" s="18"/>
      <c r="B10" s="111" t="s">
        <v>6</v>
      </c>
      <c r="C10" s="111"/>
      <c r="D10" s="117" t="s">
        <v>37</v>
      </c>
      <c r="E10" s="118" t="s">
        <v>0</v>
      </c>
      <c r="F10" s="111" t="s">
        <v>6</v>
      </c>
      <c r="G10" s="111"/>
      <c r="H10" s="117" t="s">
        <v>37</v>
      </c>
      <c r="I10" s="118"/>
      <c r="J10" s="111" t="s">
        <v>6</v>
      </c>
      <c r="K10" s="111"/>
      <c r="L10" s="117" t="s">
        <v>37</v>
      </c>
      <c r="M10" s="118"/>
      <c r="N10" s="111" t="s">
        <v>6</v>
      </c>
      <c r="O10" s="111"/>
      <c r="P10" s="117" t="s">
        <v>37</v>
      </c>
      <c r="Q10" s="118"/>
      <c r="R10" s="111"/>
      <c r="S10" s="111"/>
      <c r="T10" s="111"/>
      <c r="U10" s="111"/>
      <c r="V10" s="66"/>
      <c r="W10" s="69"/>
      <c r="X10" s="120"/>
      <c r="Y10" s="120"/>
      <c r="Z10" s="120"/>
      <c r="AA10" s="120"/>
      <c r="AB10" s="123"/>
      <c r="AC10" s="123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09"/>
      <c r="AQ10" s="109"/>
      <c r="AR10" s="84"/>
    </row>
    <row r="11" spans="1:44" ht="15.6" customHeight="1" x14ac:dyDescent="0.25">
      <c r="A11" s="18"/>
      <c r="B11" s="110"/>
      <c r="C11" s="110"/>
      <c r="D11" s="112"/>
      <c r="E11" s="112"/>
      <c r="F11" s="110"/>
      <c r="G11" s="110"/>
      <c r="H11" s="112"/>
      <c r="I11" s="112"/>
      <c r="J11" s="110"/>
      <c r="K11" s="110"/>
      <c r="L11" s="112"/>
      <c r="M11" s="112"/>
      <c r="N11" s="110"/>
      <c r="O11" s="110"/>
      <c r="P11" s="112"/>
      <c r="Q11" s="112"/>
      <c r="R11" s="110"/>
      <c r="S11" s="110"/>
      <c r="T11" s="110"/>
      <c r="U11" s="110"/>
      <c r="V11" s="66"/>
      <c r="W11" s="69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84"/>
    </row>
    <row r="12" spans="1:44" ht="15.6" customHeight="1" x14ac:dyDescent="0.25">
      <c r="A12" s="18"/>
      <c r="B12" s="111">
        <v>0</v>
      </c>
      <c r="C12" s="111"/>
      <c r="D12" s="113">
        <v>1</v>
      </c>
      <c r="E12" s="113">
        <v>1</v>
      </c>
      <c r="F12" s="111">
        <v>2</v>
      </c>
      <c r="G12" s="111">
        <v>2</v>
      </c>
      <c r="H12" s="113">
        <v>3</v>
      </c>
      <c r="I12" s="113">
        <v>3</v>
      </c>
      <c r="J12" s="111">
        <v>4</v>
      </c>
      <c r="K12" s="111">
        <v>4</v>
      </c>
      <c r="L12" s="113">
        <v>5</v>
      </c>
      <c r="M12" s="113"/>
      <c r="N12" s="111">
        <v>6</v>
      </c>
      <c r="O12" s="111">
        <v>1</v>
      </c>
      <c r="P12" s="113">
        <v>7</v>
      </c>
      <c r="Q12" s="113">
        <v>2</v>
      </c>
      <c r="R12" s="111">
        <v>8</v>
      </c>
      <c r="S12" s="111">
        <v>3</v>
      </c>
      <c r="T12" s="111">
        <v>9</v>
      </c>
      <c r="U12" s="111">
        <v>4</v>
      </c>
      <c r="V12" s="67"/>
      <c r="W12" s="69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09"/>
      <c r="AQ12" s="109"/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67"/>
      <c r="W13" s="69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4"/>
      <c r="AQ13" s="74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68"/>
      <c r="W14" s="69"/>
      <c r="X14" s="75"/>
      <c r="Y14" s="75"/>
      <c r="Z14" s="75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6"/>
      <c r="AL14" s="74"/>
      <c r="AM14" s="74"/>
      <c r="AN14" s="74"/>
      <c r="AO14" s="74"/>
      <c r="AP14" s="74"/>
      <c r="AQ14" s="74"/>
    </row>
    <row r="15" spans="1:44" ht="15.6" customHeight="1" x14ac:dyDescent="0.25">
      <c r="A15" s="5"/>
      <c r="B15" s="105"/>
      <c r="C15" s="106"/>
      <c r="D15" s="108"/>
      <c r="E15" s="106"/>
      <c r="F15" s="105"/>
      <c r="G15" s="106"/>
      <c r="H15" s="108"/>
      <c r="I15" s="106"/>
      <c r="J15" s="105"/>
      <c r="K15" s="106"/>
      <c r="L15" s="108"/>
      <c r="M15" s="106"/>
      <c r="N15" s="105"/>
      <c r="O15" s="106"/>
      <c r="P15" s="108"/>
      <c r="Q15" s="106"/>
      <c r="R15" s="22"/>
      <c r="S15" s="22"/>
      <c r="T15" s="22"/>
      <c r="U15" s="22"/>
      <c r="V15" s="27"/>
      <c r="W15" s="6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</row>
    <row r="16" spans="1:44" ht="15.6" customHeight="1" thickBot="1" x14ac:dyDescent="0.3">
      <c r="A16" s="5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10"/>
      <c r="S16" s="110"/>
      <c r="T16" s="110"/>
      <c r="U16" s="110"/>
      <c r="V16" s="27"/>
      <c r="W16" s="6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</row>
    <row r="17" spans="1:44" ht="15.6" customHeight="1" x14ac:dyDescent="0.25">
      <c r="A17" s="5"/>
      <c r="B17" s="100"/>
      <c r="C17" s="101"/>
      <c r="D17" s="102"/>
      <c r="E17" s="103"/>
      <c r="F17" s="100"/>
      <c r="G17" s="101"/>
      <c r="H17" s="102"/>
      <c r="I17" s="103"/>
      <c r="J17" s="100"/>
      <c r="K17" s="101"/>
      <c r="L17" s="102"/>
      <c r="M17" s="103"/>
      <c r="N17" s="100"/>
      <c r="O17" s="101"/>
      <c r="P17" s="102"/>
      <c r="Q17" s="103"/>
      <c r="R17" s="22"/>
      <c r="S17" s="22"/>
      <c r="T17" s="22"/>
      <c r="U17" s="22"/>
      <c r="V17" s="27"/>
      <c r="W17" s="69"/>
      <c r="X17" s="69"/>
      <c r="Y17" s="69"/>
      <c r="Z17" s="69"/>
      <c r="AA17" s="69"/>
      <c r="AB17" s="74"/>
      <c r="AC17" s="69"/>
      <c r="AD17" s="69"/>
      <c r="AE17" s="69"/>
      <c r="AF17" s="69"/>
      <c r="AG17" s="69"/>
      <c r="AH17" s="69"/>
      <c r="AI17" s="69"/>
      <c r="AJ17" s="69"/>
      <c r="AK17" s="72"/>
      <c r="AL17" s="69"/>
      <c r="AM17" s="69"/>
      <c r="AN17" s="69"/>
      <c r="AO17" s="69"/>
      <c r="AP17" s="69"/>
      <c r="AQ17" s="69"/>
    </row>
    <row r="18" spans="1:44" ht="15.6" customHeight="1" x14ac:dyDescent="0.25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5"/>
    </row>
    <row r="19" spans="1:44" ht="15.6" customHeight="1" x14ac:dyDescent="0.25">
      <c r="A19" s="5"/>
      <c r="B19" s="5"/>
      <c r="C19" s="5"/>
      <c r="D19" s="39"/>
      <c r="E19" s="47" t="s">
        <v>11</v>
      </c>
      <c r="F19" s="104" t="s">
        <v>12</v>
      </c>
      <c r="G19" s="104"/>
      <c r="H19" s="104"/>
      <c r="I19" s="104" t="s">
        <v>41</v>
      </c>
      <c r="J19" s="104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6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4" t="s">
        <v>16</v>
      </c>
      <c r="G20" s="104"/>
      <c r="H20" s="104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6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5"/>
    </row>
    <row r="21" spans="1:44" s="84" customFormat="1" ht="15.6" customHeight="1" x14ac:dyDescent="0.25">
      <c r="A21" s="65" t="s">
        <v>69</v>
      </c>
      <c r="B21" s="65"/>
      <c r="C21" s="65"/>
      <c r="D21" s="77"/>
      <c r="E21" s="78"/>
      <c r="F21" s="65"/>
      <c r="G21" s="65"/>
      <c r="H21" s="77"/>
      <c r="I21" s="77"/>
      <c r="J21" s="65"/>
      <c r="K21" s="65"/>
      <c r="L21" s="77"/>
      <c r="M21" s="77"/>
      <c r="N21" s="65"/>
      <c r="O21" s="65"/>
      <c r="P21" s="77"/>
      <c r="Q21" s="77"/>
      <c r="R21" s="65"/>
      <c r="S21" s="65"/>
      <c r="T21" s="65"/>
      <c r="U21" s="65"/>
      <c r="V21" s="65"/>
      <c r="W21" s="6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6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14" t="s">
        <v>68</v>
      </c>
      <c r="O22" s="115"/>
      <c r="P22" s="39"/>
      <c r="Q22" s="39"/>
      <c r="R22" s="5"/>
      <c r="S22" s="5"/>
      <c r="T22" s="5"/>
      <c r="U22" s="5"/>
      <c r="V22" s="5"/>
      <c r="W22" s="65"/>
      <c r="X22" s="65"/>
      <c r="Y22" s="65"/>
      <c r="Z22" s="65"/>
      <c r="AA22" s="65"/>
      <c r="AB22" s="79"/>
      <c r="AC22" s="65"/>
      <c r="AD22" s="65"/>
      <c r="AE22" s="65"/>
      <c r="AF22" s="65"/>
      <c r="AG22" s="65"/>
      <c r="AH22" s="65"/>
      <c r="AI22" s="65"/>
      <c r="AJ22" s="80"/>
      <c r="AK22" s="121"/>
      <c r="AL22" s="121"/>
      <c r="AM22" s="65"/>
      <c r="AN22" s="65"/>
      <c r="AO22" s="65"/>
      <c r="AP22" s="65"/>
      <c r="AQ22" s="65"/>
      <c r="AR22" s="65"/>
    </row>
    <row r="23" spans="1:44" ht="15.6" customHeight="1" x14ac:dyDescent="0.3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16" t="str">
        <f>N22&amp;".1"</f>
        <v>1.3.1</v>
      </c>
      <c r="O23" s="116"/>
      <c r="P23" s="39"/>
      <c r="Q23" s="39"/>
      <c r="R23" s="5"/>
      <c r="S23" s="5"/>
      <c r="T23" s="5"/>
      <c r="U23" s="5"/>
      <c r="V23" s="5"/>
      <c r="W23" s="65"/>
      <c r="X23" s="65"/>
      <c r="Y23" s="65"/>
      <c r="Z23" s="65"/>
      <c r="AA23" s="65"/>
      <c r="AB23" s="79"/>
      <c r="AC23" s="65"/>
      <c r="AD23" s="65"/>
      <c r="AE23" s="65"/>
      <c r="AF23" s="65"/>
      <c r="AG23" s="65"/>
      <c r="AH23" s="65"/>
      <c r="AI23" s="65"/>
      <c r="AJ23" s="80"/>
      <c r="AK23" s="122"/>
      <c r="AL23" s="122"/>
      <c r="AM23" s="65"/>
      <c r="AN23" s="65"/>
      <c r="AO23" s="65"/>
      <c r="AP23" s="65"/>
      <c r="AQ23" s="65"/>
      <c r="AR23" s="6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v>1</v>
      </c>
      <c r="O24" s="5"/>
      <c r="P24" s="39"/>
      <c r="Q24" s="39"/>
      <c r="R24" s="5"/>
      <c r="S24" s="5"/>
      <c r="T24" s="5"/>
      <c r="U24" s="5"/>
      <c r="V24" s="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81"/>
      <c r="AK24" s="82"/>
      <c r="AL24" s="65"/>
      <c r="AM24" s="65"/>
      <c r="AN24" s="65"/>
      <c r="AO24" s="65"/>
      <c r="AP24" s="65"/>
      <c r="AQ24" s="65"/>
      <c r="AR24" s="6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9</v>
      </c>
      <c r="N25" s="11" t="str">
        <f>"-"&amp;N23</f>
        <v>-1.3.1</v>
      </c>
      <c r="O25" s="12"/>
      <c r="P25" s="39"/>
      <c r="Q25" s="39"/>
      <c r="R25" s="5"/>
      <c r="S25" s="5"/>
      <c r="T25" s="5"/>
      <c r="U25" s="5"/>
      <c r="V25" s="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81"/>
      <c r="AK25" s="82"/>
      <c r="AL25" s="83"/>
      <c r="AM25" s="65"/>
      <c r="AN25" s="65"/>
      <c r="AO25" s="65"/>
      <c r="AP25" s="65"/>
      <c r="AQ25" s="65"/>
      <c r="AR25" s="65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3">
        <v>2</v>
      </c>
      <c r="O26" s="5"/>
      <c r="P26" s="39"/>
      <c r="Q26" s="39"/>
      <c r="R26" s="5"/>
      <c r="S26" s="5"/>
      <c r="T26" s="5"/>
      <c r="U26" s="5"/>
      <c r="V26" s="5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0"/>
      <c r="AK26" s="71"/>
      <c r="AL26" s="69"/>
      <c r="AM26" s="69"/>
      <c r="AN26" s="69"/>
      <c r="AO26" s="69"/>
      <c r="AP26" s="69"/>
      <c r="AQ26" s="69"/>
      <c r="AR26" s="65"/>
    </row>
    <row r="27" spans="1:44" ht="15.6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72"/>
      <c r="AL27" s="69"/>
      <c r="AM27" s="69"/>
      <c r="AN27" s="69"/>
      <c r="AO27" s="69"/>
      <c r="AP27" s="69"/>
      <c r="AQ27" s="69"/>
      <c r="AR27" s="6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6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72"/>
      <c r="AL28" s="69"/>
      <c r="AM28" s="69"/>
      <c r="AN28" s="69"/>
      <c r="AO28" s="69"/>
      <c r="AP28" s="69"/>
      <c r="AQ28" s="69"/>
      <c r="AR28" s="65"/>
    </row>
    <row r="29" spans="1:44" ht="15.6" customHeight="1" x14ac:dyDescent="0.25">
      <c r="A29" s="18"/>
      <c r="B29" s="61"/>
      <c r="C29" s="61"/>
      <c r="D29" s="117">
        <v>1</v>
      </c>
      <c r="E29" s="118"/>
      <c r="F29" s="61"/>
      <c r="G29" s="61"/>
      <c r="H29" s="117">
        <v>2</v>
      </c>
      <c r="I29" s="118"/>
      <c r="J29" s="61"/>
      <c r="K29" s="61"/>
      <c r="L29" s="117">
        <v>3</v>
      </c>
      <c r="M29" s="118"/>
      <c r="N29" s="61"/>
      <c r="O29" s="61"/>
      <c r="P29" s="117">
        <v>4</v>
      </c>
      <c r="Q29" s="118"/>
      <c r="R29" s="61"/>
      <c r="S29" s="61"/>
      <c r="T29" s="61"/>
      <c r="U29" s="61"/>
      <c r="V29" s="65"/>
      <c r="W29" s="69"/>
      <c r="X29" s="120"/>
      <c r="Y29" s="120"/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  <c r="AN29" s="73"/>
      <c r="AO29" s="73"/>
      <c r="AP29" s="74"/>
      <c r="AQ29" s="74"/>
      <c r="AR29" s="84"/>
    </row>
    <row r="30" spans="1:44" ht="15.6" customHeight="1" x14ac:dyDescent="0.25">
      <c r="A30" s="18"/>
      <c r="B30" s="111" t="s">
        <v>6</v>
      </c>
      <c r="C30" s="111"/>
      <c r="D30" s="117" t="s">
        <v>37</v>
      </c>
      <c r="E30" s="118" t="s">
        <v>0</v>
      </c>
      <c r="F30" s="111" t="s">
        <v>6</v>
      </c>
      <c r="G30" s="111"/>
      <c r="H30" s="117" t="s">
        <v>37</v>
      </c>
      <c r="I30" s="118"/>
      <c r="J30" s="111" t="s">
        <v>6</v>
      </c>
      <c r="K30" s="111"/>
      <c r="L30" s="117" t="s">
        <v>37</v>
      </c>
      <c r="M30" s="118"/>
      <c r="N30" s="111" t="s">
        <v>6</v>
      </c>
      <c r="O30" s="111"/>
      <c r="P30" s="117" t="s">
        <v>37</v>
      </c>
      <c r="Q30" s="118"/>
      <c r="R30" s="111"/>
      <c r="S30" s="111"/>
      <c r="T30" s="111"/>
      <c r="U30" s="111"/>
      <c r="V30" s="66"/>
      <c r="W30" s="69"/>
      <c r="X30" s="120"/>
      <c r="Y30" s="120"/>
      <c r="Z30" s="120"/>
      <c r="AA30" s="120"/>
      <c r="AB30" s="123"/>
      <c r="AC30" s="123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09"/>
      <c r="AQ30" s="109"/>
      <c r="AR30" s="84"/>
    </row>
    <row r="31" spans="1:44" ht="15.6" customHeight="1" x14ac:dyDescent="0.25">
      <c r="A31" s="18"/>
      <c r="B31" s="110"/>
      <c r="C31" s="110"/>
      <c r="D31" s="112"/>
      <c r="E31" s="112"/>
      <c r="F31" s="110"/>
      <c r="G31" s="110"/>
      <c r="H31" s="112"/>
      <c r="I31" s="112"/>
      <c r="J31" s="110"/>
      <c r="K31" s="110"/>
      <c r="L31" s="112"/>
      <c r="M31" s="112"/>
      <c r="N31" s="110"/>
      <c r="O31" s="110"/>
      <c r="P31" s="112"/>
      <c r="Q31" s="112"/>
      <c r="R31" s="110"/>
      <c r="S31" s="110"/>
      <c r="T31" s="110"/>
      <c r="U31" s="110"/>
      <c r="V31" s="66"/>
      <c r="W31" s="69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84"/>
    </row>
    <row r="32" spans="1:44" ht="15.6" customHeight="1" x14ac:dyDescent="0.25">
      <c r="A32" s="18"/>
      <c r="B32" s="111">
        <v>0</v>
      </c>
      <c r="C32" s="111"/>
      <c r="D32" s="113">
        <v>1</v>
      </c>
      <c r="E32" s="113">
        <v>1</v>
      </c>
      <c r="F32" s="111">
        <v>2</v>
      </c>
      <c r="G32" s="111">
        <v>2</v>
      </c>
      <c r="H32" s="113">
        <v>3</v>
      </c>
      <c r="I32" s="113">
        <v>3</v>
      </c>
      <c r="J32" s="111">
        <v>4</v>
      </c>
      <c r="K32" s="111">
        <v>4</v>
      </c>
      <c r="L32" s="113">
        <v>5</v>
      </c>
      <c r="M32" s="113"/>
      <c r="N32" s="111">
        <v>6</v>
      </c>
      <c r="O32" s="111">
        <v>1</v>
      </c>
      <c r="P32" s="113">
        <v>7</v>
      </c>
      <c r="Q32" s="113">
        <v>2</v>
      </c>
      <c r="R32" s="111">
        <v>8</v>
      </c>
      <c r="S32" s="111">
        <v>3</v>
      </c>
      <c r="T32" s="111">
        <v>9</v>
      </c>
      <c r="U32" s="111">
        <v>4</v>
      </c>
      <c r="V32" s="67"/>
      <c r="W32" s="69"/>
      <c r="X32" s="120"/>
      <c r="Y32" s="120"/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/>
      <c r="AK32" s="120"/>
      <c r="AL32" s="120"/>
      <c r="AM32" s="120"/>
      <c r="AN32" s="120"/>
      <c r="AO32" s="120"/>
      <c r="AP32" s="109"/>
      <c r="AQ32" s="109"/>
    </row>
    <row r="33" spans="1:44" ht="15.6" customHeight="1" x14ac:dyDescent="0.25">
      <c r="A33" s="18"/>
      <c r="B33" s="61" t="s">
        <v>1</v>
      </c>
      <c r="C33" s="61" t="s">
        <v>2</v>
      </c>
      <c r="D33" s="62" t="s">
        <v>3</v>
      </c>
      <c r="E33" s="62" t="s">
        <v>4</v>
      </c>
      <c r="F33" s="61" t="s">
        <v>1</v>
      </c>
      <c r="G33" s="61" t="s">
        <v>2</v>
      </c>
      <c r="H33" s="62" t="s">
        <v>3</v>
      </c>
      <c r="I33" s="62" t="s">
        <v>4</v>
      </c>
      <c r="J33" s="61" t="s">
        <v>1</v>
      </c>
      <c r="K33" s="61" t="s">
        <v>2</v>
      </c>
      <c r="L33" s="62" t="s">
        <v>3</v>
      </c>
      <c r="M33" s="62" t="s">
        <v>4</v>
      </c>
      <c r="N33" s="61" t="s">
        <v>1</v>
      </c>
      <c r="O33" s="61" t="s">
        <v>2</v>
      </c>
      <c r="P33" s="62" t="s">
        <v>3</v>
      </c>
      <c r="Q33" s="62" t="s">
        <v>4</v>
      </c>
      <c r="R33" s="61" t="s">
        <v>1</v>
      </c>
      <c r="S33" s="61" t="s">
        <v>2</v>
      </c>
      <c r="T33" s="61" t="s">
        <v>3</v>
      </c>
      <c r="U33" s="61" t="s">
        <v>4</v>
      </c>
      <c r="V33" s="67"/>
      <c r="W33" s="69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4"/>
      <c r="AQ33" s="74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68"/>
      <c r="W34" s="69"/>
      <c r="X34" s="75"/>
      <c r="Y34" s="75"/>
      <c r="Z34" s="75"/>
      <c r="AA34" s="75"/>
      <c r="AB34" s="74"/>
      <c r="AC34" s="74"/>
      <c r="AD34" s="74"/>
      <c r="AE34" s="74"/>
      <c r="AF34" s="74"/>
      <c r="AG34" s="74"/>
      <c r="AH34" s="74"/>
      <c r="AI34" s="74"/>
      <c r="AJ34" s="74"/>
      <c r="AK34" s="76"/>
      <c r="AL34" s="74"/>
      <c r="AM34" s="74"/>
      <c r="AN34" s="74"/>
      <c r="AO34" s="74"/>
      <c r="AP34" s="74"/>
      <c r="AQ34" s="74"/>
    </row>
    <row r="35" spans="1:44" ht="15.6" customHeight="1" x14ac:dyDescent="0.25">
      <c r="A35" s="5"/>
      <c r="B35" s="105"/>
      <c r="C35" s="106"/>
      <c r="D35" s="108"/>
      <c r="E35" s="106"/>
      <c r="F35" s="105"/>
      <c r="G35" s="106"/>
      <c r="H35" s="108"/>
      <c r="I35" s="106"/>
      <c r="J35" s="105"/>
      <c r="K35" s="106"/>
      <c r="L35" s="108"/>
      <c r="M35" s="106"/>
      <c r="N35" s="105"/>
      <c r="O35" s="106"/>
      <c r="P35" s="108"/>
      <c r="Q35" s="106"/>
      <c r="R35" s="85"/>
      <c r="S35" s="85"/>
      <c r="T35" s="85"/>
      <c r="U35" s="85"/>
      <c r="V35" s="27"/>
      <c r="W35" s="69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  <c r="AO35" s="109"/>
      <c r="AP35" s="109"/>
      <c r="AQ35" s="109"/>
    </row>
    <row r="36" spans="1:44" ht="15.6" customHeight="1" thickBot="1" x14ac:dyDescent="0.3">
      <c r="A36" s="5"/>
      <c r="B36" s="107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  <c r="O36" s="107"/>
      <c r="P36" s="107"/>
      <c r="Q36" s="107"/>
      <c r="R36" s="110"/>
      <c r="S36" s="110"/>
      <c r="T36" s="110"/>
      <c r="U36" s="110"/>
      <c r="V36" s="27"/>
      <c r="W36" s="69"/>
      <c r="X36" s="109"/>
      <c r="Y36" s="109"/>
      <c r="Z36" s="109"/>
      <c r="AA36" s="109"/>
      <c r="AB36" s="109"/>
      <c r="AC36" s="109"/>
      <c r="AD36" s="109"/>
      <c r="AE36" s="109"/>
      <c r="AF36" s="109"/>
      <c r="AG36" s="109"/>
      <c r="AH36" s="109"/>
      <c r="AI36" s="109"/>
      <c r="AJ36" s="109"/>
      <c r="AK36" s="109"/>
      <c r="AL36" s="109"/>
      <c r="AM36" s="109"/>
      <c r="AN36" s="109"/>
      <c r="AO36" s="109"/>
      <c r="AP36" s="109"/>
      <c r="AQ36" s="109"/>
    </row>
    <row r="37" spans="1:44" ht="15.6" customHeight="1" x14ac:dyDescent="0.25">
      <c r="A37" s="5"/>
      <c r="B37" s="100"/>
      <c r="C37" s="101"/>
      <c r="D37" s="102"/>
      <c r="E37" s="103"/>
      <c r="F37" s="100"/>
      <c r="G37" s="101"/>
      <c r="H37" s="102"/>
      <c r="I37" s="103"/>
      <c r="J37" s="100"/>
      <c r="K37" s="101"/>
      <c r="L37" s="102"/>
      <c r="M37" s="103"/>
      <c r="N37" s="100"/>
      <c r="O37" s="101"/>
      <c r="P37" s="102"/>
      <c r="Q37" s="103"/>
      <c r="R37" s="63"/>
      <c r="S37" s="63"/>
      <c r="T37" s="63"/>
      <c r="U37" s="63"/>
      <c r="V37" s="27"/>
      <c r="W37" s="69"/>
      <c r="X37" s="69"/>
      <c r="Y37" s="69"/>
      <c r="Z37" s="69"/>
      <c r="AA37" s="69"/>
      <c r="AB37" s="74"/>
      <c r="AC37" s="69"/>
      <c r="AD37" s="69"/>
      <c r="AE37" s="69"/>
      <c r="AF37" s="69"/>
      <c r="AG37" s="69"/>
      <c r="AH37" s="69"/>
      <c r="AI37" s="69"/>
      <c r="AJ37" s="69"/>
      <c r="AK37" s="72"/>
      <c r="AL37" s="69"/>
      <c r="AM37" s="69"/>
      <c r="AN37" s="69"/>
      <c r="AO37" s="69"/>
      <c r="AP37" s="69"/>
      <c r="AQ37" s="69"/>
    </row>
    <row r="38" spans="1:44" ht="15.6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5"/>
    </row>
    <row r="39" spans="1:44" ht="15.6" customHeight="1" x14ac:dyDescent="0.25">
      <c r="A39" s="5"/>
      <c r="B39" s="5"/>
      <c r="C39" s="5"/>
      <c r="D39" s="39"/>
      <c r="E39" s="64" t="s">
        <v>11</v>
      </c>
      <c r="F39" s="104" t="s">
        <v>12</v>
      </c>
      <c r="G39" s="104"/>
      <c r="H39" s="104"/>
      <c r="I39" s="104" t="s">
        <v>41</v>
      </c>
      <c r="J39" s="104"/>
      <c r="K39" s="5"/>
      <c r="L39" s="39"/>
      <c r="M39" s="39"/>
      <c r="N39" s="5"/>
      <c r="O39" s="63" t="s">
        <v>13</v>
      </c>
      <c r="P39" s="39" t="s">
        <v>14</v>
      </c>
      <c r="Q39" s="39"/>
      <c r="R39" s="5"/>
      <c r="S39" s="5" t="s">
        <v>43</v>
      </c>
      <c r="T39" s="5"/>
      <c r="U39" s="5"/>
      <c r="V39" s="5"/>
      <c r="W39" s="6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5"/>
    </row>
    <row r="40" spans="1:44" ht="15.6" customHeight="1" x14ac:dyDescent="0.25">
      <c r="A40" s="5"/>
      <c r="B40" s="5"/>
      <c r="C40" s="5"/>
      <c r="D40" s="39"/>
      <c r="E40" s="64" t="s">
        <v>15</v>
      </c>
      <c r="F40" s="104" t="s">
        <v>16</v>
      </c>
      <c r="G40" s="104"/>
      <c r="H40" s="104"/>
      <c r="I40" s="39" t="s">
        <v>42</v>
      </c>
      <c r="J40" s="5"/>
      <c r="K40" s="5"/>
      <c r="L40" s="39"/>
      <c r="M40" s="39"/>
      <c r="N40" s="5"/>
      <c r="O40" s="63" t="s">
        <v>18</v>
      </c>
      <c r="P40" s="39" t="s">
        <v>14</v>
      </c>
      <c r="Q40" s="39"/>
      <c r="R40" s="5"/>
      <c r="S40" s="5" t="s">
        <v>17</v>
      </c>
      <c r="T40" s="5"/>
      <c r="U40" s="5"/>
      <c r="V40" s="5"/>
      <c r="W40" s="6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5"/>
    </row>
    <row r="41" spans="1:44" s="84" customFormat="1" ht="15.6" customHeight="1" x14ac:dyDescent="0.25">
      <c r="A41" s="65" t="s">
        <v>69</v>
      </c>
      <c r="B41" s="65"/>
      <c r="C41" s="65"/>
      <c r="D41" s="77"/>
      <c r="E41" s="78"/>
      <c r="F41" s="65"/>
      <c r="G41" s="65"/>
      <c r="H41" s="77"/>
      <c r="I41" s="77"/>
      <c r="J41" s="65"/>
      <c r="K41" s="65"/>
      <c r="L41" s="77"/>
      <c r="M41" s="77"/>
      <c r="N41" s="65"/>
      <c r="O41" s="65"/>
      <c r="P41" s="77"/>
      <c r="Q41" s="77"/>
      <c r="R41" s="65"/>
      <c r="S41" s="65"/>
      <c r="T41" s="65"/>
      <c r="U41" s="65"/>
      <c r="V41" s="65"/>
      <c r="W41" s="6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65"/>
    </row>
    <row r="42" spans="1:44" ht="18.75" x14ac:dyDescent="0.3">
      <c r="A42" s="5"/>
      <c r="B42" s="5"/>
      <c r="C42" s="5"/>
      <c r="D42" s="39"/>
      <c r="E42" s="40" t="s">
        <v>7</v>
      </c>
      <c r="F42" s="5"/>
      <c r="G42" s="7"/>
      <c r="H42" s="51"/>
      <c r="I42" s="51"/>
      <c r="J42" s="7"/>
      <c r="K42" s="7"/>
      <c r="L42" s="51"/>
      <c r="M42" s="52" t="s">
        <v>8</v>
      </c>
      <c r="N42" s="114" t="s">
        <v>68</v>
      </c>
      <c r="O42" s="115"/>
      <c r="P42" s="39"/>
      <c r="Q42" s="39"/>
      <c r="R42" s="5"/>
      <c r="S42" s="5"/>
      <c r="T42" s="5"/>
      <c r="U42" s="5"/>
      <c r="V42" s="5"/>
    </row>
    <row r="43" spans="1:44" ht="18.75" x14ac:dyDescent="0.3">
      <c r="A43" s="5"/>
      <c r="B43" s="5"/>
      <c r="C43" s="5"/>
      <c r="D43" s="39"/>
      <c r="E43" s="40" t="s">
        <v>35</v>
      </c>
      <c r="F43" s="5"/>
      <c r="G43" s="5"/>
      <c r="H43" s="39"/>
      <c r="I43" s="39"/>
      <c r="J43" s="9"/>
      <c r="K43" s="9"/>
      <c r="L43" s="53"/>
      <c r="M43" s="52" t="s">
        <v>9</v>
      </c>
      <c r="N43" s="116" t="str">
        <f>N42&amp;".1"</f>
        <v>1.3.1</v>
      </c>
      <c r="O43" s="116"/>
      <c r="P43" s="39"/>
      <c r="Q43" s="39"/>
      <c r="R43" s="5"/>
      <c r="S43" s="5"/>
      <c r="T43" s="5"/>
      <c r="U43" s="5"/>
      <c r="V43" s="5"/>
    </row>
    <row r="44" spans="1:44" ht="18.75" x14ac:dyDescent="0.3">
      <c r="A44" s="5"/>
      <c r="B44" s="5"/>
      <c r="C44" s="5"/>
      <c r="D44" s="39"/>
      <c r="E44" s="39" t="s">
        <v>36</v>
      </c>
      <c r="F44" s="5"/>
      <c r="G44" s="5"/>
      <c r="H44" s="51"/>
      <c r="I44" s="51"/>
      <c r="J44" s="7"/>
      <c r="K44" s="7"/>
      <c r="L44" s="51"/>
      <c r="M44" s="54" t="s">
        <v>9</v>
      </c>
      <c r="N44" s="11">
        <v>1</v>
      </c>
      <c r="O44" s="5"/>
      <c r="P44" s="39"/>
      <c r="Q44" s="39"/>
      <c r="R44" s="5"/>
      <c r="S44" s="5"/>
      <c r="T44" s="5"/>
      <c r="U44" s="5"/>
      <c r="V44" s="5"/>
    </row>
    <row r="45" spans="1:44" ht="18.75" x14ac:dyDescent="0.3">
      <c r="A45" s="5"/>
      <c r="B45" s="5"/>
      <c r="C45" s="5"/>
      <c r="D45" s="39"/>
      <c r="E45" s="39" t="s">
        <v>5</v>
      </c>
      <c r="F45" s="5"/>
      <c r="G45" s="5"/>
      <c r="H45" s="39"/>
      <c r="I45" s="39"/>
      <c r="J45" s="5"/>
      <c r="K45" s="5"/>
      <c r="L45" s="53"/>
      <c r="M45" s="54" t="s">
        <v>9</v>
      </c>
      <c r="N45" s="11" t="str">
        <f>"-"&amp;N43</f>
        <v>-1.3.1</v>
      </c>
      <c r="O45" s="12"/>
      <c r="P45" s="39"/>
      <c r="Q45" s="39"/>
      <c r="R45" s="5"/>
      <c r="S45" s="5"/>
      <c r="T45" s="5"/>
      <c r="U45" s="5"/>
      <c r="V45" s="5"/>
    </row>
    <row r="46" spans="1:44" ht="18.75" x14ac:dyDescent="0.3">
      <c r="A46" s="5"/>
      <c r="B46" s="5"/>
      <c r="C46" s="5"/>
      <c r="D46" s="39"/>
      <c r="E46" s="41" t="s">
        <v>10</v>
      </c>
      <c r="F46" s="5"/>
      <c r="G46" s="5"/>
      <c r="H46" s="39"/>
      <c r="I46" s="51"/>
      <c r="J46" s="7"/>
      <c r="K46" s="7"/>
      <c r="L46" s="51"/>
      <c r="M46" s="54" t="s">
        <v>9</v>
      </c>
      <c r="N46" s="3">
        <v>3</v>
      </c>
      <c r="O46" s="5"/>
      <c r="P46" s="39"/>
      <c r="Q46" s="39"/>
      <c r="R46" s="5"/>
      <c r="S46" s="5"/>
      <c r="T46" s="5"/>
      <c r="U46" s="5"/>
      <c r="V46" s="5"/>
    </row>
    <row r="47" spans="1:44" ht="15.75" thickBot="1" x14ac:dyDescent="0.3">
      <c r="A47" s="5"/>
      <c r="B47" s="5"/>
      <c r="C47" s="5"/>
      <c r="D47" s="39"/>
      <c r="E47" s="39"/>
      <c r="F47" s="5"/>
      <c r="G47" s="5"/>
      <c r="H47" s="39"/>
      <c r="I47" s="39"/>
      <c r="J47" s="5"/>
      <c r="K47" s="5"/>
      <c r="L47" s="39"/>
      <c r="M47" s="39"/>
      <c r="N47" s="5"/>
      <c r="O47" s="5"/>
      <c r="P47" s="39"/>
      <c r="Q47" s="39"/>
      <c r="R47" s="5"/>
      <c r="S47" s="5"/>
      <c r="T47" s="5"/>
      <c r="U47" s="5"/>
      <c r="V47" s="5"/>
    </row>
    <row r="48" spans="1:44" x14ac:dyDescent="0.25">
      <c r="A48" s="15"/>
      <c r="B48" s="16"/>
      <c r="C48" s="16"/>
      <c r="D48" s="42"/>
      <c r="E48" s="42"/>
      <c r="F48" s="16"/>
      <c r="G48" s="16"/>
      <c r="H48" s="42"/>
      <c r="I48" s="42"/>
      <c r="J48" s="16"/>
      <c r="K48" s="16"/>
      <c r="L48" s="42"/>
      <c r="M48" s="42"/>
      <c r="N48" s="16"/>
      <c r="O48" s="16"/>
      <c r="P48" s="42"/>
      <c r="Q48" s="42"/>
      <c r="R48" s="16"/>
      <c r="S48" s="16"/>
      <c r="T48" s="16"/>
      <c r="U48" s="16"/>
      <c r="V48" s="16"/>
    </row>
    <row r="49" spans="1:43" x14ac:dyDescent="0.25">
      <c r="A49" s="18"/>
      <c r="B49" s="61"/>
      <c r="C49" s="61"/>
      <c r="D49" s="117">
        <v>1</v>
      </c>
      <c r="E49" s="118"/>
      <c r="F49" s="61"/>
      <c r="G49" s="61"/>
      <c r="H49" s="117">
        <v>2</v>
      </c>
      <c r="I49" s="118"/>
      <c r="J49" s="61"/>
      <c r="K49" s="61"/>
      <c r="L49" s="117">
        <v>3</v>
      </c>
      <c r="M49" s="118"/>
      <c r="N49" s="61"/>
      <c r="O49" s="61"/>
      <c r="P49" s="117">
        <v>4</v>
      </c>
      <c r="Q49" s="118"/>
      <c r="R49" s="61"/>
      <c r="S49" s="61"/>
      <c r="T49" s="61"/>
      <c r="U49" s="61"/>
      <c r="V49" s="65"/>
    </row>
    <row r="50" spans="1:43" x14ac:dyDescent="0.25">
      <c r="A50" s="18"/>
      <c r="B50" s="111" t="s">
        <v>6</v>
      </c>
      <c r="C50" s="111"/>
      <c r="D50" s="117" t="s">
        <v>37</v>
      </c>
      <c r="E50" s="118" t="s">
        <v>0</v>
      </c>
      <c r="F50" s="111" t="s">
        <v>6</v>
      </c>
      <c r="G50" s="111"/>
      <c r="H50" s="117" t="s">
        <v>37</v>
      </c>
      <c r="I50" s="118"/>
      <c r="J50" s="111" t="s">
        <v>6</v>
      </c>
      <c r="K50" s="111"/>
      <c r="L50" s="117" t="s">
        <v>37</v>
      </c>
      <c r="M50" s="118"/>
      <c r="N50" s="111" t="s">
        <v>6</v>
      </c>
      <c r="O50" s="111"/>
      <c r="P50" s="117" t="s">
        <v>37</v>
      </c>
      <c r="Q50" s="118"/>
      <c r="R50" s="111"/>
      <c r="S50" s="111"/>
      <c r="T50" s="111"/>
      <c r="U50" s="111"/>
      <c r="V50" s="66"/>
    </row>
    <row r="51" spans="1:43" x14ac:dyDescent="0.25">
      <c r="A51" s="18"/>
      <c r="B51" s="110"/>
      <c r="C51" s="110"/>
      <c r="D51" s="112"/>
      <c r="E51" s="112"/>
      <c r="F51" s="110"/>
      <c r="G51" s="110"/>
      <c r="H51" s="112"/>
      <c r="I51" s="112"/>
      <c r="J51" s="110"/>
      <c r="K51" s="110"/>
      <c r="L51" s="112"/>
      <c r="M51" s="112"/>
      <c r="N51" s="110"/>
      <c r="O51" s="110"/>
      <c r="P51" s="112"/>
      <c r="Q51" s="112"/>
      <c r="R51" s="110"/>
      <c r="S51" s="110"/>
      <c r="T51" s="110"/>
      <c r="U51" s="110"/>
      <c r="V51" s="66"/>
    </row>
    <row r="52" spans="1:43" x14ac:dyDescent="0.25">
      <c r="A52" s="18"/>
      <c r="B52" s="111">
        <v>0</v>
      </c>
      <c r="C52" s="111"/>
      <c r="D52" s="113">
        <v>1</v>
      </c>
      <c r="E52" s="113">
        <v>1</v>
      </c>
      <c r="F52" s="111">
        <v>2</v>
      </c>
      <c r="G52" s="111">
        <v>2</v>
      </c>
      <c r="H52" s="113">
        <v>3</v>
      </c>
      <c r="I52" s="113">
        <v>3</v>
      </c>
      <c r="J52" s="111">
        <v>4</v>
      </c>
      <c r="K52" s="111">
        <v>4</v>
      </c>
      <c r="L52" s="113">
        <v>5</v>
      </c>
      <c r="M52" s="113"/>
      <c r="N52" s="111">
        <v>6</v>
      </c>
      <c r="O52" s="111">
        <v>1</v>
      </c>
      <c r="P52" s="113">
        <v>7</v>
      </c>
      <c r="Q52" s="113">
        <v>2</v>
      </c>
      <c r="R52" s="111">
        <v>8</v>
      </c>
      <c r="S52" s="111">
        <v>3</v>
      </c>
      <c r="T52" s="111">
        <v>9</v>
      </c>
      <c r="U52" s="111">
        <v>4</v>
      </c>
      <c r="V52" s="67"/>
    </row>
    <row r="53" spans="1:43" x14ac:dyDescent="0.25">
      <c r="A53" s="18"/>
      <c r="B53" s="61" t="s">
        <v>1</v>
      </c>
      <c r="C53" s="61" t="s">
        <v>2</v>
      </c>
      <c r="D53" s="62" t="s">
        <v>3</v>
      </c>
      <c r="E53" s="62" t="s">
        <v>4</v>
      </c>
      <c r="F53" s="61" t="s">
        <v>1</v>
      </c>
      <c r="G53" s="61" t="s">
        <v>2</v>
      </c>
      <c r="H53" s="62" t="s">
        <v>3</v>
      </c>
      <c r="I53" s="62" t="s">
        <v>4</v>
      </c>
      <c r="J53" s="61" t="s">
        <v>1</v>
      </c>
      <c r="K53" s="61" t="s">
        <v>2</v>
      </c>
      <c r="L53" s="62" t="s">
        <v>3</v>
      </c>
      <c r="M53" s="62" t="s">
        <v>4</v>
      </c>
      <c r="N53" s="61" t="s">
        <v>1</v>
      </c>
      <c r="O53" s="61" t="s">
        <v>2</v>
      </c>
      <c r="P53" s="62" t="s">
        <v>3</v>
      </c>
      <c r="Q53" s="62" t="s">
        <v>4</v>
      </c>
      <c r="R53" s="61" t="s">
        <v>1</v>
      </c>
      <c r="S53" s="61" t="s">
        <v>2</v>
      </c>
      <c r="T53" s="61" t="s">
        <v>3</v>
      </c>
      <c r="U53" s="61" t="s">
        <v>4</v>
      </c>
      <c r="V53" s="67"/>
    </row>
    <row r="54" spans="1:43" ht="15.75" thickBot="1" x14ac:dyDescent="0.3">
      <c r="A54" s="24"/>
      <c r="B54" s="25"/>
      <c r="C54" s="25"/>
      <c r="D54" s="44"/>
      <c r="E54" s="45"/>
      <c r="F54" s="25"/>
      <c r="G54" s="25"/>
      <c r="H54" s="44"/>
      <c r="I54" s="45"/>
      <c r="J54" s="25"/>
      <c r="K54" s="25"/>
      <c r="L54" s="44"/>
      <c r="M54" s="45"/>
      <c r="N54" s="25"/>
      <c r="O54" s="25"/>
      <c r="P54" s="44"/>
      <c r="Q54" s="45"/>
      <c r="R54" s="25"/>
      <c r="S54" s="25"/>
      <c r="T54" s="25"/>
      <c r="U54" s="25"/>
      <c r="V54" s="68"/>
    </row>
    <row r="55" spans="1:43" ht="15.6" customHeight="1" x14ac:dyDescent="0.25">
      <c r="A55" s="5"/>
      <c r="B55" s="105"/>
      <c r="C55" s="106"/>
      <c r="D55" s="108"/>
      <c r="E55" s="106"/>
      <c r="F55" s="105"/>
      <c r="G55" s="106"/>
      <c r="H55" s="108"/>
      <c r="I55" s="106"/>
      <c r="J55" s="105"/>
      <c r="K55" s="106"/>
      <c r="L55" s="108"/>
      <c r="M55" s="106"/>
      <c r="N55" s="105"/>
      <c r="O55" s="106"/>
      <c r="P55" s="108"/>
      <c r="Q55" s="106"/>
      <c r="R55" s="85"/>
      <c r="S55" s="85"/>
      <c r="T55" s="85"/>
      <c r="U55" s="85"/>
      <c r="V55" s="27"/>
      <c r="W55" s="6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</row>
    <row r="56" spans="1:43" ht="15.6" customHeight="1" thickBot="1" x14ac:dyDescent="0.3">
      <c r="A56" s="5"/>
      <c r="B56" s="107"/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10"/>
      <c r="S56" s="110"/>
      <c r="T56" s="110"/>
      <c r="U56" s="110"/>
      <c r="V56" s="27"/>
      <c r="W56" s="69"/>
      <c r="X56" s="109"/>
      <c r="Y56" s="109"/>
      <c r="Z56" s="109"/>
      <c r="AA56" s="109"/>
      <c r="AB56" s="109"/>
      <c r="AC56" s="109"/>
      <c r="AD56" s="109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</row>
    <row r="57" spans="1:43" x14ac:dyDescent="0.25">
      <c r="A57" s="5"/>
      <c r="B57" s="100"/>
      <c r="C57" s="100"/>
      <c r="D57" s="102"/>
      <c r="E57" s="102"/>
      <c r="F57" s="100"/>
      <c r="G57" s="100"/>
      <c r="H57" s="102"/>
      <c r="I57" s="102"/>
      <c r="J57" s="100"/>
      <c r="K57" s="100"/>
      <c r="L57" s="102"/>
      <c r="M57" s="102"/>
      <c r="N57" s="100"/>
      <c r="O57" s="100"/>
      <c r="P57" s="102"/>
      <c r="Q57" s="102"/>
      <c r="R57" s="85"/>
      <c r="S57" s="85"/>
      <c r="T57" s="85"/>
      <c r="U57" s="85"/>
      <c r="V57" s="27"/>
    </row>
    <row r="58" spans="1:43" x14ac:dyDescent="0.25">
      <c r="A58" s="5"/>
      <c r="B58" s="5"/>
      <c r="C58" s="5"/>
      <c r="D58" s="39"/>
      <c r="E58" s="39"/>
      <c r="F58" s="5"/>
      <c r="G58" s="5"/>
      <c r="H58" s="39"/>
      <c r="I58" s="39"/>
      <c r="J58" s="5"/>
      <c r="K58" s="5"/>
      <c r="L58" s="39"/>
      <c r="M58" s="39"/>
      <c r="N58" s="5"/>
      <c r="O58" s="5"/>
      <c r="P58" s="39"/>
      <c r="Q58" s="39"/>
      <c r="R58" s="5"/>
      <c r="S58" s="5"/>
      <c r="T58" s="5"/>
      <c r="U58" s="5"/>
      <c r="V58" s="5"/>
    </row>
    <row r="59" spans="1:43" x14ac:dyDescent="0.25">
      <c r="A59" s="5"/>
      <c r="B59" s="5"/>
      <c r="C59" s="5"/>
      <c r="D59" s="39"/>
      <c r="E59" s="64" t="s">
        <v>11</v>
      </c>
      <c r="F59" s="104" t="s">
        <v>12</v>
      </c>
      <c r="G59" s="104"/>
      <c r="H59" s="104"/>
      <c r="I59" s="104" t="s">
        <v>41</v>
      </c>
      <c r="J59" s="104"/>
      <c r="K59" s="5"/>
      <c r="L59" s="39"/>
      <c r="M59" s="39"/>
      <c r="N59" s="5"/>
      <c r="O59" s="63" t="s">
        <v>13</v>
      </c>
      <c r="P59" s="39" t="s">
        <v>14</v>
      </c>
      <c r="Q59" s="39"/>
      <c r="R59" s="5"/>
      <c r="S59" s="5" t="s">
        <v>43</v>
      </c>
      <c r="T59" s="5"/>
      <c r="U59" s="5"/>
      <c r="V59" s="5"/>
    </row>
    <row r="60" spans="1:43" x14ac:dyDescent="0.25">
      <c r="A60" s="5"/>
      <c r="B60" s="5"/>
      <c r="C60" s="5"/>
      <c r="D60" s="39"/>
      <c r="E60" s="64" t="s">
        <v>15</v>
      </c>
      <c r="F60" s="104" t="s">
        <v>16</v>
      </c>
      <c r="G60" s="104"/>
      <c r="H60" s="104"/>
      <c r="I60" s="39" t="s">
        <v>42</v>
      </c>
      <c r="J60" s="5"/>
      <c r="K60" s="5"/>
      <c r="L60" s="39"/>
      <c r="M60" s="39"/>
      <c r="N60" s="5"/>
      <c r="O60" s="63" t="s">
        <v>18</v>
      </c>
      <c r="P60" s="39" t="s">
        <v>14</v>
      </c>
      <c r="Q60" s="39"/>
      <c r="R60" s="5"/>
      <c r="S60" s="5" t="s">
        <v>17</v>
      </c>
      <c r="T60" s="5"/>
      <c r="U60" s="5"/>
      <c r="V60" s="5"/>
    </row>
    <row r="61" spans="1:43" x14ac:dyDescent="0.25">
      <c r="A61" s="65" t="s">
        <v>69</v>
      </c>
      <c r="B61" s="65"/>
      <c r="C61" s="65"/>
      <c r="D61" s="77"/>
      <c r="E61" s="78"/>
      <c r="F61" s="65"/>
      <c r="G61" s="65"/>
      <c r="H61" s="77"/>
      <c r="I61" s="77"/>
      <c r="J61" s="65"/>
      <c r="K61" s="65"/>
      <c r="L61" s="77"/>
      <c r="M61" s="77"/>
      <c r="N61" s="65"/>
      <c r="O61" s="65"/>
      <c r="P61" s="77"/>
      <c r="Q61" s="77"/>
      <c r="R61" s="65"/>
      <c r="S61" s="65"/>
      <c r="T61" s="65"/>
      <c r="U61" s="65"/>
      <c r="V61" s="65"/>
    </row>
    <row r="62" spans="1:43" ht="18.75" x14ac:dyDescent="0.3">
      <c r="A62" s="5"/>
      <c r="B62" s="5"/>
      <c r="C62" s="5"/>
      <c r="D62" s="39"/>
      <c r="E62" s="40" t="s">
        <v>7</v>
      </c>
      <c r="F62" s="5"/>
      <c r="G62" s="7"/>
      <c r="H62" s="51"/>
      <c r="I62" s="51"/>
      <c r="J62" s="7"/>
      <c r="K62" s="7"/>
      <c r="L62" s="51"/>
      <c r="M62" s="52" t="s">
        <v>8</v>
      </c>
      <c r="N62" s="114" t="s">
        <v>68</v>
      </c>
      <c r="O62" s="115"/>
      <c r="P62" s="39"/>
      <c r="Q62" s="39"/>
      <c r="R62" s="5"/>
      <c r="S62" s="5"/>
      <c r="T62" s="5"/>
      <c r="U62" s="5"/>
      <c r="V62" s="5"/>
    </row>
    <row r="63" spans="1:43" ht="18.75" x14ac:dyDescent="0.3">
      <c r="A63" s="5"/>
      <c r="B63" s="5"/>
      <c r="C63" s="5"/>
      <c r="D63" s="39"/>
      <c r="E63" s="40" t="s">
        <v>35</v>
      </c>
      <c r="F63" s="5"/>
      <c r="G63" s="5"/>
      <c r="H63" s="39"/>
      <c r="I63" s="39"/>
      <c r="J63" s="9"/>
      <c r="K63" s="9"/>
      <c r="L63" s="53"/>
      <c r="M63" s="52" t="s">
        <v>9</v>
      </c>
      <c r="N63" s="116" t="str">
        <f>N62&amp;".1"</f>
        <v>1.3.1</v>
      </c>
      <c r="O63" s="116"/>
      <c r="P63" s="39"/>
      <c r="Q63" s="39"/>
      <c r="R63" s="5"/>
      <c r="S63" s="5"/>
      <c r="T63" s="5"/>
      <c r="U63" s="5"/>
      <c r="V63" s="5"/>
    </row>
    <row r="64" spans="1:43" ht="18.75" x14ac:dyDescent="0.3">
      <c r="A64" s="5"/>
      <c r="B64" s="5"/>
      <c r="C64" s="5"/>
      <c r="D64" s="39"/>
      <c r="E64" s="39" t="s">
        <v>36</v>
      </c>
      <c r="F64" s="5"/>
      <c r="G64" s="5"/>
      <c r="H64" s="51"/>
      <c r="I64" s="51"/>
      <c r="J64" s="7"/>
      <c r="K64" s="7"/>
      <c r="L64" s="51"/>
      <c r="M64" s="54" t="s">
        <v>9</v>
      </c>
      <c r="N64" s="11">
        <v>1</v>
      </c>
      <c r="O64" s="5"/>
      <c r="P64" s="39"/>
      <c r="Q64" s="39"/>
      <c r="R64" s="5"/>
      <c r="S64" s="5"/>
      <c r="T64" s="5"/>
      <c r="U64" s="5"/>
      <c r="V64" s="5"/>
    </row>
    <row r="65" spans="1:43" ht="18.75" x14ac:dyDescent="0.3">
      <c r="A65" s="5"/>
      <c r="B65" s="5"/>
      <c r="C65" s="5"/>
      <c r="D65" s="39"/>
      <c r="E65" s="39" t="s">
        <v>5</v>
      </c>
      <c r="F65" s="5"/>
      <c r="G65" s="5"/>
      <c r="H65" s="39"/>
      <c r="I65" s="39"/>
      <c r="J65" s="5"/>
      <c r="K65" s="5"/>
      <c r="L65" s="53"/>
      <c r="M65" s="54" t="s">
        <v>9</v>
      </c>
      <c r="N65" s="11" t="str">
        <f>"-"&amp;N63</f>
        <v>-1.3.1</v>
      </c>
      <c r="O65" s="12"/>
      <c r="P65" s="39"/>
      <c r="Q65" s="39"/>
      <c r="R65" s="5"/>
      <c r="S65" s="5"/>
      <c r="T65" s="5"/>
      <c r="U65" s="5"/>
      <c r="V65" s="5"/>
    </row>
    <row r="66" spans="1:43" ht="18.75" x14ac:dyDescent="0.3">
      <c r="A66" s="5"/>
      <c r="B66" s="5"/>
      <c r="C66" s="5"/>
      <c r="D66" s="39"/>
      <c r="E66" s="41" t="s">
        <v>10</v>
      </c>
      <c r="F66" s="5"/>
      <c r="G66" s="5"/>
      <c r="H66" s="39"/>
      <c r="I66" s="51"/>
      <c r="J66" s="7"/>
      <c r="K66" s="7"/>
      <c r="L66" s="51"/>
      <c r="M66" s="54" t="s">
        <v>9</v>
      </c>
      <c r="N66" s="3">
        <v>4</v>
      </c>
      <c r="O66" s="5"/>
      <c r="P66" s="39"/>
      <c r="Q66" s="39"/>
      <c r="R66" s="5"/>
      <c r="S66" s="5"/>
      <c r="T66" s="5"/>
      <c r="U66" s="5"/>
      <c r="V66" s="5"/>
    </row>
    <row r="67" spans="1:43" ht="15.75" thickBot="1" x14ac:dyDescent="0.3">
      <c r="A67" s="5"/>
      <c r="B67" s="5"/>
      <c r="C67" s="5"/>
      <c r="D67" s="39"/>
      <c r="E67" s="39"/>
      <c r="F67" s="5"/>
      <c r="G67" s="5"/>
      <c r="H67" s="39"/>
      <c r="I67" s="39"/>
      <c r="J67" s="5"/>
      <c r="K67" s="5"/>
      <c r="L67" s="39"/>
      <c r="M67" s="39"/>
      <c r="N67" s="5"/>
      <c r="O67" s="5"/>
      <c r="P67" s="39"/>
      <c r="Q67" s="39"/>
      <c r="R67" s="5"/>
      <c r="S67" s="5"/>
      <c r="T67" s="5"/>
      <c r="U67" s="5"/>
      <c r="V67" s="5"/>
    </row>
    <row r="68" spans="1:43" x14ac:dyDescent="0.25">
      <c r="A68" s="15"/>
      <c r="B68" s="16"/>
      <c r="C68" s="16"/>
      <c r="D68" s="42"/>
      <c r="E68" s="42"/>
      <c r="F68" s="16"/>
      <c r="G68" s="16"/>
      <c r="H68" s="42"/>
      <c r="I68" s="42"/>
      <c r="J68" s="16"/>
      <c r="K68" s="16"/>
      <c r="L68" s="42"/>
      <c r="M68" s="42"/>
      <c r="N68" s="16"/>
      <c r="O68" s="16"/>
      <c r="P68" s="42"/>
      <c r="Q68" s="42"/>
      <c r="R68" s="16"/>
      <c r="S68" s="16"/>
      <c r="T68" s="16"/>
      <c r="U68" s="16"/>
      <c r="V68" s="16"/>
    </row>
    <row r="69" spans="1:43" x14ac:dyDescent="0.25">
      <c r="A69" s="18"/>
      <c r="B69" s="61"/>
      <c r="C69" s="61"/>
      <c r="D69" s="117">
        <v>1</v>
      </c>
      <c r="E69" s="118"/>
      <c r="F69" s="61"/>
      <c r="G69" s="61"/>
      <c r="H69" s="117">
        <v>2</v>
      </c>
      <c r="I69" s="118"/>
      <c r="J69" s="61"/>
      <c r="K69" s="61"/>
      <c r="L69" s="117">
        <v>3</v>
      </c>
      <c r="M69" s="118"/>
      <c r="N69" s="61"/>
      <c r="O69" s="61"/>
      <c r="P69" s="117">
        <v>4</v>
      </c>
      <c r="Q69" s="118"/>
      <c r="R69" s="61"/>
      <c r="S69" s="61"/>
      <c r="T69" s="61"/>
      <c r="U69" s="61"/>
      <c r="V69" s="65"/>
    </row>
    <row r="70" spans="1:43" x14ac:dyDescent="0.25">
      <c r="A70" s="18"/>
      <c r="B70" s="111" t="s">
        <v>6</v>
      </c>
      <c r="C70" s="111"/>
      <c r="D70" s="117" t="s">
        <v>37</v>
      </c>
      <c r="E70" s="118" t="s">
        <v>0</v>
      </c>
      <c r="F70" s="111" t="s">
        <v>6</v>
      </c>
      <c r="G70" s="111"/>
      <c r="H70" s="117" t="s">
        <v>37</v>
      </c>
      <c r="I70" s="118"/>
      <c r="J70" s="111" t="s">
        <v>6</v>
      </c>
      <c r="K70" s="111"/>
      <c r="L70" s="117" t="s">
        <v>37</v>
      </c>
      <c r="M70" s="118"/>
      <c r="N70" s="111" t="s">
        <v>6</v>
      </c>
      <c r="O70" s="111"/>
      <c r="P70" s="117" t="s">
        <v>37</v>
      </c>
      <c r="Q70" s="118"/>
      <c r="R70" s="111"/>
      <c r="S70" s="111"/>
      <c r="T70" s="111"/>
      <c r="U70" s="111"/>
      <c r="V70" s="66"/>
    </row>
    <row r="71" spans="1:43" x14ac:dyDescent="0.25">
      <c r="A71" s="18"/>
      <c r="B71" s="110"/>
      <c r="C71" s="110"/>
      <c r="D71" s="112"/>
      <c r="E71" s="112"/>
      <c r="F71" s="110"/>
      <c r="G71" s="110"/>
      <c r="H71" s="112"/>
      <c r="I71" s="112"/>
      <c r="J71" s="110"/>
      <c r="K71" s="110"/>
      <c r="L71" s="112"/>
      <c r="M71" s="112"/>
      <c r="N71" s="110"/>
      <c r="O71" s="110"/>
      <c r="P71" s="112"/>
      <c r="Q71" s="112"/>
      <c r="R71" s="110"/>
      <c r="S71" s="110"/>
      <c r="T71" s="110"/>
      <c r="U71" s="110"/>
      <c r="V71" s="66"/>
    </row>
    <row r="72" spans="1:43" x14ac:dyDescent="0.25">
      <c r="A72" s="18"/>
      <c r="B72" s="111">
        <v>0</v>
      </c>
      <c r="C72" s="111"/>
      <c r="D72" s="113">
        <v>1</v>
      </c>
      <c r="E72" s="113">
        <v>1</v>
      </c>
      <c r="F72" s="111">
        <v>2</v>
      </c>
      <c r="G72" s="111">
        <v>2</v>
      </c>
      <c r="H72" s="113">
        <v>3</v>
      </c>
      <c r="I72" s="113">
        <v>3</v>
      </c>
      <c r="J72" s="111">
        <v>4</v>
      </c>
      <c r="K72" s="111">
        <v>4</v>
      </c>
      <c r="L72" s="113">
        <v>5</v>
      </c>
      <c r="M72" s="113"/>
      <c r="N72" s="111">
        <v>6</v>
      </c>
      <c r="O72" s="111">
        <v>1</v>
      </c>
      <c r="P72" s="113">
        <v>7</v>
      </c>
      <c r="Q72" s="113">
        <v>2</v>
      </c>
      <c r="R72" s="111">
        <v>8</v>
      </c>
      <c r="S72" s="111">
        <v>3</v>
      </c>
      <c r="T72" s="111">
        <v>9</v>
      </c>
      <c r="U72" s="111">
        <v>4</v>
      </c>
      <c r="V72" s="67"/>
    </row>
    <row r="73" spans="1:43" x14ac:dyDescent="0.25">
      <c r="A73" s="18"/>
      <c r="B73" s="61" t="s">
        <v>1</v>
      </c>
      <c r="C73" s="61" t="s">
        <v>2</v>
      </c>
      <c r="D73" s="62" t="s">
        <v>3</v>
      </c>
      <c r="E73" s="62" t="s">
        <v>4</v>
      </c>
      <c r="F73" s="61" t="s">
        <v>1</v>
      </c>
      <c r="G73" s="61" t="s">
        <v>2</v>
      </c>
      <c r="H73" s="62" t="s">
        <v>3</v>
      </c>
      <c r="I73" s="62" t="s">
        <v>4</v>
      </c>
      <c r="J73" s="61" t="s">
        <v>1</v>
      </c>
      <c r="K73" s="61" t="s">
        <v>2</v>
      </c>
      <c r="L73" s="62" t="s">
        <v>3</v>
      </c>
      <c r="M73" s="62" t="s">
        <v>4</v>
      </c>
      <c r="N73" s="61" t="s">
        <v>1</v>
      </c>
      <c r="O73" s="61" t="s">
        <v>2</v>
      </c>
      <c r="P73" s="62" t="s">
        <v>3</v>
      </c>
      <c r="Q73" s="62" t="s">
        <v>4</v>
      </c>
      <c r="R73" s="61" t="s">
        <v>1</v>
      </c>
      <c r="S73" s="61" t="s">
        <v>2</v>
      </c>
      <c r="T73" s="61" t="s">
        <v>3</v>
      </c>
      <c r="U73" s="61" t="s">
        <v>4</v>
      </c>
      <c r="V73" s="67"/>
    </row>
    <row r="74" spans="1:43" ht="15.75" thickBot="1" x14ac:dyDescent="0.3">
      <c r="A74" s="24"/>
      <c r="B74" s="25"/>
      <c r="C74" s="25"/>
      <c r="D74" s="44"/>
      <c r="E74" s="45"/>
      <c r="F74" s="25"/>
      <c r="G74" s="25"/>
      <c r="H74" s="44"/>
      <c r="I74" s="45"/>
      <c r="J74" s="25"/>
      <c r="K74" s="25"/>
      <c r="L74" s="44"/>
      <c r="M74" s="45"/>
      <c r="N74" s="25"/>
      <c r="O74" s="25"/>
      <c r="P74" s="44"/>
      <c r="Q74" s="45"/>
      <c r="R74" s="25"/>
      <c r="S74" s="25"/>
      <c r="T74" s="25"/>
      <c r="U74" s="25"/>
      <c r="V74" s="68"/>
    </row>
    <row r="75" spans="1:43" ht="15.6" customHeight="1" x14ac:dyDescent="0.25">
      <c r="A75" s="5"/>
      <c r="B75" s="105"/>
      <c r="C75" s="106"/>
      <c r="D75" s="108"/>
      <c r="E75" s="106"/>
      <c r="F75" s="105"/>
      <c r="G75" s="106"/>
      <c r="H75" s="108"/>
      <c r="I75" s="106"/>
      <c r="J75" s="105"/>
      <c r="K75" s="106"/>
      <c r="L75" s="108"/>
      <c r="M75" s="106"/>
      <c r="N75" s="105"/>
      <c r="O75" s="106"/>
      <c r="P75" s="108"/>
      <c r="Q75" s="106"/>
      <c r="R75" s="85"/>
      <c r="S75" s="85"/>
      <c r="T75" s="85"/>
      <c r="U75" s="85"/>
      <c r="V75" s="27"/>
      <c r="W75" s="69"/>
      <c r="X75" s="109"/>
      <c r="Y75" s="109"/>
      <c r="Z75" s="109"/>
      <c r="AA75" s="109"/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</row>
    <row r="76" spans="1:43" ht="15.6" customHeight="1" thickBot="1" x14ac:dyDescent="0.3">
      <c r="A76" s="5"/>
      <c r="B76" s="107"/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10"/>
      <c r="S76" s="110"/>
      <c r="T76" s="110"/>
      <c r="U76" s="110"/>
      <c r="V76" s="27"/>
      <c r="W76" s="69"/>
      <c r="X76" s="109"/>
      <c r="Y76" s="109"/>
      <c r="Z76" s="109"/>
      <c r="AA76" s="109"/>
      <c r="AB76" s="109"/>
      <c r="AC76" s="109"/>
      <c r="AD76" s="109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</row>
    <row r="77" spans="1:43" x14ac:dyDescent="0.25">
      <c r="A77" s="5"/>
      <c r="B77" s="100"/>
      <c r="C77" s="101"/>
      <c r="D77" s="102"/>
      <c r="E77" s="103"/>
      <c r="F77" s="100"/>
      <c r="G77" s="101"/>
      <c r="H77" s="102"/>
      <c r="I77" s="103"/>
      <c r="J77" s="100"/>
      <c r="K77" s="101"/>
      <c r="L77" s="102"/>
      <c r="M77" s="103"/>
      <c r="N77" s="100"/>
      <c r="O77" s="101"/>
      <c r="P77" s="102"/>
      <c r="Q77" s="103"/>
      <c r="R77" s="63"/>
      <c r="S77" s="63"/>
      <c r="T77" s="63"/>
      <c r="U77" s="63"/>
      <c r="V77" s="27"/>
    </row>
    <row r="78" spans="1:43" x14ac:dyDescent="0.25">
      <c r="A78" s="5"/>
      <c r="B78" s="5"/>
      <c r="C78" s="5"/>
      <c r="D78" s="39"/>
      <c r="E78" s="39"/>
      <c r="F78" s="5"/>
      <c r="G78" s="5"/>
      <c r="H78" s="39"/>
      <c r="I78" s="39"/>
      <c r="J78" s="5"/>
      <c r="K78" s="5"/>
      <c r="L78" s="39"/>
      <c r="M78" s="39"/>
      <c r="N78" s="5"/>
      <c r="O78" s="5"/>
      <c r="P78" s="39"/>
      <c r="Q78" s="39"/>
      <c r="R78" s="5"/>
      <c r="S78" s="5"/>
      <c r="T78" s="5"/>
      <c r="U78" s="5"/>
      <c r="V78" s="5"/>
    </row>
    <row r="79" spans="1:43" x14ac:dyDescent="0.25">
      <c r="A79" s="5"/>
      <c r="B79" s="5"/>
      <c r="C79" s="5"/>
      <c r="D79" s="39"/>
      <c r="E79" s="64" t="s">
        <v>11</v>
      </c>
      <c r="F79" s="104" t="s">
        <v>12</v>
      </c>
      <c r="G79" s="104"/>
      <c r="H79" s="104"/>
      <c r="I79" s="104" t="s">
        <v>41</v>
      </c>
      <c r="J79" s="104"/>
      <c r="K79" s="5"/>
      <c r="L79" s="39"/>
      <c r="M79" s="39"/>
      <c r="N79" s="5"/>
      <c r="O79" s="63" t="s">
        <v>13</v>
      </c>
      <c r="P79" s="39" t="s">
        <v>14</v>
      </c>
      <c r="Q79" s="39"/>
      <c r="R79" s="5"/>
      <c r="S79" s="5" t="s">
        <v>43</v>
      </c>
      <c r="T79" s="5"/>
      <c r="U79" s="5"/>
      <c r="V79" s="5"/>
    </row>
    <row r="80" spans="1:43" x14ac:dyDescent="0.25">
      <c r="A80" s="5"/>
      <c r="B80" s="5"/>
      <c r="C80" s="5"/>
      <c r="D80" s="39"/>
      <c r="E80" s="64" t="s">
        <v>15</v>
      </c>
      <c r="F80" s="104" t="s">
        <v>16</v>
      </c>
      <c r="G80" s="104"/>
      <c r="H80" s="104"/>
      <c r="I80" s="39" t="s">
        <v>42</v>
      </c>
      <c r="J80" s="5"/>
      <c r="K80" s="5"/>
      <c r="L80" s="39"/>
      <c r="M80" s="39"/>
      <c r="N80" s="5"/>
      <c r="O80" s="63" t="s">
        <v>18</v>
      </c>
      <c r="P80" s="39" t="s">
        <v>14</v>
      </c>
      <c r="Q80" s="39"/>
      <c r="R80" s="5"/>
      <c r="S80" s="5" t="s">
        <v>17</v>
      </c>
      <c r="T80" s="5"/>
      <c r="U80" s="5"/>
      <c r="V80" s="5"/>
    </row>
    <row r="81" spans="1:43" x14ac:dyDescent="0.25">
      <c r="A81" s="65" t="s">
        <v>69</v>
      </c>
      <c r="B81" s="65"/>
      <c r="C81" s="65"/>
      <c r="D81" s="77"/>
      <c r="E81" s="78"/>
      <c r="F81" s="65"/>
      <c r="G81" s="65"/>
      <c r="H81" s="77"/>
      <c r="I81" s="77"/>
      <c r="J81" s="65"/>
      <c r="K81" s="65"/>
      <c r="L81" s="77"/>
      <c r="M81" s="77"/>
      <c r="N81" s="65"/>
      <c r="O81" s="65"/>
      <c r="P81" s="77"/>
      <c r="Q81" s="77"/>
      <c r="R81" s="65"/>
      <c r="S81" s="65"/>
      <c r="T81" s="65"/>
      <c r="U81" s="65"/>
      <c r="V81" s="65"/>
    </row>
    <row r="82" spans="1:43" ht="18.75" x14ac:dyDescent="0.3">
      <c r="A82" s="5"/>
      <c r="B82" s="5"/>
      <c r="C82" s="5"/>
      <c r="D82" s="39"/>
      <c r="E82" s="40" t="s">
        <v>7</v>
      </c>
      <c r="F82" s="5"/>
      <c r="G82" s="7"/>
      <c r="H82" s="51"/>
      <c r="I82" s="51"/>
      <c r="J82" s="7"/>
      <c r="K82" s="7"/>
      <c r="L82" s="51"/>
      <c r="M82" s="52" t="s">
        <v>8</v>
      </c>
      <c r="N82" s="114" t="s">
        <v>68</v>
      </c>
      <c r="O82" s="115"/>
      <c r="P82" s="39"/>
      <c r="Q82" s="39"/>
      <c r="R82" s="5"/>
      <c r="S82" s="5"/>
      <c r="T82" s="5"/>
      <c r="U82" s="5"/>
      <c r="V82" s="5"/>
    </row>
    <row r="83" spans="1:43" ht="18.75" x14ac:dyDescent="0.3">
      <c r="A83" s="5"/>
      <c r="B83" s="5"/>
      <c r="C83" s="5"/>
      <c r="D83" s="39"/>
      <c r="E83" s="40" t="s">
        <v>35</v>
      </c>
      <c r="F83" s="5"/>
      <c r="G83" s="5"/>
      <c r="H83" s="39"/>
      <c r="I83" s="39"/>
      <c r="J83" s="9"/>
      <c r="K83" s="9"/>
      <c r="L83" s="53"/>
      <c r="M83" s="52" t="s">
        <v>9</v>
      </c>
      <c r="N83" s="116" t="str">
        <f>N82&amp;".1"</f>
        <v>1.3.1</v>
      </c>
      <c r="O83" s="116"/>
      <c r="P83" s="39"/>
      <c r="Q83" s="39"/>
      <c r="R83" s="5"/>
      <c r="S83" s="5"/>
      <c r="T83" s="5"/>
      <c r="U83" s="5"/>
      <c r="V83" s="5"/>
    </row>
    <row r="84" spans="1:43" ht="18.75" x14ac:dyDescent="0.3">
      <c r="A84" s="5"/>
      <c r="B84" s="5"/>
      <c r="C84" s="5"/>
      <c r="D84" s="39"/>
      <c r="E84" s="39" t="s">
        <v>36</v>
      </c>
      <c r="F84" s="5"/>
      <c r="G84" s="5"/>
      <c r="H84" s="51"/>
      <c r="I84" s="51"/>
      <c r="J84" s="7"/>
      <c r="K84" s="7"/>
      <c r="L84" s="51"/>
      <c r="M84" s="54" t="s">
        <v>9</v>
      </c>
      <c r="N84" s="11">
        <v>1</v>
      </c>
      <c r="O84" s="5"/>
      <c r="P84" s="39"/>
      <c r="Q84" s="39"/>
      <c r="R84" s="5"/>
      <c r="S84" s="5"/>
      <c r="T84" s="5"/>
      <c r="U84" s="5"/>
      <c r="V84" s="5"/>
    </row>
    <row r="85" spans="1:43" ht="18.75" x14ac:dyDescent="0.3">
      <c r="A85" s="5"/>
      <c r="B85" s="5"/>
      <c r="C85" s="5"/>
      <c r="D85" s="39"/>
      <c r="E85" s="39" t="s">
        <v>5</v>
      </c>
      <c r="F85" s="5"/>
      <c r="G85" s="5"/>
      <c r="H85" s="39"/>
      <c r="I85" s="39"/>
      <c r="J85" s="5"/>
      <c r="K85" s="5"/>
      <c r="L85" s="53"/>
      <c r="M85" s="54" t="s">
        <v>9</v>
      </c>
      <c r="N85" s="11" t="str">
        <f>"-"&amp;N83</f>
        <v>-1.3.1</v>
      </c>
      <c r="O85" s="12"/>
      <c r="P85" s="39"/>
      <c r="Q85" s="39"/>
      <c r="R85" s="5"/>
      <c r="S85" s="5"/>
      <c r="T85" s="5"/>
      <c r="U85" s="5"/>
      <c r="V85" s="5"/>
    </row>
    <row r="86" spans="1:43" ht="18.75" x14ac:dyDescent="0.3">
      <c r="A86" s="5"/>
      <c r="B86" s="5"/>
      <c r="C86" s="5"/>
      <c r="D86" s="39"/>
      <c r="E86" s="41" t="s">
        <v>10</v>
      </c>
      <c r="F86" s="5"/>
      <c r="G86" s="5"/>
      <c r="H86" s="39"/>
      <c r="I86" s="51"/>
      <c r="J86" s="7"/>
      <c r="K86" s="7"/>
      <c r="L86" s="51"/>
      <c r="M86" s="54" t="s">
        <v>9</v>
      </c>
      <c r="N86" s="3">
        <v>5</v>
      </c>
      <c r="O86" s="5"/>
      <c r="P86" s="39"/>
      <c r="Q86" s="39"/>
      <c r="R86" s="5"/>
      <c r="S86" s="5"/>
      <c r="T86" s="5"/>
      <c r="U86" s="5"/>
      <c r="V86" s="5"/>
    </row>
    <row r="87" spans="1:43" ht="15.75" thickBot="1" x14ac:dyDescent="0.3">
      <c r="A87" s="5"/>
      <c r="B87" s="5"/>
      <c r="C87" s="5"/>
      <c r="D87" s="39"/>
      <c r="E87" s="39"/>
      <c r="F87" s="5"/>
      <c r="G87" s="5"/>
      <c r="H87" s="39"/>
      <c r="I87" s="39"/>
      <c r="J87" s="5"/>
      <c r="K87" s="5"/>
      <c r="L87" s="39"/>
      <c r="M87" s="39"/>
      <c r="N87" s="5"/>
      <c r="O87" s="5"/>
      <c r="P87" s="39"/>
      <c r="Q87" s="39"/>
      <c r="R87" s="5"/>
      <c r="S87" s="5"/>
      <c r="T87" s="5"/>
      <c r="U87" s="5"/>
      <c r="V87" s="5"/>
    </row>
    <row r="88" spans="1:43" x14ac:dyDescent="0.25">
      <c r="A88" s="15"/>
      <c r="B88" s="16"/>
      <c r="C88" s="16"/>
      <c r="D88" s="42"/>
      <c r="E88" s="42"/>
      <c r="F88" s="16"/>
      <c r="G88" s="16"/>
      <c r="H88" s="42"/>
      <c r="I88" s="42"/>
      <c r="J88" s="16"/>
      <c r="K88" s="16"/>
      <c r="L88" s="42"/>
      <c r="M88" s="42"/>
      <c r="N88" s="16"/>
      <c r="O88" s="16"/>
      <c r="P88" s="42"/>
      <c r="Q88" s="42"/>
      <c r="R88" s="16"/>
      <c r="S88" s="16"/>
      <c r="T88" s="16"/>
      <c r="U88" s="16"/>
      <c r="V88" s="16"/>
    </row>
    <row r="89" spans="1:43" x14ac:dyDescent="0.25">
      <c r="A89" s="18"/>
      <c r="B89" s="61"/>
      <c r="C89" s="61"/>
      <c r="D89" s="117">
        <v>1</v>
      </c>
      <c r="E89" s="118"/>
      <c r="F89" s="61"/>
      <c r="G89" s="61"/>
      <c r="H89" s="117">
        <v>2</v>
      </c>
      <c r="I89" s="118"/>
      <c r="J89" s="61"/>
      <c r="K89" s="61"/>
      <c r="L89" s="117">
        <v>3</v>
      </c>
      <c r="M89" s="118"/>
      <c r="N89" s="61"/>
      <c r="O89" s="61"/>
      <c r="P89" s="117">
        <v>4</v>
      </c>
      <c r="Q89" s="118"/>
      <c r="R89" s="61"/>
      <c r="S89" s="61"/>
      <c r="T89" s="61"/>
      <c r="U89" s="61"/>
      <c r="V89" s="65"/>
    </row>
    <row r="90" spans="1:43" x14ac:dyDescent="0.25">
      <c r="A90" s="18"/>
      <c r="B90" s="111" t="s">
        <v>6</v>
      </c>
      <c r="C90" s="111"/>
      <c r="D90" s="117" t="s">
        <v>37</v>
      </c>
      <c r="E90" s="118" t="s">
        <v>0</v>
      </c>
      <c r="F90" s="111" t="s">
        <v>6</v>
      </c>
      <c r="G90" s="111"/>
      <c r="H90" s="117" t="s">
        <v>37</v>
      </c>
      <c r="I90" s="118"/>
      <c r="J90" s="111" t="s">
        <v>6</v>
      </c>
      <c r="K90" s="111"/>
      <c r="L90" s="117" t="s">
        <v>37</v>
      </c>
      <c r="M90" s="118"/>
      <c r="N90" s="111" t="s">
        <v>6</v>
      </c>
      <c r="O90" s="111"/>
      <c r="P90" s="117" t="s">
        <v>37</v>
      </c>
      <c r="Q90" s="118"/>
      <c r="R90" s="111"/>
      <c r="S90" s="111"/>
      <c r="T90" s="111"/>
      <c r="U90" s="111"/>
      <c r="V90" s="66"/>
    </row>
    <row r="91" spans="1:43" x14ac:dyDescent="0.25">
      <c r="A91" s="18"/>
      <c r="B91" s="110"/>
      <c r="C91" s="110"/>
      <c r="D91" s="112"/>
      <c r="E91" s="112"/>
      <c r="F91" s="110"/>
      <c r="G91" s="110"/>
      <c r="H91" s="112"/>
      <c r="I91" s="112"/>
      <c r="J91" s="110"/>
      <c r="K91" s="110"/>
      <c r="L91" s="112"/>
      <c r="M91" s="112"/>
      <c r="N91" s="110"/>
      <c r="O91" s="110"/>
      <c r="P91" s="112"/>
      <c r="Q91" s="112"/>
      <c r="R91" s="110"/>
      <c r="S91" s="110"/>
      <c r="T91" s="110"/>
      <c r="U91" s="110"/>
      <c r="V91" s="66"/>
    </row>
    <row r="92" spans="1:43" x14ac:dyDescent="0.25">
      <c r="A92" s="18"/>
      <c r="B92" s="111">
        <v>0</v>
      </c>
      <c r="C92" s="111"/>
      <c r="D92" s="113">
        <v>1</v>
      </c>
      <c r="E92" s="113">
        <v>1</v>
      </c>
      <c r="F92" s="111">
        <v>2</v>
      </c>
      <c r="G92" s="111">
        <v>2</v>
      </c>
      <c r="H92" s="113">
        <v>3</v>
      </c>
      <c r="I92" s="113">
        <v>3</v>
      </c>
      <c r="J92" s="111">
        <v>4</v>
      </c>
      <c r="K92" s="111">
        <v>4</v>
      </c>
      <c r="L92" s="113">
        <v>5</v>
      </c>
      <c r="M92" s="113"/>
      <c r="N92" s="111">
        <v>6</v>
      </c>
      <c r="O92" s="111">
        <v>1</v>
      </c>
      <c r="P92" s="113">
        <v>7</v>
      </c>
      <c r="Q92" s="113">
        <v>2</v>
      </c>
      <c r="R92" s="111">
        <v>8</v>
      </c>
      <c r="S92" s="111">
        <v>3</v>
      </c>
      <c r="T92" s="111">
        <v>9</v>
      </c>
      <c r="U92" s="111">
        <v>4</v>
      </c>
      <c r="V92" s="67"/>
    </row>
    <row r="93" spans="1:43" x14ac:dyDescent="0.25">
      <c r="A93" s="18"/>
      <c r="B93" s="61" t="s">
        <v>1</v>
      </c>
      <c r="C93" s="61" t="s">
        <v>2</v>
      </c>
      <c r="D93" s="62" t="s">
        <v>3</v>
      </c>
      <c r="E93" s="62" t="s">
        <v>4</v>
      </c>
      <c r="F93" s="61" t="s">
        <v>1</v>
      </c>
      <c r="G93" s="61" t="s">
        <v>2</v>
      </c>
      <c r="H93" s="62" t="s">
        <v>3</v>
      </c>
      <c r="I93" s="62" t="s">
        <v>4</v>
      </c>
      <c r="J93" s="61" t="s">
        <v>1</v>
      </c>
      <c r="K93" s="61" t="s">
        <v>2</v>
      </c>
      <c r="L93" s="62" t="s">
        <v>3</v>
      </c>
      <c r="M93" s="62" t="s">
        <v>4</v>
      </c>
      <c r="N93" s="61" t="s">
        <v>1</v>
      </c>
      <c r="O93" s="61" t="s">
        <v>2</v>
      </c>
      <c r="P93" s="62" t="s">
        <v>3</v>
      </c>
      <c r="Q93" s="62" t="s">
        <v>4</v>
      </c>
      <c r="R93" s="61" t="s">
        <v>1</v>
      </c>
      <c r="S93" s="61" t="s">
        <v>2</v>
      </c>
      <c r="T93" s="61" t="s">
        <v>3</v>
      </c>
      <c r="U93" s="61" t="s">
        <v>4</v>
      </c>
      <c r="V93" s="67"/>
    </row>
    <row r="94" spans="1:43" ht="15.75" thickBot="1" x14ac:dyDescent="0.3">
      <c r="A94" s="24"/>
      <c r="B94" s="25"/>
      <c r="C94" s="25"/>
      <c r="D94" s="44"/>
      <c r="E94" s="45"/>
      <c r="F94" s="25"/>
      <c r="G94" s="25"/>
      <c r="H94" s="44"/>
      <c r="I94" s="45"/>
      <c r="J94" s="25"/>
      <c r="K94" s="25"/>
      <c r="L94" s="44"/>
      <c r="M94" s="45"/>
      <c r="N94" s="25"/>
      <c r="O94" s="25"/>
      <c r="P94" s="44"/>
      <c r="Q94" s="45"/>
      <c r="R94" s="25"/>
      <c r="S94" s="25"/>
      <c r="T94" s="25"/>
      <c r="U94" s="25"/>
      <c r="V94" s="68"/>
    </row>
    <row r="95" spans="1:43" ht="15.6" customHeight="1" x14ac:dyDescent="0.25">
      <c r="A95" s="5"/>
      <c r="B95" s="105"/>
      <c r="C95" s="106"/>
      <c r="D95" s="108"/>
      <c r="E95" s="106"/>
      <c r="F95" s="105"/>
      <c r="G95" s="106"/>
      <c r="H95" s="108"/>
      <c r="I95" s="106"/>
      <c r="J95" s="105"/>
      <c r="K95" s="106"/>
      <c r="L95" s="108"/>
      <c r="M95" s="106"/>
      <c r="N95" s="105"/>
      <c r="O95" s="106"/>
      <c r="P95" s="108"/>
      <c r="Q95" s="106"/>
      <c r="R95" s="85"/>
      <c r="S95" s="85"/>
      <c r="T95" s="85"/>
      <c r="U95" s="85"/>
      <c r="V95" s="27"/>
      <c r="W95" s="69"/>
      <c r="X95" s="109"/>
      <c r="Y95" s="109"/>
      <c r="Z95" s="109"/>
      <c r="AA95" s="109"/>
      <c r="AB95" s="109"/>
      <c r="AC95" s="109"/>
      <c r="AD95" s="109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09"/>
    </row>
    <row r="96" spans="1:43" ht="15.6" customHeight="1" thickBot="1" x14ac:dyDescent="0.3">
      <c r="A96" s="5"/>
      <c r="B96" s="10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10"/>
      <c r="S96" s="110"/>
      <c r="T96" s="110"/>
      <c r="U96" s="110"/>
      <c r="V96" s="27"/>
      <c r="W96" s="69"/>
      <c r="X96" s="109"/>
      <c r="Y96" s="109"/>
      <c r="Z96" s="109"/>
      <c r="AA96" s="109"/>
      <c r="AB96" s="109"/>
      <c r="AC96" s="109"/>
      <c r="AD96" s="109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09"/>
    </row>
    <row r="97" spans="1:22" x14ac:dyDescent="0.25">
      <c r="A97" s="5"/>
      <c r="B97" s="100"/>
      <c r="C97" s="101"/>
      <c r="D97" s="102"/>
      <c r="E97" s="103"/>
      <c r="F97" s="100"/>
      <c r="G97" s="101"/>
      <c r="H97" s="102"/>
      <c r="I97" s="103"/>
      <c r="J97" s="100"/>
      <c r="K97" s="101"/>
      <c r="L97" s="102"/>
      <c r="M97" s="103"/>
      <c r="N97" s="100"/>
      <c r="O97" s="101"/>
      <c r="P97" s="102"/>
      <c r="Q97" s="103"/>
      <c r="R97" s="63"/>
      <c r="S97" s="63"/>
      <c r="T97" s="63"/>
      <c r="U97" s="63"/>
      <c r="V97" s="27"/>
    </row>
    <row r="98" spans="1:22" x14ac:dyDescent="0.25">
      <c r="A98" s="5"/>
      <c r="B98" s="5"/>
      <c r="C98" s="5"/>
      <c r="D98" s="39"/>
      <c r="E98" s="39"/>
      <c r="F98" s="5"/>
      <c r="G98" s="5"/>
      <c r="H98" s="39"/>
      <c r="I98" s="39"/>
      <c r="J98" s="5"/>
      <c r="K98" s="5"/>
      <c r="L98" s="39"/>
      <c r="M98" s="39"/>
      <c r="N98" s="5"/>
      <c r="O98" s="5"/>
      <c r="P98" s="39"/>
      <c r="Q98" s="39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39"/>
      <c r="E99" s="64" t="s">
        <v>11</v>
      </c>
      <c r="F99" s="104" t="s">
        <v>12</v>
      </c>
      <c r="G99" s="104"/>
      <c r="H99" s="104"/>
      <c r="I99" s="104" t="s">
        <v>41</v>
      </c>
      <c r="J99" s="104"/>
      <c r="K99" s="5"/>
      <c r="L99" s="39"/>
      <c r="M99" s="39"/>
      <c r="N99" s="5"/>
      <c r="O99" s="63" t="s">
        <v>13</v>
      </c>
      <c r="P99" s="39" t="s">
        <v>14</v>
      </c>
      <c r="Q99" s="39"/>
      <c r="R99" s="5"/>
      <c r="S99" s="5" t="s">
        <v>43</v>
      </c>
      <c r="T99" s="5"/>
      <c r="U99" s="5"/>
      <c r="V99" s="5"/>
    </row>
    <row r="100" spans="1:22" x14ac:dyDescent="0.25">
      <c r="A100" s="5"/>
      <c r="B100" s="5"/>
      <c r="C100" s="5"/>
      <c r="D100" s="39"/>
      <c r="E100" s="64" t="s">
        <v>15</v>
      </c>
      <c r="F100" s="104" t="s">
        <v>16</v>
      </c>
      <c r="G100" s="104"/>
      <c r="H100" s="104"/>
      <c r="I100" s="39" t="s">
        <v>42</v>
      </c>
      <c r="J100" s="5"/>
      <c r="K100" s="5"/>
      <c r="L100" s="39"/>
      <c r="M100" s="39"/>
      <c r="N100" s="5"/>
      <c r="O100" s="63" t="s">
        <v>18</v>
      </c>
      <c r="P100" s="39" t="s">
        <v>14</v>
      </c>
      <c r="Q100" s="39"/>
      <c r="R100" s="5"/>
      <c r="S100" s="5" t="s">
        <v>17</v>
      </c>
      <c r="T100" s="5"/>
      <c r="U100" s="5"/>
      <c r="V100" s="5"/>
    </row>
    <row r="101" spans="1:22" x14ac:dyDescent="0.25">
      <c r="A101" s="65" t="s">
        <v>69</v>
      </c>
      <c r="B101" s="65"/>
      <c r="C101" s="65"/>
      <c r="D101" s="77"/>
      <c r="E101" s="78"/>
      <c r="F101" s="65"/>
      <c r="G101" s="65"/>
      <c r="H101" s="77"/>
      <c r="I101" s="77"/>
      <c r="J101" s="65"/>
      <c r="K101" s="65"/>
      <c r="L101" s="77"/>
      <c r="M101" s="77"/>
      <c r="N101" s="65"/>
      <c r="O101" s="65"/>
      <c r="P101" s="77"/>
      <c r="Q101" s="77"/>
      <c r="R101" s="65"/>
      <c r="S101" s="65"/>
      <c r="T101" s="65"/>
      <c r="U101" s="65"/>
      <c r="V101" s="65"/>
    </row>
    <row r="102" spans="1:22" ht="18.75" x14ac:dyDescent="0.3">
      <c r="A102" s="5"/>
      <c r="B102" s="5"/>
      <c r="C102" s="5"/>
      <c r="D102" s="39"/>
      <c r="E102" s="40" t="s">
        <v>7</v>
      </c>
      <c r="F102" s="5"/>
      <c r="G102" s="7"/>
      <c r="H102" s="51"/>
      <c r="I102" s="51"/>
      <c r="J102" s="7"/>
      <c r="K102" s="7"/>
      <c r="L102" s="51"/>
      <c r="M102" s="52" t="s">
        <v>8</v>
      </c>
      <c r="N102" s="114" t="s">
        <v>68</v>
      </c>
      <c r="O102" s="115"/>
      <c r="P102" s="39"/>
      <c r="Q102" s="39"/>
      <c r="R102" s="5"/>
      <c r="S102" s="5"/>
      <c r="T102" s="5"/>
      <c r="U102" s="5"/>
      <c r="V102" s="5"/>
    </row>
    <row r="103" spans="1:22" ht="18.75" x14ac:dyDescent="0.3">
      <c r="A103" s="5"/>
      <c r="B103" s="5"/>
      <c r="C103" s="5"/>
      <c r="D103" s="39"/>
      <c r="E103" s="40" t="s">
        <v>35</v>
      </c>
      <c r="F103" s="5"/>
      <c r="G103" s="5"/>
      <c r="H103" s="39"/>
      <c r="I103" s="39"/>
      <c r="J103" s="9"/>
      <c r="K103" s="9"/>
      <c r="L103" s="53"/>
      <c r="M103" s="52" t="s">
        <v>9</v>
      </c>
      <c r="N103" s="116" t="str">
        <f>N102&amp;".1"</f>
        <v>1.3.1</v>
      </c>
      <c r="O103" s="116"/>
      <c r="P103" s="39"/>
      <c r="Q103" s="39"/>
      <c r="R103" s="5"/>
      <c r="S103" s="5"/>
      <c r="T103" s="5"/>
      <c r="U103" s="5"/>
      <c r="V103" s="5"/>
    </row>
    <row r="104" spans="1:22" ht="18.75" x14ac:dyDescent="0.3">
      <c r="A104" s="5"/>
      <c r="B104" s="5"/>
      <c r="C104" s="5"/>
      <c r="D104" s="39"/>
      <c r="E104" s="39" t="s">
        <v>36</v>
      </c>
      <c r="F104" s="5"/>
      <c r="G104" s="5"/>
      <c r="H104" s="51"/>
      <c r="I104" s="51"/>
      <c r="J104" s="7"/>
      <c r="K104" s="7"/>
      <c r="L104" s="51"/>
      <c r="M104" s="54" t="s">
        <v>9</v>
      </c>
      <c r="N104" s="11">
        <v>1</v>
      </c>
      <c r="O104" s="5"/>
      <c r="P104" s="39"/>
      <c r="Q104" s="39"/>
      <c r="R104" s="5"/>
      <c r="S104" s="5"/>
      <c r="T104" s="5"/>
      <c r="U104" s="5"/>
      <c r="V104" s="5"/>
    </row>
    <row r="105" spans="1:22" ht="18.75" x14ac:dyDescent="0.3">
      <c r="A105" s="5"/>
      <c r="B105" s="5"/>
      <c r="C105" s="5"/>
      <c r="D105" s="39"/>
      <c r="E105" s="39" t="s">
        <v>5</v>
      </c>
      <c r="F105" s="5"/>
      <c r="G105" s="5"/>
      <c r="H105" s="39"/>
      <c r="I105" s="39"/>
      <c r="J105" s="5"/>
      <c r="K105" s="5"/>
      <c r="L105" s="53"/>
      <c r="M105" s="54" t="s">
        <v>9</v>
      </c>
      <c r="N105" s="11" t="str">
        <f>"-"&amp;N103</f>
        <v>-1.3.1</v>
      </c>
      <c r="O105" s="12"/>
      <c r="P105" s="39"/>
      <c r="Q105" s="39"/>
      <c r="R105" s="5"/>
      <c r="S105" s="5"/>
      <c r="T105" s="5"/>
      <c r="U105" s="5"/>
      <c r="V105" s="5"/>
    </row>
    <row r="106" spans="1:22" ht="18.75" x14ac:dyDescent="0.3">
      <c r="A106" s="5"/>
      <c r="B106" s="5"/>
      <c r="C106" s="5"/>
      <c r="D106" s="39"/>
      <c r="E106" s="41" t="s">
        <v>10</v>
      </c>
      <c r="F106" s="5"/>
      <c r="G106" s="5"/>
      <c r="H106" s="39"/>
      <c r="I106" s="51"/>
      <c r="J106" s="7"/>
      <c r="K106" s="7"/>
      <c r="L106" s="51"/>
      <c r="M106" s="54" t="s">
        <v>9</v>
      </c>
      <c r="N106" s="3">
        <v>6</v>
      </c>
      <c r="O106" s="5"/>
      <c r="P106" s="39"/>
      <c r="Q106" s="39"/>
      <c r="R106" s="5"/>
      <c r="S106" s="5"/>
      <c r="T106" s="5"/>
      <c r="U106" s="5"/>
      <c r="V106" s="5"/>
    </row>
    <row r="107" spans="1:22" ht="15.75" thickBot="1" x14ac:dyDescent="0.3">
      <c r="A107" s="5"/>
      <c r="B107" s="5"/>
      <c r="C107" s="5"/>
      <c r="D107" s="39"/>
      <c r="E107" s="39"/>
      <c r="F107" s="5"/>
      <c r="G107" s="5"/>
      <c r="H107" s="39"/>
      <c r="I107" s="39"/>
      <c r="J107" s="5"/>
      <c r="K107" s="5"/>
      <c r="L107" s="39"/>
      <c r="M107" s="39"/>
      <c r="N107" s="5"/>
      <c r="O107" s="5"/>
      <c r="P107" s="39"/>
      <c r="Q107" s="39"/>
      <c r="R107" s="5"/>
      <c r="S107" s="5"/>
      <c r="T107" s="5"/>
      <c r="U107" s="5"/>
      <c r="V107" s="5"/>
    </row>
    <row r="108" spans="1:22" x14ac:dyDescent="0.25">
      <c r="A108" s="15"/>
      <c r="B108" s="16"/>
      <c r="C108" s="16"/>
      <c r="D108" s="42"/>
      <c r="E108" s="42"/>
      <c r="F108" s="16"/>
      <c r="G108" s="16"/>
      <c r="H108" s="42"/>
      <c r="I108" s="42"/>
      <c r="J108" s="16"/>
      <c r="K108" s="16"/>
      <c r="L108" s="42"/>
      <c r="M108" s="42"/>
      <c r="N108" s="16"/>
      <c r="O108" s="16"/>
      <c r="P108" s="42"/>
      <c r="Q108" s="42"/>
      <c r="R108" s="16"/>
      <c r="S108" s="16"/>
      <c r="T108" s="16"/>
      <c r="U108" s="16"/>
      <c r="V108" s="16"/>
    </row>
    <row r="109" spans="1:22" x14ac:dyDescent="0.25">
      <c r="A109" s="18"/>
      <c r="B109" s="61"/>
      <c r="C109" s="61"/>
      <c r="D109" s="117">
        <v>1</v>
      </c>
      <c r="E109" s="118"/>
      <c r="F109" s="61"/>
      <c r="G109" s="61"/>
      <c r="H109" s="117">
        <v>2</v>
      </c>
      <c r="I109" s="118"/>
      <c r="J109" s="61"/>
      <c r="K109" s="61"/>
      <c r="L109" s="117">
        <v>3</v>
      </c>
      <c r="M109" s="118"/>
      <c r="N109" s="61"/>
      <c r="O109" s="61"/>
      <c r="P109" s="117">
        <v>4</v>
      </c>
      <c r="Q109" s="118"/>
      <c r="R109" s="61"/>
      <c r="S109" s="61"/>
      <c r="T109" s="61"/>
      <c r="U109" s="61"/>
      <c r="V109" s="65"/>
    </row>
    <row r="110" spans="1:22" x14ac:dyDescent="0.25">
      <c r="A110" s="18"/>
      <c r="B110" s="111" t="s">
        <v>6</v>
      </c>
      <c r="C110" s="111"/>
      <c r="D110" s="117" t="s">
        <v>37</v>
      </c>
      <c r="E110" s="118" t="s">
        <v>0</v>
      </c>
      <c r="F110" s="111" t="s">
        <v>6</v>
      </c>
      <c r="G110" s="111"/>
      <c r="H110" s="117" t="s">
        <v>37</v>
      </c>
      <c r="I110" s="118"/>
      <c r="J110" s="111" t="s">
        <v>6</v>
      </c>
      <c r="K110" s="111"/>
      <c r="L110" s="117" t="s">
        <v>37</v>
      </c>
      <c r="M110" s="118"/>
      <c r="N110" s="111" t="s">
        <v>6</v>
      </c>
      <c r="O110" s="111"/>
      <c r="P110" s="117" t="s">
        <v>37</v>
      </c>
      <c r="Q110" s="118"/>
      <c r="R110" s="111"/>
      <c r="S110" s="111"/>
      <c r="T110" s="111"/>
      <c r="U110" s="111"/>
      <c r="V110" s="66"/>
    </row>
    <row r="111" spans="1:22" x14ac:dyDescent="0.25">
      <c r="A111" s="18"/>
      <c r="B111" s="110"/>
      <c r="C111" s="110"/>
      <c r="D111" s="112"/>
      <c r="E111" s="112"/>
      <c r="F111" s="110"/>
      <c r="G111" s="110"/>
      <c r="H111" s="112"/>
      <c r="I111" s="112"/>
      <c r="J111" s="110"/>
      <c r="K111" s="110"/>
      <c r="L111" s="112"/>
      <c r="M111" s="112"/>
      <c r="N111" s="110"/>
      <c r="O111" s="110"/>
      <c r="P111" s="112"/>
      <c r="Q111" s="112"/>
      <c r="R111" s="110"/>
      <c r="S111" s="110"/>
      <c r="T111" s="110"/>
      <c r="U111" s="110"/>
      <c r="V111" s="66"/>
    </row>
    <row r="112" spans="1:22" x14ac:dyDescent="0.25">
      <c r="A112" s="18"/>
      <c r="B112" s="111">
        <v>0</v>
      </c>
      <c r="C112" s="111"/>
      <c r="D112" s="113">
        <v>1</v>
      </c>
      <c r="E112" s="113">
        <v>1</v>
      </c>
      <c r="F112" s="111">
        <v>2</v>
      </c>
      <c r="G112" s="111">
        <v>2</v>
      </c>
      <c r="H112" s="113">
        <v>3</v>
      </c>
      <c r="I112" s="113">
        <v>3</v>
      </c>
      <c r="J112" s="111">
        <v>4</v>
      </c>
      <c r="K112" s="111">
        <v>4</v>
      </c>
      <c r="L112" s="113">
        <v>5</v>
      </c>
      <c r="M112" s="113"/>
      <c r="N112" s="111">
        <v>6</v>
      </c>
      <c r="O112" s="111">
        <v>1</v>
      </c>
      <c r="P112" s="113">
        <v>7</v>
      </c>
      <c r="Q112" s="113">
        <v>2</v>
      </c>
      <c r="R112" s="111">
        <v>8</v>
      </c>
      <c r="S112" s="111">
        <v>3</v>
      </c>
      <c r="T112" s="111">
        <v>9</v>
      </c>
      <c r="U112" s="111">
        <v>4</v>
      </c>
      <c r="V112" s="67"/>
    </row>
    <row r="113" spans="1:43" x14ac:dyDescent="0.25">
      <c r="A113" s="18"/>
      <c r="B113" s="61" t="s">
        <v>1</v>
      </c>
      <c r="C113" s="61" t="s">
        <v>2</v>
      </c>
      <c r="D113" s="62" t="s">
        <v>3</v>
      </c>
      <c r="E113" s="62" t="s">
        <v>4</v>
      </c>
      <c r="F113" s="61" t="s">
        <v>1</v>
      </c>
      <c r="G113" s="61" t="s">
        <v>2</v>
      </c>
      <c r="H113" s="62" t="s">
        <v>3</v>
      </c>
      <c r="I113" s="62" t="s">
        <v>4</v>
      </c>
      <c r="J113" s="61" t="s">
        <v>1</v>
      </c>
      <c r="K113" s="61" t="s">
        <v>2</v>
      </c>
      <c r="L113" s="62" t="s">
        <v>3</v>
      </c>
      <c r="M113" s="62" t="s">
        <v>4</v>
      </c>
      <c r="N113" s="61" t="s">
        <v>1</v>
      </c>
      <c r="O113" s="61" t="s">
        <v>2</v>
      </c>
      <c r="P113" s="62" t="s">
        <v>3</v>
      </c>
      <c r="Q113" s="62" t="s">
        <v>4</v>
      </c>
      <c r="R113" s="61" t="s">
        <v>1</v>
      </c>
      <c r="S113" s="61" t="s">
        <v>2</v>
      </c>
      <c r="T113" s="61" t="s">
        <v>3</v>
      </c>
      <c r="U113" s="61" t="s">
        <v>4</v>
      </c>
      <c r="V113" s="67"/>
    </row>
    <row r="114" spans="1:43" ht="15.75" thickBot="1" x14ac:dyDescent="0.3">
      <c r="A114" s="24"/>
      <c r="B114" s="25"/>
      <c r="C114" s="25"/>
      <c r="D114" s="44"/>
      <c r="E114" s="45"/>
      <c r="F114" s="25"/>
      <c r="G114" s="25"/>
      <c r="H114" s="44"/>
      <c r="I114" s="45"/>
      <c r="J114" s="25"/>
      <c r="K114" s="25"/>
      <c r="L114" s="44"/>
      <c r="M114" s="45"/>
      <c r="N114" s="25"/>
      <c r="O114" s="25"/>
      <c r="P114" s="44"/>
      <c r="Q114" s="45"/>
      <c r="R114" s="25"/>
      <c r="S114" s="25"/>
      <c r="T114" s="25"/>
      <c r="U114" s="25"/>
      <c r="V114" s="68"/>
    </row>
    <row r="115" spans="1:43" ht="15.6" customHeight="1" x14ac:dyDescent="0.25">
      <c r="A115" s="5"/>
      <c r="B115" s="105"/>
      <c r="C115" s="106"/>
      <c r="D115" s="108"/>
      <c r="E115" s="106"/>
      <c r="F115" s="105"/>
      <c r="G115" s="106"/>
      <c r="H115" s="108"/>
      <c r="I115" s="106"/>
      <c r="J115" s="105"/>
      <c r="K115" s="106"/>
      <c r="L115" s="108"/>
      <c r="M115" s="106"/>
      <c r="N115" s="105"/>
      <c r="O115" s="106"/>
      <c r="P115" s="108"/>
      <c r="Q115" s="106"/>
      <c r="R115" s="85"/>
      <c r="S115" s="85"/>
      <c r="T115" s="85"/>
      <c r="U115" s="85"/>
      <c r="V115" s="27"/>
      <c r="W115" s="69"/>
      <c r="X115" s="109"/>
      <c r="Y115" s="109"/>
      <c r="Z115" s="109"/>
      <c r="AA115" s="109"/>
      <c r="AB115" s="109"/>
      <c r="AC115" s="109"/>
      <c r="AD115" s="109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09"/>
    </row>
    <row r="116" spans="1:43" ht="15.6" customHeight="1" thickBot="1" x14ac:dyDescent="0.3">
      <c r="A116" s="5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  <c r="R116" s="110"/>
      <c r="S116" s="110"/>
      <c r="T116" s="110"/>
      <c r="U116" s="110"/>
      <c r="V116" s="27"/>
      <c r="W116" s="69"/>
      <c r="X116" s="109"/>
      <c r="Y116" s="109"/>
      <c r="Z116" s="109"/>
      <c r="AA116" s="109"/>
      <c r="AB116" s="109"/>
      <c r="AC116" s="109"/>
      <c r="AD116" s="109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09"/>
    </row>
    <row r="117" spans="1:43" x14ac:dyDescent="0.25">
      <c r="A117" s="5"/>
      <c r="B117" s="100"/>
      <c r="C117" s="101"/>
      <c r="D117" s="102"/>
      <c r="E117" s="103"/>
      <c r="F117" s="100"/>
      <c r="G117" s="101"/>
      <c r="H117" s="102"/>
      <c r="I117" s="103"/>
      <c r="J117" s="100"/>
      <c r="K117" s="101"/>
      <c r="L117" s="102"/>
      <c r="M117" s="103"/>
      <c r="N117" s="100"/>
      <c r="O117" s="101"/>
      <c r="P117" s="102"/>
      <c r="Q117" s="103"/>
      <c r="R117" s="63"/>
      <c r="S117" s="63"/>
      <c r="T117" s="63"/>
      <c r="U117" s="63"/>
      <c r="V117" s="27"/>
    </row>
    <row r="118" spans="1:43" x14ac:dyDescent="0.25">
      <c r="A118" s="5"/>
      <c r="B118" s="5"/>
      <c r="C118" s="5"/>
      <c r="D118" s="39"/>
      <c r="E118" s="39"/>
      <c r="F118" s="5"/>
      <c r="G118" s="5"/>
      <c r="H118" s="39"/>
      <c r="I118" s="39"/>
      <c r="J118" s="5"/>
      <c r="K118" s="5"/>
      <c r="L118" s="39"/>
      <c r="M118" s="39"/>
      <c r="N118" s="5"/>
      <c r="O118" s="5"/>
      <c r="P118" s="39"/>
      <c r="Q118" s="39"/>
      <c r="R118" s="5"/>
      <c r="S118" s="5"/>
      <c r="T118" s="5"/>
      <c r="U118" s="5"/>
      <c r="V118" s="5"/>
    </row>
    <row r="119" spans="1:43" x14ac:dyDescent="0.25">
      <c r="A119" s="5"/>
      <c r="B119" s="5"/>
      <c r="C119" s="5"/>
      <c r="D119" s="39"/>
      <c r="E119" s="64" t="s">
        <v>11</v>
      </c>
      <c r="F119" s="104" t="s">
        <v>12</v>
      </c>
      <c r="G119" s="104"/>
      <c r="H119" s="104"/>
      <c r="I119" s="104" t="s">
        <v>41</v>
      </c>
      <c r="J119" s="104"/>
      <c r="K119" s="5"/>
      <c r="L119" s="39"/>
      <c r="M119" s="39"/>
      <c r="N119" s="5"/>
      <c r="O119" s="63" t="s">
        <v>13</v>
      </c>
      <c r="P119" s="39" t="s">
        <v>14</v>
      </c>
      <c r="Q119" s="39"/>
      <c r="R119" s="5"/>
      <c r="S119" s="5" t="s">
        <v>43</v>
      </c>
      <c r="T119" s="5"/>
      <c r="U119" s="5"/>
      <c r="V119" s="5"/>
    </row>
    <row r="120" spans="1:43" x14ac:dyDescent="0.25">
      <c r="A120" s="5"/>
      <c r="B120" s="5"/>
      <c r="C120" s="5"/>
      <c r="D120" s="39"/>
      <c r="E120" s="64" t="s">
        <v>15</v>
      </c>
      <c r="F120" s="104" t="s">
        <v>16</v>
      </c>
      <c r="G120" s="104"/>
      <c r="H120" s="104"/>
      <c r="I120" s="39" t="s">
        <v>42</v>
      </c>
      <c r="J120" s="5"/>
      <c r="K120" s="5"/>
      <c r="L120" s="39"/>
      <c r="M120" s="39"/>
      <c r="N120" s="5"/>
      <c r="O120" s="63" t="s">
        <v>18</v>
      </c>
      <c r="P120" s="39" t="s">
        <v>14</v>
      </c>
      <c r="Q120" s="39"/>
      <c r="R120" s="5"/>
      <c r="S120" s="5" t="s">
        <v>17</v>
      </c>
      <c r="T120" s="5"/>
      <c r="U120" s="5"/>
      <c r="V120" s="5"/>
    </row>
    <row r="121" spans="1:43" x14ac:dyDescent="0.25">
      <c r="A121" s="65" t="s">
        <v>69</v>
      </c>
      <c r="B121" s="65"/>
      <c r="C121" s="65"/>
      <c r="D121" s="77"/>
      <c r="E121" s="78"/>
      <c r="F121" s="65"/>
      <c r="G121" s="65"/>
      <c r="H121" s="77"/>
      <c r="I121" s="77"/>
      <c r="J121" s="65"/>
      <c r="K121" s="65"/>
      <c r="L121" s="77"/>
      <c r="M121" s="77"/>
      <c r="N121" s="65"/>
      <c r="O121" s="65"/>
      <c r="P121" s="77"/>
      <c r="Q121" s="77"/>
      <c r="R121" s="65"/>
      <c r="S121" s="65"/>
      <c r="T121" s="65"/>
      <c r="U121" s="65"/>
      <c r="V121" s="65"/>
    </row>
    <row r="122" spans="1:43" ht="18.75" x14ac:dyDescent="0.3">
      <c r="A122" s="5"/>
      <c r="B122" s="5"/>
      <c r="C122" s="5"/>
      <c r="D122" s="39"/>
      <c r="E122" s="40" t="s">
        <v>7</v>
      </c>
      <c r="F122" s="5"/>
      <c r="G122" s="7"/>
      <c r="H122" s="51"/>
      <c r="I122" s="51"/>
      <c r="J122" s="7"/>
      <c r="K122" s="7"/>
      <c r="L122" s="51"/>
      <c r="M122" s="52" t="s">
        <v>8</v>
      </c>
      <c r="N122" s="114" t="s">
        <v>68</v>
      </c>
      <c r="O122" s="115"/>
      <c r="P122" s="39"/>
      <c r="Q122" s="39"/>
      <c r="R122" s="5"/>
      <c r="S122" s="5"/>
      <c r="T122" s="5"/>
      <c r="U122" s="5"/>
      <c r="V122" s="5"/>
    </row>
    <row r="123" spans="1:43" ht="18.75" x14ac:dyDescent="0.3">
      <c r="A123" s="5"/>
      <c r="B123" s="5"/>
      <c r="C123" s="5"/>
      <c r="D123" s="39"/>
      <c r="E123" s="40" t="s">
        <v>35</v>
      </c>
      <c r="F123" s="5"/>
      <c r="G123" s="5"/>
      <c r="H123" s="39"/>
      <c r="I123" s="39"/>
      <c r="J123" s="9"/>
      <c r="K123" s="9"/>
      <c r="L123" s="53"/>
      <c r="M123" s="52" t="s">
        <v>9</v>
      </c>
      <c r="N123" s="116" t="str">
        <f>N122&amp;".1"</f>
        <v>1.3.1</v>
      </c>
      <c r="O123" s="116"/>
      <c r="P123" s="39"/>
      <c r="Q123" s="39"/>
      <c r="R123" s="5"/>
      <c r="S123" s="5"/>
      <c r="T123" s="5"/>
      <c r="U123" s="5"/>
      <c r="V123" s="5"/>
    </row>
    <row r="124" spans="1:43" ht="18.75" x14ac:dyDescent="0.3">
      <c r="A124" s="5"/>
      <c r="B124" s="5"/>
      <c r="C124" s="5"/>
      <c r="D124" s="39"/>
      <c r="E124" s="39" t="s">
        <v>36</v>
      </c>
      <c r="F124" s="5"/>
      <c r="G124" s="5"/>
      <c r="H124" s="51"/>
      <c r="I124" s="51"/>
      <c r="J124" s="7"/>
      <c r="K124" s="7"/>
      <c r="L124" s="51"/>
      <c r="M124" s="54" t="s">
        <v>9</v>
      </c>
      <c r="N124" s="11">
        <v>1</v>
      </c>
      <c r="O124" s="5"/>
      <c r="P124" s="39"/>
      <c r="Q124" s="39"/>
      <c r="R124" s="5"/>
      <c r="S124" s="5"/>
      <c r="T124" s="5"/>
      <c r="U124" s="5"/>
      <c r="V124" s="5"/>
    </row>
    <row r="125" spans="1:43" ht="18.75" x14ac:dyDescent="0.3">
      <c r="A125" s="5"/>
      <c r="B125" s="5"/>
      <c r="C125" s="5"/>
      <c r="D125" s="39"/>
      <c r="E125" s="39" t="s">
        <v>5</v>
      </c>
      <c r="F125" s="5"/>
      <c r="G125" s="5"/>
      <c r="H125" s="39"/>
      <c r="I125" s="39"/>
      <c r="J125" s="5"/>
      <c r="K125" s="5"/>
      <c r="L125" s="53"/>
      <c r="M125" s="54" t="s">
        <v>9</v>
      </c>
      <c r="N125" s="11" t="str">
        <f>"-"&amp;N123</f>
        <v>-1.3.1</v>
      </c>
      <c r="O125" s="12"/>
      <c r="P125" s="39"/>
      <c r="Q125" s="39"/>
      <c r="R125" s="5"/>
      <c r="S125" s="5"/>
      <c r="T125" s="5"/>
      <c r="U125" s="5"/>
      <c r="V125" s="5"/>
    </row>
    <row r="126" spans="1:43" ht="18.75" x14ac:dyDescent="0.3">
      <c r="A126" s="5"/>
      <c r="B126" s="5"/>
      <c r="C126" s="5"/>
      <c r="D126" s="39"/>
      <c r="E126" s="41" t="s">
        <v>10</v>
      </c>
      <c r="F126" s="5"/>
      <c r="G126" s="5"/>
      <c r="H126" s="39"/>
      <c r="I126" s="51"/>
      <c r="J126" s="7"/>
      <c r="K126" s="7"/>
      <c r="L126" s="51"/>
      <c r="M126" s="54" t="s">
        <v>9</v>
      </c>
      <c r="N126" s="3">
        <v>7</v>
      </c>
      <c r="O126" s="5"/>
      <c r="P126" s="39"/>
      <c r="Q126" s="39"/>
      <c r="R126" s="5"/>
      <c r="S126" s="5"/>
      <c r="T126" s="5"/>
      <c r="U126" s="5"/>
      <c r="V126" s="5"/>
    </row>
    <row r="127" spans="1:43" ht="15.75" thickBot="1" x14ac:dyDescent="0.3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</row>
    <row r="128" spans="1:43" x14ac:dyDescent="0.25">
      <c r="A128" s="15"/>
      <c r="B128" s="16"/>
      <c r="C128" s="16"/>
      <c r="D128" s="42"/>
      <c r="E128" s="42"/>
      <c r="F128" s="16"/>
      <c r="G128" s="16"/>
      <c r="H128" s="42"/>
      <c r="I128" s="42"/>
      <c r="J128" s="16"/>
      <c r="K128" s="16"/>
      <c r="L128" s="42"/>
      <c r="M128" s="42"/>
      <c r="N128" s="16"/>
      <c r="O128" s="16"/>
      <c r="P128" s="42"/>
      <c r="Q128" s="42"/>
      <c r="R128" s="16"/>
      <c r="S128" s="16"/>
      <c r="T128" s="16"/>
      <c r="U128" s="16"/>
      <c r="V128" s="16"/>
    </row>
    <row r="129" spans="1:43" x14ac:dyDescent="0.25">
      <c r="A129" s="18"/>
      <c r="B129" s="61"/>
      <c r="C129" s="61"/>
      <c r="D129" s="117">
        <v>1</v>
      </c>
      <c r="E129" s="118"/>
      <c r="F129" s="61"/>
      <c r="G129" s="61"/>
      <c r="H129" s="117">
        <v>2</v>
      </c>
      <c r="I129" s="118"/>
      <c r="J129" s="61"/>
      <c r="K129" s="61"/>
      <c r="L129" s="117">
        <v>3</v>
      </c>
      <c r="M129" s="118"/>
      <c r="N129" s="61"/>
      <c r="O129" s="61"/>
      <c r="P129" s="117">
        <v>4</v>
      </c>
      <c r="Q129" s="118"/>
      <c r="R129" s="61"/>
      <c r="S129" s="61"/>
      <c r="T129" s="61"/>
      <c r="U129" s="61"/>
      <c r="V129" s="65"/>
    </row>
    <row r="130" spans="1:43" x14ac:dyDescent="0.25">
      <c r="A130" s="18"/>
      <c r="B130" s="111" t="s">
        <v>6</v>
      </c>
      <c r="C130" s="111"/>
      <c r="D130" s="117" t="s">
        <v>37</v>
      </c>
      <c r="E130" s="118" t="s">
        <v>0</v>
      </c>
      <c r="F130" s="111" t="s">
        <v>6</v>
      </c>
      <c r="G130" s="111"/>
      <c r="H130" s="117" t="s">
        <v>37</v>
      </c>
      <c r="I130" s="118"/>
      <c r="J130" s="111" t="s">
        <v>6</v>
      </c>
      <c r="K130" s="111"/>
      <c r="L130" s="117" t="s">
        <v>37</v>
      </c>
      <c r="M130" s="118"/>
      <c r="N130" s="111" t="s">
        <v>6</v>
      </c>
      <c r="O130" s="111"/>
      <c r="P130" s="117" t="s">
        <v>37</v>
      </c>
      <c r="Q130" s="118"/>
      <c r="R130" s="111"/>
      <c r="S130" s="111"/>
      <c r="T130" s="111"/>
      <c r="U130" s="111"/>
      <c r="V130" s="66"/>
    </row>
    <row r="131" spans="1:43" x14ac:dyDescent="0.25">
      <c r="A131" s="18"/>
      <c r="B131" s="110"/>
      <c r="C131" s="110"/>
      <c r="D131" s="112"/>
      <c r="E131" s="112"/>
      <c r="F131" s="110"/>
      <c r="G131" s="110"/>
      <c r="H131" s="112"/>
      <c r="I131" s="112"/>
      <c r="J131" s="110"/>
      <c r="K131" s="110"/>
      <c r="L131" s="112"/>
      <c r="M131" s="112"/>
      <c r="N131" s="110"/>
      <c r="O131" s="110"/>
      <c r="P131" s="112"/>
      <c r="Q131" s="112"/>
      <c r="R131" s="110"/>
      <c r="S131" s="110"/>
      <c r="T131" s="110"/>
      <c r="U131" s="110"/>
      <c r="V131" s="66"/>
    </row>
    <row r="132" spans="1:43" x14ac:dyDescent="0.25">
      <c r="A132" s="18"/>
      <c r="B132" s="111">
        <v>0</v>
      </c>
      <c r="C132" s="111"/>
      <c r="D132" s="113">
        <v>1</v>
      </c>
      <c r="E132" s="113">
        <v>1</v>
      </c>
      <c r="F132" s="111">
        <v>2</v>
      </c>
      <c r="G132" s="111">
        <v>2</v>
      </c>
      <c r="H132" s="113">
        <v>3</v>
      </c>
      <c r="I132" s="113">
        <v>3</v>
      </c>
      <c r="J132" s="111">
        <v>4</v>
      </c>
      <c r="K132" s="111">
        <v>4</v>
      </c>
      <c r="L132" s="113">
        <v>5</v>
      </c>
      <c r="M132" s="113"/>
      <c r="N132" s="111">
        <v>6</v>
      </c>
      <c r="O132" s="111">
        <v>1</v>
      </c>
      <c r="P132" s="113">
        <v>7</v>
      </c>
      <c r="Q132" s="113">
        <v>2</v>
      </c>
      <c r="R132" s="111">
        <v>8</v>
      </c>
      <c r="S132" s="111">
        <v>3</v>
      </c>
      <c r="T132" s="111">
        <v>9</v>
      </c>
      <c r="U132" s="111">
        <v>4</v>
      </c>
      <c r="V132" s="67"/>
    </row>
    <row r="133" spans="1:43" x14ac:dyDescent="0.25">
      <c r="A133" s="18"/>
      <c r="B133" s="61" t="s">
        <v>1</v>
      </c>
      <c r="C133" s="61" t="s">
        <v>2</v>
      </c>
      <c r="D133" s="62" t="s">
        <v>3</v>
      </c>
      <c r="E133" s="62" t="s">
        <v>4</v>
      </c>
      <c r="F133" s="61" t="s">
        <v>1</v>
      </c>
      <c r="G133" s="61" t="s">
        <v>2</v>
      </c>
      <c r="H133" s="62" t="s">
        <v>3</v>
      </c>
      <c r="I133" s="62" t="s">
        <v>4</v>
      </c>
      <c r="J133" s="61" t="s">
        <v>1</v>
      </c>
      <c r="K133" s="61" t="s">
        <v>2</v>
      </c>
      <c r="L133" s="62" t="s">
        <v>3</v>
      </c>
      <c r="M133" s="62" t="s">
        <v>4</v>
      </c>
      <c r="N133" s="61" t="s">
        <v>1</v>
      </c>
      <c r="O133" s="61" t="s">
        <v>2</v>
      </c>
      <c r="P133" s="62" t="s">
        <v>3</v>
      </c>
      <c r="Q133" s="62" t="s">
        <v>4</v>
      </c>
      <c r="R133" s="61" t="s">
        <v>1</v>
      </c>
      <c r="S133" s="61" t="s">
        <v>2</v>
      </c>
      <c r="T133" s="61" t="s">
        <v>3</v>
      </c>
      <c r="U133" s="61" t="s">
        <v>4</v>
      </c>
      <c r="V133" s="67"/>
    </row>
    <row r="134" spans="1:43" ht="15.75" thickBot="1" x14ac:dyDescent="0.3">
      <c r="A134" s="24"/>
      <c r="B134" s="25"/>
      <c r="C134" s="25"/>
      <c r="D134" s="44"/>
      <c r="E134" s="45"/>
      <c r="F134" s="25"/>
      <c r="G134" s="25"/>
      <c r="H134" s="44"/>
      <c r="I134" s="45"/>
      <c r="J134" s="25"/>
      <c r="K134" s="25"/>
      <c r="L134" s="44"/>
      <c r="M134" s="45"/>
      <c r="N134" s="25"/>
      <c r="O134" s="25"/>
      <c r="P134" s="44"/>
      <c r="Q134" s="45"/>
      <c r="R134" s="25"/>
      <c r="S134" s="25"/>
      <c r="T134" s="25"/>
      <c r="U134" s="25"/>
      <c r="V134" s="68"/>
    </row>
    <row r="135" spans="1:43" ht="15.6" customHeight="1" x14ac:dyDescent="0.25">
      <c r="A135" s="5"/>
      <c r="B135" s="105"/>
      <c r="C135" s="106"/>
      <c r="D135" s="108"/>
      <c r="E135" s="106"/>
      <c r="F135" s="105"/>
      <c r="G135" s="106"/>
      <c r="H135" s="108"/>
      <c r="I135" s="106"/>
      <c r="J135" s="105"/>
      <c r="K135" s="106"/>
      <c r="L135" s="108"/>
      <c r="M135" s="106"/>
      <c r="N135" s="105"/>
      <c r="O135" s="106"/>
      <c r="P135" s="108"/>
      <c r="Q135" s="106"/>
      <c r="R135" s="85"/>
      <c r="S135" s="85"/>
      <c r="T135" s="85"/>
      <c r="U135" s="85"/>
      <c r="V135" s="27"/>
      <c r="W135" s="69"/>
      <c r="X135" s="109"/>
      <c r="Y135" s="109"/>
      <c r="Z135" s="109"/>
      <c r="AA135" s="109"/>
      <c r="AB135" s="109"/>
      <c r="AC135" s="109"/>
      <c r="AD135" s="109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09"/>
    </row>
    <row r="136" spans="1:43" ht="15.6" customHeight="1" thickBot="1" x14ac:dyDescent="0.3">
      <c r="A136" s="5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  <c r="R136" s="110"/>
      <c r="S136" s="110"/>
      <c r="T136" s="110"/>
      <c r="U136" s="110"/>
      <c r="V136" s="27"/>
      <c r="W136" s="69"/>
      <c r="X136" s="109"/>
      <c r="Y136" s="109"/>
      <c r="Z136" s="109"/>
      <c r="AA136" s="109"/>
      <c r="AB136" s="109"/>
      <c r="AC136" s="109"/>
      <c r="AD136" s="109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09"/>
    </row>
    <row r="137" spans="1:43" x14ac:dyDescent="0.25">
      <c r="A137" s="5"/>
      <c r="B137" s="100"/>
      <c r="C137" s="101"/>
      <c r="D137" s="102"/>
      <c r="E137" s="103"/>
      <c r="F137" s="100"/>
      <c r="G137" s="101"/>
      <c r="H137" s="102"/>
      <c r="I137" s="103"/>
      <c r="J137" s="100"/>
      <c r="K137" s="101"/>
      <c r="L137" s="102"/>
      <c r="M137" s="103"/>
      <c r="N137" s="100"/>
      <c r="O137" s="101"/>
      <c r="P137" s="102"/>
      <c r="Q137" s="103"/>
      <c r="R137" s="63"/>
      <c r="S137" s="63"/>
      <c r="T137" s="63"/>
      <c r="U137" s="63"/>
      <c r="V137" s="27"/>
    </row>
    <row r="138" spans="1:43" x14ac:dyDescent="0.25">
      <c r="A138" s="5"/>
      <c r="B138" s="5"/>
      <c r="C138" s="5"/>
      <c r="D138" s="39"/>
      <c r="E138" s="39"/>
      <c r="F138" s="5"/>
      <c r="G138" s="5"/>
      <c r="H138" s="39"/>
      <c r="I138" s="39"/>
      <c r="J138" s="5"/>
      <c r="K138" s="5"/>
      <c r="L138" s="39"/>
      <c r="M138" s="39"/>
      <c r="N138" s="5"/>
      <c r="O138" s="5"/>
      <c r="P138" s="39"/>
      <c r="Q138" s="39"/>
      <c r="R138" s="5"/>
      <c r="S138" s="5"/>
      <c r="T138" s="5"/>
      <c r="U138" s="5"/>
      <c r="V138" s="5"/>
    </row>
    <row r="139" spans="1:43" x14ac:dyDescent="0.25">
      <c r="A139" s="5"/>
      <c r="B139" s="5"/>
      <c r="C139" s="5"/>
      <c r="D139" s="39"/>
      <c r="E139" s="64" t="s">
        <v>11</v>
      </c>
      <c r="F139" s="104" t="s">
        <v>12</v>
      </c>
      <c r="G139" s="104"/>
      <c r="H139" s="104"/>
      <c r="I139" s="104" t="s">
        <v>41</v>
      </c>
      <c r="J139" s="104"/>
      <c r="K139" s="5"/>
      <c r="L139" s="39"/>
      <c r="M139" s="39"/>
      <c r="N139" s="5"/>
      <c r="O139" s="63" t="s">
        <v>13</v>
      </c>
      <c r="P139" s="39" t="s">
        <v>14</v>
      </c>
      <c r="Q139" s="39"/>
      <c r="R139" s="5"/>
      <c r="S139" s="5" t="s">
        <v>43</v>
      </c>
      <c r="T139" s="5"/>
      <c r="U139" s="5"/>
      <c r="V139" s="5"/>
    </row>
    <row r="140" spans="1:43" x14ac:dyDescent="0.25">
      <c r="A140" s="5"/>
      <c r="B140" s="5"/>
      <c r="C140" s="5"/>
      <c r="D140" s="39"/>
      <c r="E140" s="64" t="s">
        <v>15</v>
      </c>
      <c r="F140" s="104" t="s">
        <v>16</v>
      </c>
      <c r="G140" s="104"/>
      <c r="H140" s="104"/>
      <c r="I140" s="39" t="s">
        <v>42</v>
      </c>
      <c r="J140" s="5"/>
      <c r="K140" s="5"/>
      <c r="L140" s="39"/>
      <c r="M140" s="39"/>
      <c r="N140" s="5"/>
      <c r="O140" s="63" t="s">
        <v>18</v>
      </c>
      <c r="P140" s="39" t="s">
        <v>14</v>
      </c>
      <c r="Q140" s="39"/>
      <c r="R140" s="5"/>
      <c r="S140" s="5" t="s">
        <v>17</v>
      </c>
      <c r="T140" s="5"/>
      <c r="U140" s="5"/>
      <c r="V140" s="5"/>
    </row>
    <row r="141" spans="1:43" x14ac:dyDescent="0.25">
      <c r="A141" s="65" t="s">
        <v>69</v>
      </c>
      <c r="B141" s="65"/>
      <c r="C141" s="65"/>
      <c r="D141" s="77"/>
      <c r="E141" s="78"/>
      <c r="F141" s="65"/>
      <c r="G141" s="65"/>
      <c r="H141" s="77"/>
      <c r="I141" s="77"/>
      <c r="J141" s="65"/>
      <c r="K141" s="65"/>
      <c r="L141" s="77"/>
      <c r="M141" s="77"/>
      <c r="N141" s="65"/>
      <c r="O141" s="65"/>
      <c r="P141" s="77"/>
      <c r="Q141" s="77"/>
      <c r="R141" s="65"/>
      <c r="S141" s="65"/>
      <c r="T141" s="65"/>
      <c r="U141" s="65"/>
      <c r="V141" s="65"/>
    </row>
    <row r="142" spans="1:43" ht="18.75" x14ac:dyDescent="0.3">
      <c r="A142" s="5"/>
      <c r="B142" s="5"/>
      <c r="C142" s="5"/>
      <c r="D142" s="39"/>
      <c r="E142" s="40" t="s">
        <v>7</v>
      </c>
      <c r="F142" s="5"/>
      <c r="G142" s="7"/>
      <c r="H142" s="51"/>
      <c r="I142" s="51"/>
      <c r="J142" s="7"/>
      <c r="K142" s="7"/>
      <c r="L142" s="51"/>
      <c r="M142" s="52" t="s">
        <v>8</v>
      </c>
      <c r="N142" s="114" t="s">
        <v>68</v>
      </c>
      <c r="O142" s="115"/>
      <c r="P142" s="39"/>
      <c r="Q142" s="39"/>
      <c r="R142" s="5"/>
      <c r="S142" s="5"/>
      <c r="T142" s="5"/>
      <c r="U142" s="5"/>
      <c r="V142" s="5"/>
    </row>
    <row r="143" spans="1:43" ht="18.75" x14ac:dyDescent="0.3">
      <c r="A143" s="5"/>
      <c r="B143" s="5"/>
      <c r="C143" s="5"/>
      <c r="D143" s="39"/>
      <c r="E143" s="40" t="s">
        <v>35</v>
      </c>
      <c r="F143" s="5"/>
      <c r="G143" s="5"/>
      <c r="H143" s="39"/>
      <c r="I143" s="39"/>
      <c r="J143" s="9"/>
      <c r="K143" s="9"/>
      <c r="L143" s="53"/>
      <c r="M143" s="52" t="s">
        <v>9</v>
      </c>
      <c r="N143" s="116" t="str">
        <f>N142&amp;".1"</f>
        <v>1.3.1</v>
      </c>
      <c r="O143" s="116"/>
      <c r="P143" s="39"/>
      <c r="Q143" s="39"/>
      <c r="R143" s="5"/>
      <c r="S143" s="5"/>
      <c r="T143" s="5"/>
      <c r="U143" s="5"/>
      <c r="V143" s="5"/>
    </row>
    <row r="144" spans="1:43" ht="18.75" x14ac:dyDescent="0.3">
      <c r="A144" s="5"/>
      <c r="B144" s="5"/>
      <c r="C144" s="5"/>
      <c r="D144" s="39"/>
      <c r="E144" s="39" t="s">
        <v>36</v>
      </c>
      <c r="F144" s="5"/>
      <c r="G144" s="5"/>
      <c r="H144" s="51"/>
      <c r="I144" s="51"/>
      <c r="J144" s="7"/>
      <c r="K144" s="7"/>
      <c r="L144" s="51"/>
      <c r="M144" s="54" t="s">
        <v>9</v>
      </c>
      <c r="N144" s="11">
        <v>1</v>
      </c>
      <c r="O144" s="5"/>
      <c r="P144" s="39"/>
      <c r="Q144" s="39"/>
      <c r="R144" s="5"/>
      <c r="S144" s="5"/>
      <c r="T144" s="5"/>
      <c r="U144" s="5"/>
      <c r="V144" s="5"/>
    </row>
    <row r="145" spans="1:43" ht="18.75" x14ac:dyDescent="0.3">
      <c r="A145" s="5"/>
      <c r="B145" s="5"/>
      <c r="C145" s="5"/>
      <c r="D145" s="39"/>
      <c r="E145" s="39" t="s">
        <v>5</v>
      </c>
      <c r="F145" s="5"/>
      <c r="G145" s="5"/>
      <c r="H145" s="39"/>
      <c r="I145" s="39"/>
      <c r="J145" s="5"/>
      <c r="K145" s="5"/>
      <c r="L145" s="53"/>
      <c r="M145" s="54" t="s">
        <v>9</v>
      </c>
      <c r="N145" s="11" t="str">
        <f>"-"&amp;N143</f>
        <v>-1.3.1</v>
      </c>
      <c r="O145" s="12"/>
      <c r="P145" s="39"/>
      <c r="Q145" s="39"/>
      <c r="R145" s="5"/>
      <c r="S145" s="5"/>
      <c r="T145" s="5"/>
      <c r="U145" s="5"/>
      <c r="V145" s="5"/>
    </row>
    <row r="146" spans="1:43" ht="18.75" x14ac:dyDescent="0.3">
      <c r="A146" s="5"/>
      <c r="B146" s="5"/>
      <c r="C146" s="5"/>
      <c r="D146" s="39"/>
      <c r="E146" s="41" t="s">
        <v>10</v>
      </c>
      <c r="F146" s="5"/>
      <c r="G146" s="5"/>
      <c r="H146" s="39"/>
      <c r="I146" s="51"/>
      <c r="J146" s="7"/>
      <c r="K146" s="7"/>
      <c r="L146" s="51"/>
      <c r="M146" s="54" t="s">
        <v>9</v>
      </c>
      <c r="N146" s="3">
        <v>8</v>
      </c>
      <c r="O146" s="5"/>
      <c r="P146" s="39"/>
      <c r="Q146" s="39"/>
      <c r="R146" s="5"/>
      <c r="S146" s="5"/>
      <c r="T146" s="5"/>
      <c r="U146" s="5"/>
      <c r="V146" s="5"/>
    </row>
    <row r="147" spans="1:43" ht="15.75" thickBot="1" x14ac:dyDescent="0.3">
      <c r="A147" s="5"/>
      <c r="B147" s="5"/>
      <c r="C147" s="5"/>
      <c r="D147" s="39"/>
      <c r="E147" s="39"/>
      <c r="F147" s="5"/>
      <c r="G147" s="5"/>
      <c r="H147" s="39"/>
      <c r="I147" s="39"/>
      <c r="J147" s="5"/>
      <c r="K147" s="5"/>
      <c r="L147" s="39"/>
      <c r="M147" s="39"/>
      <c r="N147" s="5"/>
      <c r="O147" s="5"/>
      <c r="P147" s="39"/>
      <c r="Q147" s="39"/>
      <c r="R147" s="5"/>
      <c r="S147" s="5"/>
      <c r="T147" s="5"/>
      <c r="U147" s="5"/>
      <c r="V147" s="5"/>
    </row>
    <row r="148" spans="1:43" x14ac:dyDescent="0.25">
      <c r="A148" s="15"/>
      <c r="B148" s="16"/>
      <c r="C148" s="16"/>
      <c r="D148" s="42"/>
      <c r="E148" s="42"/>
      <c r="F148" s="16"/>
      <c r="G148" s="16"/>
      <c r="H148" s="42"/>
      <c r="I148" s="42"/>
      <c r="J148" s="16"/>
      <c r="K148" s="16"/>
      <c r="L148" s="42"/>
      <c r="M148" s="42"/>
      <c r="N148" s="16"/>
      <c r="O148" s="16"/>
      <c r="P148" s="42"/>
      <c r="Q148" s="42"/>
      <c r="R148" s="16"/>
      <c r="S148" s="16"/>
      <c r="T148" s="16"/>
      <c r="U148" s="16"/>
      <c r="V148" s="16"/>
    </row>
    <row r="149" spans="1:43" x14ac:dyDescent="0.25">
      <c r="A149" s="18"/>
      <c r="B149" s="61"/>
      <c r="C149" s="61"/>
      <c r="D149" s="117">
        <v>1</v>
      </c>
      <c r="E149" s="118"/>
      <c r="F149" s="61"/>
      <c r="G149" s="61"/>
      <c r="H149" s="117">
        <v>2</v>
      </c>
      <c r="I149" s="118"/>
      <c r="J149" s="61"/>
      <c r="K149" s="61"/>
      <c r="L149" s="117">
        <v>3</v>
      </c>
      <c r="M149" s="118"/>
      <c r="N149" s="61"/>
      <c r="O149" s="61"/>
      <c r="P149" s="117">
        <v>4</v>
      </c>
      <c r="Q149" s="118"/>
      <c r="R149" s="61"/>
      <c r="S149" s="61"/>
      <c r="T149" s="61"/>
      <c r="U149" s="61"/>
      <c r="V149" s="65"/>
    </row>
    <row r="150" spans="1:43" x14ac:dyDescent="0.25">
      <c r="A150" s="18"/>
      <c r="B150" s="111" t="s">
        <v>6</v>
      </c>
      <c r="C150" s="111"/>
      <c r="D150" s="117" t="s">
        <v>37</v>
      </c>
      <c r="E150" s="118" t="s">
        <v>0</v>
      </c>
      <c r="F150" s="111" t="s">
        <v>6</v>
      </c>
      <c r="G150" s="111"/>
      <c r="H150" s="117" t="s">
        <v>37</v>
      </c>
      <c r="I150" s="118"/>
      <c r="J150" s="111" t="s">
        <v>6</v>
      </c>
      <c r="K150" s="111"/>
      <c r="L150" s="117" t="s">
        <v>37</v>
      </c>
      <c r="M150" s="118"/>
      <c r="N150" s="111" t="s">
        <v>6</v>
      </c>
      <c r="O150" s="111"/>
      <c r="P150" s="117" t="s">
        <v>37</v>
      </c>
      <c r="Q150" s="118"/>
      <c r="R150" s="111"/>
      <c r="S150" s="111"/>
      <c r="T150" s="111"/>
      <c r="U150" s="111"/>
      <c r="V150" s="66"/>
    </row>
    <row r="151" spans="1:43" x14ac:dyDescent="0.25">
      <c r="A151" s="18"/>
      <c r="B151" s="110"/>
      <c r="C151" s="110"/>
      <c r="D151" s="112"/>
      <c r="E151" s="112"/>
      <c r="F151" s="110"/>
      <c r="G151" s="110"/>
      <c r="H151" s="112"/>
      <c r="I151" s="112"/>
      <c r="J151" s="110"/>
      <c r="K151" s="110"/>
      <c r="L151" s="112"/>
      <c r="M151" s="112"/>
      <c r="N151" s="110"/>
      <c r="O151" s="110"/>
      <c r="P151" s="112"/>
      <c r="Q151" s="112"/>
      <c r="R151" s="110"/>
      <c r="S151" s="110"/>
      <c r="T151" s="110"/>
      <c r="U151" s="110"/>
      <c r="V151" s="66"/>
    </row>
    <row r="152" spans="1:43" x14ac:dyDescent="0.25">
      <c r="A152" s="18"/>
      <c r="B152" s="111">
        <v>0</v>
      </c>
      <c r="C152" s="111"/>
      <c r="D152" s="113">
        <v>1</v>
      </c>
      <c r="E152" s="113">
        <v>1</v>
      </c>
      <c r="F152" s="111">
        <v>2</v>
      </c>
      <c r="G152" s="111">
        <v>2</v>
      </c>
      <c r="H152" s="113">
        <v>3</v>
      </c>
      <c r="I152" s="113">
        <v>3</v>
      </c>
      <c r="J152" s="111">
        <v>4</v>
      </c>
      <c r="K152" s="111">
        <v>4</v>
      </c>
      <c r="L152" s="113">
        <v>5</v>
      </c>
      <c r="M152" s="113"/>
      <c r="N152" s="111">
        <v>6</v>
      </c>
      <c r="O152" s="111">
        <v>1</v>
      </c>
      <c r="P152" s="113">
        <v>7</v>
      </c>
      <c r="Q152" s="113">
        <v>2</v>
      </c>
      <c r="R152" s="111">
        <v>8</v>
      </c>
      <c r="S152" s="111">
        <v>3</v>
      </c>
      <c r="T152" s="111">
        <v>9</v>
      </c>
      <c r="U152" s="111">
        <v>4</v>
      </c>
      <c r="V152" s="67"/>
    </row>
    <row r="153" spans="1:43" x14ac:dyDescent="0.25">
      <c r="A153" s="18"/>
      <c r="B153" s="61" t="s">
        <v>1</v>
      </c>
      <c r="C153" s="61" t="s">
        <v>2</v>
      </c>
      <c r="D153" s="62" t="s">
        <v>3</v>
      </c>
      <c r="E153" s="62" t="s">
        <v>4</v>
      </c>
      <c r="F153" s="61" t="s">
        <v>1</v>
      </c>
      <c r="G153" s="61" t="s">
        <v>2</v>
      </c>
      <c r="H153" s="62" t="s">
        <v>3</v>
      </c>
      <c r="I153" s="62" t="s">
        <v>4</v>
      </c>
      <c r="J153" s="61" t="s">
        <v>1</v>
      </c>
      <c r="K153" s="61" t="s">
        <v>2</v>
      </c>
      <c r="L153" s="62" t="s">
        <v>3</v>
      </c>
      <c r="M153" s="62" t="s">
        <v>4</v>
      </c>
      <c r="N153" s="61" t="s">
        <v>1</v>
      </c>
      <c r="O153" s="61" t="s">
        <v>2</v>
      </c>
      <c r="P153" s="62" t="s">
        <v>3</v>
      </c>
      <c r="Q153" s="62" t="s">
        <v>4</v>
      </c>
      <c r="R153" s="61" t="s">
        <v>1</v>
      </c>
      <c r="S153" s="61" t="s">
        <v>2</v>
      </c>
      <c r="T153" s="61" t="s">
        <v>3</v>
      </c>
      <c r="U153" s="61" t="s">
        <v>4</v>
      </c>
      <c r="V153" s="67"/>
    </row>
    <row r="154" spans="1:43" ht="15.75" thickBot="1" x14ac:dyDescent="0.3">
      <c r="A154" s="24"/>
      <c r="B154" s="25"/>
      <c r="C154" s="25"/>
      <c r="D154" s="44"/>
      <c r="E154" s="45"/>
      <c r="F154" s="25"/>
      <c r="G154" s="25"/>
      <c r="H154" s="44"/>
      <c r="I154" s="45"/>
      <c r="J154" s="25"/>
      <c r="K154" s="25"/>
      <c r="L154" s="44"/>
      <c r="M154" s="45"/>
      <c r="N154" s="25"/>
      <c r="O154" s="25"/>
      <c r="P154" s="44"/>
      <c r="Q154" s="45"/>
      <c r="R154" s="25"/>
      <c r="S154" s="25"/>
      <c r="T154" s="25"/>
      <c r="U154" s="25"/>
      <c r="V154" s="68"/>
    </row>
    <row r="155" spans="1:43" ht="15.6" customHeight="1" x14ac:dyDescent="0.25">
      <c r="A155" s="5"/>
      <c r="B155" s="105"/>
      <c r="C155" s="106"/>
      <c r="D155" s="108"/>
      <c r="E155" s="106"/>
      <c r="F155" s="105"/>
      <c r="G155" s="106"/>
      <c r="H155" s="108"/>
      <c r="I155" s="106"/>
      <c r="J155" s="105"/>
      <c r="K155" s="106"/>
      <c r="L155" s="108"/>
      <c r="M155" s="106"/>
      <c r="N155" s="105"/>
      <c r="O155" s="106"/>
      <c r="P155" s="108"/>
      <c r="Q155" s="106"/>
      <c r="R155" s="85"/>
      <c r="S155" s="85"/>
      <c r="T155" s="85"/>
      <c r="U155" s="85"/>
      <c r="V155" s="27"/>
      <c r="W155" s="69"/>
      <c r="X155" s="109"/>
      <c r="Y155" s="109"/>
      <c r="Z155" s="109"/>
      <c r="AA155" s="109"/>
      <c r="AB155" s="109"/>
      <c r="AC155" s="109"/>
      <c r="AD155" s="109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09"/>
    </row>
    <row r="156" spans="1:43" ht="15.6" customHeight="1" thickBot="1" x14ac:dyDescent="0.3">
      <c r="A156" s="5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  <c r="R156" s="110"/>
      <c r="S156" s="110"/>
      <c r="T156" s="110"/>
      <c r="U156" s="110"/>
      <c r="V156" s="27"/>
      <c r="W156" s="69"/>
      <c r="X156" s="109"/>
      <c r="Y156" s="109"/>
      <c r="Z156" s="109"/>
      <c r="AA156" s="109"/>
      <c r="AB156" s="109"/>
      <c r="AC156" s="109"/>
      <c r="AD156" s="109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09"/>
    </row>
    <row r="157" spans="1:43" x14ac:dyDescent="0.25">
      <c r="A157" s="5"/>
      <c r="B157" s="100"/>
      <c r="C157" s="101"/>
      <c r="D157" s="102"/>
      <c r="E157" s="103"/>
      <c r="F157" s="100"/>
      <c r="G157" s="101"/>
      <c r="H157" s="102"/>
      <c r="I157" s="103"/>
      <c r="J157" s="100"/>
      <c r="K157" s="101"/>
      <c r="L157" s="102"/>
      <c r="M157" s="103"/>
      <c r="N157" s="100"/>
      <c r="O157" s="101"/>
      <c r="P157" s="102"/>
      <c r="Q157" s="103"/>
      <c r="R157" s="63"/>
      <c r="S157" s="63"/>
      <c r="T157" s="63"/>
      <c r="U157" s="63"/>
      <c r="V157" s="27"/>
    </row>
    <row r="158" spans="1:43" x14ac:dyDescent="0.25">
      <c r="A158" s="5"/>
      <c r="B158" s="5"/>
      <c r="C158" s="5"/>
      <c r="D158" s="39"/>
      <c r="E158" s="39"/>
      <c r="F158" s="5"/>
      <c r="G158" s="5"/>
      <c r="H158" s="39"/>
      <c r="I158" s="39"/>
      <c r="J158" s="5"/>
      <c r="K158" s="5"/>
      <c r="L158" s="39"/>
      <c r="M158" s="39"/>
      <c r="N158" s="5"/>
      <c r="O158" s="5"/>
      <c r="P158" s="39"/>
      <c r="Q158" s="39"/>
      <c r="R158" s="5"/>
      <c r="S158" s="5"/>
      <c r="T158" s="5"/>
      <c r="U158" s="5"/>
      <c r="V158" s="5"/>
    </row>
    <row r="159" spans="1:43" x14ac:dyDescent="0.25">
      <c r="A159" s="5"/>
      <c r="B159" s="5"/>
      <c r="C159" s="5"/>
      <c r="D159" s="39"/>
      <c r="E159" s="64" t="s">
        <v>11</v>
      </c>
      <c r="F159" s="104" t="s">
        <v>12</v>
      </c>
      <c r="G159" s="104"/>
      <c r="H159" s="104"/>
      <c r="I159" s="104" t="s">
        <v>41</v>
      </c>
      <c r="J159" s="104"/>
      <c r="K159" s="5"/>
      <c r="L159" s="39"/>
      <c r="M159" s="39"/>
      <c r="N159" s="5"/>
      <c r="O159" s="63" t="s">
        <v>13</v>
      </c>
      <c r="P159" s="39" t="s">
        <v>14</v>
      </c>
      <c r="Q159" s="39"/>
      <c r="R159" s="5"/>
      <c r="S159" s="5" t="s">
        <v>43</v>
      </c>
      <c r="T159" s="5"/>
      <c r="U159" s="5"/>
      <c r="V159" s="5"/>
    </row>
    <row r="160" spans="1:43" x14ac:dyDescent="0.25">
      <c r="A160" s="5"/>
      <c r="B160" s="5"/>
      <c r="C160" s="5"/>
      <c r="D160" s="39"/>
      <c r="E160" s="64" t="s">
        <v>15</v>
      </c>
      <c r="F160" s="104" t="s">
        <v>16</v>
      </c>
      <c r="G160" s="104"/>
      <c r="H160" s="104"/>
      <c r="I160" s="39" t="s">
        <v>42</v>
      </c>
      <c r="J160" s="5"/>
      <c r="K160" s="5"/>
      <c r="L160" s="39"/>
      <c r="M160" s="39"/>
      <c r="N160" s="5"/>
      <c r="O160" s="63" t="s">
        <v>18</v>
      </c>
      <c r="P160" s="39" t="s">
        <v>14</v>
      </c>
      <c r="Q160" s="39"/>
      <c r="R160" s="5"/>
      <c r="S160" s="5" t="s">
        <v>17</v>
      </c>
      <c r="T160" s="5"/>
      <c r="U160" s="5"/>
      <c r="V160" s="5"/>
    </row>
    <row r="161" spans="1:43" x14ac:dyDescent="0.25">
      <c r="A161" s="65" t="s">
        <v>69</v>
      </c>
      <c r="B161" s="65"/>
      <c r="C161" s="65"/>
      <c r="D161" s="77"/>
      <c r="E161" s="78"/>
      <c r="F161" s="65"/>
      <c r="G161" s="65"/>
      <c r="H161" s="77"/>
      <c r="I161" s="77"/>
      <c r="J161" s="65"/>
      <c r="K161" s="65"/>
      <c r="L161" s="77"/>
      <c r="M161" s="77"/>
      <c r="N161" s="65"/>
      <c r="O161" s="65"/>
      <c r="P161" s="77"/>
      <c r="Q161" s="77"/>
      <c r="R161" s="65"/>
      <c r="S161" s="65"/>
      <c r="T161" s="65"/>
      <c r="U161" s="65"/>
      <c r="V161" s="65"/>
    </row>
    <row r="162" spans="1:43" ht="18.75" x14ac:dyDescent="0.3">
      <c r="A162" s="5"/>
      <c r="B162" s="5"/>
      <c r="C162" s="5"/>
      <c r="D162" s="39"/>
      <c r="E162" s="40" t="s">
        <v>7</v>
      </c>
      <c r="F162" s="5"/>
      <c r="G162" s="7"/>
      <c r="H162" s="51"/>
      <c r="I162" s="51"/>
      <c r="J162" s="7"/>
      <c r="K162" s="7"/>
      <c r="L162" s="51"/>
      <c r="M162" s="52" t="s">
        <v>8</v>
      </c>
      <c r="N162" s="114" t="s">
        <v>68</v>
      </c>
      <c r="O162" s="115"/>
      <c r="P162" s="39"/>
      <c r="Q162" s="39"/>
      <c r="R162" s="5"/>
      <c r="S162" s="5"/>
      <c r="T162" s="5"/>
      <c r="U162" s="5"/>
      <c r="V162" s="5"/>
    </row>
    <row r="163" spans="1:43" ht="18.75" x14ac:dyDescent="0.3">
      <c r="A163" s="5"/>
      <c r="B163" s="5"/>
      <c r="C163" s="5"/>
      <c r="D163" s="39"/>
      <c r="E163" s="40" t="s">
        <v>35</v>
      </c>
      <c r="F163" s="5"/>
      <c r="G163" s="5"/>
      <c r="H163" s="39"/>
      <c r="I163" s="39"/>
      <c r="J163" s="9"/>
      <c r="K163" s="9"/>
      <c r="L163" s="53"/>
      <c r="M163" s="52" t="s">
        <v>9</v>
      </c>
      <c r="N163" s="116" t="str">
        <f>N162&amp;".1"</f>
        <v>1.3.1</v>
      </c>
      <c r="O163" s="116"/>
      <c r="P163" s="39"/>
      <c r="Q163" s="39"/>
      <c r="R163" s="5"/>
      <c r="S163" s="5"/>
      <c r="T163" s="5"/>
      <c r="U163" s="5"/>
      <c r="V163" s="5"/>
    </row>
    <row r="164" spans="1:43" ht="18.75" x14ac:dyDescent="0.3">
      <c r="A164" s="5"/>
      <c r="B164" s="5"/>
      <c r="C164" s="5"/>
      <c r="D164" s="39"/>
      <c r="E164" s="39" t="s">
        <v>36</v>
      </c>
      <c r="F164" s="5"/>
      <c r="G164" s="5"/>
      <c r="H164" s="51"/>
      <c r="I164" s="51"/>
      <c r="J164" s="7"/>
      <c r="K164" s="7"/>
      <c r="L164" s="51"/>
      <c r="M164" s="54" t="s">
        <v>9</v>
      </c>
      <c r="N164" s="11">
        <v>1</v>
      </c>
      <c r="O164" s="5"/>
      <c r="P164" s="39"/>
      <c r="Q164" s="39"/>
      <c r="R164" s="5"/>
      <c r="S164" s="5"/>
      <c r="T164" s="5"/>
      <c r="U164" s="5"/>
      <c r="V164" s="5"/>
    </row>
    <row r="165" spans="1:43" ht="18.75" x14ac:dyDescent="0.3">
      <c r="A165" s="5"/>
      <c r="B165" s="5"/>
      <c r="C165" s="5"/>
      <c r="D165" s="39"/>
      <c r="E165" s="39" t="s">
        <v>5</v>
      </c>
      <c r="F165" s="5"/>
      <c r="G165" s="5"/>
      <c r="H165" s="39"/>
      <c r="I165" s="39"/>
      <c r="J165" s="5"/>
      <c r="K165" s="5"/>
      <c r="L165" s="53"/>
      <c r="M165" s="54" t="s">
        <v>9</v>
      </c>
      <c r="N165" s="11" t="str">
        <f>"-"&amp;N163</f>
        <v>-1.3.1</v>
      </c>
      <c r="O165" s="12"/>
      <c r="P165" s="39"/>
      <c r="Q165" s="39"/>
      <c r="R165" s="5"/>
      <c r="S165" s="5"/>
      <c r="T165" s="5"/>
      <c r="U165" s="5"/>
      <c r="V165" s="5"/>
    </row>
    <row r="166" spans="1:43" ht="18.75" x14ac:dyDescent="0.3">
      <c r="A166" s="5"/>
      <c r="B166" s="5"/>
      <c r="C166" s="5"/>
      <c r="D166" s="39"/>
      <c r="E166" s="41" t="s">
        <v>10</v>
      </c>
      <c r="F166" s="5"/>
      <c r="G166" s="5"/>
      <c r="H166" s="39"/>
      <c r="I166" s="51"/>
      <c r="J166" s="7"/>
      <c r="K166" s="7"/>
      <c r="L166" s="51"/>
      <c r="M166" s="54" t="s">
        <v>9</v>
      </c>
      <c r="N166" s="3">
        <v>9</v>
      </c>
      <c r="O166" s="5"/>
      <c r="P166" s="39"/>
      <c r="Q166" s="39"/>
      <c r="R166" s="5"/>
      <c r="S166" s="5"/>
      <c r="T166" s="5"/>
      <c r="U166" s="5"/>
      <c r="V166" s="5"/>
    </row>
    <row r="167" spans="1:43" ht="15.75" thickBot="1" x14ac:dyDescent="0.3">
      <c r="A167" s="5"/>
      <c r="B167" s="5"/>
      <c r="C167" s="5"/>
      <c r="D167" s="39"/>
      <c r="E167" s="39"/>
      <c r="F167" s="5"/>
      <c r="G167" s="5"/>
      <c r="H167" s="39"/>
      <c r="I167" s="39"/>
      <c r="J167" s="5"/>
      <c r="K167" s="5"/>
      <c r="L167" s="39"/>
      <c r="M167" s="39"/>
      <c r="N167" s="5"/>
      <c r="O167" s="5"/>
      <c r="P167" s="39"/>
      <c r="Q167" s="39"/>
      <c r="R167" s="5"/>
      <c r="S167" s="5"/>
      <c r="T167" s="5"/>
      <c r="U167" s="5"/>
      <c r="V167" s="5"/>
    </row>
    <row r="168" spans="1:43" x14ac:dyDescent="0.25">
      <c r="A168" s="15"/>
      <c r="B168" s="16"/>
      <c r="C168" s="16"/>
      <c r="D168" s="42"/>
      <c r="E168" s="42"/>
      <c r="F168" s="16"/>
      <c r="G168" s="16"/>
      <c r="H168" s="42"/>
      <c r="I168" s="42"/>
      <c r="J168" s="16"/>
      <c r="K168" s="16"/>
      <c r="L168" s="42"/>
      <c r="M168" s="42"/>
      <c r="N168" s="16"/>
      <c r="O168" s="16"/>
      <c r="P168" s="42"/>
      <c r="Q168" s="42"/>
      <c r="R168" s="16"/>
      <c r="S168" s="16"/>
      <c r="T168" s="16"/>
      <c r="U168" s="16"/>
      <c r="V168" s="16"/>
    </row>
    <row r="169" spans="1:43" x14ac:dyDescent="0.25">
      <c r="A169" s="18"/>
      <c r="B169" s="61"/>
      <c r="C169" s="61"/>
      <c r="D169" s="117">
        <v>1</v>
      </c>
      <c r="E169" s="118"/>
      <c r="F169" s="61"/>
      <c r="G169" s="61"/>
      <c r="H169" s="117">
        <v>2</v>
      </c>
      <c r="I169" s="118"/>
      <c r="J169" s="61"/>
      <c r="K169" s="61"/>
      <c r="L169" s="117">
        <v>3</v>
      </c>
      <c r="M169" s="118"/>
      <c r="N169" s="61"/>
      <c r="O169" s="61"/>
      <c r="P169" s="117">
        <v>4</v>
      </c>
      <c r="Q169" s="118"/>
      <c r="R169" s="61"/>
      <c r="S169" s="61"/>
      <c r="T169" s="61"/>
      <c r="U169" s="61"/>
      <c r="V169" s="65"/>
    </row>
    <row r="170" spans="1:43" x14ac:dyDescent="0.25">
      <c r="A170" s="18"/>
      <c r="B170" s="111" t="s">
        <v>6</v>
      </c>
      <c r="C170" s="111"/>
      <c r="D170" s="117" t="s">
        <v>37</v>
      </c>
      <c r="E170" s="118" t="s">
        <v>0</v>
      </c>
      <c r="F170" s="111" t="s">
        <v>6</v>
      </c>
      <c r="G170" s="111"/>
      <c r="H170" s="117" t="s">
        <v>37</v>
      </c>
      <c r="I170" s="118"/>
      <c r="J170" s="111" t="s">
        <v>6</v>
      </c>
      <c r="K170" s="111"/>
      <c r="L170" s="117" t="s">
        <v>37</v>
      </c>
      <c r="M170" s="118"/>
      <c r="N170" s="111" t="s">
        <v>6</v>
      </c>
      <c r="O170" s="111"/>
      <c r="P170" s="117" t="s">
        <v>37</v>
      </c>
      <c r="Q170" s="118"/>
      <c r="R170" s="111"/>
      <c r="S170" s="111"/>
      <c r="T170" s="111"/>
      <c r="U170" s="111"/>
      <c r="V170" s="66"/>
    </row>
    <row r="171" spans="1:43" x14ac:dyDescent="0.25">
      <c r="A171" s="18"/>
      <c r="B171" s="110"/>
      <c r="C171" s="110"/>
      <c r="D171" s="112"/>
      <c r="E171" s="112"/>
      <c r="F171" s="110"/>
      <c r="G171" s="110"/>
      <c r="H171" s="112"/>
      <c r="I171" s="112"/>
      <c r="J171" s="110"/>
      <c r="K171" s="110"/>
      <c r="L171" s="112"/>
      <c r="M171" s="112"/>
      <c r="N171" s="110"/>
      <c r="O171" s="110"/>
      <c r="P171" s="112"/>
      <c r="Q171" s="112"/>
      <c r="R171" s="110"/>
      <c r="S171" s="110"/>
      <c r="T171" s="110"/>
      <c r="U171" s="110"/>
      <c r="V171" s="66"/>
    </row>
    <row r="172" spans="1:43" x14ac:dyDescent="0.25">
      <c r="A172" s="18"/>
      <c r="B172" s="111">
        <v>0</v>
      </c>
      <c r="C172" s="111"/>
      <c r="D172" s="113">
        <v>1</v>
      </c>
      <c r="E172" s="113">
        <v>1</v>
      </c>
      <c r="F172" s="111">
        <v>2</v>
      </c>
      <c r="G172" s="111">
        <v>2</v>
      </c>
      <c r="H172" s="113">
        <v>3</v>
      </c>
      <c r="I172" s="113">
        <v>3</v>
      </c>
      <c r="J172" s="111">
        <v>4</v>
      </c>
      <c r="K172" s="111">
        <v>4</v>
      </c>
      <c r="L172" s="113">
        <v>5</v>
      </c>
      <c r="M172" s="113"/>
      <c r="N172" s="111">
        <v>6</v>
      </c>
      <c r="O172" s="111">
        <v>1</v>
      </c>
      <c r="P172" s="113">
        <v>7</v>
      </c>
      <c r="Q172" s="113">
        <v>2</v>
      </c>
      <c r="R172" s="111">
        <v>8</v>
      </c>
      <c r="S172" s="111">
        <v>3</v>
      </c>
      <c r="T172" s="111">
        <v>9</v>
      </c>
      <c r="U172" s="111">
        <v>4</v>
      </c>
      <c r="V172" s="67"/>
    </row>
    <row r="173" spans="1:43" x14ac:dyDescent="0.25">
      <c r="A173" s="18"/>
      <c r="B173" s="61" t="s">
        <v>1</v>
      </c>
      <c r="C173" s="61" t="s">
        <v>2</v>
      </c>
      <c r="D173" s="62" t="s">
        <v>3</v>
      </c>
      <c r="E173" s="62" t="s">
        <v>4</v>
      </c>
      <c r="F173" s="61" t="s">
        <v>1</v>
      </c>
      <c r="G173" s="61" t="s">
        <v>2</v>
      </c>
      <c r="H173" s="62" t="s">
        <v>3</v>
      </c>
      <c r="I173" s="62" t="s">
        <v>4</v>
      </c>
      <c r="J173" s="61" t="s">
        <v>1</v>
      </c>
      <c r="K173" s="61" t="s">
        <v>2</v>
      </c>
      <c r="L173" s="62" t="s">
        <v>3</v>
      </c>
      <c r="M173" s="62" t="s">
        <v>4</v>
      </c>
      <c r="N173" s="61" t="s">
        <v>1</v>
      </c>
      <c r="O173" s="61" t="s">
        <v>2</v>
      </c>
      <c r="P173" s="62" t="s">
        <v>3</v>
      </c>
      <c r="Q173" s="62" t="s">
        <v>4</v>
      </c>
      <c r="R173" s="61" t="s">
        <v>1</v>
      </c>
      <c r="S173" s="61" t="s">
        <v>2</v>
      </c>
      <c r="T173" s="61" t="s">
        <v>3</v>
      </c>
      <c r="U173" s="61" t="s">
        <v>4</v>
      </c>
      <c r="V173" s="67"/>
    </row>
    <row r="174" spans="1:43" ht="15.75" thickBot="1" x14ac:dyDescent="0.3">
      <c r="A174" s="24"/>
      <c r="B174" s="25"/>
      <c r="C174" s="25"/>
      <c r="D174" s="44"/>
      <c r="E174" s="45"/>
      <c r="F174" s="25"/>
      <c r="G174" s="25"/>
      <c r="H174" s="44"/>
      <c r="I174" s="45"/>
      <c r="J174" s="25"/>
      <c r="K174" s="25"/>
      <c r="L174" s="44"/>
      <c r="M174" s="45"/>
      <c r="N174" s="25"/>
      <c r="O174" s="25"/>
      <c r="P174" s="44"/>
      <c r="Q174" s="45"/>
      <c r="R174" s="25"/>
      <c r="S174" s="25"/>
      <c r="T174" s="25"/>
      <c r="U174" s="25"/>
      <c r="V174" s="68"/>
    </row>
    <row r="175" spans="1:43" ht="15.6" customHeight="1" x14ac:dyDescent="0.25">
      <c r="A175" s="5"/>
      <c r="B175" s="105"/>
      <c r="C175" s="106"/>
      <c r="D175" s="108"/>
      <c r="E175" s="106"/>
      <c r="F175" s="105"/>
      <c r="G175" s="106"/>
      <c r="H175" s="108"/>
      <c r="I175" s="106"/>
      <c r="J175" s="105"/>
      <c r="K175" s="106"/>
      <c r="L175" s="108"/>
      <c r="M175" s="106"/>
      <c r="N175" s="105"/>
      <c r="O175" s="106"/>
      <c r="P175" s="108"/>
      <c r="Q175" s="106"/>
      <c r="R175" s="85"/>
      <c r="S175" s="85"/>
      <c r="T175" s="85"/>
      <c r="U175" s="85"/>
      <c r="V175" s="27"/>
      <c r="W175" s="69"/>
      <c r="X175" s="109"/>
      <c r="Y175" s="109"/>
      <c r="Z175" s="109"/>
      <c r="AA175" s="109"/>
      <c r="AB175" s="109"/>
      <c r="AC175" s="109"/>
      <c r="AD175" s="109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09"/>
    </row>
    <row r="176" spans="1:43" ht="15.6" customHeight="1" thickBot="1" x14ac:dyDescent="0.3">
      <c r="A176" s="5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  <c r="R176" s="110"/>
      <c r="S176" s="110"/>
      <c r="T176" s="110"/>
      <c r="U176" s="110"/>
      <c r="V176" s="27"/>
      <c r="W176" s="69"/>
      <c r="X176" s="109"/>
      <c r="Y176" s="109"/>
      <c r="Z176" s="109"/>
      <c r="AA176" s="109"/>
      <c r="AB176" s="109"/>
      <c r="AC176" s="109"/>
      <c r="AD176" s="109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09"/>
    </row>
    <row r="177" spans="1:22" x14ac:dyDescent="0.25">
      <c r="A177" s="5"/>
      <c r="B177" s="100"/>
      <c r="C177" s="101"/>
      <c r="D177" s="102"/>
      <c r="E177" s="103"/>
      <c r="F177" s="100"/>
      <c r="G177" s="101"/>
      <c r="H177" s="102"/>
      <c r="I177" s="103"/>
      <c r="J177" s="100"/>
      <c r="K177" s="101"/>
      <c r="L177" s="102"/>
      <c r="M177" s="103"/>
      <c r="N177" s="100"/>
      <c r="O177" s="101"/>
      <c r="P177" s="102"/>
      <c r="Q177" s="103"/>
      <c r="R177" s="63"/>
      <c r="S177" s="63"/>
      <c r="T177" s="63"/>
      <c r="U177" s="63"/>
      <c r="V177" s="27"/>
    </row>
    <row r="178" spans="1:22" x14ac:dyDescent="0.25">
      <c r="A178" s="5"/>
      <c r="B178" s="5"/>
      <c r="C178" s="5"/>
      <c r="D178" s="39"/>
      <c r="E178" s="39"/>
      <c r="F178" s="5"/>
      <c r="G178" s="5"/>
      <c r="H178" s="39"/>
      <c r="I178" s="39"/>
      <c r="J178" s="5"/>
      <c r="K178" s="5"/>
      <c r="L178" s="39"/>
      <c r="M178" s="39"/>
      <c r="N178" s="5"/>
      <c r="O178" s="5"/>
      <c r="P178" s="39"/>
      <c r="Q178" s="39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39"/>
      <c r="E179" s="64" t="s">
        <v>11</v>
      </c>
      <c r="F179" s="104" t="s">
        <v>12</v>
      </c>
      <c r="G179" s="104"/>
      <c r="H179" s="104"/>
      <c r="I179" s="104" t="s">
        <v>41</v>
      </c>
      <c r="J179" s="104"/>
      <c r="K179" s="5"/>
      <c r="L179" s="39"/>
      <c r="M179" s="39"/>
      <c r="N179" s="5"/>
      <c r="O179" s="63" t="s">
        <v>13</v>
      </c>
      <c r="P179" s="39" t="s">
        <v>14</v>
      </c>
      <c r="Q179" s="39"/>
      <c r="R179" s="5"/>
      <c r="S179" s="5" t="s">
        <v>43</v>
      </c>
      <c r="T179" s="5"/>
      <c r="U179" s="5"/>
      <c r="V179" s="5"/>
    </row>
    <row r="180" spans="1:22" x14ac:dyDescent="0.25">
      <c r="A180" s="5"/>
      <c r="B180" s="5"/>
      <c r="C180" s="5"/>
      <c r="D180" s="39"/>
      <c r="E180" s="64" t="s">
        <v>15</v>
      </c>
      <c r="F180" s="104" t="s">
        <v>16</v>
      </c>
      <c r="G180" s="104"/>
      <c r="H180" s="104"/>
      <c r="I180" s="39" t="s">
        <v>42</v>
      </c>
      <c r="J180" s="5"/>
      <c r="K180" s="5"/>
      <c r="L180" s="39"/>
      <c r="M180" s="39"/>
      <c r="N180" s="5"/>
      <c r="O180" s="63" t="s">
        <v>18</v>
      </c>
      <c r="P180" s="39" t="s">
        <v>14</v>
      </c>
      <c r="Q180" s="39"/>
      <c r="R180" s="5"/>
      <c r="S180" s="5" t="s">
        <v>17</v>
      </c>
      <c r="T180" s="5"/>
      <c r="U180" s="5"/>
      <c r="V180" s="5"/>
    </row>
    <row r="181" spans="1:22" x14ac:dyDescent="0.25">
      <c r="A181" s="65" t="s">
        <v>69</v>
      </c>
      <c r="B181" s="65"/>
      <c r="C181" s="65"/>
      <c r="D181" s="77"/>
      <c r="E181" s="78"/>
      <c r="F181" s="65"/>
      <c r="G181" s="65"/>
      <c r="H181" s="77"/>
      <c r="I181" s="77"/>
      <c r="J181" s="65"/>
      <c r="K181" s="65"/>
      <c r="L181" s="77"/>
      <c r="M181" s="77"/>
      <c r="N181" s="65"/>
      <c r="O181" s="65"/>
      <c r="P181" s="77"/>
      <c r="Q181" s="77"/>
      <c r="R181" s="65"/>
      <c r="S181" s="65"/>
      <c r="T181" s="65"/>
      <c r="U181" s="65"/>
      <c r="V181" s="65"/>
    </row>
    <row r="182" spans="1:22" ht="18.75" x14ac:dyDescent="0.3">
      <c r="A182" s="5"/>
      <c r="B182" s="5"/>
      <c r="C182" s="5"/>
      <c r="D182" s="39"/>
      <c r="E182" s="40" t="s">
        <v>7</v>
      </c>
      <c r="F182" s="5"/>
      <c r="G182" s="7"/>
      <c r="H182" s="51"/>
      <c r="I182" s="51"/>
      <c r="J182" s="7"/>
      <c r="K182" s="7"/>
      <c r="L182" s="51"/>
      <c r="M182" s="52" t="s">
        <v>8</v>
      </c>
      <c r="N182" s="114" t="s">
        <v>68</v>
      </c>
      <c r="O182" s="115"/>
      <c r="P182" s="39"/>
      <c r="Q182" s="39"/>
      <c r="R182" s="5"/>
      <c r="S182" s="5"/>
      <c r="T182" s="5"/>
      <c r="U182" s="5"/>
      <c r="V182" s="5"/>
    </row>
    <row r="183" spans="1:22" ht="18.75" x14ac:dyDescent="0.3">
      <c r="A183" s="5"/>
      <c r="B183" s="5"/>
      <c r="C183" s="5"/>
      <c r="D183" s="39"/>
      <c r="E183" s="40" t="s">
        <v>35</v>
      </c>
      <c r="F183" s="5"/>
      <c r="G183" s="5"/>
      <c r="H183" s="39"/>
      <c r="I183" s="39"/>
      <c r="J183" s="9"/>
      <c r="K183" s="9"/>
      <c r="L183" s="53"/>
      <c r="M183" s="52" t="s">
        <v>9</v>
      </c>
      <c r="N183" s="116" t="str">
        <f>N182&amp;".1"</f>
        <v>1.3.1</v>
      </c>
      <c r="O183" s="116"/>
      <c r="P183" s="39"/>
      <c r="Q183" s="39"/>
      <c r="R183" s="5"/>
      <c r="S183" s="5"/>
      <c r="T183" s="5"/>
      <c r="U183" s="5"/>
      <c r="V183" s="5"/>
    </row>
    <row r="184" spans="1:22" ht="18.75" x14ac:dyDescent="0.3">
      <c r="A184" s="5"/>
      <c r="B184" s="5"/>
      <c r="C184" s="5"/>
      <c r="D184" s="39"/>
      <c r="E184" s="39" t="s">
        <v>36</v>
      </c>
      <c r="F184" s="5"/>
      <c r="G184" s="5"/>
      <c r="H184" s="51"/>
      <c r="I184" s="51"/>
      <c r="J184" s="7"/>
      <c r="K184" s="7"/>
      <c r="L184" s="51"/>
      <c r="M184" s="54" t="s">
        <v>9</v>
      </c>
      <c r="N184" s="11">
        <v>1</v>
      </c>
      <c r="O184" s="5"/>
      <c r="P184" s="39"/>
      <c r="Q184" s="39"/>
      <c r="R184" s="5"/>
      <c r="S184" s="5"/>
      <c r="T184" s="5"/>
      <c r="U184" s="5"/>
      <c r="V184" s="5"/>
    </row>
    <row r="185" spans="1:22" ht="18.75" x14ac:dyDescent="0.3">
      <c r="A185" s="5"/>
      <c r="B185" s="5"/>
      <c r="C185" s="5"/>
      <c r="D185" s="39"/>
      <c r="E185" s="39" t="s">
        <v>5</v>
      </c>
      <c r="F185" s="5"/>
      <c r="G185" s="5"/>
      <c r="H185" s="39"/>
      <c r="I185" s="39"/>
      <c r="J185" s="5"/>
      <c r="K185" s="5"/>
      <c r="L185" s="53"/>
      <c r="M185" s="54" t="s">
        <v>9</v>
      </c>
      <c r="N185" s="11" t="str">
        <f>"-"&amp;N183</f>
        <v>-1.3.1</v>
      </c>
      <c r="O185" s="12"/>
      <c r="P185" s="39"/>
      <c r="Q185" s="39"/>
      <c r="R185" s="5"/>
      <c r="S185" s="5"/>
      <c r="T185" s="5"/>
      <c r="U185" s="5"/>
      <c r="V185" s="5"/>
    </row>
    <row r="186" spans="1:22" ht="18.75" x14ac:dyDescent="0.3">
      <c r="A186" s="5"/>
      <c r="B186" s="5"/>
      <c r="C186" s="5"/>
      <c r="D186" s="39"/>
      <c r="E186" s="41" t="s">
        <v>10</v>
      </c>
      <c r="F186" s="5"/>
      <c r="G186" s="5"/>
      <c r="H186" s="39"/>
      <c r="I186" s="51"/>
      <c r="J186" s="7"/>
      <c r="K186" s="7"/>
      <c r="L186" s="51"/>
      <c r="M186" s="54" t="s">
        <v>9</v>
      </c>
      <c r="N186" s="3">
        <v>10</v>
      </c>
      <c r="O186" s="5"/>
      <c r="P186" s="39"/>
      <c r="Q186" s="39"/>
      <c r="R186" s="5"/>
      <c r="S186" s="5"/>
      <c r="T186" s="5"/>
      <c r="U186" s="5"/>
      <c r="V186" s="5"/>
    </row>
    <row r="187" spans="1:22" ht="15.75" thickBot="1" x14ac:dyDescent="0.3">
      <c r="A187" s="5"/>
      <c r="B187" s="5"/>
      <c r="C187" s="5"/>
      <c r="D187" s="39"/>
      <c r="E187" s="39"/>
      <c r="F187" s="5"/>
      <c r="G187" s="5"/>
      <c r="H187" s="39"/>
      <c r="I187" s="39"/>
      <c r="J187" s="5"/>
      <c r="K187" s="5"/>
      <c r="L187" s="39"/>
      <c r="M187" s="39"/>
      <c r="N187" s="5"/>
      <c r="O187" s="5"/>
      <c r="P187" s="39"/>
      <c r="Q187" s="39"/>
      <c r="R187" s="5"/>
      <c r="S187" s="5"/>
      <c r="T187" s="5"/>
      <c r="U187" s="5"/>
      <c r="V187" s="5"/>
    </row>
    <row r="188" spans="1:22" x14ac:dyDescent="0.25">
      <c r="A188" s="15"/>
      <c r="B188" s="16"/>
      <c r="C188" s="16"/>
      <c r="D188" s="42"/>
      <c r="E188" s="42"/>
      <c r="F188" s="16"/>
      <c r="G188" s="16"/>
      <c r="H188" s="42"/>
      <c r="I188" s="42"/>
      <c r="J188" s="16"/>
      <c r="K188" s="16"/>
      <c r="L188" s="42"/>
      <c r="M188" s="42"/>
      <c r="N188" s="16"/>
      <c r="O188" s="16"/>
      <c r="P188" s="42"/>
      <c r="Q188" s="42"/>
      <c r="R188" s="16"/>
      <c r="S188" s="16"/>
      <c r="T188" s="16"/>
      <c r="U188" s="16"/>
      <c r="V188" s="16"/>
    </row>
    <row r="189" spans="1:22" x14ac:dyDescent="0.25">
      <c r="A189" s="18"/>
      <c r="B189" s="61"/>
      <c r="C189" s="61"/>
      <c r="D189" s="117">
        <v>1</v>
      </c>
      <c r="E189" s="118"/>
      <c r="F189" s="61"/>
      <c r="G189" s="61"/>
      <c r="H189" s="117">
        <v>2</v>
      </c>
      <c r="I189" s="118"/>
      <c r="J189" s="61"/>
      <c r="K189" s="61"/>
      <c r="L189" s="117">
        <v>3</v>
      </c>
      <c r="M189" s="118"/>
      <c r="N189" s="61"/>
      <c r="O189" s="61"/>
      <c r="P189" s="117">
        <v>4</v>
      </c>
      <c r="Q189" s="118"/>
      <c r="R189" s="61"/>
      <c r="S189" s="61"/>
      <c r="T189" s="61"/>
      <c r="U189" s="61"/>
      <c r="V189" s="65"/>
    </row>
    <row r="190" spans="1:22" x14ac:dyDescent="0.25">
      <c r="A190" s="18"/>
      <c r="B190" s="111" t="s">
        <v>6</v>
      </c>
      <c r="C190" s="111"/>
      <c r="D190" s="117" t="s">
        <v>37</v>
      </c>
      <c r="E190" s="118" t="s">
        <v>0</v>
      </c>
      <c r="F190" s="111" t="s">
        <v>6</v>
      </c>
      <c r="G190" s="111"/>
      <c r="H190" s="117" t="s">
        <v>37</v>
      </c>
      <c r="I190" s="118"/>
      <c r="J190" s="111" t="s">
        <v>6</v>
      </c>
      <c r="K190" s="111"/>
      <c r="L190" s="117" t="s">
        <v>37</v>
      </c>
      <c r="M190" s="118"/>
      <c r="N190" s="111" t="s">
        <v>6</v>
      </c>
      <c r="O190" s="111"/>
      <c r="P190" s="117" t="s">
        <v>37</v>
      </c>
      <c r="Q190" s="118"/>
      <c r="R190" s="111"/>
      <c r="S190" s="111"/>
      <c r="T190" s="111"/>
      <c r="U190" s="111"/>
      <c r="V190" s="66"/>
    </row>
    <row r="191" spans="1:22" x14ac:dyDescent="0.25">
      <c r="A191" s="18"/>
      <c r="B191" s="110"/>
      <c r="C191" s="110"/>
      <c r="D191" s="112"/>
      <c r="E191" s="112"/>
      <c r="F191" s="110"/>
      <c r="G191" s="110"/>
      <c r="H191" s="112"/>
      <c r="I191" s="112"/>
      <c r="J191" s="110"/>
      <c r="K191" s="110"/>
      <c r="L191" s="112"/>
      <c r="M191" s="112"/>
      <c r="N191" s="110"/>
      <c r="O191" s="110"/>
      <c r="P191" s="112"/>
      <c r="Q191" s="112"/>
      <c r="R191" s="110"/>
      <c r="S191" s="110"/>
      <c r="T191" s="110"/>
      <c r="U191" s="110"/>
      <c r="V191" s="66"/>
    </row>
    <row r="192" spans="1:22" x14ac:dyDescent="0.25">
      <c r="A192" s="18"/>
      <c r="B192" s="111">
        <v>0</v>
      </c>
      <c r="C192" s="111"/>
      <c r="D192" s="113">
        <v>1</v>
      </c>
      <c r="E192" s="113">
        <v>1</v>
      </c>
      <c r="F192" s="111">
        <v>2</v>
      </c>
      <c r="G192" s="111">
        <v>2</v>
      </c>
      <c r="H192" s="113">
        <v>3</v>
      </c>
      <c r="I192" s="113">
        <v>3</v>
      </c>
      <c r="J192" s="111">
        <v>4</v>
      </c>
      <c r="K192" s="111">
        <v>4</v>
      </c>
      <c r="L192" s="113">
        <v>5</v>
      </c>
      <c r="M192" s="113"/>
      <c r="N192" s="111">
        <v>6</v>
      </c>
      <c r="O192" s="111">
        <v>1</v>
      </c>
      <c r="P192" s="113">
        <v>7</v>
      </c>
      <c r="Q192" s="113">
        <v>2</v>
      </c>
      <c r="R192" s="111">
        <v>8</v>
      </c>
      <c r="S192" s="111">
        <v>3</v>
      </c>
      <c r="T192" s="111">
        <v>9</v>
      </c>
      <c r="U192" s="111">
        <v>4</v>
      </c>
      <c r="V192" s="67"/>
    </row>
    <row r="193" spans="1:43" x14ac:dyDescent="0.25">
      <c r="A193" s="18"/>
      <c r="B193" s="61" t="s">
        <v>1</v>
      </c>
      <c r="C193" s="61" t="s">
        <v>2</v>
      </c>
      <c r="D193" s="62" t="s">
        <v>3</v>
      </c>
      <c r="E193" s="62" t="s">
        <v>4</v>
      </c>
      <c r="F193" s="61" t="s">
        <v>1</v>
      </c>
      <c r="G193" s="61" t="s">
        <v>2</v>
      </c>
      <c r="H193" s="62" t="s">
        <v>3</v>
      </c>
      <c r="I193" s="62" t="s">
        <v>4</v>
      </c>
      <c r="J193" s="61" t="s">
        <v>1</v>
      </c>
      <c r="K193" s="61" t="s">
        <v>2</v>
      </c>
      <c r="L193" s="62" t="s">
        <v>3</v>
      </c>
      <c r="M193" s="62" t="s">
        <v>4</v>
      </c>
      <c r="N193" s="61" t="s">
        <v>1</v>
      </c>
      <c r="O193" s="61" t="s">
        <v>2</v>
      </c>
      <c r="P193" s="62" t="s">
        <v>3</v>
      </c>
      <c r="Q193" s="62" t="s">
        <v>4</v>
      </c>
      <c r="R193" s="61" t="s">
        <v>1</v>
      </c>
      <c r="S193" s="61" t="s">
        <v>2</v>
      </c>
      <c r="T193" s="61" t="s">
        <v>3</v>
      </c>
      <c r="U193" s="61" t="s">
        <v>4</v>
      </c>
      <c r="V193" s="67"/>
    </row>
    <row r="194" spans="1:43" ht="15.75" thickBot="1" x14ac:dyDescent="0.3">
      <c r="A194" s="24"/>
      <c r="B194" s="25"/>
      <c r="C194" s="25"/>
      <c r="D194" s="44"/>
      <c r="E194" s="45"/>
      <c r="F194" s="25"/>
      <c r="G194" s="25"/>
      <c r="H194" s="44"/>
      <c r="I194" s="45"/>
      <c r="J194" s="25"/>
      <c r="K194" s="25"/>
      <c r="L194" s="44"/>
      <c r="M194" s="45"/>
      <c r="N194" s="25"/>
      <c r="O194" s="25"/>
      <c r="P194" s="44"/>
      <c r="Q194" s="45"/>
      <c r="R194" s="25"/>
      <c r="S194" s="25"/>
      <c r="T194" s="25"/>
      <c r="U194" s="25"/>
      <c r="V194" s="68"/>
    </row>
    <row r="195" spans="1:43" ht="15.6" customHeight="1" x14ac:dyDescent="0.25">
      <c r="A195" s="5"/>
      <c r="B195" s="105"/>
      <c r="C195" s="106"/>
      <c r="D195" s="108"/>
      <c r="E195" s="106"/>
      <c r="F195" s="105"/>
      <c r="G195" s="106"/>
      <c r="H195" s="108"/>
      <c r="I195" s="106"/>
      <c r="J195" s="105"/>
      <c r="K195" s="106"/>
      <c r="L195" s="108"/>
      <c r="M195" s="106"/>
      <c r="N195" s="105"/>
      <c r="O195" s="106"/>
      <c r="P195" s="108"/>
      <c r="Q195" s="106"/>
      <c r="R195" s="85"/>
      <c r="S195" s="85"/>
      <c r="T195" s="85"/>
      <c r="U195" s="85"/>
      <c r="V195" s="27"/>
      <c r="W195" s="69"/>
      <c r="X195" s="109"/>
      <c r="Y195" s="109"/>
      <c r="Z195" s="109"/>
      <c r="AA195" s="109"/>
      <c r="AB195" s="109"/>
      <c r="AC195" s="109"/>
      <c r="AD195" s="109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09"/>
    </row>
    <row r="196" spans="1:43" ht="15.6" customHeight="1" thickBot="1" x14ac:dyDescent="0.3">
      <c r="A196" s="5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  <c r="R196" s="110"/>
      <c r="S196" s="110"/>
      <c r="T196" s="110"/>
      <c r="U196" s="110"/>
      <c r="V196" s="27"/>
      <c r="W196" s="69"/>
      <c r="X196" s="109"/>
      <c r="Y196" s="109"/>
      <c r="Z196" s="109"/>
      <c r="AA196" s="109"/>
      <c r="AB196" s="109"/>
      <c r="AC196" s="109"/>
      <c r="AD196" s="109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09"/>
    </row>
    <row r="197" spans="1:43" x14ac:dyDescent="0.25">
      <c r="A197" s="5"/>
      <c r="B197" s="100"/>
      <c r="C197" s="101"/>
      <c r="D197" s="102"/>
      <c r="E197" s="103"/>
      <c r="F197" s="100"/>
      <c r="G197" s="101"/>
      <c r="H197" s="102"/>
      <c r="I197" s="103"/>
      <c r="J197" s="100"/>
      <c r="K197" s="101"/>
      <c r="L197" s="102"/>
      <c r="M197" s="103"/>
      <c r="N197" s="100"/>
      <c r="O197" s="101"/>
      <c r="P197" s="102"/>
      <c r="Q197" s="103"/>
      <c r="R197" s="63"/>
      <c r="S197" s="63"/>
      <c r="T197" s="63"/>
      <c r="U197" s="63"/>
      <c r="V197" s="27"/>
    </row>
    <row r="198" spans="1:43" x14ac:dyDescent="0.25">
      <c r="A198" s="5"/>
      <c r="B198" s="5"/>
      <c r="C198" s="5"/>
      <c r="D198" s="39"/>
      <c r="E198" s="39"/>
      <c r="F198" s="5"/>
      <c r="G198" s="5"/>
      <c r="H198" s="39"/>
      <c r="I198" s="39"/>
      <c r="J198" s="5"/>
      <c r="K198" s="5"/>
      <c r="L198" s="39"/>
      <c r="M198" s="39"/>
      <c r="N198" s="5"/>
      <c r="O198" s="5"/>
      <c r="P198" s="39"/>
      <c r="Q198" s="39"/>
      <c r="R198" s="5"/>
      <c r="S198" s="5"/>
      <c r="T198" s="5"/>
      <c r="U198" s="5"/>
      <c r="V198" s="5"/>
    </row>
    <row r="199" spans="1:43" x14ac:dyDescent="0.25">
      <c r="A199" s="5"/>
      <c r="B199" s="5"/>
      <c r="C199" s="5"/>
      <c r="D199" s="39"/>
      <c r="E199" s="64" t="s">
        <v>11</v>
      </c>
      <c r="F199" s="104" t="s">
        <v>12</v>
      </c>
      <c r="G199" s="104"/>
      <c r="H199" s="104"/>
      <c r="I199" s="104" t="s">
        <v>41</v>
      </c>
      <c r="J199" s="104"/>
      <c r="K199" s="5"/>
      <c r="L199" s="39"/>
      <c r="M199" s="39"/>
      <c r="N199" s="5"/>
      <c r="O199" s="63" t="s">
        <v>13</v>
      </c>
      <c r="P199" s="39" t="s">
        <v>14</v>
      </c>
      <c r="Q199" s="39"/>
      <c r="R199" s="5"/>
      <c r="S199" s="5" t="s">
        <v>43</v>
      </c>
      <c r="T199" s="5"/>
      <c r="U199" s="5"/>
      <c r="V199" s="5"/>
    </row>
    <row r="200" spans="1:43" x14ac:dyDescent="0.25">
      <c r="A200" s="5"/>
      <c r="B200" s="5"/>
      <c r="C200" s="5"/>
      <c r="D200" s="39"/>
      <c r="E200" s="64" t="s">
        <v>15</v>
      </c>
      <c r="F200" s="104" t="s">
        <v>16</v>
      </c>
      <c r="G200" s="104"/>
      <c r="H200" s="104"/>
      <c r="I200" s="39" t="s">
        <v>42</v>
      </c>
      <c r="J200" s="5"/>
      <c r="K200" s="5"/>
      <c r="L200" s="39"/>
      <c r="M200" s="39"/>
      <c r="N200" s="5"/>
      <c r="O200" s="63" t="s">
        <v>18</v>
      </c>
      <c r="P200" s="39" t="s">
        <v>14</v>
      </c>
      <c r="Q200" s="39"/>
      <c r="R200" s="5"/>
      <c r="S200" s="5" t="s">
        <v>17</v>
      </c>
      <c r="T200" s="5"/>
      <c r="U200" s="5"/>
      <c r="V200" s="5"/>
    </row>
    <row r="201" spans="1:43" x14ac:dyDescent="0.25">
      <c r="A201" s="65" t="s">
        <v>69</v>
      </c>
      <c r="B201" s="65"/>
      <c r="C201" s="65"/>
      <c r="D201" s="77"/>
      <c r="E201" s="78"/>
      <c r="F201" s="65"/>
      <c r="G201" s="65"/>
      <c r="H201" s="77"/>
      <c r="I201" s="77"/>
      <c r="J201" s="65"/>
      <c r="K201" s="65"/>
      <c r="L201" s="77"/>
      <c r="M201" s="77"/>
      <c r="N201" s="65"/>
      <c r="O201" s="65"/>
      <c r="P201" s="77"/>
      <c r="Q201" s="77"/>
      <c r="R201" s="65"/>
      <c r="S201" s="65"/>
      <c r="T201" s="65"/>
      <c r="U201" s="65"/>
      <c r="V201" s="65"/>
    </row>
    <row r="202" spans="1:43" ht="18.75" x14ac:dyDescent="0.3">
      <c r="A202" s="5"/>
      <c r="B202" s="5"/>
      <c r="C202" s="5"/>
      <c r="D202" s="39"/>
      <c r="E202" s="40" t="s">
        <v>7</v>
      </c>
      <c r="F202" s="5"/>
      <c r="G202" s="7"/>
      <c r="H202" s="51"/>
      <c r="I202" s="51"/>
      <c r="J202" s="7"/>
      <c r="K202" s="7"/>
      <c r="L202" s="51"/>
      <c r="M202" s="52" t="s">
        <v>8</v>
      </c>
      <c r="N202" s="114" t="s">
        <v>68</v>
      </c>
      <c r="O202" s="115"/>
      <c r="P202" s="39"/>
      <c r="Q202" s="39"/>
      <c r="R202" s="5"/>
      <c r="S202" s="5"/>
      <c r="T202" s="5"/>
      <c r="U202" s="5"/>
      <c r="V202" s="5"/>
    </row>
    <row r="203" spans="1:43" ht="18.75" x14ac:dyDescent="0.3">
      <c r="A203" s="5"/>
      <c r="B203" s="5"/>
      <c r="C203" s="5"/>
      <c r="D203" s="39"/>
      <c r="E203" s="40" t="s">
        <v>35</v>
      </c>
      <c r="F203" s="5"/>
      <c r="G203" s="5"/>
      <c r="H203" s="39"/>
      <c r="I203" s="39"/>
      <c r="J203" s="9"/>
      <c r="K203" s="9"/>
      <c r="L203" s="53"/>
      <c r="M203" s="52" t="s">
        <v>9</v>
      </c>
      <c r="N203" s="116" t="str">
        <f>N202&amp;".1"</f>
        <v>1.3.1</v>
      </c>
      <c r="O203" s="116"/>
      <c r="P203" s="39"/>
      <c r="Q203" s="39"/>
      <c r="R203" s="5"/>
      <c r="S203" s="5"/>
      <c r="T203" s="5"/>
      <c r="U203" s="5"/>
      <c r="V203" s="5"/>
    </row>
    <row r="204" spans="1:43" ht="18.75" x14ac:dyDescent="0.3">
      <c r="A204" s="5"/>
      <c r="B204" s="5"/>
      <c r="C204" s="5"/>
      <c r="D204" s="39"/>
      <c r="E204" s="39" t="s">
        <v>36</v>
      </c>
      <c r="F204" s="5"/>
      <c r="G204" s="5"/>
      <c r="H204" s="51"/>
      <c r="I204" s="51"/>
      <c r="J204" s="7"/>
      <c r="K204" s="7"/>
      <c r="L204" s="51"/>
      <c r="M204" s="54" t="s">
        <v>9</v>
      </c>
      <c r="N204" s="11">
        <v>1</v>
      </c>
      <c r="O204" s="5"/>
      <c r="P204" s="39"/>
      <c r="Q204" s="39"/>
      <c r="R204" s="5"/>
      <c r="S204" s="5"/>
      <c r="T204" s="5"/>
      <c r="U204" s="5"/>
      <c r="V204" s="5"/>
    </row>
    <row r="205" spans="1:43" ht="18.75" x14ac:dyDescent="0.3">
      <c r="A205" s="5"/>
      <c r="B205" s="5"/>
      <c r="C205" s="5"/>
      <c r="D205" s="39"/>
      <c r="E205" s="39" t="s">
        <v>5</v>
      </c>
      <c r="F205" s="5"/>
      <c r="G205" s="5"/>
      <c r="H205" s="39"/>
      <c r="I205" s="39"/>
      <c r="J205" s="5"/>
      <c r="K205" s="5"/>
      <c r="L205" s="53"/>
      <c r="M205" s="54" t="s">
        <v>9</v>
      </c>
      <c r="N205" s="11" t="str">
        <f>"-"&amp;N203</f>
        <v>-1.3.1</v>
      </c>
      <c r="O205" s="12"/>
      <c r="P205" s="39"/>
      <c r="Q205" s="39"/>
      <c r="R205" s="5"/>
      <c r="S205" s="5"/>
      <c r="T205" s="5"/>
      <c r="U205" s="5"/>
      <c r="V205" s="5"/>
    </row>
    <row r="206" spans="1:43" ht="18.75" x14ac:dyDescent="0.3">
      <c r="A206" s="5"/>
      <c r="B206" s="5"/>
      <c r="C206" s="5"/>
      <c r="D206" s="39"/>
      <c r="E206" s="41" t="s">
        <v>10</v>
      </c>
      <c r="F206" s="5"/>
      <c r="G206" s="5"/>
      <c r="H206" s="39"/>
      <c r="I206" s="51"/>
      <c r="J206" s="7"/>
      <c r="K206" s="7"/>
      <c r="L206" s="51"/>
      <c r="M206" s="54" t="s">
        <v>9</v>
      </c>
      <c r="N206" s="3">
        <v>11</v>
      </c>
      <c r="O206" s="5"/>
      <c r="P206" s="39"/>
      <c r="Q206" s="39"/>
      <c r="R206" s="5"/>
      <c r="S206" s="5"/>
      <c r="T206" s="5"/>
      <c r="U206" s="5"/>
      <c r="V206" s="5"/>
    </row>
    <row r="207" spans="1:43" ht="15.75" thickBot="1" x14ac:dyDescent="0.3">
      <c r="A207" s="5"/>
      <c r="B207" s="5"/>
      <c r="C207" s="5"/>
      <c r="D207" s="39"/>
      <c r="E207" s="39"/>
      <c r="F207" s="5"/>
      <c r="G207" s="5"/>
      <c r="H207" s="39"/>
      <c r="I207" s="39"/>
      <c r="J207" s="5"/>
      <c r="K207" s="5"/>
      <c r="L207" s="39"/>
      <c r="M207" s="39"/>
      <c r="N207" s="5"/>
      <c r="O207" s="5"/>
      <c r="P207" s="39"/>
      <c r="Q207" s="39"/>
      <c r="R207" s="5"/>
      <c r="S207" s="5"/>
      <c r="T207" s="5"/>
      <c r="U207" s="5"/>
      <c r="V207" s="5"/>
    </row>
    <row r="208" spans="1:43" x14ac:dyDescent="0.25">
      <c r="A208" s="15"/>
      <c r="B208" s="16"/>
      <c r="C208" s="16"/>
      <c r="D208" s="42"/>
      <c r="E208" s="42"/>
      <c r="F208" s="16"/>
      <c r="G208" s="16"/>
      <c r="H208" s="42"/>
      <c r="I208" s="42"/>
      <c r="J208" s="16"/>
      <c r="K208" s="16"/>
      <c r="L208" s="42"/>
      <c r="M208" s="42"/>
      <c r="N208" s="16"/>
      <c r="O208" s="16"/>
      <c r="P208" s="42"/>
      <c r="Q208" s="42"/>
      <c r="R208" s="16"/>
      <c r="S208" s="16"/>
      <c r="T208" s="16"/>
      <c r="U208" s="16"/>
      <c r="V208" s="16"/>
    </row>
    <row r="209" spans="1:43" x14ac:dyDescent="0.25">
      <c r="A209" s="18"/>
      <c r="B209" s="61"/>
      <c r="C209" s="61"/>
      <c r="D209" s="117">
        <v>1</v>
      </c>
      <c r="E209" s="118"/>
      <c r="F209" s="61"/>
      <c r="G209" s="61"/>
      <c r="H209" s="117">
        <v>2</v>
      </c>
      <c r="I209" s="118"/>
      <c r="J209" s="61"/>
      <c r="K209" s="61"/>
      <c r="L209" s="117">
        <v>3</v>
      </c>
      <c r="M209" s="118"/>
      <c r="N209" s="61"/>
      <c r="O209" s="61"/>
      <c r="P209" s="117">
        <v>4</v>
      </c>
      <c r="Q209" s="118"/>
      <c r="R209" s="61"/>
      <c r="S209" s="61"/>
      <c r="T209" s="61"/>
      <c r="U209" s="61"/>
      <c r="V209" s="65"/>
    </row>
    <row r="210" spans="1:43" x14ac:dyDescent="0.25">
      <c r="A210" s="18"/>
      <c r="B210" s="111" t="s">
        <v>6</v>
      </c>
      <c r="C210" s="111"/>
      <c r="D210" s="117" t="s">
        <v>37</v>
      </c>
      <c r="E210" s="118" t="s">
        <v>0</v>
      </c>
      <c r="F210" s="111" t="s">
        <v>6</v>
      </c>
      <c r="G210" s="111"/>
      <c r="H210" s="117" t="s">
        <v>37</v>
      </c>
      <c r="I210" s="118"/>
      <c r="J210" s="111" t="s">
        <v>6</v>
      </c>
      <c r="K210" s="111"/>
      <c r="L210" s="117" t="s">
        <v>37</v>
      </c>
      <c r="M210" s="118"/>
      <c r="N210" s="111" t="s">
        <v>6</v>
      </c>
      <c r="O210" s="111"/>
      <c r="P210" s="117" t="s">
        <v>37</v>
      </c>
      <c r="Q210" s="118"/>
      <c r="R210" s="111"/>
      <c r="S210" s="111"/>
      <c r="T210" s="111"/>
      <c r="U210" s="111"/>
      <c r="V210" s="66"/>
    </row>
    <row r="211" spans="1:43" x14ac:dyDescent="0.25">
      <c r="A211" s="18"/>
      <c r="B211" s="110"/>
      <c r="C211" s="110"/>
      <c r="D211" s="112"/>
      <c r="E211" s="112"/>
      <c r="F211" s="110"/>
      <c r="G211" s="110"/>
      <c r="H211" s="112"/>
      <c r="I211" s="112"/>
      <c r="J211" s="110"/>
      <c r="K211" s="110"/>
      <c r="L211" s="112"/>
      <c r="M211" s="112"/>
      <c r="N211" s="110"/>
      <c r="O211" s="110"/>
      <c r="P211" s="112"/>
      <c r="Q211" s="112"/>
      <c r="R211" s="110"/>
      <c r="S211" s="110"/>
      <c r="T211" s="110"/>
      <c r="U211" s="110"/>
      <c r="V211" s="66"/>
    </row>
    <row r="212" spans="1:43" x14ac:dyDescent="0.25">
      <c r="A212" s="18"/>
      <c r="B212" s="111">
        <v>0</v>
      </c>
      <c r="C212" s="111"/>
      <c r="D212" s="113">
        <v>1</v>
      </c>
      <c r="E212" s="113">
        <v>1</v>
      </c>
      <c r="F212" s="111">
        <v>2</v>
      </c>
      <c r="G212" s="111">
        <v>2</v>
      </c>
      <c r="H212" s="113">
        <v>3</v>
      </c>
      <c r="I212" s="113">
        <v>3</v>
      </c>
      <c r="J212" s="111">
        <v>4</v>
      </c>
      <c r="K212" s="111">
        <v>4</v>
      </c>
      <c r="L212" s="113">
        <v>5</v>
      </c>
      <c r="M212" s="113"/>
      <c r="N212" s="111">
        <v>6</v>
      </c>
      <c r="O212" s="111">
        <v>1</v>
      </c>
      <c r="P212" s="113">
        <v>7</v>
      </c>
      <c r="Q212" s="113">
        <v>2</v>
      </c>
      <c r="R212" s="111">
        <v>8</v>
      </c>
      <c r="S212" s="111">
        <v>3</v>
      </c>
      <c r="T212" s="111">
        <v>9</v>
      </c>
      <c r="U212" s="111">
        <v>4</v>
      </c>
      <c r="V212" s="67"/>
    </row>
    <row r="213" spans="1:43" x14ac:dyDescent="0.25">
      <c r="A213" s="18"/>
      <c r="B213" s="61" t="s">
        <v>1</v>
      </c>
      <c r="C213" s="61" t="s">
        <v>2</v>
      </c>
      <c r="D213" s="62" t="s">
        <v>3</v>
      </c>
      <c r="E213" s="62" t="s">
        <v>4</v>
      </c>
      <c r="F213" s="61" t="s">
        <v>1</v>
      </c>
      <c r="G213" s="61" t="s">
        <v>2</v>
      </c>
      <c r="H213" s="62" t="s">
        <v>3</v>
      </c>
      <c r="I213" s="62" t="s">
        <v>4</v>
      </c>
      <c r="J213" s="61" t="s">
        <v>1</v>
      </c>
      <c r="K213" s="61" t="s">
        <v>2</v>
      </c>
      <c r="L213" s="62" t="s">
        <v>3</v>
      </c>
      <c r="M213" s="62" t="s">
        <v>4</v>
      </c>
      <c r="N213" s="61" t="s">
        <v>1</v>
      </c>
      <c r="O213" s="61" t="s">
        <v>2</v>
      </c>
      <c r="P213" s="62" t="s">
        <v>3</v>
      </c>
      <c r="Q213" s="62" t="s">
        <v>4</v>
      </c>
      <c r="R213" s="61" t="s">
        <v>1</v>
      </c>
      <c r="S213" s="61" t="s">
        <v>2</v>
      </c>
      <c r="T213" s="61" t="s">
        <v>3</v>
      </c>
      <c r="U213" s="61" t="s">
        <v>4</v>
      </c>
      <c r="V213" s="67"/>
    </row>
    <row r="214" spans="1:43" ht="15.75" thickBot="1" x14ac:dyDescent="0.3">
      <c r="A214" s="24"/>
      <c r="B214" s="25"/>
      <c r="C214" s="25"/>
      <c r="D214" s="44"/>
      <c r="E214" s="45"/>
      <c r="F214" s="25"/>
      <c r="G214" s="25"/>
      <c r="H214" s="44"/>
      <c r="I214" s="45"/>
      <c r="J214" s="25"/>
      <c r="K214" s="25"/>
      <c r="L214" s="44"/>
      <c r="M214" s="45"/>
      <c r="N214" s="25"/>
      <c r="O214" s="25"/>
      <c r="P214" s="44"/>
      <c r="Q214" s="45"/>
      <c r="R214" s="25"/>
      <c r="S214" s="25"/>
      <c r="T214" s="25"/>
      <c r="U214" s="25"/>
      <c r="V214" s="68"/>
    </row>
    <row r="215" spans="1:43" ht="15.6" customHeight="1" x14ac:dyDescent="0.25">
      <c r="A215" s="5"/>
      <c r="B215" s="105"/>
      <c r="C215" s="106"/>
      <c r="D215" s="108"/>
      <c r="E215" s="106"/>
      <c r="F215" s="105"/>
      <c r="G215" s="106"/>
      <c r="H215" s="108"/>
      <c r="I215" s="106"/>
      <c r="J215" s="105"/>
      <c r="K215" s="106"/>
      <c r="L215" s="108"/>
      <c r="M215" s="106"/>
      <c r="N215" s="105"/>
      <c r="O215" s="106"/>
      <c r="P215" s="108"/>
      <c r="Q215" s="106"/>
      <c r="R215" s="85"/>
      <c r="S215" s="85"/>
      <c r="T215" s="85"/>
      <c r="U215" s="85"/>
      <c r="V215" s="27"/>
      <c r="W215" s="69"/>
      <c r="X215" s="109"/>
      <c r="Y215" s="109"/>
      <c r="Z215" s="109"/>
      <c r="AA215" s="109"/>
      <c r="AB215" s="109"/>
      <c r="AC215" s="109"/>
      <c r="AD215" s="109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09"/>
    </row>
    <row r="216" spans="1:43" ht="15.6" customHeight="1" thickBot="1" x14ac:dyDescent="0.3">
      <c r="A216" s="5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10"/>
      <c r="S216" s="110"/>
      <c r="T216" s="110"/>
      <c r="U216" s="110"/>
      <c r="V216" s="27"/>
      <c r="W216" s="69"/>
      <c r="X216" s="109"/>
      <c r="Y216" s="109"/>
      <c r="Z216" s="109"/>
      <c r="AA216" s="109"/>
      <c r="AB216" s="109"/>
      <c r="AC216" s="109"/>
      <c r="AD216" s="109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09"/>
    </row>
    <row r="217" spans="1:43" x14ac:dyDescent="0.25">
      <c r="A217" s="5"/>
      <c r="B217" s="100"/>
      <c r="C217" s="101"/>
      <c r="D217" s="102"/>
      <c r="E217" s="103"/>
      <c r="F217" s="100"/>
      <c r="G217" s="101"/>
      <c r="H217" s="102"/>
      <c r="I217" s="103"/>
      <c r="J217" s="100"/>
      <c r="K217" s="101"/>
      <c r="L217" s="102"/>
      <c r="M217" s="103"/>
      <c r="N217" s="100"/>
      <c r="O217" s="101"/>
      <c r="P217" s="102"/>
      <c r="Q217" s="103"/>
      <c r="R217" s="63"/>
      <c r="S217" s="63"/>
      <c r="T217" s="63"/>
      <c r="U217" s="63"/>
      <c r="V217" s="27"/>
    </row>
    <row r="218" spans="1:43" x14ac:dyDescent="0.25">
      <c r="A218" s="5"/>
      <c r="B218" s="5"/>
      <c r="C218" s="5"/>
      <c r="D218" s="39"/>
      <c r="E218" s="39"/>
      <c r="F218" s="5"/>
      <c r="G218" s="5"/>
      <c r="H218" s="39"/>
      <c r="I218" s="39"/>
      <c r="J218" s="5"/>
      <c r="K218" s="5"/>
      <c r="L218" s="39"/>
      <c r="M218" s="39"/>
      <c r="N218" s="5"/>
      <c r="O218" s="5"/>
      <c r="P218" s="39"/>
      <c r="Q218" s="39"/>
      <c r="R218" s="5"/>
      <c r="S218" s="5"/>
      <c r="T218" s="5"/>
      <c r="U218" s="5"/>
      <c r="V218" s="5"/>
    </row>
    <row r="219" spans="1:43" x14ac:dyDescent="0.25">
      <c r="A219" s="5"/>
      <c r="B219" s="5"/>
      <c r="C219" s="5"/>
      <c r="D219" s="39"/>
      <c r="E219" s="64" t="s">
        <v>11</v>
      </c>
      <c r="F219" s="104" t="s">
        <v>12</v>
      </c>
      <c r="G219" s="104"/>
      <c r="H219" s="104"/>
      <c r="I219" s="104" t="s">
        <v>41</v>
      </c>
      <c r="J219" s="104"/>
      <c r="K219" s="5"/>
      <c r="L219" s="39"/>
      <c r="M219" s="39"/>
      <c r="N219" s="5"/>
      <c r="O219" s="63" t="s">
        <v>13</v>
      </c>
      <c r="P219" s="39" t="s">
        <v>14</v>
      </c>
      <c r="Q219" s="39"/>
      <c r="R219" s="5"/>
      <c r="S219" s="5" t="s">
        <v>43</v>
      </c>
      <c r="T219" s="5"/>
      <c r="U219" s="5"/>
      <c r="V219" s="5"/>
    </row>
    <row r="220" spans="1:43" x14ac:dyDescent="0.25">
      <c r="A220" s="5"/>
      <c r="B220" s="5"/>
      <c r="C220" s="5"/>
      <c r="D220" s="39"/>
      <c r="E220" s="64" t="s">
        <v>15</v>
      </c>
      <c r="F220" s="104" t="s">
        <v>16</v>
      </c>
      <c r="G220" s="104"/>
      <c r="H220" s="104"/>
      <c r="I220" s="39" t="s">
        <v>42</v>
      </c>
      <c r="J220" s="5"/>
      <c r="K220" s="5"/>
      <c r="L220" s="39"/>
      <c r="M220" s="39"/>
      <c r="N220" s="5"/>
      <c r="O220" s="63" t="s">
        <v>18</v>
      </c>
      <c r="P220" s="39" t="s">
        <v>14</v>
      </c>
      <c r="Q220" s="39"/>
      <c r="R220" s="5"/>
      <c r="S220" s="5" t="s">
        <v>17</v>
      </c>
      <c r="T220" s="5"/>
      <c r="U220" s="5"/>
      <c r="V220" s="5"/>
    </row>
    <row r="221" spans="1:43" x14ac:dyDescent="0.25">
      <c r="A221" s="65" t="s">
        <v>69</v>
      </c>
      <c r="B221" s="65"/>
      <c r="C221" s="65"/>
      <c r="D221" s="77"/>
      <c r="E221" s="78"/>
      <c r="F221" s="65"/>
      <c r="G221" s="65"/>
      <c r="H221" s="77"/>
      <c r="I221" s="77"/>
      <c r="J221" s="65"/>
      <c r="K221" s="65"/>
      <c r="L221" s="77"/>
      <c r="M221" s="77"/>
      <c r="N221" s="65"/>
      <c r="O221" s="65"/>
      <c r="P221" s="77"/>
      <c r="Q221" s="77"/>
      <c r="R221" s="65"/>
      <c r="S221" s="65"/>
      <c r="T221" s="65"/>
      <c r="U221" s="65"/>
      <c r="V221" s="65"/>
    </row>
    <row r="222" spans="1:43" ht="18.75" x14ac:dyDescent="0.3">
      <c r="A222" s="5"/>
      <c r="B222" s="5"/>
      <c r="C222" s="5"/>
      <c r="D222" s="39"/>
      <c r="E222" s="40" t="s">
        <v>7</v>
      </c>
      <c r="F222" s="5"/>
      <c r="G222" s="7"/>
      <c r="H222" s="51"/>
      <c r="I222" s="51"/>
      <c r="J222" s="7"/>
      <c r="K222" s="7"/>
      <c r="L222" s="51"/>
      <c r="M222" s="52" t="s">
        <v>8</v>
      </c>
      <c r="N222" s="114" t="s">
        <v>68</v>
      </c>
      <c r="O222" s="115"/>
      <c r="P222" s="39"/>
      <c r="Q222" s="39"/>
      <c r="R222" s="5"/>
      <c r="S222" s="5"/>
      <c r="T222" s="5"/>
      <c r="U222" s="5"/>
      <c r="V222" s="5"/>
    </row>
    <row r="223" spans="1:43" ht="18.75" x14ac:dyDescent="0.3">
      <c r="A223" s="5"/>
      <c r="B223" s="5"/>
      <c r="C223" s="5"/>
      <c r="D223" s="39"/>
      <c r="E223" s="40" t="s">
        <v>35</v>
      </c>
      <c r="F223" s="5"/>
      <c r="G223" s="5"/>
      <c r="H223" s="39"/>
      <c r="I223" s="39"/>
      <c r="J223" s="9"/>
      <c r="K223" s="9"/>
      <c r="L223" s="53"/>
      <c r="M223" s="52" t="s">
        <v>9</v>
      </c>
      <c r="N223" s="116" t="str">
        <f>N222&amp;".1"</f>
        <v>1.3.1</v>
      </c>
      <c r="O223" s="116"/>
      <c r="P223" s="39"/>
      <c r="Q223" s="39"/>
      <c r="R223" s="5"/>
      <c r="S223" s="5"/>
      <c r="T223" s="5"/>
      <c r="U223" s="5"/>
      <c r="V223" s="5"/>
    </row>
    <row r="224" spans="1:43" ht="18.75" x14ac:dyDescent="0.3">
      <c r="A224" s="5"/>
      <c r="B224" s="5"/>
      <c r="C224" s="5"/>
      <c r="D224" s="39"/>
      <c r="E224" s="39" t="s">
        <v>36</v>
      </c>
      <c r="F224" s="5"/>
      <c r="G224" s="5"/>
      <c r="H224" s="51"/>
      <c r="I224" s="51"/>
      <c r="J224" s="7"/>
      <c r="K224" s="7"/>
      <c r="L224" s="51"/>
      <c r="M224" s="54" t="s">
        <v>9</v>
      </c>
      <c r="N224" s="11">
        <v>1</v>
      </c>
      <c r="O224" s="5"/>
      <c r="P224" s="39"/>
      <c r="Q224" s="39"/>
      <c r="R224" s="5"/>
      <c r="S224" s="5"/>
      <c r="T224" s="5"/>
      <c r="U224" s="5"/>
      <c r="V224" s="5"/>
    </row>
    <row r="225" spans="1:43" ht="18.75" x14ac:dyDescent="0.3">
      <c r="A225" s="5"/>
      <c r="B225" s="5"/>
      <c r="C225" s="5"/>
      <c r="D225" s="39"/>
      <c r="E225" s="39" t="s">
        <v>5</v>
      </c>
      <c r="F225" s="5"/>
      <c r="G225" s="5"/>
      <c r="H225" s="39"/>
      <c r="I225" s="39"/>
      <c r="J225" s="5"/>
      <c r="K225" s="5"/>
      <c r="L225" s="53"/>
      <c r="M225" s="54" t="s">
        <v>9</v>
      </c>
      <c r="N225" s="11" t="str">
        <f>"-"&amp;N223</f>
        <v>-1.3.1</v>
      </c>
      <c r="O225" s="12"/>
      <c r="P225" s="39"/>
      <c r="Q225" s="39"/>
      <c r="R225" s="5"/>
      <c r="S225" s="5"/>
      <c r="T225" s="5"/>
      <c r="U225" s="5"/>
      <c r="V225" s="5"/>
    </row>
    <row r="226" spans="1:43" ht="18.75" x14ac:dyDescent="0.3">
      <c r="A226" s="5"/>
      <c r="B226" s="5"/>
      <c r="C226" s="5"/>
      <c r="D226" s="39"/>
      <c r="E226" s="41" t="s">
        <v>10</v>
      </c>
      <c r="F226" s="5"/>
      <c r="G226" s="5"/>
      <c r="H226" s="39"/>
      <c r="I226" s="51"/>
      <c r="J226" s="7"/>
      <c r="K226" s="7"/>
      <c r="L226" s="51"/>
      <c r="M226" s="54" t="s">
        <v>9</v>
      </c>
      <c r="N226" s="3">
        <v>12</v>
      </c>
      <c r="O226" s="5"/>
      <c r="P226" s="39"/>
      <c r="Q226" s="39"/>
      <c r="R226" s="5"/>
      <c r="S226" s="5"/>
      <c r="T226" s="5"/>
      <c r="U226" s="5"/>
      <c r="V226" s="5"/>
    </row>
    <row r="227" spans="1:43" ht="15.75" thickBot="1" x14ac:dyDescent="0.3">
      <c r="A227" s="5"/>
      <c r="B227" s="5"/>
      <c r="C227" s="5"/>
      <c r="D227" s="39"/>
      <c r="E227" s="39"/>
      <c r="F227" s="5"/>
      <c r="G227" s="5"/>
      <c r="H227" s="39"/>
      <c r="I227" s="39"/>
      <c r="J227" s="5"/>
      <c r="K227" s="5"/>
      <c r="L227" s="39"/>
      <c r="M227" s="39"/>
      <c r="N227" s="5"/>
      <c r="O227" s="5"/>
      <c r="P227" s="39"/>
      <c r="Q227" s="39"/>
      <c r="R227" s="5"/>
      <c r="S227" s="5"/>
      <c r="T227" s="5"/>
      <c r="U227" s="5"/>
      <c r="V227" s="5"/>
    </row>
    <row r="228" spans="1:43" x14ac:dyDescent="0.25">
      <c r="A228" s="15"/>
      <c r="B228" s="16"/>
      <c r="C228" s="16"/>
      <c r="D228" s="42"/>
      <c r="E228" s="42"/>
      <c r="F228" s="16"/>
      <c r="G228" s="16"/>
      <c r="H228" s="42"/>
      <c r="I228" s="42"/>
      <c r="J228" s="16"/>
      <c r="K228" s="16"/>
      <c r="L228" s="42"/>
      <c r="M228" s="42"/>
      <c r="N228" s="16"/>
      <c r="O228" s="16"/>
      <c r="P228" s="42"/>
      <c r="Q228" s="42"/>
      <c r="R228" s="16"/>
      <c r="S228" s="16"/>
      <c r="T228" s="16"/>
      <c r="U228" s="16"/>
      <c r="V228" s="16"/>
    </row>
    <row r="229" spans="1:43" x14ac:dyDescent="0.25">
      <c r="A229" s="18"/>
      <c r="B229" s="61"/>
      <c r="C229" s="61"/>
      <c r="D229" s="117">
        <v>1</v>
      </c>
      <c r="E229" s="118"/>
      <c r="F229" s="61"/>
      <c r="G229" s="61"/>
      <c r="H229" s="117">
        <v>2</v>
      </c>
      <c r="I229" s="118"/>
      <c r="J229" s="61"/>
      <c r="K229" s="61"/>
      <c r="L229" s="117">
        <v>3</v>
      </c>
      <c r="M229" s="118"/>
      <c r="N229" s="61"/>
      <c r="O229" s="61"/>
      <c r="P229" s="117">
        <v>4</v>
      </c>
      <c r="Q229" s="118"/>
      <c r="R229" s="61"/>
      <c r="S229" s="61"/>
      <c r="T229" s="61"/>
      <c r="U229" s="61"/>
      <c r="V229" s="65"/>
    </row>
    <row r="230" spans="1:43" x14ac:dyDescent="0.25">
      <c r="A230" s="18"/>
      <c r="B230" s="111" t="s">
        <v>6</v>
      </c>
      <c r="C230" s="111"/>
      <c r="D230" s="117" t="s">
        <v>37</v>
      </c>
      <c r="E230" s="118" t="s">
        <v>0</v>
      </c>
      <c r="F230" s="111" t="s">
        <v>6</v>
      </c>
      <c r="G230" s="111"/>
      <c r="H230" s="117" t="s">
        <v>37</v>
      </c>
      <c r="I230" s="118"/>
      <c r="J230" s="111" t="s">
        <v>6</v>
      </c>
      <c r="K230" s="111"/>
      <c r="L230" s="117" t="s">
        <v>37</v>
      </c>
      <c r="M230" s="118"/>
      <c r="N230" s="111" t="s">
        <v>6</v>
      </c>
      <c r="O230" s="111"/>
      <c r="P230" s="117" t="s">
        <v>37</v>
      </c>
      <c r="Q230" s="118"/>
      <c r="R230" s="111"/>
      <c r="S230" s="111"/>
      <c r="T230" s="111"/>
      <c r="U230" s="111"/>
      <c r="V230" s="66"/>
    </row>
    <row r="231" spans="1:43" x14ac:dyDescent="0.25">
      <c r="A231" s="18"/>
      <c r="B231" s="110"/>
      <c r="C231" s="110"/>
      <c r="D231" s="112"/>
      <c r="E231" s="112"/>
      <c r="F231" s="110"/>
      <c r="G231" s="110"/>
      <c r="H231" s="112"/>
      <c r="I231" s="112"/>
      <c r="J231" s="110"/>
      <c r="K231" s="110"/>
      <c r="L231" s="112"/>
      <c r="M231" s="112"/>
      <c r="N231" s="110"/>
      <c r="O231" s="110"/>
      <c r="P231" s="112"/>
      <c r="Q231" s="112"/>
      <c r="R231" s="110"/>
      <c r="S231" s="110"/>
      <c r="T231" s="110"/>
      <c r="U231" s="110"/>
      <c r="V231" s="66"/>
    </row>
    <row r="232" spans="1:43" x14ac:dyDescent="0.25">
      <c r="A232" s="18"/>
      <c r="B232" s="111">
        <v>0</v>
      </c>
      <c r="C232" s="111"/>
      <c r="D232" s="113">
        <v>1</v>
      </c>
      <c r="E232" s="113">
        <v>1</v>
      </c>
      <c r="F232" s="111">
        <v>2</v>
      </c>
      <c r="G232" s="111">
        <v>2</v>
      </c>
      <c r="H232" s="113">
        <v>3</v>
      </c>
      <c r="I232" s="113">
        <v>3</v>
      </c>
      <c r="J232" s="111">
        <v>4</v>
      </c>
      <c r="K232" s="111">
        <v>4</v>
      </c>
      <c r="L232" s="113">
        <v>5</v>
      </c>
      <c r="M232" s="113"/>
      <c r="N232" s="111">
        <v>6</v>
      </c>
      <c r="O232" s="111">
        <v>1</v>
      </c>
      <c r="P232" s="113">
        <v>7</v>
      </c>
      <c r="Q232" s="113">
        <v>2</v>
      </c>
      <c r="R232" s="111">
        <v>8</v>
      </c>
      <c r="S232" s="111">
        <v>3</v>
      </c>
      <c r="T232" s="111">
        <v>9</v>
      </c>
      <c r="U232" s="111">
        <v>4</v>
      </c>
      <c r="V232" s="67"/>
    </row>
    <row r="233" spans="1:43" x14ac:dyDescent="0.25">
      <c r="A233" s="18"/>
      <c r="B233" s="61" t="s">
        <v>1</v>
      </c>
      <c r="C233" s="61" t="s">
        <v>2</v>
      </c>
      <c r="D233" s="62" t="s">
        <v>3</v>
      </c>
      <c r="E233" s="62" t="s">
        <v>4</v>
      </c>
      <c r="F233" s="61" t="s">
        <v>1</v>
      </c>
      <c r="G233" s="61" t="s">
        <v>2</v>
      </c>
      <c r="H233" s="62" t="s">
        <v>3</v>
      </c>
      <c r="I233" s="62" t="s">
        <v>4</v>
      </c>
      <c r="J233" s="61" t="s">
        <v>1</v>
      </c>
      <c r="K233" s="61" t="s">
        <v>2</v>
      </c>
      <c r="L233" s="62" t="s">
        <v>3</v>
      </c>
      <c r="M233" s="62" t="s">
        <v>4</v>
      </c>
      <c r="N233" s="61" t="s">
        <v>1</v>
      </c>
      <c r="O233" s="61" t="s">
        <v>2</v>
      </c>
      <c r="P233" s="62" t="s">
        <v>3</v>
      </c>
      <c r="Q233" s="62" t="s">
        <v>4</v>
      </c>
      <c r="R233" s="61" t="s">
        <v>1</v>
      </c>
      <c r="S233" s="61" t="s">
        <v>2</v>
      </c>
      <c r="T233" s="61" t="s">
        <v>3</v>
      </c>
      <c r="U233" s="61" t="s">
        <v>4</v>
      </c>
      <c r="V233" s="67"/>
    </row>
    <row r="234" spans="1:43" ht="15.75" thickBot="1" x14ac:dyDescent="0.3">
      <c r="A234" s="24"/>
      <c r="B234" s="25"/>
      <c r="C234" s="25"/>
      <c r="D234" s="44"/>
      <c r="E234" s="45"/>
      <c r="F234" s="25"/>
      <c r="G234" s="25"/>
      <c r="H234" s="44"/>
      <c r="I234" s="45"/>
      <c r="J234" s="25"/>
      <c r="K234" s="25"/>
      <c r="L234" s="44"/>
      <c r="M234" s="45"/>
      <c r="N234" s="25"/>
      <c r="O234" s="25"/>
      <c r="P234" s="44"/>
      <c r="Q234" s="45"/>
      <c r="R234" s="25"/>
      <c r="S234" s="25"/>
      <c r="T234" s="25"/>
      <c r="U234" s="25"/>
      <c r="V234" s="68"/>
    </row>
    <row r="235" spans="1:43" ht="15.6" customHeight="1" x14ac:dyDescent="0.25">
      <c r="A235" s="5"/>
      <c r="B235" s="105"/>
      <c r="C235" s="106"/>
      <c r="D235" s="108"/>
      <c r="E235" s="106"/>
      <c r="F235" s="105"/>
      <c r="G235" s="106"/>
      <c r="H235" s="108"/>
      <c r="I235" s="106"/>
      <c r="J235" s="105"/>
      <c r="K235" s="106"/>
      <c r="L235" s="108"/>
      <c r="M235" s="106"/>
      <c r="N235" s="105"/>
      <c r="O235" s="106"/>
      <c r="P235" s="108"/>
      <c r="Q235" s="106"/>
      <c r="R235" s="85"/>
      <c r="S235" s="85"/>
      <c r="T235" s="85"/>
      <c r="U235" s="85"/>
      <c r="V235" s="27"/>
      <c r="W235" s="69"/>
      <c r="X235" s="109"/>
      <c r="Y235" s="109"/>
      <c r="Z235" s="109"/>
      <c r="AA235" s="109"/>
      <c r="AB235" s="109"/>
      <c r="AC235" s="109"/>
      <c r="AD235" s="109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09"/>
    </row>
    <row r="236" spans="1:43" ht="15.6" customHeight="1" thickBot="1" x14ac:dyDescent="0.3">
      <c r="A236" s="5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  <c r="R236" s="110"/>
      <c r="S236" s="110"/>
      <c r="T236" s="110"/>
      <c r="U236" s="110"/>
      <c r="V236" s="27"/>
      <c r="W236" s="69"/>
      <c r="X236" s="109"/>
      <c r="Y236" s="109"/>
      <c r="Z236" s="109"/>
      <c r="AA236" s="109"/>
      <c r="AB236" s="109"/>
      <c r="AC236" s="109"/>
      <c r="AD236" s="109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09"/>
    </row>
    <row r="237" spans="1:43" x14ac:dyDescent="0.25">
      <c r="A237" s="5"/>
      <c r="B237" s="100"/>
      <c r="C237" s="101"/>
      <c r="D237" s="102"/>
      <c r="E237" s="103"/>
      <c r="F237" s="100"/>
      <c r="G237" s="101"/>
      <c r="H237" s="102"/>
      <c r="I237" s="103"/>
      <c r="J237" s="100"/>
      <c r="K237" s="101"/>
      <c r="L237" s="102"/>
      <c r="M237" s="103"/>
      <c r="N237" s="100"/>
      <c r="O237" s="101"/>
      <c r="P237" s="102"/>
      <c r="Q237" s="103"/>
      <c r="R237" s="63"/>
      <c r="S237" s="63"/>
      <c r="T237" s="63"/>
      <c r="U237" s="63"/>
      <c r="V237" s="27"/>
    </row>
    <row r="238" spans="1:43" x14ac:dyDescent="0.25">
      <c r="A238" s="5"/>
      <c r="B238" s="5"/>
      <c r="C238" s="5"/>
      <c r="D238" s="39"/>
      <c r="E238" s="39"/>
      <c r="F238" s="5"/>
      <c r="G238" s="5"/>
      <c r="H238" s="39"/>
      <c r="I238" s="39"/>
      <c r="J238" s="5"/>
      <c r="K238" s="5"/>
      <c r="L238" s="39"/>
      <c r="M238" s="39"/>
      <c r="N238" s="5"/>
      <c r="O238" s="5"/>
      <c r="P238" s="39"/>
      <c r="Q238" s="39"/>
      <c r="R238" s="5"/>
      <c r="S238" s="5"/>
      <c r="T238" s="5"/>
      <c r="U238" s="5"/>
      <c r="V238" s="5"/>
    </row>
    <row r="239" spans="1:43" x14ac:dyDescent="0.25">
      <c r="A239" s="5"/>
      <c r="B239" s="5"/>
      <c r="C239" s="5"/>
      <c r="D239" s="39"/>
      <c r="E239" s="64" t="s">
        <v>11</v>
      </c>
      <c r="F239" s="104" t="s">
        <v>12</v>
      </c>
      <c r="G239" s="104"/>
      <c r="H239" s="104"/>
      <c r="I239" s="104" t="s">
        <v>41</v>
      </c>
      <c r="J239" s="104"/>
      <c r="K239" s="5"/>
      <c r="L239" s="39"/>
      <c r="M239" s="39"/>
      <c r="N239" s="5"/>
      <c r="O239" s="63" t="s">
        <v>13</v>
      </c>
      <c r="P239" s="39" t="s">
        <v>14</v>
      </c>
      <c r="Q239" s="39"/>
      <c r="R239" s="5"/>
      <c r="S239" s="5" t="s">
        <v>43</v>
      </c>
      <c r="T239" s="5"/>
      <c r="U239" s="5"/>
      <c r="V239" s="5"/>
    </row>
    <row r="240" spans="1:43" x14ac:dyDescent="0.25">
      <c r="A240" s="5"/>
      <c r="B240" s="5"/>
      <c r="C240" s="5"/>
      <c r="D240" s="39"/>
      <c r="E240" s="64" t="s">
        <v>15</v>
      </c>
      <c r="F240" s="104" t="s">
        <v>16</v>
      </c>
      <c r="G240" s="104"/>
      <c r="H240" s="104"/>
      <c r="I240" s="39" t="s">
        <v>42</v>
      </c>
      <c r="J240" s="5"/>
      <c r="K240" s="5"/>
      <c r="L240" s="39"/>
      <c r="M240" s="39"/>
      <c r="N240" s="5"/>
      <c r="O240" s="63" t="s">
        <v>18</v>
      </c>
      <c r="P240" s="39" t="s">
        <v>14</v>
      </c>
      <c r="Q240" s="39"/>
      <c r="R240" s="5"/>
      <c r="S240" s="5" t="s">
        <v>17</v>
      </c>
      <c r="T240" s="5"/>
      <c r="U240" s="5"/>
      <c r="V240" s="5"/>
    </row>
    <row r="241" spans="1:43" x14ac:dyDescent="0.25">
      <c r="A241" s="65" t="s">
        <v>69</v>
      </c>
      <c r="B241" s="65"/>
      <c r="C241" s="65"/>
      <c r="D241" s="77"/>
      <c r="E241" s="78"/>
      <c r="F241" s="65"/>
      <c r="G241" s="65"/>
      <c r="H241" s="77"/>
      <c r="I241" s="77"/>
      <c r="J241" s="65"/>
      <c r="K241" s="65"/>
      <c r="L241" s="77"/>
      <c r="M241" s="77"/>
      <c r="N241" s="65"/>
      <c r="O241" s="65"/>
      <c r="P241" s="77"/>
      <c r="Q241" s="77"/>
      <c r="R241" s="65"/>
      <c r="S241" s="65"/>
      <c r="T241" s="65"/>
      <c r="U241" s="65"/>
      <c r="V241" s="65"/>
    </row>
    <row r="242" spans="1:43" ht="18.75" x14ac:dyDescent="0.3">
      <c r="A242" s="5"/>
      <c r="B242" s="5"/>
      <c r="C242" s="5"/>
      <c r="D242" s="39"/>
      <c r="E242" s="40" t="s">
        <v>7</v>
      </c>
      <c r="F242" s="5"/>
      <c r="G242" s="7"/>
      <c r="H242" s="51"/>
      <c r="I242" s="51"/>
      <c r="J242" s="7"/>
      <c r="K242" s="7"/>
      <c r="L242" s="51"/>
      <c r="M242" s="52" t="s">
        <v>8</v>
      </c>
      <c r="N242" s="114" t="s">
        <v>68</v>
      </c>
      <c r="O242" s="115"/>
      <c r="P242" s="39"/>
      <c r="Q242" s="39"/>
      <c r="R242" s="5"/>
      <c r="S242" s="5"/>
      <c r="T242" s="5"/>
      <c r="U242" s="5"/>
      <c r="V242" s="5"/>
    </row>
    <row r="243" spans="1:43" ht="18.75" x14ac:dyDescent="0.3">
      <c r="A243" s="5"/>
      <c r="B243" s="5"/>
      <c r="C243" s="5"/>
      <c r="D243" s="39"/>
      <c r="E243" s="40" t="s">
        <v>35</v>
      </c>
      <c r="F243" s="5"/>
      <c r="G243" s="5"/>
      <c r="H243" s="39"/>
      <c r="I243" s="39"/>
      <c r="J243" s="9"/>
      <c r="K243" s="9"/>
      <c r="L243" s="53"/>
      <c r="M243" s="52" t="s">
        <v>9</v>
      </c>
      <c r="N243" s="116" t="str">
        <f>N242&amp;".1"</f>
        <v>1.3.1</v>
      </c>
      <c r="O243" s="116"/>
      <c r="P243" s="39"/>
      <c r="Q243" s="39"/>
      <c r="R243" s="5"/>
      <c r="S243" s="5"/>
      <c r="T243" s="5"/>
      <c r="U243" s="5"/>
      <c r="V243" s="5"/>
    </row>
    <row r="244" spans="1:43" ht="18.75" x14ac:dyDescent="0.3">
      <c r="A244" s="5"/>
      <c r="B244" s="5"/>
      <c r="C244" s="5"/>
      <c r="D244" s="39"/>
      <c r="E244" s="39" t="s">
        <v>36</v>
      </c>
      <c r="F244" s="5"/>
      <c r="G244" s="5"/>
      <c r="H244" s="51"/>
      <c r="I244" s="51"/>
      <c r="J244" s="7"/>
      <c r="K244" s="7"/>
      <c r="L244" s="51"/>
      <c r="M244" s="54" t="s">
        <v>9</v>
      </c>
      <c r="N244" s="11">
        <v>1</v>
      </c>
      <c r="O244" s="5"/>
      <c r="P244" s="39"/>
      <c r="Q244" s="39"/>
      <c r="R244" s="5"/>
      <c r="S244" s="5"/>
      <c r="T244" s="5"/>
      <c r="U244" s="5"/>
      <c r="V244" s="5"/>
    </row>
    <row r="245" spans="1:43" ht="18.75" x14ac:dyDescent="0.3">
      <c r="A245" s="5"/>
      <c r="B245" s="5"/>
      <c r="C245" s="5"/>
      <c r="D245" s="39"/>
      <c r="E245" s="39" t="s">
        <v>5</v>
      </c>
      <c r="F245" s="5"/>
      <c r="G245" s="5"/>
      <c r="H245" s="39"/>
      <c r="I245" s="39"/>
      <c r="J245" s="5"/>
      <c r="K245" s="5"/>
      <c r="L245" s="53"/>
      <c r="M245" s="54" t="s">
        <v>9</v>
      </c>
      <c r="N245" s="11" t="str">
        <f>"-"&amp;N243</f>
        <v>-1.3.1</v>
      </c>
      <c r="O245" s="12"/>
      <c r="P245" s="39"/>
      <c r="Q245" s="39"/>
      <c r="R245" s="5"/>
      <c r="S245" s="5"/>
      <c r="T245" s="5"/>
      <c r="U245" s="5"/>
      <c r="V245" s="5"/>
    </row>
    <row r="246" spans="1:43" ht="18.75" x14ac:dyDescent="0.3">
      <c r="A246" s="5"/>
      <c r="B246" s="5"/>
      <c r="C246" s="5"/>
      <c r="D246" s="39"/>
      <c r="E246" s="41" t="s">
        <v>10</v>
      </c>
      <c r="F246" s="5"/>
      <c r="G246" s="5"/>
      <c r="H246" s="39"/>
      <c r="I246" s="51"/>
      <c r="J246" s="7"/>
      <c r="K246" s="7"/>
      <c r="L246" s="51"/>
      <c r="M246" s="54" t="s">
        <v>9</v>
      </c>
      <c r="N246" s="3">
        <v>13</v>
      </c>
      <c r="O246" s="5"/>
      <c r="P246" s="39"/>
      <c r="Q246" s="39"/>
      <c r="R246" s="5"/>
      <c r="S246" s="5"/>
      <c r="T246" s="5"/>
      <c r="U246" s="5"/>
      <c r="V246" s="5"/>
    </row>
    <row r="247" spans="1:43" ht="15.75" thickBot="1" x14ac:dyDescent="0.3">
      <c r="A247" s="5"/>
      <c r="B247" s="5"/>
      <c r="C247" s="5"/>
      <c r="D247" s="39"/>
      <c r="E247" s="39"/>
      <c r="F247" s="5"/>
      <c r="G247" s="5"/>
      <c r="H247" s="39"/>
      <c r="I247" s="39"/>
      <c r="J247" s="5"/>
      <c r="K247" s="5"/>
      <c r="L247" s="39"/>
      <c r="M247" s="39"/>
      <c r="N247" s="5"/>
      <c r="O247" s="5"/>
      <c r="P247" s="39"/>
      <c r="Q247" s="39"/>
      <c r="R247" s="5"/>
      <c r="S247" s="5"/>
      <c r="T247" s="5"/>
      <c r="U247" s="5"/>
      <c r="V247" s="5"/>
    </row>
    <row r="248" spans="1:43" x14ac:dyDescent="0.25">
      <c r="A248" s="15"/>
      <c r="B248" s="16"/>
      <c r="C248" s="16"/>
      <c r="D248" s="42"/>
      <c r="E248" s="42"/>
      <c r="F248" s="16"/>
      <c r="G248" s="16"/>
      <c r="H248" s="42"/>
      <c r="I248" s="42"/>
      <c r="J248" s="16"/>
      <c r="K248" s="16"/>
      <c r="L248" s="42"/>
      <c r="M248" s="42"/>
      <c r="N248" s="16"/>
      <c r="O248" s="16"/>
      <c r="P248" s="42"/>
      <c r="Q248" s="42"/>
      <c r="R248" s="16"/>
      <c r="S248" s="16"/>
      <c r="T248" s="16"/>
      <c r="U248" s="16"/>
      <c r="V248" s="16"/>
    </row>
    <row r="249" spans="1:43" x14ac:dyDescent="0.25">
      <c r="A249" s="18"/>
      <c r="B249" s="61"/>
      <c r="C249" s="61"/>
      <c r="D249" s="117">
        <v>1</v>
      </c>
      <c r="E249" s="118"/>
      <c r="F249" s="61"/>
      <c r="G249" s="61"/>
      <c r="H249" s="117">
        <v>2</v>
      </c>
      <c r="I249" s="118"/>
      <c r="J249" s="61"/>
      <c r="K249" s="61"/>
      <c r="L249" s="117">
        <v>3</v>
      </c>
      <c r="M249" s="118"/>
      <c r="N249" s="61"/>
      <c r="O249" s="61"/>
      <c r="P249" s="117">
        <v>4</v>
      </c>
      <c r="Q249" s="118"/>
      <c r="R249" s="61"/>
      <c r="S249" s="61"/>
      <c r="T249" s="61"/>
      <c r="U249" s="61"/>
      <c r="V249" s="65"/>
    </row>
    <row r="250" spans="1:43" x14ac:dyDescent="0.25">
      <c r="A250" s="18"/>
      <c r="B250" s="111" t="s">
        <v>6</v>
      </c>
      <c r="C250" s="111"/>
      <c r="D250" s="117" t="s">
        <v>37</v>
      </c>
      <c r="E250" s="118" t="s">
        <v>0</v>
      </c>
      <c r="F250" s="111" t="s">
        <v>6</v>
      </c>
      <c r="G250" s="111"/>
      <c r="H250" s="117" t="s">
        <v>37</v>
      </c>
      <c r="I250" s="118"/>
      <c r="J250" s="111" t="s">
        <v>6</v>
      </c>
      <c r="K250" s="111"/>
      <c r="L250" s="117" t="s">
        <v>37</v>
      </c>
      <c r="M250" s="118"/>
      <c r="N250" s="111" t="s">
        <v>6</v>
      </c>
      <c r="O250" s="111"/>
      <c r="P250" s="117" t="s">
        <v>37</v>
      </c>
      <c r="Q250" s="118"/>
      <c r="R250" s="111"/>
      <c r="S250" s="111"/>
      <c r="T250" s="111"/>
      <c r="U250" s="111"/>
      <c r="V250" s="66"/>
    </row>
    <row r="251" spans="1:43" x14ac:dyDescent="0.25">
      <c r="A251" s="18"/>
      <c r="B251" s="110"/>
      <c r="C251" s="110"/>
      <c r="D251" s="112"/>
      <c r="E251" s="112"/>
      <c r="F251" s="110"/>
      <c r="G251" s="110"/>
      <c r="H251" s="112"/>
      <c r="I251" s="112"/>
      <c r="J251" s="110"/>
      <c r="K251" s="110"/>
      <c r="L251" s="112"/>
      <c r="M251" s="112"/>
      <c r="N251" s="110"/>
      <c r="O251" s="110"/>
      <c r="P251" s="112"/>
      <c r="Q251" s="112"/>
      <c r="R251" s="110"/>
      <c r="S251" s="110"/>
      <c r="T251" s="110"/>
      <c r="U251" s="110"/>
      <c r="V251" s="66"/>
    </row>
    <row r="252" spans="1:43" x14ac:dyDescent="0.25">
      <c r="A252" s="18"/>
      <c r="B252" s="111">
        <v>0</v>
      </c>
      <c r="C252" s="111"/>
      <c r="D252" s="113">
        <v>1</v>
      </c>
      <c r="E252" s="113">
        <v>1</v>
      </c>
      <c r="F252" s="111">
        <v>2</v>
      </c>
      <c r="G252" s="111">
        <v>2</v>
      </c>
      <c r="H252" s="113">
        <v>3</v>
      </c>
      <c r="I252" s="113">
        <v>3</v>
      </c>
      <c r="J252" s="111">
        <v>4</v>
      </c>
      <c r="K252" s="111">
        <v>4</v>
      </c>
      <c r="L252" s="113">
        <v>5</v>
      </c>
      <c r="M252" s="113"/>
      <c r="N252" s="111">
        <v>6</v>
      </c>
      <c r="O252" s="111">
        <v>1</v>
      </c>
      <c r="P252" s="113">
        <v>7</v>
      </c>
      <c r="Q252" s="113">
        <v>2</v>
      </c>
      <c r="R252" s="111">
        <v>8</v>
      </c>
      <c r="S252" s="111">
        <v>3</v>
      </c>
      <c r="T252" s="111">
        <v>9</v>
      </c>
      <c r="U252" s="111">
        <v>4</v>
      </c>
      <c r="V252" s="67"/>
    </row>
    <row r="253" spans="1:43" x14ac:dyDescent="0.25">
      <c r="A253" s="18"/>
      <c r="B253" s="61" t="s">
        <v>1</v>
      </c>
      <c r="C253" s="61" t="s">
        <v>2</v>
      </c>
      <c r="D253" s="62" t="s">
        <v>3</v>
      </c>
      <c r="E253" s="62" t="s">
        <v>4</v>
      </c>
      <c r="F253" s="61" t="s">
        <v>1</v>
      </c>
      <c r="G253" s="61" t="s">
        <v>2</v>
      </c>
      <c r="H253" s="62" t="s">
        <v>3</v>
      </c>
      <c r="I253" s="62" t="s">
        <v>4</v>
      </c>
      <c r="J253" s="61" t="s">
        <v>1</v>
      </c>
      <c r="K253" s="61" t="s">
        <v>2</v>
      </c>
      <c r="L253" s="62" t="s">
        <v>3</v>
      </c>
      <c r="M253" s="62" t="s">
        <v>4</v>
      </c>
      <c r="N253" s="61" t="s">
        <v>1</v>
      </c>
      <c r="O253" s="61" t="s">
        <v>2</v>
      </c>
      <c r="P253" s="62" t="s">
        <v>3</v>
      </c>
      <c r="Q253" s="62" t="s">
        <v>4</v>
      </c>
      <c r="R253" s="61" t="s">
        <v>1</v>
      </c>
      <c r="S253" s="61" t="s">
        <v>2</v>
      </c>
      <c r="T253" s="61" t="s">
        <v>3</v>
      </c>
      <c r="U253" s="61" t="s">
        <v>4</v>
      </c>
      <c r="V253" s="67"/>
    </row>
    <row r="254" spans="1:43" ht="15.75" thickBot="1" x14ac:dyDescent="0.3">
      <c r="A254" s="24"/>
      <c r="B254" s="25"/>
      <c r="C254" s="25"/>
      <c r="D254" s="44"/>
      <c r="E254" s="45"/>
      <c r="F254" s="25"/>
      <c r="G254" s="25"/>
      <c r="H254" s="44"/>
      <c r="I254" s="45"/>
      <c r="J254" s="25"/>
      <c r="K254" s="25"/>
      <c r="L254" s="44"/>
      <c r="M254" s="45"/>
      <c r="N254" s="25"/>
      <c r="O254" s="25"/>
      <c r="P254" s="44"/>
      <c r="Q254" s="45"/>
      <c r="R254" s="25"/>
      <c r="S254" s="25"/>
      <c r="T254" s="25"/>
      <c r="U254" s="25"/>
      <c r="V254" s="68"/>
    </row>
    <row r="255" spans="1:43" ht="15.6" customHeight="1" x14ac:dyDescent="0.25">
      <c r="A255" s="5"/>
      <c r="B255" s="105"/>
      <c r="C255" s="106"/>
      <c r="D255" s="108"/>
      <c r="E255" s="106"/>
      <c r="F255" s="105"/>
      <c r="G255" s="106"/>
      <c r="H255" s="108"/>
      <c r="I255" s="106"/>
      <c r="J255" s="105"/>
      <c r="K255" s="106"/>
      <c r="L255" s="108"/>
      <c r="M255" s="106"/>
      <c r="N255" s="105"/>
      <c r="O255" s="106"/>
      <c r="P255" s="108"/>
      <c r="Q255" s="106"/>
      <c r="R255" s="85"/>
      <c r="S255" s="85"/>
      <c r="T255" s="85"/>
      <c r="U255" s="85"/>
      <c r="V255" s="27"/>
      <c r="W255" s="69"/>
      <c r="X255" s="109"/>
      <c r="Y255" s="109"/>
      <c r="Z255" s="109"/>
      <c r="AA255" s="109"/>
      <c r="AB255" s="109"/>
      <c r="AC255" s="109"/>
      <c r="AD255" s="109"/>
      <c r="AE255" s="109"/>
      <c r="AF255" s="109"/>
      <c r="AG255" s="109"/>
      <c r="AH255" s="109"/>
      <c r="AI255" s="109"/>
      <c r="AJ255" s="109"/>
      <c r="AK255" s="109"/>
      <c r="AL255" s="109"/>
      <c r="AM255" s="109"/>
      <c r="AN255" s="109"/>
      <c r="AO255" s="109"/>
      <c r="AP255" s="109"/>
      <c r="AQ255" s="109"/>
    </row>
    <row r="256" spans="1:43" ht="15.6" customHeight="1" thickBot="1" x14ac:dyDescent="0.3">
      <c r="A256" s="5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  <c r="R256" s="110"/>
      <c r="S256" s="110"/>
      <c r="T256" s="110"/>
      <c r="U256" s="110"/>
      <c r="V256" s="27"/>
      <c r="W256" s="69"/>
      <c r="X256" s="109"/>
      <c r="Y256" s="109"/>
      <c r="Z256" s="109"/>
      <c r="AA256" s="109"/>
      <c r="AB256" s="109"/>
      <c r="AC256" s="109"/>
      <c r="AD256" s="109"/>
      <c r="AE256" s="109"/>
      <c r="AF256" s="109"/>
      <c r="AG256" s="109"/>
      <c r="AH256" s="109"/>
      <c r="AI256" s="109"/>
      <c r="AJ256" s="109"/>
      <c r="AK256" s="109"/>
      <c r="AL256" s="109"/>
      <c r="AM256" s="109"/>
      <c r="AN256" s="109"/>
      <c r="AO256" s="109"/>
      <c r="AP256" s="109"/>
      <c r="AQ256" s="109"/>
    </row>
    <row r="257" spans="1:22" x14ac:dyDescent="0.25">
      <c r="A257" s="5"/>
      <c r="B257" s="100"/>
      <c r="C257" s="101"/>
      <c r="D257" s="102"/>
      <c r="E257" s="103"/>
      <c r="F257" s="100"/>
      <c r="G257" s="101"/>
      <c r="H257" s="102"/>
      <c r="I257" s="103"/>
      <c r="J257" s="100"/>
      <c r="K257" s="101"/>
      <c r="L257" s="102"/>
      <c r="M257" s="103"/>
      <c r="N257" s="100"/>
      <c r="O257" s="101"/>
      <c r="P257" s="102"/>
      <c r="Q257" s="103"/>
      <c r="R257" s="63"/>
      <c r="S257" s="63"/>
      <c r="T257" s="63"/>
      <c r="U257" s="63"/>
      <c r="V257" s="27"/>
    </row>
    <row r="258" spans="1:22" x14ac:dyDescent="0.25">
      <c r="A258" s="5"/>
      <c r="B258" s="5"/>
      <c r="C258" s="5"/>
      <c r="D258" s="39"/>
      <c r="E258" s="39"/>
      <c r="F258" s="5"/>
      <c r="G258" s="5"/>
      <c r="H258" s="39"/>
      <c r="I258" s="39"/>
      <c r="J258" s="5"/>
      <c r="K258" s="5"/>
      <c r="L258" s="39"/>
      <c r="M258" s="39"/>
      <c r="N258" s="5"/>
      <c r="O258" s="5"/>
      <c r="P258" s="39"/>
      <c r="Q258" s="39"/>
      <c r="R258" s="5"/>
      <c r="S258" s="5"/>
      <c r="T258" s="5"/>
      <c r="U258" s="5"/>
      <c r="V258" s="5"/>
    </row>
    <row r="259" spans="1:22" x14ac:dyDescent="0.25">
      <c r="A259" s="5"/>
      <c r="B259" s="5"/>
      <c r="C259" s="5"/>
      <c r="D259" s="39"/>
      <c r="E259" s="64" t="s">
        <v>11</v>
      </c>
      <c r="F259" s="104" t="s">
        <v>12</v>
      </c>
      <c r="G259" s="104"/>
      <c r="H259" s="104"/>
      <c r="I259" s="104" t="s">
        <v>41</v>
      </c>
      <c r="J259" s="104"/>
      <c r="K259" s="5"/>
      <c r="L259" s="39"/>
      <c r="M259" s="39"/>
      <c r="N259" s="5"/>
      <c r="O259" s="63" t="s">
        <v>13</v>
      </c>
      <c r="P259" s="39" t="s">
        <v>14</v>
      </c>
      <c r="Q259" s="39"/>
      <c r="R259" s="5"/>
      <c r="S259" s="5" t="s">
        <v>43</v>
      </c>
      <c r="T259" s="5"/>
      <c r="U259" s="5"/>
      <c r="V259" s="5"/>
    </row>
    <row r="260" spans="1:22" x14ac:dyDescent="0.25">
      <c r="A260" s="5"/>
      <c r="B260" s="5"/>
      <c r="C260" s="5"/>
      <c r="D260" s="39"/>
      <c r="E260" s="64" t="s">
        <v>15</v>
      </c>
      <c r="F260" s="104" t="s">
        <v>16</v>
      </c>
      <c r="G260" s="104"/>
      <c r="H260" s="104"/>
      <c r="I260" s="39" t="s">
        <v>42</v>
      </c>
      <c r="J260" s="5"/>
      <c r="K260" s="5"/>
      <c r="L260" s="39"/>
      <c r="M260" s="39"/>
      <c r="N260" s="5"/>
      <c r="O260" s="63" t="s">
        <v>18</v>
      </c>
      <c r="P260" s="39" t="s">
        <v>14</v>
      </c>
      <c r="Q260" s="39"/>
      <c r="R260" s="5"/>
      <c r="S260" s="5" t="s">
        <v>17</v>
      </c>
      <c r="T260" s="5"/>
      <c r="U260" s="5"/>
      <c r="V260" s="5"/>
    </row>
    <row r="261" spans="1:22" x14ac:dyDescent="0.25">
      <c r="A261" s="65" t="s">
        <v>69</v>
      </c>
      <c r="B261" s="65"/>
      <c r="C261" s="65"/>
      <c r="D261" s="77"/>
      <c r="E261" s="78"/>
      <c r="F261" s="65"/>
      <c r="G261" s="65"/>
      <c r="H261" s="77"/>
      <c r="I261" s="77"/>
      <c r="J261" s="65"/>
      <c r="K261" s="65"/>
      <c r="L261" s="77"/>
      <c r="M261" s="77"/>
      <c r="N261" s="65"/>
      <c r="O261" s="65"/>
      <c r="P261" s="77"/>
      <c r="Q261" s="77"/>
      <c r="R261" s="65"/>
      <c r="S261" s="65"/>
      <c r="T261" s="65"/>
      <c r="U261" s="65"/>
      <c r="V261" s="65"/>
    </row>
    <row r="262" spans="1:22" ht="18.75" x14ac:dyDescent="0.3">
      <c r="A262" s="5"/>
      <c r="B262" s="5"/>
      <c r="C262" s="5"/>
      <c r="D262" s="39"/>
      <c r="E262" s="40" t="s">
        <v>7</v>
      </c>
      <c r="F262" s="5"/>
      <c r="G262" s="7"/>
      <c r="H262" s="51"/>
      <c r="I262" s="51"/>
      <c r="J262" s="7"/>
      <c r="K262" s="7"/>
      <c r="L262" s="51"/>
      <c r="M262" s="52" t="s">
        <v>8</v>
      </c>
      <c r="N262" s="114" t="s">
        <v>68</v>
      </c>
      <c r="O262" s="115"/>
      <c r="P262" s="39"/>
      <c r="Q262" s="39"/>
      <c r="R262" s="5"/>
      <c r="S262" s="5"/>
      <c r="T262" s="5"/>
      <c r="U262" s="5"/>
      <c r="V262" s="5"/>
    </row>
    <row r="263" spans="1:22" ht="18.75" x14ac:dyDescent="0.3">
      <c r="A263" s="5"/>
      <c r="B263" s="5"/>
      <c r="C263" s="5"/>
      <c r="D263" s="39"/>
      <c r="E263" s="40" t="s">
        <v>35</v>
      </c>
      <c r="F263" s="5"/>
      <c r="G263" s="5"/>
      <c r="H263" s="39"/>
      <c r="I263" s="39"/>
      <c r="J263" s="9"/>
      <c r="K263" s="9"/>
      <c r="L263" s="53"/>
      <c r="M263" s="52" t="s">
        <v>9</v>
      </c>
      <c r="N263" s="116" t="str">
        <f>N262&amp;".1"</f>
        <v>1.3.1</v>
      </c>
      <c r="O263" s="116"/>
      <c r="P263" s="39"/>
      <c r="Q263" s="39"/>
      <c r="R263" s="5"/>
      <c r="S263" s="5"/>
      <c r="T263" s="5"/>
      <c r="U263" s="5"/>
      <c r="V263" s="5"/>
    </row>
    <row r="264" spans="1:22" ht="18.75" x14ac:dyDescent="0.3">
      <c r="A264" s="5"/>
      <c r="B264" s="5"/>
      <c r="C264" s="5"/>
      <c r="D264" s="39"/>
      <c r="E264" s="39" t="s">
        <v>36</v>
      </c>
      <c r="F264" s="5"/>
      <c r="G264" s="5"/>
      <c r="H264" s="51"/>
      <c r="I264" s="51"/>
      <c r="J264" s="7"/>
      <c r="K264" s="7"/>
      <c r="L264" s="51"/>
      <c r="M264" s="54" t="s">
        <v>9</v>
      </c>
      <c r="N264" s="11">
        <v>1</v>
      </c>
      <c r="O264" s="5"/>
      <c r="P264" s="39"/>
      <c r="Q264" s="39"/>
      <c r="R264" s="5"/>
      <c r="S264" s="5"/>
      <c r="T264" s="5"/>
      <c r="U264" s="5"/>
      <c r="V264" s="5"/>
    </row>
    <row r="265" spans="1:22" ht="18.75" x14ac:dyDescent="0.3">
      <c r="A265" s="5"/>
      <c r="B265" s="5"/>
      <c r="C265" s="5"/>
      <c r="D265" s="39"/>
      <c r="E265" s="39" t="s">
        <v>5</v>
      </c>
      <c r="F265" s="5"/>
      <c r="G265" s="5"/>
      <c r="H265" s="39"/>
      <c r="I265" s="39"/>
      <c r="J265" s="5"/>
      <c r="K265" s="5"/>
      <c r="L265" s="53"/>
      <c r="M265" s="54" t="s">
        <v>9</v>
      </c>
      <c r="N265" s="11" t="str">
        <f>"-"&amp;N263</f>
        <v>-1.3.1</v>
      </c>
      <c r="O265" s="12"/>
      <c r="P265" s="39"/>
      <c r="Q265" s="39"/>
      <c r="R265" s="5"/>
      <c r="S265" s="5"/>
      <c r="T265" s="5"/>
      <c r="U265" s="5"/>
      <c r="V265" s="5"/>
    </row>
    <row r="266" spans="1:22" ht="18.75" x14ac:dyDescent="0.3">
      <c r="A266" s="5"/>
      <c r="B266" s="5"/>
      <c r="C266" s="5"/>
      <c r="D266" s="39"/>
      <c r="E266" s="41" t="s">
        <v>10</v>
      </c>
      <c r="F266" s="5"/>
      <c r="G266" s="5"/>
      <c r="H266" s="39"/>
      <c r="I266" s="51"/>
      <c r="J266" s="7"/>
      <c r="K266" s="7"/>
      <c r="L266" s="51"/>
      <c r="M266" s="54" t="s">
        <v>9</v>
      </c>
      <c r="N266" s="3">
        <v>14</v>
      </c>
      <c r="O266" s="5"/>
      <c r="P266" s="39"/>
      <c r="Q266" s="39"/>
      <c r="R266" s="5"/>
      <c r="S266" s="5"/>
      <c r="T266" s="5"/>
      <c r="U266" s="5"/>
      <c r="V266" s="5"/>
    </row>
    <row r="267" spans="1:22" ht="15.75" thickBot="1" x14ac:dyDescent="0.3">
      <c r="A267" s="5"/>
      <c r="B267" s="5"/>
      <c r="C267" s="5"/>
      <c r="D267" s="39"/>
      <c r="E267" s="39"/>
      <c r="F267" s="5"/>
      <c r="G267" s="5"/>
      <c r="H267" s="39"/>
      <c r="I267" s="39"/>
      <c r="J267" s="5"/>
      <c r="K267" s="5"/>
      <c r="L267" s="39"/>
      <c r="M267" s="39"/>
      <c r="N267" s="5"/>
      <c r="O267" s="5"/>
      <c r="P267" s="39"/>
      <c r="Q267" s="39"/>
      <c r="R267" s="5"/>
      <c r="S267" s="5"/>
      <c r="T267" s="5"/>
      <c r="U267" s="5"/>
      <c r="V267" s="5"/>
    </row>
    <row r="268" spans="1:22" x14ac:dyDescent="0.25">
      <c r="A268" s="15"/>
      <c r="B268" s="16"/>
      <c r="C268" s="16"/>
      <c r="D268" s="42"/>
      <c r="E268" s="42"/>
      <c r="F268" s="16"/>
      <c r="G268" s="16"/>
      <c r="H268" s="42"/>
      <c r="I268" s="42"/>
      <c r="J268" s="16"/>
      <c r="K268" s="16"/>
      <c r="L268" s="42"/>
      <c r="M268" s="42"/>
      <c r="N268" s="16"/>
      <c r="O268" s="16"/>
      <c r="P268" s="42"/>
      <c r="Q268" s="42"/>
      <c r="R268" s="16"/>
      <c r="S268" s="16"/>
      <c r="T268" s="16"/>
      <c r="U268" s="16"/>
      <c r="V268" s="16"/>
    </row>
    <row r="269" spans="1:22" x14ac:dyDescent="0.25">
      <c r="A269" s="18"/>
      <c r="B269" s="61"/>
      <c r="C269" s="61"/>
      <c r="D269" s="117">
        <v>1</v>
      </c>
      <c r="E269" s="118"/>
      <c r="F269" s="61"/>
      <c r="G269" s="61"/>
      <c r="H269" s="117">
        <v>2</v>
      </c>
      <c r="I269" s="118"/>
      <c r="J269" s="61"/>
      <c r="K269" s="61"/>
      <c r="L269" s="117">
        <v>3</v>
      </c>
      <c r="M269" s="118"/>
      <c r="N269" s="61"/>
      <c r="O269" s="61"/>
      <c r="P269" s="117">
        <v>4</v>
      </c>
      <c r="Q269" s="118"/>
      <c r="R269" s="61"/>
      <c r="S269" s="61"/>
      <c r="T269" s="61"/>
      <c r="U269" s="61"/>
      <c r="V269" s="65"/>
    </row>
    <row r="270" spans="1:22" x14ac:dyDescent="0.25">
      <c r="A270" s="18"/>
      <c r="B270" s="111" t="s">
        <v>6</v>
      </c>
      <c r="C270" s="111"/>
      <c r="D270" s="117" t="s">
        <v>37</v>
      </c>
      <c r="E270" s="118" t="s">
        <v>0</v>
      </c>
      <c r="F270" s="111" t="s">
        <v>6</v>
      </c>
      <c r="G270" s="111"/>
      <c r="H270" s="117" t="s">
        <v>37</v>
      </c>
      <c r="I270" s="118"/>
      <c r="J270" s="111" t="s">
        <v>6</v>
      </c>
      <c r="K270" s="111"/>
      <c r="L270" s="117" t="s">
        <v>37</v>
      </c>
      <c r="M270" s="118"/>
      <c r="N270" s="111" t="s">
        <v>6</v>
      </c>
      <c r="O270" s="111"/>
      <c r="P270" s="117" t="s">
        <v>37</v>
      </c>
      <c r="Q270" s="118"/>
      <c r="R270" s="111"/>
      <c r="S270" s="111"/>
      <c r="T270" s="111"/>
      <c r="U270" s="111"/>
      <c r="V270" s="66"/>
    </row>
    <row r="271" spans="1:22" x14ac:dyDescent="0.25">
      <c r="A271" s="18"/>
      <c r="B271" s="110"/>
      <c r="C271" s="110"/>
      <c r="D271" s="112"/>
      <c r="E271" s="112"/>
      <c r="F271" s="110"/>
      <c r="G271" s="110"/>
      <c r="H271" s="112"/>
      <c r="I271" s="112"/>
      <c r="J271" s="110"/>
      <c r="K271" s="110"/>
      <c r="L271" s="112"/>
      <c r="M271" s="112"/>
      <c r="N271" s="110"/>
      <c r="O271" s="110"/>
      <c r="P271" s="112"/>
      <c r="Q271" s="112"/>
      <c r="R271" s="110"/>
      <c r="S271" s="110"/>
      <c r="T271" s="110"/>
      <c r="U271" s="110"/>
      <c r="V271" s="66"/>
    </row>
    <row r="272" spans="1:22" x14ac:dyDescent="0.25">
      <c r="A272" s="18"/>
      <c r="B272" s="111">
        <v>0</v>
      </c>
      <c r="C272" s="111"/>
      <c r="D272" s="113">
        <v>1</v>
      </c>
      <c r="E272" s="113">
        <v>1</v>
      </c>
      <c r="F272" s="111">
        <v>2</v>
      </c>
      <c r="G272" s="111">
        <v>2</v>
      </c>
      <c r="H272" s="113">
        <v>3</v>
      </c>
      <c r="I272" s="113">
        <v>3</v>
      </c>
      <c r="J272" s="111">
        <v>4</v>
      </c>
      <c r="K272" s="111">
        <v>4</v>
      </c>
      <c r="L272" s="113">
        <v>5</v>
      </c>
      <c r="M272" s="113"/>
      <c r="N272" s="111">
        <v>6</v>
      </c>
      <c r="O272" s="111">
        <v>1</v>
      </c>
      <c r="P272" s="113">
        <v>7</v>
      </c>
      <c r="Q272" s="113">
        <v>2</v>
      </c>
      <c r="R272" s="111">
        <v>8</v>
      </c>
      <c r="S272" s="111">
        <v>3</v>
      </c>
      <c r="T272" s="111">
        <v>9</v>
      </c>
      <c r="U272" s="111">
        <v>4</v>
      </c>
      <c r="V272" s="67"/>
    </row>
    <row r="273" spans="1:43" x14ac:dyDescent="0.25">
      <c r="A273" s="18"/>
      <c r="B273" s="61" t="s">
        <v>1</v>
      </c>
      <c r="C273" s="61" t="s">
        <v>2</v>
      </c>
      <c r="D273" s="62" t="s">
        <v>3</v>
      </c>
      <c r="E273" s="62" t="s">
        <v>4</v>
      </c>
      <c r="F273" s="61" t="s">
        <v>1</v>
      </c>
      <c r="G273" s="61" t="s">
        <v>2</v>
      </c>
      <c r="H273" s="62" t="s">
        <v>3</v>
      </c>
      <c r="I273" s="62" t="s">
        <v>4</v>
      </c>
      <c r="J273" s="61" t="s">
        <v>1</v>
      </c>
      <c r="K273" s="61" t="s">
        <v>2</v>
      </c>
      <c r="L273" s="62" t="s">
        <v>3</v>
      </c>
      <c r="M273" s="62" t="s">
        <v>4</v>
      </c>
      <c r="N273" s="61" t="s">
        <v>1</v>
      </c>
      <c r="O273" s="61" t="s">
        <v>2</v>
      </c>
      <c r="P273" s="62" t="s">
        <v>3</v>
      </c>
      <c r="Q273" s="62" t="s">
        <v>4</v>
      </c>
      <c r="R273" s="61" t="s">
        <v>1</v>
      </c>
      <c r="S273" s="61" t="s">
        <v>2</v>
      </c>
      <c r="T273" s="61" t="s">
        <v>3</v>
      </c>
      <c r="U273" s="61" t="s">
        <v>4</v>
      </c>
      <c r="V273" s="67"/>
    </row>
    <row r="274" spans="1:43" ht="15.75" thickBot="1" x14ac:dyDescent="0.3">
      <c r="A274" s="24"/>
      <c r="B274" s="25"/>
      <c r="C274" s="25"/>
      <c r="D274" s="44"/>
      <c r="E274" s="45"/>
      <c r="F274" s="25"/>
      <c r="G274" s="25"/>
      <c r="H274" s="44"/>
      <c r="I274" s="45"/>
      <c r="J274" s="25"/>
      <c r="K274" s="25"/>
      <c r="L274" s="44"/>
      <c r="M274" s="45"/>
      <c r="N274" s="25"/>
      <c r="O274" s="25"/>
      <c r="P274" s="44"/>
      <c r="Q274" s="45"/>
      <c r="R274" s="25"/>
      <c r="S274" s="25"/>
      <c r="T274" s="25"/>
      <c r="U274" s="25"/>
      <c r="V274" s="68"/>
    </row>
    <row r="275" spans="1:43" ht="15.6" customHeight="1" x14ac:dyDescent="0.25">
      <c r="A275" s="5"/>
      <c r="B275" s="105"/>
      <c r="C275" s="106"/>
      <c r="D275" s="108"/>
      <c r="E275" s="106"/>
      <c r="F275" s="105"/>
      <c r="G275" s="106"/>
      <c r="H275" s="108"/>
      <c r="I275" s="106"/>
      <c r="J275" s="105"/>
      <c r="K275" s="106"/>
      <c r="L275" s="108"/>
      <c r="M275" s="106"/>
      <c r="N275" s="105"/>
      <c r="O275" s="106"/>
      <c r="P275" s="108"/>
      <c r="Q275" s="106"/>
      <c r="R275" s="85"/>
      <c r="S275" s="85"/>
      <c r="T275" s="85"/>
      <c r="U275" s="85"/>
      <c r="V275" s="27"/>
      <c r="W275" s="69"/>
      <c r="X275" s="109"/>
      <c r="Y275" s="109"/>
      <c r="Z275" s="109"/>
      <c r="AA275" s="109"/>
      <c r="AB275" s="109"/>
      <c r="AC275" s="109"/>
      <c r="AD275" s="109"/>
      <c r="AE275" s="109"/>
      <c r="AF275" s="109"/>
      <c r="AG275" s="109"/>
      <c r="AH275" s="109"/>
      <c r="AI275" s="109"/>
      <c r="AJ275" s="109"/>
      <c r="AK275" s="109"/>
      <c r="AL275" s="109"/>
      <c r="AM275" s="109"/>
      <c r="AN275" s="109"/>
      <c r="AO275" s="109"/>
      <c r="AP275" s="109"/>
      <c r="AQ275" s="109"/>
    </row>
    <row r="276" spans="1:43" ht="15.6" customHeight="1" thickBot="1" x14ac:dyDescent="0.3">
      <c r="A276" s="5"/>
      <c r="B276" s="10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  <c r="R276" s="110"/>
      <c r="S276" s="110"/>
      <c r="T276" s="110"/>
      <c r="U276" s="110"/>
      <c r="V276" s="27"/>
      <c r="W276" s="69"/>
      <c r="X276" s="109"/>
      <c r="Y276" s="109"/>
      <c r="Z276" s="109"/>
      <c r="AA276" s="109"/>
      <c r="AB276" s="109"/>
      <c r="AC276" s="109"/>
      <c r="AD276" s="109"/>
      <c r="AE276" s="109"/>
      <c r="AF276" s="109"/>
      <c r="AG276" s="109"/>
      <c r="AH276" s="109"/>
      <c r="AI276" s="109"/>
      <c r="AJ276" s="109"/>
      <c r="AK276" s="109"/>
      <c r="AL276" s="109"/>
      <c r="AM276" s="109"/>
      <c r="AN276" s="109"/>
      <c r="AO276" s="109"/>
      <c r="AP276" s="109"/>
      <c r="AQ276" s="109"/>
    </row>
    <row r="277" spans="1:43" x14ac:dyDescent="0.25">
      <c r="A277" s="5"/>
      <c r="B277" s="100"/>
      <c r="C277" s="101"/>
      <c r="D277" s="102"/>
      <c r="E277" s="103"/>
      <c r="F277" s="100"/>
      <c r="G277" s="101"/>
      <c r="H277" s="102"/>
      <c r="I277" s="103"/>
      <c r="J277" s="100"/>
      <c r="K277" s="101"/>
      <c r="L277" s="102"/>
      <c r="M277" s="103"/>
      <c r="N277" s="100"/>
      <c r="O277" s="101"/>
      <c r="P277" s="102"/>
      <c r="Q277" s="103"/>
      <c r="R277" s="63"/>
      <c r="S277" s="63"/>
      <c r="T277" s="63"/>
      <c r="U277" s="63"/>
      <c r="V277" s="27"/>
    </row>
    <row r="278" spans="1:43" x14ac:dyDescent="0.25">
      <c r="A278" s="5"/>
      <c r="B278" s="5"/>
      <c r="C278" s="5"/>
      <c r="D278" s="39"/>
      <c r="E278" s="39"/>
      <c r="F278" s="5"/>
      <c r="G278" s="5"/>
      <c r="H278" s="39"/>
      <c r="I278" s="39"/>
      <c r="J278" s="5"/>
      <c r="K278" s="5"/>
      <c r="L278" s="39"/>
      <c r="M278" s="39"/>
      <c r="N278" s="5"/>
      <c r="O278" s="5"/>
      <c r="P278" s="39"/>
      <c r="Q278" s="39"/>
      <c r="R278" s="5"/>
      <c r="S278" s="5"/>
      <c r="T278" s="5"/>
      <c r="U278" s="5"/>
      <c r="V278" s="5"/>
    </row>
    <row r="279" spans="1:43" x14ac:dyDescent="0.25">
      <c r="A279" s="5"/>
      <c r="B279" s="5"/>
      <c r="C279" s="5"/>
      <c r="D279" s="39"/>
      <c r="E279" s="64" t="s">
        <v>11</v>
      </c>
      <c r="F279" s="104" t="s">
        <v>12</v>
      </c>
      <c r="G279" s="104"/>
      <c r="H279" s="104"/>
      <c r="I279" s="104" t="s">
        <v>41</v>
      </c>
      <c r="J279" s="104"/>
      <c r="K279" s="5"/>
      <c r="L279" s="39"/>
      <c r="M279" s="39"/>
      <c r="N279" s="5"/>
      <c r="O279" s="63" t="s">
        <v>13</v>
      </c>
      <c r="P279" s="39" t="s">
        <v>14</v>
      </c>
      <c r="Q279" s="39"/>
      <c r="R279" s="5"/>
      <c r="S279" s="5" t="s">
        <v>43</v>
      </c>
      <c r="T279" s="5"/>
      <c r="U279" s="5"/>
      <c r="V279" s="5"/>
    </row>
    <row r="280" spans="1:43" x14ac:dyDescent="0.25">
      <c r="A280" s="5"/>
      <c r="B280" s="5"/>
      <c r="C280" s="5"/>
      <c r="D280" s="39"/>
      <c r="E280" s="64" t="s">
        <v>15</v>
      </c>
      <c r="F280" s="104" t="s">
        <v>16</v>
      </c>
      <c r="G280" s="104"/>
      <c r="H280" s="104"/>
      <c r="I280" s="39" t="s">
        <v>42</v>
      </c>
      <c r="J280" s="5"/>
      <c r="K280" s="5"/>
      <c r="L280" s="39"/>
      <c r="M280" s="39"/>
      <c r="N280" s="5"/>
      <c r="O280" s="63" t="s">
        <v>18</v>
      </c>
      <c r="P280" s="39" t="s">
        <v>14</v>
      </c>
      <c r="Q280" s="39"/>
      <c r="R280" s="5"/>
      <c r="S280" s="5" t="s">
        <v>17</v>
      </c>
      <c r="T280" s="5"/>
      <c r="U280" s="5"/>
      <c r="V280" s="5"/>
    </row>
    <row r="281" spans="1:43" x14ac:dyDescent="0.25">
      <c r="A281" s="65" t="s">
        <v>69</v>
      </c>
      <c r="B281" s="65"/>
      <c r="C281" s="65"/>
      <c r="D281" s="77"/>
      <c r="E281" s="78"/>
      <c r="F281" s="65"/>
      <c r="G281" s="65"/>
      <c r="H281" s="77"/>
      <c r="I281" s="77"/>
      <c r="J281" s="65"/>
      <c r="K281" s="65"/>
      <c r="L281" s="77"/>
      <c r="M281" s="77"/>
      <c r="N281" s="65"/>
      <c r="O281" s="65"/>
      <c r="P281" s="77"/>
      <c r="Q281" s="77"/>
      <c r="R281" s="65"/>
      <c r="S281" s="65"/>
      <c r="T281" s="65"/>
      <c r="U281" s="65"/>
      <c r="V281" s="65"/>
    </row>
    <row r="282" spans="1:43" ht="18.75" x14ac:dyDescent="0.3">
      <c r="A282" s="5"/>
      <c r="B282" s="5"/>
      <c r="C282" s="5"/>
      <c r="D282" s="39"/>
      <c r="E282" s="40" t="s">
        <v>7</v>
      </c>
      <c r="F282" s="5"/>
      <c r="G282" s="7"/>
      <c r="H282" s="51"/>
      <c r="I282" s="51"/>
      <c r="J282" s="7"/>
      <c r="K282" s="7"/>
      <c r="L282" s="51"/>
      <c r="M282" s="52" t="s">
        <v>8</v>
      </c>
      <c r="N282" s="114" t="s">
        <v>68</v>
      </c>
      <c r="O282" s="115"/>
      <c r="P282" s="39"/>
      <c r="Q282" s="39"/>
      <c r="R282" s="5"/>
      <c r="S282" s="5"/>
      <c r="T282" s="5"/>
      <c r="U282" s="5"/>
      <c r="V282" s="5"/>
    </row>
    <row r="283" spans="1:43" ht="18.75" x14ac:dyDescent="0.3">
      <c r="A283" s="5"/>
      <c r="B283" s="5"/>
      <c r="C283" s="5"/>
      <c r="D283" s="39"/>
      <c r="E283" s="40" t="s">
        <v>35</v>
      </c>
      <c r="F283" s="5"/>
      <c r="G283" s="5"/>
      <c r="H283" s="39"/>
      <c r="I283" s="39"/>
      <c r="J283" s="9"/>
      <c r="K283" s="9"/>
      <c r="L283" s="53"/>
      <c r="M283" s="52" t="s">
        <v>9</v>
      </c>
      <c r="N283" s="116" t="str">
        <f>N282&amp;".1"</f>
        <v>1.3.1</v>
      </c>
      <c r="O283" s="116"/>
      <c r="P283" s="39"/>
      <c r="Q283" s="39"/>
      <c r="R283" s="5"/>
      <c r="S283" s="5"/>
      <c r="T283" s="5"/>
      <c r="U283" s="5"/>
      <c r="V283" s="5"/>
    </row>
    <row r="284" spans="1:43" ht="18.75" x14ac:dyDescent="0.3">
      <c r="A284" s="5"/>
      <c r="B284" s="5"/>
      <c r="C284" s="5"/>
      <c r="D284" s="39"/>
      <c r="E284" s="39" t="s">
        <v>36</v>
      </c>
      <c r="F284" s="5"/>
      <c r="G284" s="5"/>
      <c r="H284" s="51"/>
      <c r="I284" s="51"/>
      <c r="J284" s="7"/>
      <c r="K284" s="7"/>
      <c r="L284" s="51"/>
      <c r="M284" s="54" t="s">
        <v>9</v>
      </c>
      <c r="N284" s="11">
        <v>1</v>
      </c>
      <c r="O284" s="5"/>
      <c r="P284" s="39"/>
      <c r="Q284" s="39"/>
      <c r="R284" s="5"/>
      <c r="S284" s="5"/>
      <c r="T284" s="5"/>
      <c r="U284" s="5"/>
      <c r="V284" s="5"/>
    </row>
    <row r="285" spans="1:43" ht="18.75" x14ac:dyDescent="0.3">
      <c r="A285" s="5"/>
      <c r="B285" s="5"/>
      <c r="C285" s="5"/>
      <c r="D285" s="39"/>
      <c r="E285" s="39" t="s">
        <v>5</v>
      </c>
      <c r="F285" s="5"/>
      <c r="G285" s="5"/>
      <c r="H285" s="39"/>
      <c r="I285" s="39"/>
      <c r="J285" s="5"/>
      <c r="K285" s="5"/>
      <c r="L285" s="53"/>
      <c r="M285" s="54" t="s">
        <v>9</v>
      </c>
      <c r="N285" s="11" t="str">
        <f>"-"&amp;N283</f>
        <v>-1.3.1</v>
      </c>
      <c r="O285" s="12"/>
      <c r="P285" s="39"/>
      <c r="Q285" s="39"/>
      <c r="R285" s="5"/>
      <c r="S285" s="5"/>
      <c r="T285" s="5"/>
      <c r="U285" s="5"/>
      <c r="V285" s="5"/>
    </row>
    <row r="286" spans="1:43" ht="18.75" x14ac:dyDescent="0.3">
      <c r="A286" s="5"/>
      <c r="B286" s="5"/>
      <c r="C286" s="5"/>
      <c r="D286" s="39"/>
      <c r="E286" s="41" t="s">
        <v>10</v>
      </c>
      <c r="F286" s="5"/>
      <c r="G286" s="5"/>
      <c r="H286" s="39"/>
      <c r="I286" s="51"/>
      <c r="J286" s="7"/>
      <c r="K286" s="7"/>
      <c r="L286" s="51"/>
      <c r="M286" s="54" t="s">
        <v>9</v>
      </c>
      <c r="N286" s="3">
        <v>15</v>
      </c>
      <c r="O286" s="5"/>
      <c r="P286" s="39"/>
      <c r="Q286" s="39"/>
      <c r="R286" s="5"/>
      <c r="S286" s="5"/>
      <c r="T286" s="5"/>
      <c r="U286" s="5"/>
      <c r="V286" s="5"/>
    </row>
    <row r="287" spans="1:43" ht="15.75" thickBot="1" x14ac:dyDescent="0.3">
      <c r="A287" s="5"/>
      <c r="B287" s="5"/>
      <c r="C287" s="5"/>
      <c r="D287" s="39"/>
      <c r="E287" s="39"/>
      <c r="F287" s="5"/>
      <c r="G287" s="5"/>
      <c r="H287" s="39"/>
      <c r="I287" s="39"/>
      <c r="J287" s="5"/>
      <c r="K287" s="5"/>
      <c r="L287" s="39"/>
      <c r="M287" s="39"/>
      <c r="N287" s="5"/>
      <c r="O287" s="5"/>
      <c r="P287" s="39"/>
      <c r="Q287" s="39"/>
      <c r="R287" s="5"/>
      <c r="S287" s="5"/>
      <c r="T287" s="5"/>
      <c r="U287" s="5"/>
      <c r="V287" s="5"/>
    </row>
    <row r="288" spans="1:43" x14ac:dyDescent="0.25">
      <c r="A288" s="15"/>
      <c r="B288" s="16"/>
      <c r="C288" s="16"/>
      <c r="D288" s="42"/>
      <c r="E288" s="42"/>
      <c r="F288" s="16"/>
      <c r="G288" s="16"/>
      <c r="H288" s="42"/>
      <c r="I288" s="42"/>
      <c r="J288" s="16"/>
      <c r="K288" s="16"/>
      <c r="L288" s="42"/>
      <c r="M288" s="42"/>
      <c r="N288" s="16"/>
      <c r="O288" s="16"/>
      <c r="P288" s="42"/>
      <c r="Q288" s="42"/>
      <c r="R288" s="16"/>
      <c r="S288" s="16"/>
      <c r="T288" s="16"/>
      <c r="U288" s="16"/>
      <c r="V288" s="16"/>
    </row>
    <row r="289" spans="1:43" x14ac:dyDescent="0.25">
      <c r="A289" s="18"/>
      <c r="B289" s="61"/>
      <c r="C289" s="61"/>
      <c r="D289" s="117">
        <v>1</v>
      </c>
      <c r="E289" s="118"/>
      <c r="F289" s="61"/>
      <c r="G289" s="61"/>
      <c r="H289" s="117">
        <v>2</v>
      </c>
      <c r="I289" s="118"/>
      <c r="J289" s="61"/>
      <c r="K289" s="61"/>
      <c r="L289" s="117">
        <v>3</v>
      </c>
      <c r="M289" s="118"/>
      <c r="N289" s="61"/>
      <c r="O289" s="61"/>
      <c r="P289" s="117">
        <v>4</v>
      </c>
      <c r="Q289" s="118"/>
      <c r="R289" s="61"/>
      <c r="S289" s="61"/>
      <c r="T289" s="61"/>
      <c r="U289" s="61"/>
      <c r="V289" s="65"/>
    </row>
    <row r="290" spans="1:43" x14ac:dyDescent="0.25">
      <c r="A290" s="18"/>
      <c r="B290" s="111" t="s">
        <v>6</v>
      </c>
      <c r="C290" s="111"/>
      <c r="D290" s="117" t="s">
        <v>37</v>
      </c>
      <c r="E290" s="118" t="s">
        <v>0</v>
      </c>
      <c r="F290" s="111" t="s">
        <v>6</v>
      </c>
      <c r="G290" s="111"/>
      <c r="H290" s="117" t="s">
        <v>37</v>
      </c>
      <c r="I290" s="118"/>
      <c r="J290" s="111" t="s">
        <v>6</v>
      </c>
      <c r="K290" s="111"/>
      <c r="L290" s="117" t="s">
        <v>37</v>
      </c>
      <c r="M290" s="118"/>
      <c r="N290" s="111" t="s">
        <v>6</v>
      </c>
      <c r="O290" s="111"/>
      <c r="P290" s="117" t="s">
        <v>37</v>
      </c>
      <c r="Q290" s="118"/>
      <c r="R290" s="111"/>
      <c r="S290" s="111"/>
      <c r="T290" s="111"/>
      <c r="U290" s="111"/>
      <c r="V290" s="66"/>
    </row>
    <row r="291" spans="1:43" x14ac:dyDescent="0.25">
      <c r="A291" s="18"/>
      <c r="B291" s="110"/>
      <c r="C291" s="110"/>
      <c r="D291" s="112"/>
      <c r="E291" s="112"/>
      <c r="F291" s="110"/>
      <c r="G291" s="110"/>
      <c r="H291" s="112"/>
      <c r="I291" s="112"/>
      <c r="J291" s="110"/>
      <c r="K291" s="110"/>
      <c r="L291" s="112"/>
      <c r="M291" s="112"/>
      <c r="N291" s="110"/>
      <c r="O291" s="110"/>
      <c r="P291" s="112"/>
      <c r="Q291" s="112"/>
      <c r="R291" s="110"/>
      <c r="S291" s="110"/>
      <c r="T291" s="110"/>
      <c r="U291" s="110"/>
      <c r="V291" s="66"/>
    </row>
    <row r="292" spans="1:43" x14ac:dyDescent="0.25">
      <c r="A292" s="18"/>
      <c r="B292" s="111">
        <v>0</v>
      </c>
      <c r="C292" s="111"/>
      <c r="D292" s="113">
        <v>1</v>
      </c>
      <c r="E292" s="113">
        <v>1</v>
      </c>
      <c r="F292" s="111">
        <v>2</v>
      </c>
      <c r="G292" s="111">
        <v>2</v>
      </c>
      <c r="H292" s="113">
        <v>3</v>
      </c>
      <c r="I292" s="113">
        <v>3</v>
      </c>
      <c r="J292" s="111">
        <v>4</v>
      </c>
      <c r="K292" s="111">
        <v>4</v>
      </c>
      <c r="L292" s="113">
        <v>5</v>
      </c>
      <c r="M292" s="113"/>
      <c r="N292" s="111">
        <v>6</v>
      </c>
      <c r="O292" s="111">
        <v>1</v>
      </c>
      <c r="P292" s="113">
        <v>7</v>
      </c>
      <c r="Q292" s="113">
        <v>2</v>
      </c>
      <c r="R292" s="111">
        <v>8</v>
      </c>
      <c r="S292" s="111">
        <v>3</v>
      </c>
      <c r="T292" s="111">
        <v>9</v>
      </c>
      <c r="U292" s="111">
        <v>4</v>
      </c>
      <c r="V292" s="67"/>
    </row>
    <row r="293" spans="1:43" x14ac:dyDescent="0.25">
      <c r="A293" s="18"/>
      <c r="B293" s="61" t="s">
        <v>1</v>
      </c>
      <c r="C293" s="61" t="s">
        <v>2</v>
      </c>
      <c r="D293" s="62" t="s">
        <v>3</v>
      </c>
      <c r="E293" s="62" t="s">
        <v>4</v>
      </c>
      <c r="F293" s="61" t="s">
        <v>1</v>
      </c>
      <c r="G293" s="61" t="s">
        <v>2</v>
      </c>
      <c r="H293" s="62" t="s">
        <v>3</v>
      </c>
      <c r="I293" s="62" t="s">
        <v>4</v>
      </c>
      <c r="J293" s="61" t="s">
        <v>1</v>
      </c>
      <c r="K293" s="61" t="s">
        <v>2</v>
      </c>
      <c r="L293" s="62" t="s">
        <v>3</v>
      </c>
      <c r="M293" s="62" t="s">
        <v>4</v>
      </c>
      <c r="N293" s="61" t="s">
        <v>1</v>
      </c>
      <c r="O293" s="61" t="s">
        <v>2</v>
      </c>
      <c r="P293" s="62" t="s">
        <v>3</v>
      </c>
      <c r="Q293" s="62" t="s">
        <v>4</v>
      </c>
      <c r="R293" s="61" t="s">
        <v>1</v>
      </c>
      <c r="S293" s="61" t="s">
        <v>2</v>
      </c>
      <c r="T293" s="61" t="s">
        <v>3</v>
      </c>
      <c r="U293" s="61" t="s">
        <v>4</v>
      </c>
      <c r="V293" s="67"/>
    </row>
    <row r="294" spans="1:43" ht="15.75" thickBot="1" x14ac:dyDescent="0.3">
      <c r="A294" s="24"/>
      <c r="B294" s="25"/>
      <c r="C294" s="25"/>
      <c r="D294" s="44"/>
      <c r="E294" s="45"/>
      <c r="F294" s="25"/>
      <c r="G294" s="25"/>
      <c r="H294" s="44"/>
      <c r="I294" s="45"/>
      <c r="J294" s="25"/>
      <c r="K294" s="25"/>
      <c r="L294" s="44"/>
      <c r="M294" s="45"/>
      <c r="N294" s="25"/>
      <c r="O294" s="25"/>
      <c r="P294" s="44"/>
      <c r="Q294" s="45"/>
      <c r="R294" s="25"/>
      <c r="S294" s="25"/>
      <c r="T294" s="25"/>
      <c r="U294" s="25"/>
      <c r="V294" s="68"/>
    </row>
    <row r="295" spans="1:43" ht="15.6" customHeight="1" x14ac:dyDescent="0.25">
      <c r="A295" s="5"/>
      <c r="B295" s="105"/>
      <c r="C295" s="106"/>
      <c r="D295" s="108"/>
      <c r="E295" s="106"/>
      <c r="F295" s="105"/>
      <c r="G295" s="106"/>
      <c r="H295" s="108"/>
      <c r="I295" s="106"/>
      <c r="J295" s="105"/>
      <c r="K295" s="106"/>
      <c r="L295" s="108"/>
      <c r="M295" s="106"/>
      <c r="N295" s="105"/>
      <c r="O295" s="106"/>
      <c r="P295" s="108"/>
      <c r="Q295" s="106"/>
      <c r="R295" s="85"/>
      <c r="S295" s="85"/>
      <c r="T295" s="85"/>
      <c r="U295" s="85"/>
      <c r="V295" s="27"/>
      <c r="W295" s="69"/>
      <c r="X295" s="109"/>
      <c r="Y295" s="109"/>
      <c r="Z295" s="109"/>
      <c r="AA295" s="109"/>
      <c r="AB295" s="109"/>
      <c r="AC295" s="109"/>
      <c r="AD295" s="109"/>
      <c r="AE295" s="109"/>
      <c r="AF295" s="109"/>
      <c r="AG295" s="109"/>
      <c r="AH295" s="109"/>
      <c r="AI295" s="109"/>
      <c r="AJ295" s="109"/>
      <c r="AK295" s="109"/>
      <c r="AL295" s="109"/>
      <c r="AM295" s="109"/>
      <c r="AN295" s="109"/>
      <c r="AO295" s="109"/>
      <c r="AP295" s="109"/>
      <c r="AQ295" s="109"/>
    </row>
    <row r="296" spans="1:43" ht="15.6" customHeight="1" thickBot="1" x14ac:dyDescent="0.3">
      <c r="A296" s="5"/>
      <c r="B296" s="10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  <c r="R296" s="110"/>
      <c r="S296" s="110"/>
      <c r="T296" s="110"/>
      <c r="U296" s="110"/>
      <c r="V296" s="27"/>
      <c r="W296" s="69"/>
      <c r="X296" s="109"/>
      <c r="Y296" s="109"/>
      <c r="Z296" s="109"/>
      <c r="AA296" s="109"/>
      <c r="AB296" s="109"/>
      <c r="AC296" s="109"/>
      <c r="AD296" s="109"/>
      <c r="AE296" s="109"/>
      <c r="AF296" s="109"/>
      <c r="AG296" s="109"/>
      <c r="AH296" s="109"/>
      <c r="AI296" s="109"/>
      <c r="AJ296" s="109"/>
      <c r="AK296" s="109"/>
      <c r="AL296" s="109"/>
      <c r="AM296" s="109"/>
      <c r="AN296" s="109"/>
      <c r="AO296" s="109"/>
      <c r="AP296" s="109"/>
      <c r="AQ296" s="109"/>
    </row>
    <row r="297" spans="1:43" x14ac:dyDescent="0.25">
      <c r="A297" s="5"/>
      <c r="B297" s="100"/>
      <c r="C297" s="101"/>
      <c r="D297" s="102"/>
      <c r="E297" s="103"/>
      <c r="F297" s="100"/>
      <c r="G297" s="101"/>
      <c r="H297" s="102"/>
      <c r="I297" s="103"/>
      <c r="J297" s="100"/>
      <c r="K297" s="101"/>
      <c r="L297" s="102"/>
      <c r="M297" s="103"/>
      <c r="N297" s="100"/>
      <c r="O297" s="101"/>
      <c r="P297" s="102"/>
      <c r="Q297" s="103"/>
      <c r="R297" s="63"/>
      <c r="S297" s="63"/>
      <c r="T297" s="63"/>
      <c r="U297" s="63"/>
      <c r="V297" s="27"/>
    </row>
    <row r="298" spans="1:43" x14ac:dyDescent="0.25">
      <c r="A298" s="5"/>
      <c r="B298" s="5"/>
      <c r="C298" s="5"/>
      <c r="D298" s="39"/>
      <c r="E298" s="39"/>
      <c r="F298" s="5"/>
      <c r="G298" s="5"/>
      <c r="H298" s="39"/>
      <c r="I298" s="39"/>
      <c r="J298" s="5"/>
      <c r="K298" s="5"/>
      <c r="L298" s="39"/>
      <c r="M298" s="39"/>
      <c r="N298" s="5"/>
      <c r="O298" s="5"/>
      <c r="P298" s="39"/>
      <c r="Q298" s="39"/>
      <c r="R298" s="5"/>
      <c r="S298" s="5"/>
      <c r="T298" s="5"/>
      <c r="U298" s="5"/>
      <c r="V298" s="5"/>
    </row>
    <row r="299" spans="1:43" x14ac:dyDescent="0.25">
      <c r="A299" s="5"/>
      <c r="B299" s="5"/>
      <c r="C299" s="5"/>
      <c r="D299" s="39"/>
      <c r="E299" s="64" t="s">
        <v>11</v>
      </c>
      <c r="F299" s="104" t="s">
        <v>12</v>
      </c>
      <c r="G299" s="104"/>
      <c r="H299" s="104"/>
      <c r="I299" s="104" t="s">
        <v>41</v>
      </c>
      <c r="J299" s="104"/>
      <c r="K299" s="5"/>
      <c r="L299" s="39"/>
      <c r="M299" s="39"/>
      <c r="N299" s="5"/>
      <c r="O299" s="63" t="s">
        <v>13</v>
      </c>
      <c r="P299" s="39" t="s">
        <v>14</v>
      </c>
      <c r="Q299" s="39"/>
      <c r="R299" s="5"/>
      <c r="S299" s="5" t="s">
        <v>43</v>
      </c>
      <c r="T299" s="5"/>
      <c r="U299" s="5"/>
      <c r="V299" s="5"/>
    </row>
    <row r="300" spans="1:43" x14ac:dyDescent="0.25">
      <c r="A300" s="5"/>
      <c r="B300" s="5"/>
      <c r="C300" s="5"/>
      <c r="D300" s="39"/>
      <c r="E300" s="64" t="s">
        <v>15</v>
      </c>
      <c r="F300" s="104" t="s">
        <v>16</v>
      </c>
      <c r="G300" s="104"/>
      <c r="H300" s="104"/>
      <c r="I300" s="39" t="s">
        <v>42</v>
      </c>
      <c r="J300" s="5"/>
      <c r="K300" s="5"/>
      <c r="L300" s="39"/>
      <c r="M300" s="39"/>
      <c r="N300" s="5"/>
      <c r="O300" s="63" t="s">
        <v>18</v>
      </c>
      <c r="P300" s="39" t="s">
        <v>14</v>
      </c>
      <c r="Q300" s="39"/>
      <c r="R300" s="5"/>
      <c r="S300" s="5" t="s">
        <v>17</v>
      </c>
      <c r="T300" s="5"/>
      <c r="U300" s="5"/>
      <c r="V300" s="5"/>
    </row>
    <row r="301" spans="1:43" x14ac:dyDescent="0.25">
      <c r="A301" s="65" t="s">
        <v>69</v>
      </c>
      <c r="B301" s="65"/>
      <c r="C301" s="65"/>
      <c r="D301" s="77"/>
      <c r="E301" s="78"/>
      <c r="F301" s="65"/>
      <c r="G301" s="65"/>
      <c r="H301" s="77"/>
      <c r="I301" s="77"/>
      <c r="J301" s="65"/>
      <c r="K301" s="65"/>
      <c r="L301" s="77"/>
      <c r="M301" s="77"/>
      <c r="N301" s="65"/>
      <c r="O301" s="65"/>
      <c r="P301" s="77"/>
      <c r="Q301" s="77"/>
      <c r="R301" s="65"/>
      <c r="S301" s="65"/>
      <c r="T301" s="65"/>
      <c r="U301" s="65"/>
      <c r="V301" s="65"/>
    </row>
    <row r="302" spans="1:43" ht="18.75" customHeight="1" x14ac:dyDescent="0.3">
      <c r="A302" s="5"/>
      <c r="B302" s="5"/>
      <c r="C302" s="5"/>
      <c r="D302" s="39"/>
      <c r="E302" s="40" t="s">
        <v>7</v>
      </c>
      <c r="F302" s="5"/>
      <c r="G302" s="7"/>
      <c r="H302" s="51"/>
      <c r="I302" s="51"/>
      <c r="J302" s="7"/>
      <c r="K302" s="7"/>
      <c r="L302" s="51"/>
      <c r="M302" s="52" t="s">
        <v>8</v>
      </c>
      <c r="N302" s="114" t="s">
        <v>68</v>
      </c>
      <c r="O302" s="115"/>
      <c r="P302" s="39"/>
      <c r="Q302" s="39"/>
      <c r="R302" s="5"/>
      <c r="S302" s="5"/>
      <c r="T302" s="5"/>
      <c r="U302" s="5"/>
      <c r="V302" s="5"/>
    </row>
    <row r="303" spans="1:43" ht="18.75" x14ac:dyDescent="0.3">
      <c r="A303" s="5"/>
      <c r="B303" s="5"/>
      <c r="C303" s="5"/>
      <c r="D303" s="39"/>
      <c r="E303" s="40" t="s">
        <v>35</v>
      </c>
      <c r="F303" s="5"/>
      <c r="G303" s="5"/>
      <c r="H303" s="39"/>
      <c r="I303" s="39"/>
      <c r="J303" s="9"/>
      <c r="K303" s="9"/>
      <c r="L303" s="53"/>
      <c r="M303" s="52" t="s">
        <v>9</v>
      </c>
      <c r="N303" s="116" t="str">
        <f>N302&amp;".1"</f>
        <v>1.3.1</v>
      </c>
      <c r="O303" s="116"/>
      <c r="P303" s="39"/>
      <c r="Q303" s="39"/>
      <c r="R303" s="5"/>
      <c r="S303" s="5"/>
      <c r="T303" s="5"/>
      <c r="U303" s="5"/>
      <c r="V303" s="5"/>
    </row>
    <row r="304" spans="1:43" ht="18.75" x14ac:dyDescent="0.3">
      <c r="A304" s="5"/>
      <c r="B304" s="5"/>
      <c r="C304" s="5"/>
      <c r="D304" s="39"/>
      <c r="E304" s="39" t="s">
        <v>36</v>
      </c>
      <c r="F304" s="5"/>
      <c r="G304" s="5"/>
      <c r="H304" s="51"/>
      <c r="I304" s="51"/>
      <c r="J304" s="7"/>
      <c r="K304" s="7"/>
      <c r="L304" s="51"/>
      <c r="M304" s="54" t="s">
        <v>9</v>
      </c>
      <c r="N304" s="11">
        <v>1</v>
      </c>
      <c r="O304" s="5"/>
      <c r="P304" s="39"/>
      <c r="Q304" s="39"/>
      <c r="R304" s="5"/>
      <c r="S304" s="5"/>
      <c r="T304" s="5"/>
      <c r="U304" s="5"/>
      <c r="V304" s="5"/>
    </row>
    <row r="305" spans="1:43" ht="18.75" x14ac:dyDescent="0.3">
      <c r="A305" s="5"/>
      <c r="B305" s="5"/>
      <c r="C305" s="5"/>
      <c r="D305" s="39"/>
      <c r="E305" s="39" t="s">
        <v>5</v>
      </c>
      <c r="F305" s="5"/>
      <c r="G305" s="5"/>
      <c r="H305" s="39"/>
      <c r="I305" s="39"/>
      <c r="J305" s="5"/>
      <c r="K305" s="5"/>
      <c r="L305" s="53"/>
      <c r="M305" s="54" t="s">
        <v>9</v>
      </c>
      <c r="N305" s="11" t="str">
        <f>"-"&amp;N303</f>
        <v>-1.3.1</v>
      </c>
      <c r="O305" s="12"/>
      <c r="P305" s="39"/>
      <c r="Q305" s="39"/>
      <c r="R305" s="5"/>
      <c r="S305" s="5"/>
      <c r="T305" s="5"/>
      <c r="U305" s="5"/>
      <c r="V305" s="5"/>
    </row>
    <row r="306" spans="1:43" ht="18.75" x14ac:dyDescent="0.3">
      <c r="A306" s="5"/>
      <c r="B306" s="5"/>
      <c r="C306" s="5"/>
      <c r="D306" s="39"/>
      <c r="E306" s="41" t="s">
        <v>10</v>
      </c>
      <c r="F306" s="5"/>
      <c r="G306" s="5"/>
      <c r="H306" s="39"/>
      <c r="I306" s="51"/>
      <c r="J306" s="7"/>
      <c r="K306" s="7"/>
      <c r="L306" s="51"/>
      <c r="M306" s="54" t="s">
        <v>9</v>
      </c>
      <c r="N306" s="3">
        <v>16</v>
      </c>
      <c r="O306" s="5"/>
      <c r="P306" s="39"/>
      <c r="Q306" s="39"/>
      <c r="R306" s="5"/>
      <c r="S306" s="5"/>
      <c r="T306" s="5"/>
      <c r="U306" s="5"/>
      <c r="V306" s="5"/>
    </row>
    <row r="307" spans="1:43" ht="15.75" thickBot="1" x14ac:dyDescent="0.3">
      <c r="A307" s="5"/>
      <c r="B307" s="5"/>
      <c r="C307" s="5"/>
      <c r="D307" s="39"/>
      <c r="E307" s="39"/>
      <c r="F307" s="5"/>
      <c r="G307" s="5"/>
      <c r="H307" s="39"/>
      <c r="I307" s="39"/>
      <c r="J307" s="5"/>
      <c r="K307" s="5"/>
      <c r="L307" s="39"/>
      <c r="M307" s="39"/>
      <c r="N307" s="5"/>
      <c r="O307" s="5"/>
      <c r="P307" s="39"/>
      <c r="Q307" s="39"/>
      <c r="R307" s="5"/>
      <c r="S307" s="5"/>
      <c r="T307" s="5"/>
      <c r="U307" s="5"/>
      <c r="V307" s="5"/>
    </row>
    <row r="308" spans="1:43" x14ac:dyDescent="0.25">
      <c r="A308" s="15"/>
      <c r="B308" s="16"/>
      <c r="C308" s="16"/>
      <c r="D308" s="42"/>
      <c r="E308" s="42"/>
      <c r="F308" s="16"/>
      <c r="G308" s="16"/>
      <c r="H308" s="42"/>
      <c r="I308" s="42"/>
      <c r="J308" s="16"/>
      <c r="K308" s="16"/>
      <c r="L308" s="42"/>
      <c r="M308" s="42"/>
      <c r="N308" s="16"/>
      <c r="O308" s="16"/>
      <c r="P308" s="42"/>
      <c r="Q308" s="42"/>
      <c r="R308" s="16"/>
      <c r="S308" s="16"/>
      <c r="T308" s="16"/>
      <c r="U308" s="16"/>
      <c r="V308" s="16"/>
    </row>
    <row r="309" spans="1:43" x14ac:dyDescent="0.25">
      <c r="A309" s="18"/>
      <c r="B309" s="61"/>
      <c r="C309" s="61"/>
      <c r="D309" s="117">
        <v>1</v>
      </c>
      <c r="E309" s="118"/>
      <c r="F309" s="61"/>
      <c r="G309" s="61"/>
      <c r="H309" s="117">
        <v>2</v>
      </c>
      <c r="I309" s="118"/>
      <c r="J309" s="61"/>
      <c r="K309" s="61"/>
      <c r="L309" s="117">
        <v>3</v>
      </c>
      <c r="M309" s="118"/>
      <c r="N309" s="61"/>
      <c r="O309" s="61"/>
      <c r="P309" s="117">
        <v>4</v>
      </c>
      <c r="Q309" s="118"/>
      <c r="R309" s="61"/>
      <c r="S309" s="61"/>
      <c r="T309" s="61"/>
      <c r="U309" s="61"/>
      <c r="V309" s="65"/>
    </row>
    <row r="310" spans="1:43" x14ac:dyDescent="0.25">
      <c r="A310" s="18"/>
      <c r="B310" s="124" t="s">
        <v>6</v>
      </c>
      <c r="C310" s="125"/>
      <c r="D310" s="117" t="s">
        <v>37</v>
      </c>
      <c r="E310" s="118" t="s">
        <v>0</v>
      </c>
      <c r="F310" s="124" t="s">
        <v>6</v>
      </c>
      <c r="G310" s="125"/>
      <c r="H310" s="117" t="s">
        <v>37</v>
      </c>
      <c r="I310" s="118"/>
      <c r="J310" s="124" t="s">
        <v>6</v>
      </c>
      <c r="K310" s="125"/>
      <c r="L310" s="117" t="s">
        <v>37</v>
      </c>
      <c r="M310" s="118"/>
      <c r="N310" s="124" t="s">
        <v>6</v>
      </c>
      <c r="O310" s="125"/>
      <c r="P310" s="117" t="s">
        <v>37</v>
      </c>
      <c r="Q310" s="118"/>
      <c r="R310" s="124"/>
      <c r="S310" s="125"/>
      <c r="T310" s="124"/>
      <c r="U310" s="125"/>
      <c r="V310" s="66"/>
    </row>
    <row r="311" spans="1:43" x14ac:dyDescent="0.25">
      <c r="A311" s="18"/>
      <c r="B311" s="126"/>
      <c r="C311" s="126"/>
      <c r="D311" s="127"/>
      <c r="E311" s="127"/>
      <c r="F311" s="126"/>
      <c r="G311" s="126"/>
      <c r="H311" s="127"/>
      <c r="I311" s="127"/>
      <c r="J311" s="126"/>
      <c r="K311" s="126"/>
      <c r="L311" s="127"/>
      <c r="M311" s="127"/>
      <c r="N311" s="126"/>
      <c r="O311" s="126"/>
      <c r="P311" s="127"/>
      <c r="Q311" s="127"/>
      <c r="R311" s="126"/>
      <c r="S311" s="126"/>
      <c r="T311" s="126"/>
      <c r="U311" s="126"/>
      <c r="V311" s="66"/>
    </row>
    <row r="312" spans="1:43" x14ac:dyDescent="0.25">
      <c r="A312" s="18"/>
      <c r="B312" s="124">
        <v>0</v>
      </c>
      <c r="C312" s="125"/>
      <c r="D312" s="117">
        <v>1</v>
      </c>
      <c r="E312" s="118">
        <v>1</v>
      </c>
      <c r="F312" s="124">
        <v>2</v>
      </c>
      <c r="G312" s="125">
        <v>2</v>
      </c>
      <c r="H312" s="117">
        <v>3</v>
      </c>
      <c r="I312" s="118">
        <v>3</v>
      </c>
      <c r="J312" s="124">
        <v>4</v>
      </c>
      <c r="K312" s="125">
        <v>4</v>
      </c>
      <c r="L312" s="117">
        <v>5</v>
      </c>
      <c r="M312" s="118"/>
      <c r="N312" s="124">
        <v>6</v>
      </c>
      <c r="O312" s="125">
        <v>1</v>
      </c>
      <c r="P312" s="117">
        <v>7</v>
      </c>
      <c r="Q312" s="118">
        <v>2</v>
      </c>
      <c r="R312" s="124">
        <v>8</v>
      </c>
      <c r="S312" s="125">
        <v>3</v>
      </c>
      <c r="T312" s="124">
        <v>9</v>
      </c>
      <c r="U312" s="125">
        <v>4</v>
      </c>
      <c r="V312" s="67"/>
    </row>
    <row r="313" spans="1:43" x14ac:dyDescent="0.25">
      <c r="A313" s="18"/>
      <c r="B313" s="61" t="s">
        <v>1</v>
      </c>
      <c r="C313" s="61" t="s">
        <v>2</v>
      </c>
      <c r="D313" s="62" t="s">
        <v>3</v>
      </c>
      <c r="E313" s="62" t="s">
        <v>4</v>
      </c>
      <c r="F313" s="61" t="s">
        <v>1</v>
      </c>
      <c r="G313" s="61" t="s">
        <v>2</v>
      </c>
      <c r="H313" s="62" t="s">
        <v>3</v>
      </c>
      <c r="I313" s="62" t="s">
        <v>4</v>
      </c>
      <c r="J313" s="61" t="s">
        <v>1</v>
      </c>
      <c r="K313" s="61" t="s">
        <v>2</v>
      </c>
      <c r="L313" s="62" t="s">
        <v>3</v>
      </c>
      <c r="M313" s="62" t="s">
        <v>4</v>
      </c>
      <c r="N313" s="61" t="s">
        <v>1</v>
      </c>
      <c r="O313" s="61" t="s">
        <v>2</v>
      </c>
      <c r="P313" s="62" t="s">
        <v>3</v>
      </c>
      <c r="Q313" s="62" t="s">
        <v>4</v>
      </c>
      <c r="R313" s="61" t="s">
        <v>1</v>
      </c>
      <c r="S313" s="61" t="s">
        <v>2</v>
      </c>
      <c r="T313" s="61" t="s">
        <v>3</v>
      </c>
      <c r="U313" s="61" t="s">
        <v>4</v>
      </c>
      <c r="V313" s="67"/>
    </row>
    <row r="314" spans="1:43" ht="15.75" thickBot="1" x14ac:dyDescent="0.3">
      <c r="A314" s="24"/>
      <c r="B314" s="25"/>
      <c r="C314" s="25"/>
      <c r="D314" s="44"/>
      <c r="E314" s="45"/>
      <c r="F314" s="25"/>
      <c r="G314" s="25"/>
      <c r="H314" s="44"/>
      <c r="I314" s="45"/>
      <c r="J314" s="25"/>
      <c r="K314" s="25"/>
      <c r="L314" s="44"/>
      <c r="M314" s="45"/>
      <c r="N314" s="25"/>
      <c r="O314" s="25"/>
      <c r="P314" s="44"/>
      <c r="Q314" s="45"/>
      <c r="R314" s="25"/>
      <c r="S314" s="25"/>
      <c r="T314" s="25"/>
      <c r="U314" s="25"/>
      <c r="V314" s="68"/>
    </row>
    <row r="315" spans="1:43" ht="15.6" customHeight="1" x14ac:dyDescent="0.25">
      <c r="A315" s="5"/>
      <c r="B315" s="105"/>
      <c r="C315" s="106"/>
      <c r="D315" s="108"/>
      <c r="E315" s="106"/>
      <c r="F315" s="105"/>
      <c r="G315" s="106"/>
      <c r="H315" s="108"/>
      <c r="I315" s="106"/>
      <c r="J315" s="105"/>
      <c r="K315" s="106"/>
      <c r="L315" s="108"/>
      <c r="M315" s="106"/>
      <c r="N315" s="105"/>
      <c r="O315" s="106"/>
      <c r="P315" s="108"/>
      <c r="Q315" s="106"/>
      <c r="R315" s="85"/>
      <c r="S315" s="85"/>
      <c r="T315" s="85"/>
      <c r="U315" s="85"/>
      <c r="V315" s="27"/>
      <c r="W315" s="69"/>
      <c r="X315" s="109"/>
      <c r="Y315" s="109"/>
      <c r="Z315" s="109"/>
      <c r="AA315" s="109"/>
      <c r="AB315" s="109"/>
      <c r="AC315" s="109"/>
      <c r="AD315" s="109"/>
      <c r="AE315" s="109"/>
      <c r="AF315" s="109"/>
      <c r="AG315" s="109"/>
      <c r="AH315" s="109"/>
      <c r="AI315" s="109"/>
      <c r="AJ315" s="109"/>
      <c r="AK315" s="109"/>
      <c r="AL315" s="109"/>
      <c r="AM315" s="109"/>
      <c r="AN315" s="109"/>
      <c r="AO315" s="109"/>
      <c r="AP315" s="109"/>
      <c r="AQ315" s="109"/>
    </row>
    <row r="316" spans="1:43" ht="15.6" customHeight="1" thickBot="1" x14ac:dyDescent="0.3">
      <c r="A316" s="5"/>
      <c r="B316" s="10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  <c r="R316" s="110"/>
      <c r="S316" s="110"/>
      <c r="T316" s="110"/>
      <c r="U316" s="110"/>
      <c r="V316" s="27"/>
      <c r="W316" s="69"/>
      <c r="X316" s="109"/>
      <c r="Y316" s="109"/>
      <c r="Z316" s="109"/>
      <c r="AA316" s="109"/>
      <c r="AB316" s="109"/>
      <c r="AC316" s="109"/>
      <c r="AD316" s="109"/>
      <c r="AE316" s="109"/>
      <c r="AF316" s="109"/>
      <c r="AG316" s="109"/>
      <c r="AH316" s="109"/>
      <c r="AI316" s="109"/>
      <c r="AJ316" s="109"/>
      <c r="AK316" s="109"/>
      <c r="AL316" s="109"/>
      <c r="AM316" s="109"/>
      <c r="AN316" s="109"/>
      <c r="AO316" s="109"/>
      <c r="AP316" s="109"/>
      <c r="AQ316" s="109"/>
    </row>
    <row r="317" spans="1:43" x14ac:dyDescent="0.25">
      <c r="A317" s="5"/>
      <c r="B317" s="100"/>
      <c r="C317" s="100"/>
      <c r="D317" s="102"/>
      <c r="E317" s="102"/>
      <c r="F317" s="100"/>
      <c r="G317" s="100"/>
      <c r="H317" s="102"/>
      <c r="I317" s="102"/>
      <c r="J317" s="100"/>
      <c r="K317" s="100"/>
      <c r="L317" s="102"/>
      <c r="M317" s="102"/>
      <c r="N317" s="100"/>
      <c r="O317" s="100"/>
      <c r="P317" s="102"/>
      <c r="Q317" s="102"/>
      <c r="R317" s="63"/>
      <c r="S317" s="63"/>
      <c r="T317" s="63"/>
      <c r="U317" s="63"/>
      <c r="V317" s="27"/>
    </row>
    <row r="318" spans="1:43" x14ac:dyDescent="0.25">
      <c r="A318" s="5"/>
      <c r="B318" s="5"/>
      <c r="C318" s="5"/>
      <c r="D318" s="39"/>
      <c r="E318" s="39"/>
      <c r="F318" s="5"/>
      <c r="G318" s="5"/>
      <c r="H318" s="39"/>
      <c r="I318" s="39"/>
      <c r="J318" s="5"/>
      <c r="K318" s="5"/>
      <c r="L318" s="39"/>
      <c r="M318" s="39"/>
      <c r="N318" s="5"/>
      <c r="O318" s="5"/>
      <c r="P318" s="39"/>
      <c r="Q318" s="39"/>
      <c r="R318" s="5"/>
      <c r="S318" s="5"/>
      <c r="T318" s="5"/>
      <c r="U318" s="5"/>
      <c r="V318" s="5"/>
    </row>
    <row r="319" spans="1:43" x14ac:dyDescent="0.25">
      <c r="A319" s="5"/>
      <c r="B319" s="5"/>
      <c r="C319" s="5"/>
      <c r="D319" s="39"/>
      <c r="E319" s="64" t="s">
        <v>11</v>
      </c>
      <c r="F319" s="104" t="s">
        <v>12</v>
      </c>
      <c r="G319" s="104"/>
      <c r="H319" s="104"/>
      <c r="I319" s="104" t="s">
        <v>41</v>
      </c>
      <c r="J319" s="104"/>
      <c r="K319" s="5"/>
      <c r="L319" s="39"/>
      <c r="M319" s="39"/>
      <c r="N319" s="5"/>
      <c r="O319" s="63" t="s">
        <v>13</v>
      </c>
      <c r="P319" s="39" t="s">
        <v>14</v>
      </c>
      <c r="Q319" s="39"/>
      <c r="R319" s="5"/>
      <c r="S319" s="5" t="s">
        <v>43</v>
      </c>
      <c r="T319" s="5"/>
      <c r="U319" s="5"/>
      <c r="V319" s="5"/>
    </row>
    <row r="320" spans="1:43" x14ac:dyDescent="0.25">
      <c r="A320" s="5"/>
      <c r="B320" s="5"/>
      <c r="C320" s="5"/>
      <c r="D320" s="39"/>
      <c r="E320" s="64" t="s">
        <v>15</v>
      </c>
      <c r="F320" s="104" t="s">
        <v>16</v>
      </c>
      <c r="G320" s="104"/>
      <c r="H320" s="104"/>
      <c r="I320" s="39" t="s">
        <v>42</v>
      </c>
      <c r="J320" s="5"/>
      <c r="K320" s="5"/>
      <c r="L320" s="39"/>
      <c r="M320" s="39"/>
      <c r="N320" s="5"/>
      <c r="O320" s="63" t="s">
        <v>18</v>
      </c>
      <c r="P320" s="39" t="s">
        <v>14</v>
      </c>
      <c r="Q320" s="39"/>
      <c r="R320" s="5"/>
      <c r="S320" s="5" t="s">
        <v>17</v>
      </c>
      <c r="T320" s="5"/>
      <c r="U320" s="5"/>
      <c r="V320" s="5"/>
    </row>
    <row r="321" spans="1:44" x14ac:dyDescent="0.25">
      <c r="A321" s="65" t="s">
        <v>69</v>
      </c>
      <c r="B321" s="65"/>
      <c r="C321" s="65"/>
      <c r="D321" s="77"/>
      <c r="E321" s="78"/>
      <c r="F321" s="65"/>
      <c r="G321" s="65"/>
      <c r="H321" s="77"/>
      <c r="I321" s="77"/>
      <c r="J321" s="65"/>
      <c r="K321" s="65"/>
      <c r="L321" s="77"/>
      <c r="M321" s="77"/>
      <c r="N321" s="65"/>
      <c r="O321" s="65"/>
      <c r="P321" s="77"/>
      <c r="Q321" s="77"/>
      <c r="R321" s="65"/>
      <c r="S321" s="65"/>
      <c r="T321" s="65"/>
      <c r="U321" s="65"/>
      <c r="V321" s="65"/>
    </row>
    <row r="322" spans="1:44" ht="15.6" customHeight="1" x14ac:dyDescent="0.3">
      <c r="A322" s="5"/>
      <c r="B322" s="5"/>
      <c r="C322" s="5"/>
      <c r="D322" s="39"/>
      <c r="E322" s="40" t="s">
        <v>7</v>
      </c>
      <c r="F322" s="5"/>
      <c r="G322" s="7"/>
      <c r="H322" s="51"/>
      <c r="I322" s="51"/>
      <c r="J322" s="7"/>
      <c r="K322" s="7"/>
      <c r="L322" s="51"/>
      <c r="M322" s="52" t="s">
        <v>8</v>
      </c>
      <c r="N322" s="114" t="s">
        <v>68</v>
      </c>
      <c r="O322" s="115"/>
      <c r="P322" s="39"/>
      <c r="Q322" s="39"/>
      <c r="R322" s="5"/>
      <c r="S322" s="5"/>
      <c r="T322" s="5"/>
      <c r="U322" s="5"/>
      <c r="V322" s="5"/>
      <c r="W322" s="65"/>
      <c r="X322" s="65"/>
      <c r="Y322" s="65"/>
      <c r="Z322" s="65"/>
      <c r="AA322" s="65"/>
      <c r="AB322" s="79"/>
      <c r="AC322" s="65"/>
      <c r="AD322" s="65"/>
      <c r="AE322" s="65"/>
      <c r="AF322" s="65"/>
      <c r="AG322" s="65"/>
      <c r="AH322" s="65"/>
      <c r="AI322" s="65"/>
      <c r="AJ322" s="80"/>
      <c r="AK322" s="121"/>
      <c r="AL322" s="121"/>
      <c r="AM322" s="65"/>
      <c r="AN322" s="65"/>
      <c r="AO322" s="65"/>
      <c r="AP322" s="65"/>
      <c r="AQ322" s="65"/>
      <c r="AR322" s="65"/>
    </row>
    <row r="323" spans="1:44" ht="15.6" customHeight="1" x14ac:dyDescent="0.3">
      <c r="A323" s="5"/>
      <c r="B323" s="5"/>
      <c r="C323" s="5"/>
      <c r="D323" s="39"/>
      <c r="E323" s="40" t="s">
        <v>35</v>
      </c>
      <c r="F323" s="5"/>
      <c r="G323" s="5"/>
      <c r="H323" s="39"/>
      <c r="I323" s="39"/>
      <c r="J323" s="9"/>
      <c r="K323" s="9"/>
      <c r="L323" s="53"/>
      <c r="M323" s="52" t="s">
        <v>9</v>
      </c>
      <c r="N323" s="116" t="str">
        <f>N322&amp;".1"</f>
        <v>1.3.1</v>
      </c>
      <c r="O323" s="116"/>
      <c r="P323" s="39"/>
      <c r="Q323" s="39"/>
      <c r="R323" s="5"/>
      <c r="S323" s="5"/>
      <c r="T323" s="5"/>
      <c r="U323" s="5"/>
      <c r="V323" s="5"/>
      <c r="W323" s="65"/>
      <c r="X323" s="65"/>
      <c r="Y323" s="65"/>
      <c r="Z323" s="65"/>
      <c r="AA323" s="65"/>
      <c r="AB323" s="79"/>
      <c r="AC323" s="65"/>
      <c r="AD323" s="65"/>
      <c r="AE323" s="65"/>
      <c r="AF323" s="65"/>
      <c r="AG323" s="65"/>
      <c r="AH323" s="65"/>
      <c r="AI323" s="65"/>
      <c r="AJ323" s="80"/>
      <c r="AK323" s="122"/>
      <c r="AL323" s="122"/>
      <c r="AM323" s="65"/>
      <c r="AN323" s="65"/>
      <c r="AO323" s="65"/>
      <c r="AP323" s="65"/>
      <c r="AQ323" s="65"/>
      <c r="AR323" s="65"/>
    </row>
    <row r="324" spans="1:44" ht="15.6" customHeight="1" x14ac:dyDescent="0.3">
      <c r="A324" s="5"/>
      <c r="B324" s="5"/>
      <c r="C324" s="5"/>
      <c r="D324" s="39"/>
      <c r="E324" s="39" t="s">
        <v>36</v>
      </c>
      <c r="F324" s="5"/>
      <c r="G324" s="5"/>
      <c r="H324" s="51"/>
      <c r="I324" s="51"/>
      <c r="J324" s="7"/>
      <c r="K324" s="7"/>
      <c r="L324" s="51"/>
      <c r="M324" s="54" t="s">
        <v>9</v>
      </c>
      <c r="N324" s="11">
        <v>1</v>
      </c>
      <c r="O324" s="5"/>
      <c r="P324" s="39"/>
      <c r="Q324" s="39"/>
      <c r="R324" s="5"/>
      <c r="S324" s="5"/>
      <c r="T324" s="5"/>
      <c r="U324" s="5"/>
      <c r="V324" s="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81"/>
      <c r="AK324" s="82"/>
      <c r="AL324" s="65"/>
      <c r="AM324" s="65"/>
      <c r="AN324" s="65"/>
      <c r="AO324" s="65"/>
      <c r="AP324" s="65"/>
      <c r="AQ324" s="65"/>
      <c r="AR324" s="65"/>
    </row>
    <row r="325" spans="1:44" ht="15.6" customHeight="1" x14ac:dyDescent="0.3">
      <c r="A325" s="5"/>
      <c r="B325" s="5"/>
      <c r="C325" s="5"/>
      <c r="D325" s="39"/>
      <c r="E325" s="39" t="s">
        <v>5</v>
      </c>
      <c r="F325" s="5"/>
      <c r="G325" s="5"/>
      <c r="H325" s="39"/>
      <c r="I325" s="39"/>
      <c r="J325" s="5"/>
      <c r="K325" s="5"/>
      <c r="L325" s="53"/>
      <c r="M325" s="54" t="s">
        <v>9</v>
      </c>
      <c r="N325" s="11" t="str">
        <f>"-"&amp;N323</f>
        <v>-1.3.1</v>
      </c>
      <c r="O325" s="12"/>
      <c r="P325" s="39"/>
      <c r="Q325" s="39"/>
      <c r="R325" s="5"/>
      <c r="S325" s="5"/>
      <c r="T325" s="5"/>
      <c r="U325" s="5"/>
      <c r="V325" s="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81"/>
      <c r="AK325" s="82"/>
      <c r="AL325" s="83"/>
      <c r="AM325" s="65"/>
      <c r="AN325" s="65"/>
      <c r="AO325" s="65"/>
      <c r="AP325" s="65"/>
      <c r="AQ325" s="65"/>
      <c r="AR325" s="65"/>
    </row>
    <row r="326" spans="1:44" ht="15.6" customHeight="1" x14ac:dyDescent="0.3">
      <c r="A326" s="5"/>
      <c r="B326" s="5"/>
      <c r="C326" s="5"/>
      <c r="D326" s="39"/>
      <c r="E326" s="41" t="s">
        <v>10</v>
      </c>
      <c r="F326" s="5"/>
      <c r="G326" s="5"/>
      <c r="H326" s="39"/>
      <c r="I326" s="51"/>
      <c r="J326" s="7"/>
      <c r="K326" s="7"/>
      <c r="L326" s="51"/>
      <c r="M326" s="54" t="s">
        <v>9</v>
      </c>
      <c r="N326" s="3">
        <v>17</v>
      </c>
      <c r="O326" s="5"/>
      <c r="P326" s="39"/>
      <c r="Q326" s="39"/>
      <c r="R326" s="5"/>
      <c r="S326" s="5"/>
      <c r="T326" s="5"/>
      <c r="U326" s="5"/>
      <c r="V326" s="5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70"/>
      <c r="AK326" s="71"/>
      <c r="AL326" s="69"/>
      <c r="AM326" s="69"/>
      <c r="AN326" s="69"/>
      <c r="AO326" s="69"/>
      <c r="AP326" s="69"/>
      <c r="AQ326" s="69"/>
      <c r="AR326" s="65"/>
    </row>
    <row r="327" spans="1:44" ht="15.6" customHeight="1" thickBot="1" x14ac:dyDescent="0.3">
      <c r="A327" s="5"/>
      <c r="B327" s="5"/>
      <c r="C327" s="5"/>
      <c r="D327" s="39"/>
      <c r="E327" s="39"/>
      <c r="F327" s="5"/>
      <c r="G327" s="5"/>
      <c r="H327" s="39"/>
      <c r="I327" s="39"/>
      <c r="J327" s="5"/>
      <c r="K327" s="5"/>
      <c r="L327" s="39"/>
      <c r="M327" s="39"/>
      <c r="N327" s="5"/>
      <c r="O327" s="5"/>
      <c r="P327" s="39"/>
      <c r="Q327" s="39"/>
      <c r="R327" s="5"/>
      <c r="S327" s="5"/>
      <c r="T327" s="5"/>
      <c r="U327" s="5"/>
      <c r="V327" s="5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72"/>
      <c r="AL327" s="69"/>
      <c r="AM327" s="69"/>
      <c r="AN327" s="69"/>
      <c r="AO327" s="69"/>
      <c r="AP327" s="69"/>
      <c r="AQ327" s="69"/>
      <c r="AR327" s="65"/>
    </row>
    <row r="328" spans="1:44" ht="15.6" customHeight="1" x14ac:dyDescent="0.25">
      <c r="A328" s="15"/>
      <c r="B328" s="16"/>
      <c r="C328" s="16"/>
      <c r="D328" s="42"/>
      <c r="E328" s="42"/>
      <c r="F328" s="16"/>
      <c r="G328" s="16"/>
      <c r="H328" s="42"/>
      <c r="I328" s="42"/>
      <c r="J328" s="16"/>
      <c r="K328" s="16"/>
      <c r="L328" s="42"/>
      <c r="M328" s="42"/>
      <c r="N328" s="16"/>
      <c r="O328" s="16"/>
      <c r="P328" s="42"/>
      <c r="Q328" s="42"/>
      <c r="R328" s="16"/>
      <c r="S328" s="16"/>
      <c r="T328" s="16"/>
      <c r="U328" s="16"/>
      <c r="V328" s="16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72"/>
      <c r="AL328" s="69"/>
      <c r="AM328" s="69"/>
      <c r="AN328" s="69"/>
      <c r="AO328" s="69"/>
      <c r="AP328" s="69"/>
      <c r="AQ328" s="69"/>
      <c r="AR328" s="65"/>
    </row>
    <row r="329" spans="1:44" ht="15.6" customHeight="1" x14ac:dyDescent="0.25">
      <c r="A329" s="18"/>
      <c r="B329" s="87"/>
      <c r="C329" s="87"/>
      <c r="D329" s="117">
        <v>1</v>
      </c>
      <c r="E329" s="118"/>
      <c r="F329" s="87"/>
      <c r="G329" s="87"/>
      <c r="H329" s="117">
        <v>2</v>
      </c>
      <c r="I329" s="118"/>
      <c r="J329" s="87"/>
      <c r="K329" s="87"/>
      <c r="L329" s="117">
        <v>3</v>
      </c>
      <c r="M329" s="118"/>
      <c r="N329" s="87"/>
      <c r="O329" s="87"/>
      <c r="P329" s="117">
        <v>4</v>
      </c>
      <c r="Q329" s="118"/>
      <c r="R329" s="87"/>
      <c r="S329" s="87"/>
      <c r="T329" s="87"/>
      <c r="U329" s="87"/>
      <c r="V329" s="65"/>
      <c r="W329" s="69"/>
      <c r="X329" s="120"/>
      <c r="Y329" s="120"/>
      <c r="Z329" s="120"/>
      <c r="AA329" s="120"/>
      <c r="AB329" s="120"/>
      <c r="AC329" s="120"/>
      <c r="AD329" s="120"/>
      <c r="AE329" s="120"/>
      <c r="AF329" s="120"/>
      <c r="AG329" s="120"/>
      <c r="AH329" s="120"/>
      <c r="AI329" s="120"/>
      <c r="AJ329" s="120"/>
      <c r="AK329" s="120"/>
      <c r="AL329" s="120"/>
      <c r="AM329" s="120"/>
      <c r="AN329" s="90"/>
      <c r="AO329" s="90"/>
      <c r="AP329" s="91"/>
      <c r="AQ329" s="91"/>
      <c r="AR329" s="84"/>
    </row>
    <row r="330" spans="1:44" ht="15.6" customHeight="1" x14ac:dyDescent="0.25">
      <c r="A330" s="18"/>
      <c r="B330" s="111" t="s">
        <v>6</v>
      </c>
      <c r="C330" s="111"/>
      <c r="D330" s="117" t="s">
        <v>37</v>
      </c>
      <c r="E330" s="118" t="s">
        <v>0</v>
      </c>
      <c r="F330" s="111" t="s">
        <v>6</v>
      </c>
      <c r="G330" s="111"/>
      <c r="H330" s="117" t="s">
        <v>37</v>
      </c>
      <c r="I330" s="118"/>
      <c r="J330" s="111" t="s">
        <v>6</v>
      </c>
      <c r="K330" s="111"/>
      <c r="L330" s="117" t="s">
        <v>37</v>
      </c>
      <c r="M330" s="118"/>
      <c r="N330" s="111" t="s">
        <v>6</v>
      </c>
      <c r="O330" s="111"/>
      <c r="P330" s="117" t="s">
        <v>37</v>
      </c>
      <c r="Q330" s="118"/>
      <c r="R330" s="111"/>
      <c r="S330" s="111"/>
      <c r="T330" s="111"/>
      <c r="U330" s="111"/>
      <c r="V330" s="66"/>
      <c r="W330" s="69"/>
      <c r="X330" s="120"/>
      <c r="Y330" s="120"/>
      <c r="Z330" s="120"/>
      <c r="AA330" s="120"/>
      <c r="AB330" s="123"/>
      <c r="AC330" s="123"/>
      <c r="AD330" s="120"/>
      <c r="AE330" s="120"/>
      <c r="AF330" s="120"/>
      <c r="AG330" s="120"/>
      <c r="AH330" s="120"/>
      <c r="AI330" s="120"/>
      <c r="AJ330" s="120"/>
      <c r="AK330" s="120"/>
      <c r="AL330" s="120"/>
      <c r="AM330" s="120"/>
      <c r="AN330" s="120"/>
      <c r="AO330" s="120"/>
      <c r="AP330" s="109"/>
      <c r="AQ330" s="109"/>
      <c r="AR330" s="84"/>
    </row>
    <row r="331" spans="1:44" ht="15.6" customHeight="1" x14ac:dyDescent="0.25">
      <c r="A331" s="18"/>
      <c r="B331" s="110"/>
      <c r="C331" s="110"/>
      <c r="D331" s="112"/>
      <c r="E331" s="112"/>
      <c r="F331" s="110"/>
      <c r="G331" s="110"/>
      <c r="H331" s="112"/>
      <c r="I331" s="112"/>
      <c r="J331" s="110"/>
      <c r="K331" s="110"/>
      <c r="L331" s="112"/>
      <c r="M331" s="112"/>
      <c r="N331" s="110"/>
      <c r="O331" s="110"/>
      <c r="P331" s="112"/>
      <c r="Q331" s="112"/>
      <c r="R331" s="110"/>
      <c r="S331" s="110"/>
      <c r="T331" s="110"/>
      <c r="U331" s="110"/>
      <c r="V331" s="66"/>
      <c r="W331" s="69"/>
      <c r="X331" s="120"/>
      <c r="Y331" s="120"/>
      <c r="Z331" s="120"/>
      <c r="AA331" s="120"/>
      <c r="AB331" s="120"/>
      <c r="AC331" s="120"/>
      <c r="AD331" s="120"/>
      <c r="AE331" s="120"/>
      <c r="AF331" s="120"/>
      <c r="AG331" s="120"/>
      <c r="AH331" s="120"/>
      <c r="AI331" s="120"/>
      <c r="AJ331" s="120"/>
      <c r="AK331" s="120"/>
      <c r="AL331" s="120"/>
      <c r="AM331" s="120"/>
      <c r="AN331" s="120"/>
      <c r="AO331" s="120"/>
      <c r="AP331" s="120"/>
      <c r="AQ331" s="120"/>
      <c r="AR331" s="84"/>
    </row>
    <row r="332" spans="1:44" ht="15.6" customHeight="1" x14ac:dyDescent="0.25">
      <c r="A332" s="18"/>
      <c r="B332" s="111">
        <v>0</v>
      </c>
      <c r="C332" s="111"/>
      <c r="D332" s="113">
        <v>1</v>
      </c>
      <c r="E332" s="113">
        <v>1</v>
      </c>
      <c r="F332" s="111">
        <v>2</v>
      </c>
      <c r="G332" s="111">
        <v>2</v>
      </c>
      <c r="H332" s="113">
        <v>3</v>
      </c>
      <c r="I332" s="113">
        <v>3</v>
      </c>
      <c r="J332" s="111">
        <v>4</v>
      </c>
      <c r="K332" s="111">
        <v>4</v>
      </c>
      <c r="L332" s="113">
        <v>5</v>
      </c>
      <c r="M332" s="113"/>
      <c r="N332" s="111">
        <v>6</v>
      </c>
      <c r="O332" s="111">
        <v>1</v>
      </c>
      <c r="P332" s="113">
        <v>7</v>
      </c>
      <c r="Q332" s="113">
        <v>2</v>
      </c>
      <c r="R332" s="111">
        <v>8</v>
      </c>
      <c r="S332" s="111">
        <v>3</v>
      </c>
      <c r="T332" s="111">
        <v>9</v>
      </c>
      <c r="U332" s="111">
        <v>4</v>
      </c>
      <c r="V332" s="67"/>
      <c r="W332" s="69"/>
      <c r="X332" s="120"/>
      <c r="Y332" s="120"/>
      <c r="Z332" s="120"/>
      <c r="AA332" s="120"/>
      <c r="AB332" s="120"/>
      <c r="AC332" s="120"/>
      <c r="AD332" s="120"/>
      <c r="AE332" s="120"/>
      <c r="AF332" s="120"/>
      <c r="AG332" s="120"/>
      <c r="AH332" s="120"/>
      <c r="AI332" s="120"/>
      <c r="AJ332" s="120"/>
      <c r="AK332" s="120"/>
      <c r="AL332" s="120"/>
      <c r="AM332" s="120"/>
      <c r="AN332" s="120"/>
      <c r="AO332" s="120"/>
      <c r="AP332" s="109"/>
      <c r="AQ332" s="109"/>
    </row>
    <row r="333" spans="1:44" ht="15.6" customHeight="1" x14ac:dyDescent="0.25">
      <c r="A333" s="18"/>
      <c r="B333" s="87" t="s">
        <v>1</v>
      </c>
      <c r="C333" s="87" t="s">
        <v>2</v>
      </c>
      <c r="D333" s="88" t="s">
        <v>3</v>
      </c>
      <c r="E333" s="88" t="s">
        <v>4</v>
      </c>
      <c r="F333" s="87" t="s">
        <v>1</v>
      </c>
      <c r="G333" s="87" t="s">
        <v>2</v>
      </c>
      <c r="H333" s="88" t="s">
        <v>3</v>
      </c>
      <c r="I333" s="88" t="s">
        <v>4</v>
      </c>
      <c r="J333" s="87" t="s">
        <v>1</v>
      </c>
      <c r="K333" s="87" t="s">
        <v>2</v>
      </c>
      <c r="L333" s="88" t="s">
        <v>3</v>
      </c>
      <c r="M333" s="88" t="s">
        <v>4</v>
      </c>
      <c r="N333" s="87" t="s">
        <v>1</v>
      </c>
      <c r="O333" s="87" t="s">
        <v>2</v>
      </c>
      <c r="P333" s="88" t="s">
        <v>3</v>
      </c>
      <c r="Q333" s="88" t="s">
        <v>4</v>
      </c>
      <c r="R333" s="87" t="s">
        <v>1</v>
      </c>
      <c r="S333" s="87" t="s">
        <v>2</v>
      </c>
      <c r="T333" s="87" t="s">
        <v>3</v>
      </c>
      <c r="U333" s="87" t="s">
        <v>4</v>
      </c>
      <c r="V333" s="67"/>
      <c r="W333" s="69"/>
      <c r="X333" s="90"/>
      <c r="Y333" s="90"/>
      <c r="Z333" s="90"/>
      <c r="AA333" s="90"/>
      <c r="AB333" s="90"/>
      <c r="AC333" s="90"/>
      <c r="AD333" s="90"/>
      <c r="AE333" s="90"/>
      <c r="AF333" s="90"/>
      <c r="AG333" s="90"/>
      <c r="AH333" s="90"/>
      <c r="AI333" s="90"/>
      <c r="AJ333" s="90"/>
      <c r="AK333" s="90"/>
      <c r="AL333" s="90"/>
      <c r="AM333" s="90"/>
      <c r="AN333" s="90"/>
      <c r="AO333" s="90"/>
      <c r="AP333" s="91"/>
      <c r="AQ333" s="91"/>
    </row>
    <row r="334" spans="1:44" ht="15.6" customHeight="1" thickBot="1" x14ac:dyDescent="0.3">
      <c r="A334" s="24"/>
      <c r="B334" s="25"/>
      <c r="C334" s="25"/>
      <c r="D334" s="44"/>
      <c r="E334" s="45"/>
      <c r="F334" s="25"/>
      <c r="G334" s="25"/>
      <c r="H334" s="44"/>
      <c r="I334" s="45"/>
      <c r="J334" s="25"/>
      <c r="K334" s="25"/>
      <c r="L334" s="44"/>
      <c r="M334" s="45"/>
      <c r="N334" s="25"/>
      <c r="O334" s="25"/>
      <c r="P334" s="44"/>
      <c r="Q334" s="45"/>
      <c r="R334" s="25"/>
      <c r="S334" s="25"/>
      <c r="T334" s="25"/>
      <c r="U334" s="25"/>
      <c r="V334" s="68"/>
      <c r="W334" s="69"/>
      <c r="X334" s="75"/>
      <c r="Y334" s="75"/>
      <c r="Z334" s="75"/>
      <c r="AA334" s="75"/>
      <c r="AB334" s="91"/>
      <c r="AC334" s="91"/>
      <c r="AD334" s="91"/>
      <c r="AE334" s="91"/>
      <c r="AF334" s="91"/>
      <c r="AG334" s="91"/>
      <c r="AH334" s="91"/>
      <c r="AI334" s="91"/>
      <c r="AJ334" s="91"/>
      <c r="AK334" s="76"/>
      <c r="AL334" s="91"/>
      <c r="AM334" s="91"/>
      <c r="AN334" s="91"/>
      <c r="AO334" s="91"/>
      <c r="AP334" s="91"/>
      <c r="AQ334" s="91"/>
    </row>
    <row r="335" spans="1:44" ht="15.6" customHeight="1" x14ac:dyDescent="0.25">
      <c r="A335" s="5"/>
      <c r="B335" s="105"/>
      <c r="C335" s="106"/>
      <c r="D335" s="108"/>
      <c r="E335" s="106"/>
      <c r="F335" s="105"/>
      <c r="G335" s="106"/>
      <c r="H335" s="108"/>
      <c r="I335" s="106"/>
      <c r="J335" s="105"/>
      <c r="K335" s="106"/>
      <c r="L335" s="108"/>
      <c r="M335" s="106"/>
      <c r="N335" s="105"/>
      <c r="O335" s="106"/>
      <c r="P335" s="108"/>
      <c r="Q335" s="106"/>
      <c r="R335" s="86"/>
      <c r="S335" s="86"/>
      <c r="T335" s="86"/>
      <c r="U335" s="86"/>
      <c r="V335" s="27"/>
      <c r="W335" s="69"/>
      <c r="X335" s="109"/>
      <c r="Y335" s="109"/>
      <c r="Z335" s="109"/>
      <c r="AA335" s="109"/>
      <c r="AB335" s="109"/>
      <c r="AC335" s="109"/>
      <c r="AD335" s="109"/>
      <c r="AE335" s="109"/>
      <c r="AF335" s="109"/>
      <c r="AG335" s="109"/>
      <c r="AH335" s="109"/>
      <c r="AI335" s="109"/>
      <c r="AJ335" s="109"/>
      <c r="AK335" s="109"/>
      <c r="AL335" s="109"/>
      <c r="AM335" s="109"/>
      <c r="AN335" s="109"/>
      <c r="AO335" s="109"/>
      <c r="AP335" s="109"/>
      <c r="AQ335" s="109"/>
    </row>
    <row r="336" spans="1:44" ht="15.6" customHeight="1" thickBot="1" x14ac:dyDescent="0.3">
      <c r="A336" s="5"/>
      <c r="B336" s="10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  <c r="R336" s="110"/>
      <c r="S336" s="110"/>
      <c r="T336" s="110"/>
      <c r="U336" s="110"/>
      <c r="V336" s="27"/>
      <c r="W336" s="69"/>
      <c r="X336" s="109"/>
      <c r="Y336" s="109"/>
      <c r="Z336" s="109"/>
      <c r="AA336" s="109"/>
      <c r="AB336" s="109"/>
      <c r="AC336" s="109"/>
      <c r="AD336" s="109"/>
      <c r="AE336" s="109"/>
      <c r="AF336" s="109"/>
      <c r="AG336" s="109"/>
      <c r="AH336" s="109"/>
      <c r="AI336" s="109"/>
      <c r="AJ336" s="109"/>
      <c r="AK336" s="109"/>
      <c r="AL336" s="109"/>
      <c r="AM336" s="109"/>
      <c r="AN336" s="109"/>
      <c r="AO336" s="109"/>
      <c r="AP336" s="109"/>
      <c r="AQ336" s="109"/>
    </row>
    <row r="337" spans="1:44" ht="15.6" customHeight="1" x14ac:dyDescent="0.25">
      <c r="A337" s="5"/>
      <c r="B337" s="100"/>
      <c r="C337" s="101"/>
      <c r="D337" s="102"/>
      <c r="E337" s="103"/>
      <c r="F337" s="100"/>
      <c r="G337" s="101"/>
      <c r="H337" s="102"/>
      <c r="I337" s="103"/>
      <c r="J337" s="100"/>
      <c r="K337" s="101"/>
      <c r="L337" s="102"/>
      <c r="M337" s="103"/>
      <c r="N337" s="100"/>
      <c r="O337" s="101"/>
      <c r="P337" s="102"/>
      <c r="Q337" s="103"/>
      <c r="R337" s="86"/>
      <c r="S337" s="86"/>
      <c r="T337" s="86"/>
      <c r="U337" s="86"/>
      <c r="V337" s="27"/>
      <c r="W337" s="69"/>
      <c r="X337" s="69"/>
      <c r="Y337" s="69"/>
      <c r="Z337" s="69"/>
      <c r="AA337" s="69"/>
      <c r="AB337" s="91"/>
      <c r="AC337" s="69"/>
      <c r="AD337" s="69"/>
      <c r="AE337" s="69"/>
      <c r="AF337" s="69"/>
      <c r="AG337" s="69"/>
      <c r="AH337" s="69"/>
      <c r="AI337" s="69"/>
      <c r="AJ337" s="69"/>
      <c r="AK337" s="72"/>
      <c r="AL337" s="69"/>
      <c r="AM337" s="69"/>
      <c r="AN337" s="69"/>
      <c r="AO337" s="69"/>
      <c r="AP337" s="69"/>
      <c r="AQ337" s="69"/>
    </row>
    <row r="338" spans="1:44" ht="15.6" customHeight="1" x14ac:dyDescent="0.25">
      <c r="A338" s="5"/>
      <c r="B338" s="5"/>
      <c r="C338" s="5"/>
      <c r="D338" s="39"/>
      <c r="E338" s="39"/>
      <c r="F338" s="5"/>
      <c r="G338" s="5"/>
      <c r="H338" s="39"/>
      <c r="I338" s="39"/>
      <c r="J338" s="5"/>
      <c r="K338" s="5"/>
      <c r="L338" s="39"/>
      <c r="M338" s="39"/>
      <c r="N338" s="5"/>
      <c r="O338" s="5"/>
      <c r="P338" s="39"/>
      <c r="Q338" s="39"/>
      <c r="R338" s="5"/>
      <c r="S338" s="5"/>
      <c r="T338" s="5"/>
      <c r="U338" s="5"/>
      <c r="V338" s="5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5"/>
    </row>
    <row r="339" spans="1:44" ht="15.6" customHeight="1" x14ac:dyDescent="0.25">
      <c r="A339" s="5"/>
      <c r="B339" s="5"/>
      <c r="C339" s="5"/>
      <c r="D339" s="39"/>
      <c r="E339" s="89" t="s">
        <v>11</v>
      </c>
      <c r="F339" s="104" t="s">
        <v>12</v>
      </c>
      <c r="G339" s="104"/>
      <c r="H339" s="104"/>
      <c r="I339" s="104" t="s">
        <v>41</v>
      </c>
      <c r="J339" s="104"/>
      <c r="K339" s="5"/>
      <c r="L339" s="39"/>
      <c r="M339" s="39"/>
      <c r="N339" s="5"/>
      <c r="O339" s="86" t="s">
        <v>13</v>
      </c>
      <c r="P339" s="39" t="s">
        <v>14</v>
      </c>
      <c r="Q339" s="39"/>
      <c r="R339" s="5"/>
      <c r="S339" s="5" t="s">
        <v>43</v>
      </c>
      <c r="T339" s="5"/>
      <c r="U339" s="5"/>
      <c r="V339" s="5"/>
      <c r="W339" s="6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5"/>
    </row>
    <row r="340" spans="1:44" ht="15.6" customHeight="1" x14ac:dyDescent="0.25">
      <c r="A340" s="5"/>
      <c r="B340" s="5"/>
      <c r="C340" s="5"/>
      <c r="D340" s="39"/>
      <c r="E340" s="89" t="s">
        <v>15</v>
      </c>
      <c r="F340" s="104" t="s">
        <v>16</v>
      </c>
      <c r="G340" s="104"/>
      <c r="H340" s="104"/>
      <c r="I340" s="39" t="s">
        <v>42</v>
      </c>
      <c r="J340" s="5"/>
      <c r="K340" s="5"/>
      <c r="L340" s="39"/>
      <c r="M340" s="39"/>
      <c r="N340" s="5"/>
      <c r="O340" s="86" t="s">
        <v>18</v>
      </c>
      <c r="P340" s="39" t="s">
        <v>14</v>
      </c>
      <c r="Q340" s="39"/>
      <c r="R340" s="5"/>
      <c r="S340" s="5" t="s">
        <v>17</v>
      </c>
      <c r="T340" s="5"/>
      <c r="U340" s="5"/>
      <c r="V340" s="5"/>
      <c r="W340" s="6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5"/>
    </row>
    <row r="341" spans="1:44" s="84" customFormat="1" ht="15.6" customHeight="1" x14ac:dyDescent="0.25">
      <c r="A341" s="65" t="s">
        <v>69</v>
      </c>
      <c r="B341" s="65"/>
      <c r="C341" s="65"/>
      <c r="D341" s="77"/>
      <c r="E341" s="78"/>
      <c r="F341" s="65"/>
      <c r="G341" s="65"/>
      <c r="H341" s="77"/>
      <c r="I341" s="77"/>
      <c r="J341" s="65"/>
      <c r="K341" s="65"/>
      <c r="L341" s="77"/>
      <c r="M341" s="77"/>
      <c r="N341" s="65"/>
      <c r="O341" s="65"/>
      <c r="P341" s="77"/>
      <c r="Q341" s="77"/>
      <c r="R341" s="65"/>
      <c r="S341" s="65"/>
      <c r="T341" s="65"/>
      <c r="U341" s="65"/>
      <c r="V341" s="65"/>
      <c r="W341" s="6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65"/>
    </row>
    <row r="342" spans="1:44" ht="15.6" customHeight="1" x14ac:dyDescent="0.3">
      <c r="A342" s="5"/>
      <c r="B342" s="5"/>
      <c r="C342" s="5"/>
      <c r="D342" s="39"/>
      <c r="E342" s="40" t="s">
        <v>7</v>
      </c>
      <c r="F342" s="5"/>
      <c r="G342" s="7"/>
      <c r="H342" s="51"/>
      <c r="I342" s="51"/>
      <c r="J342" s="7"/>
      <c r="K342" s="7"/>
      <c r="L342" s="51"/>
      <c r="M342" s="52" t="s">
        <v>8</v>
      </c>
      <c r="N342" s="114" t="s">
        <v>68</v>
      </c>
      <c r="O342" s="115"/>
      <c r="P342" s="39"/>
      <c r="Q342" s="39"/>
      <c r="R342" s="5"/>
      <c r="S342" s="5"/>
      <c r="T342" s="5"/>
      <c r="U342" s="5"/>
      <c r="V342" s="5"/>
      <c r="W342" s="65"/>
      <c r="X342" s="65"/>
      <c r="Y342" s="65"/>
      <c r="Z342" s="65"/>
      <c r="AA342" s="65"/>
      <c r="AB342" s="79"/>
      <c r="AC342" s="65"/>
      <c r="AD342" s="65"/>
      <c r="AE342" s="65"/>
      <c r="AF342" s="65"/>
      <c r="AG342" s="65"/>
      <c r="AH342" s="65"/>
      <c r="AI342" s="65"/>
      <c r="AJ342" s="80"/>
      <c r="AK342" s="121"/>
      <c r="AL342" s="121"/>
      <c r="AM342" s="65"/>
      <c r="AN342" s="65"/>
      <c r="AO342" s="65"/>
      <c r="AP342" s="65"/>
      <c r="AQ342" s="65"/>
      <c r="AR342" s="65"/>
    </row>
    <row r="343" spans="1:44" ht="15.6" customHeight="1" x14ac:dyDescent="0.3">
      <c r="A343" s="5"/>
      <c r="B343" s="5"/>
      <c r="C343" s="5"/>
      <c r="D343" s="39"/>
      <c r="E343" s="40" t="s">
        <v>35</v>
      </c>
      <c r="F343" s="5"/>
      <c r="G343" s="5"/>
      <c r="H343" s="39"/>
      <c r="I343" s="39"/>
      <c r="J343" s="9"/>
      <c r="K343" s="9"/>
      <c r="L343" s="53"/>
      <c r="M343" s="52" t="s">
        <v>9</v>
      </c>
      <c r="N343" s="116" t="str">
        <f>N342&amp;".1"</f>
        <v>1.3.1</v>
      </c>
      <c r="O343" s="116"/>
      <c r="P343" s="39"/>
      <c r="Q343" s="39"/>
      <c r="R343" s="5"/>
      <c r="S343" s="5"/>
      <c r="T343" s="5"/>
      <c r="U343" s="5"/>
      <c r="V343" s="5"/>
      <c r="W343" s="65"/>
      <c r="X343" s="65"/>
      <c r="Y343" s="65"/>
      <c r="Z343" s="65"/>
      <c r="AA343" s="65"/>
      <c r="AB343" s="79"/>
      <c r="AC343" s="65"/>
      <c r="AD343" s="65"/>
      <c r="AE343" s="65"/>
      <c r="AF343" s="65"/>
      <c r="AG343" s="65"/>
      <c r="AH343" s="65"/>
      <c r="AI343" s="65"/>
      <c r="AJ343" s="80"/>
      <c r="AK343" s="122"/>
      <c r="AL343" s="122"/>
      <c r="AM343" s="65"/>
      <c r="AN343" s="65"/>
      <c r="AO343" s="65"/>
      <c r="AP343" s="65"/>
      <c r="AQ343" s="65"/>
      <c r="AR343" s="65"/>
    </row>
    <row r="344" spans="1:44" ht="15.6" customHeight="1" x14ac:dyDescent="0.3">
      <c r="A344" s="5"/>
      <c r="B344" s="5"/>
      <c r="C344" s="5"/>
      <c r="D344" s="39"/>
      <c r="E344" s="39" t="s">
        <v>36</v>
      </c>
      <c r="F344" s="5"/>
      <c r="G344" s="5"/>
      <c r="H344" s="51"/>
      <c r="I344" s="51"/>
      <c r="J344" s="7"/>
      <c r="K344" s="7"/>
      <c r="L344" s="51"/>
      <c r="M344" s="54" t="s">
        <v>9</v>
      </c>
      <c r="N344" s="11">
        <v>1</v>
      </c>
      <c r="O344" s="5"/>
      <c r="P344" s="39"/>
      <c r="Q344" s="39"/>
      <c r="R344" s="5"/>
      <c r="S344" s="5"/>
      <c r="T344" s="5"/>
      <c r="U344" s="5"/>
      <c r="V344" s="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81"/>
      <c r="AK344" s="82"/>
      <c r="AL344" s="65"/>
      <c r="AM344" s="65"/>
      <c r="AN344" s="65"/>
      <c r="AO344" s="65"/>
      <c r="AP344" s="65"/>
      <c r="AQ344" s="65"/>
      <c r="AR344" s="65"/>
    </row>
    <row r="345" spans="1:44" ht="15.6" customHeight="1" x14ac:dyDescent="0.3">
      <c r="A345" s="5"/>
      <c r="B345" s="5"/>
      <c r="C345" s="5"/>
      <c r="D345" s="39"/>
      <c r="E345" s="39" t="s">
        <v>5</v>
      </c>
      <c r="F345" s="5"/>
      <c r="G345" s="5"/>
      <c r="H345" s="39"/>
      <c r="I345" s="39"/>
      <c r="J345" s="5"/>
      <c r="K345" s="5"/>
      <c r="L345" s="53"/>
      <c r="M345" s="54" t="s">
        <v>9</v>
      </c>
      <c r="N345" s="11" t="str">
        <f>"-"&amp;N343</f>
        <v>-1.3.1</v>
      </c>
      <c r="O345" s="12"/>
      <c r="P345" s="39"/>
      <c r="Q345" s="39"/>
      <c r="R345" s="5"/>
      <c r="S345" s="5"/>
      <c r="T345" s="5"/>
      <c r="U345" s="5"/>
      <c r="V345" s="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81"/>
      <c r="AK345" s="82"/>
      <c r="AL345" s="83"/>
      <c r="AM345" s="65"/>
      <c r="AN345" s="65"/>
      <c r="AO345" s="65"/>
      <c r="AP345" s="65"/>
      <c r="AQ345" s="65"/>
      <c r="AR345" s="65"/>
    </row>
    <row r="346" spans="1:44" ht="15.6" customHeight="1" x14ac:dyDescent="0.3">
      <c r="A346" s="5"/>
      <c r="B346" s="5"/>
      <c r="C346" s="5"/>
      <c r="D346" s="39"/>
      <c r="E346" s="41" t="s">
        <v>10</v>
      </c>
      <c r="F346" s="5"/>
      <c r="G346" s="5"/>
      <c r="H346" s="39"/>
      <c r="I346" s="51"/>
      <c r="J346" s="7"/>
      <c r="K346" s="7"/>
      <c r="L346" s="51"/>
      <c r="M346" s="54" t="s">
        <v>9</v>
      </c>
      <c r="N346" s="3">
        <v>18</v>
      </c>
      <c r="O346" s="5"/>
      <c r="P346" s="39"/>
      <c r="Q346" s="39"/>
      <c r="R346" s="5"/>
      <c r="S346" s="5"/>
      <c r="T346" s="5"/>
      <c r="U346" s="5"/>
      <c r="V346" s="5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70"/>
      <c r="AK346" s="71"/>
      <c r="AL346" s="69"/>
      <c r="AM346" s="69"/>
      <c r="AN346" s="69"/>
      <c r="AO346" s="69"/>
      <c r="AP346" s="69"/>
      <c r="AQ346" s="69"/>
      <c r="AR346" s="65"/>
    </row>
    <row r="347" spans="1:44" ht="15.6" customHeight="1" thickBot="1" x14ac:dyDescent="0.3">
      <c r="A347" s="5"/>
      <c r="B347" s="5"/>
      <c r="C347" s="5"/>
      <c r="D347" s="39"/>
      <c r="E347" s="39"/>
      <c r="F347" s="5"/>
      <c r="G347" s="5"/>
      <c r="H347" s="39"/>
      <c r="I347" s="39"/>
      <c r="J347" s="5"/>
      <c r="K347" s="5"/>
      <c r="L347" s="39"/>
      <c r="M347" s="39"/>
      <c r="N347" s="5"/>
      <c r="O347" s="5"/>
      <c r="P347" s="39"/>
      <c r="Q347" s="39"/>
      <c r="R347" s="5"/>
      <c r="S347" s="5"/>
      <c r="T347" s="5"/>
      <c r="U347" s="5"/>
      <c r="V347" s="5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72"/>
      <c r="AL347" s="69"/>
      <c r="AM347" s="69"/>
      <c r="AN347" s="69"/>
      <c r="AO347" s="69"/>
      <c r="AP347" s="69"/>
      <c r="AQ347" s="69"/>
      <c r="AR347" s="65"/>
    </row>
    <row r="348" spans="1:44" ht="15.6" customHeight="1" x14ac:dyDescent="0.25">
      <c r="A348" s="15"/>
      <c r="B348" s="16"/>
      <c r="C348" s="16"/>
      <c r="D348" s="42"/>
      <c r="E348" s="42"/>
      <c r="F348" s="16"/>
      <c r="G348" s="16"/>
      <c r="H348" s="42"/>
      <c r="I348" s="42"/>
      <c r="J348" s="16"/>
      <c r="K348" s="16"/>
      <c r="L348" s="42"/>
      <c r="M348" s="42"/>
      <c r="N348" s="16"/>
      <c r="O348" s="16"/>
      <c r="P348" s="42"/>
      <c r="Q348" s="42"/>
      <c r="R348" s="16"/>
      <c r="S348" s="16"/>
      <c r="T348" s="16"/>
      <c r="U348" s="16"/>
      <c r="V348" s="16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72"/>
      <c r="AL348" s="69"/>
      <c r="AM348" s="69"/>
      <c r="AN348" s="69"/>
      <c r="AO348" s="69"/>
      <c r="AP348" s="69"/>
      <c r="AQ348" s="69"/>
      <c r="AR348" s="65"/>
    </row>
    <row r="349" spans="1:44" ht="15.6" customHeight="1" x14ac:dyDescent="0.25">
      <c r="A349" s="18"/>
      <c r="B349" s="87"/>
      <c r="C349" s="87"/>
      <c r="D349" s="117">
        <v>1</v>
      </c>
      <c r="E349" s="118"/>
      <c r="F349" s="87"/>
      <c r="G349" s="87"/>
      <c r="H349" s="117">
        <v>2</v>
      </c>
      <c r="I349" s="118"/>
      <c r="J349" s="87"/>
      <c r="K349" s="87"/>
      <c r="L349" s="117">
        <v>3</v>
      </c>
      <c r="M349" s="118"/>
      <c r="N349" s="87"/>
      <c r="O349" s="87"/>
      <c r="P349" s="117">
        <v>4</v>
      </c>
      <c r="Q349" s="118"/>
      <c r="R349" s="87"/>
      <c r="S349" s="87"/>
      <c r="T349" s="87"/>
      <c r="U349" s="87"/>
      <c r="V349" s="65"/>
      <c r="W349" s="69"/>
      <c r="X349" s="120"/>
      <c r="Y349" s="120"/>
      <c r="Z349" s="120"/>
      <c r="AA349" s="120"/>
      <c r="AB349" s="120"/>
      <c r="AC349" s="120"/>
      <c r="AD349" s="120"/>
      <c r="AE349" s="120"/>
      <c r="AF349" s="120"/>
      <c r="AG349" s="120"/>
      <c r="AH349" s="120"/>
      <c r="AI349" s="120"/>
      <c r="AJ349" s="120"/>
      <c r="AK349" s="120"/>
      <c r="AL349" s="120"/>
      <c r="AM349" s="120"/>
      <c r="AN349" s="90"/>
      <c r="AO349" s="90"/>
      <c r="AP349" s="91"/>
      <c r="AQ349" s="91"/>
      <c r="AR349" s="84"/>
    </row>
    <row r="350" spans="1:44" ht="15.6" customHeight="1" x14ac:dyDescent="0.25">
      <c r="A350" s="18"/>
      <c r="B350" s="111" t="s">
        <v>6</v>
      </c>
      <c r="C350" s="111"/>
      <c r="D350" s="117" t="s">
        <v>37</v>
      </c>
      <c r="E350" s="118" t="s">
        <v>0</v>
      </c>
      <c r="F350" s="111" t="s">
        <v>6</v>
      </c>
      <c r="G350" s="111"/>
      <c r="H350" s="117" t="s">
        <v>37</v>
      </c>
      <c r="I350" s="118"/>
      <c r="J350" s="111" t="s">
        <v>6</v>
      </c>
      <c r="K350" s="111"/>
      <c r="L350" s="117" t="s">
        <v>37</v>
      </c>
      <c r="M350" s="118"/>
      <c r="N350" s="111" t="s">
        <v>6</v>
      </c>
      <c r="O350" s="111"/>
      <c r="P350" s="117" t="s">
        <v>37</v>
      </c>
      <c r="Q350" s="118"/>
      <c r="R350" s="111"/>
      <c r="S350" s="111"/>
      <c r="T350" s="111"/>
      <c r="U350" s="111"/>
      <c r="V350" s="66"/>
      <c r="W350" s="69"/>
      <c r="X350" s="120"/>
      <c r="Y350" s="120"/>
      <c r="Z350" s="120"/>
      <c r="AA350" s="120"/>
      <c r="AB350" s="123"/>
      <c r="AC350" s="123"/>
      <c r="AD350" s="120"/>
      <c r="AE350" s="120"/>
      <c r="AF350" s="120"/>
      <c r="AG350" s="120"/>
      <c r="AH350" s="120"/>
      <c r="AI350" s="120"/>
      <c r="AJ350" s="120"/>
      <c r="AK350" s="120"/>
      <c r="AL350" s="120"/>
      <c r="AM350" s="120"/>
      <c r="AN350" s="120"/>
      <c r="AO350" s="120"/>
      <c r="AP350" s="109"/>
      <c r="AQ350" s="109"/>
      <c r="AR350" s="84"/>
    </row>
    <row r="351" spans="1:44" ht="15.6" customHeight="1" x14ac:dyDescent="0.25">
      <c r="A351" s="18"/>
      <c r="B351" s="110"/>
      <c r="C351" s="110"/>
      <c r="D351" s="112"/>
      <c r="E351" s="112"/>
      <c r="F351" s="110"/>
      <c r="G351" s="110"/>
      <c r="H351" s="112"/>
      <c r="I351" s="112"/>
      <c r="J351" s="110"/>
      <c r="K351" s="110"/>
      <c r="L351" s="112"/>
      <c r="M351" s="112"/>
      <c r="N351" s="110"/>
      <c r="O351" s="110"/>
      <c r="P351" s="112"/>
      <c r="Q351" s="112"/>
      <c r="R351" s="110"/>
      <c r="S351" s="110"/>
      <c r="T351" s="110"/>
      <c r="U351" s="110"/>
      <c r="V351" s="66"/>
      <c r="W351" s="69"/>
      <c r="X351" s="120"/>
      <c r="Y351" s="120"/>
      <c r="Z351" s="120"/>
      <c r="AA351" s="120"/>
      <c r="AB351" s="120"/>
      <c r="AC351" s="120"/>
      <c r="AD351" s="120"/>
      <c r="AE351" s="120"/>
      <c r="AF351" s="120"/>
      <c r="AG351" s="120"/>
      <c r="AH351" s="120"/>
      <c r="AI351" s="120"/>
      <c r="AJ351" s="120"/>
      <c r="AK351" s="120"/>
      <c r="AL351" s="120"/>
      <c r="AM351" s="120"/>
      <c r="AN351" s="120"/>
      <c r="AO351" s="120"/>
      <c r="AP351" s="120"/>
      <c r="AQ351" s="120"/>
      <c r="AR351" s="84"/>
    </row>
    <row r="352" spans="1:44" ht="15.6" customHeight="1" x14ac:dyDescent="0.25">
      <c r="A352" s="18"/>
      <c r="B352" s="111">
        <v>0</v>
      </c>
      <c r="C352" s="111"/>
      <c r="D352" s="113">
        <v>1</v>
      </c>
      <c r="E352" s="113">
        <v>1</v>
      </c>
      <c r="F352" s="111">
        <v>2</v>
      </c>
      <c r="G352" s="111">
        <v>2</v>
      </c>
      <c r="H352" s="113">
        <v>3</v>
      </c>
      <c r="I352" s="113">
        <v>3</v>
      </c>
      <c r="J352" s="111">
        <v>4</v>
      </c>
      <c r="K352" s="111">
        <v>4</v>
      </c>
      <c r="L352" s="113">
        <v>5</v>
      </c>
      <c r="M352" s="113"/>
      <c r="N352" s="111">
        <v>6</v>
      </c>
      <c r="O352" s="111">
        <v>1</v>
      </c>
      <c r="P352" s="113">
        <v>7</v>
      </c>
      <c r="Q352" s="113">
        <v>2</v>
      </c>
      <c r="R352" s="111">
        <v>8</v>
      </c>
      <c r="S352" s="111">
        <v>3</v>
      </c>
      <c r="T352" s="111">
        <v>9</v>
      </c>
      <c r="U352" s="111">
        <v>4</v>
      </c>
      <c r="V352" s="67"/>
      <c r="W352" s="69"/>
      <c r="X352" s="120"/>
      <c r="Y352" s="120"/>
      <c r="Z352" s="120"/>
      <c r="AA352" s="120"/>
      <c r="AB352" s="120"/>
      <c r="AC352" s="120"/>
      <c r="AD352" s="120"/>
      <c r="AE352" s="120"/>
      <c r="AF352" s="120"/>
      <c r="AG352" s="120"/>
      <c r="AH352" s="120"/>
      <c r="AI352" s="120"/>
      <c r="AJ352" s="120"/>
      <c r="AK352" s="120"/>
      <c r="AL352" s="120"/>
      <c r="AM352" s="120"/>
      <c r="AN352" s="120"/>
      <c r="AO352" s="120"/>
      <c r="AP352" s="109"/>
      <c r="AQ352" s="109"/>
    </row>
    <row r="353" spans="1:44" ht="15.6" customHeight="1" x14ac:dyDescent="0.25">
      <c r="A353" s="18"/>
      <c r="B353" s="87" t="s">
        <v>1</v>
      </c>
      <c r="C353" s="87" t="s">
        <v>2</v>
      </c>
      <c r="D353" s="88" t="s">
        <v>3</v>
      </c>
      <c r="E353" s="88" t="s">
        <v>4</v>
      </c>
      <c r="F353" s="87" t="s">
        <v>1</v>
      </c>
      <c r="G353" s="87" t="s">
        <v>2</v>
      </c>
      <c r="H353" s="88" t="s">
        <v>3</v>
      </c>
      <c r="I353" s="88" t="s">
        <v>4</v>
      </c>
      <c r="J353" s="87" t="s">
        <v>1</v>
      </c>
      <c r="K353" s="87" t="s">
        <v>2</v>
      </c>
      <c r="L353" s="88" t="s">
        <v>3</v>
      </c>
      <c r="M353" s="88" t="s">
        <v>4</v>
      </c>
      <c r="N353" s="87" t="s">
        <v>1</v>
      </c>
      <c r="O353" s="87" t="s">
        <v>2</v>
      </c>
      <c r="P353" s="88" t="s">
        <v>3</v>
      </c>
      <c r="Q353" s="88" t="s">
        <v>4</v>
      </c>
      <c r="R353" s="87" t="s">
        <v>1</v>
      </c>
      <c r="S353" s="87" t="s">
        <v>2</v>
      </c>
      <c r="T353" s="87" t="s">
        <v>3</v>
      </c>
      <c r="U353" s="87" t="s">
        <v>4</v>
      </c>
      <c r="V353" s="67"/>
      <c r="W353" s="69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  <c r="AI353" s="90"/>
      <c r="AJ353" s="90"/>
      <c r="AK353" s="90"/>
      <c r="AL353" s="90"/>
      <c r="AM353" s="90"/>
      <c r="AN353" s="90"/>
      <c r="AO353" s="90"/>
      <c r="AP353" s="91"/>
      <c r="AQ353" s="91"/>
    </row>
    <row r="354" spans="1:44" ht="15.6" customHeight="1" thickBot="1" x14ac:dyDescent="0.3">
      <c r="A354" s="24"/>
      <c r="B354" s="25"/>
      <c r="C354" s="25"/>
      <c r="D354" s="44"/>
      <c r="E354" s="45"/>
      <c r="F354" s="25"/>
      <c r="G354" s="25"/>
      <c r="H354" s="44"/>
      <c r="I354" s="45"/>
      <c r="J354" s="25"/>
      <c r="K354" s="25"/>
      <c r="L354" s="44"/>
      <c r="M354" s="45"/>
      <c r="N354" s="25"/>
      <c r="O354" s="25"/>
      <c r="P354" s="44"/>
      <c r="Q354" s="45"/>
      <c r="R354" s="25"/>
      <c r="S354" s="25"/>
      <c r="T354" s="25"/>
      <c r="U354" s="25"/>
      <c r="V354" s="68"/>
      <c r="W354" s="69"/>
      <c r="X354" s="75"/>
      <c r="Y354" s="75"/>
      <c r="Z354" s="75"/>
      <c r="AA354" s="75"/>
      <c r="AB354" s="91"/>
      <c r="AC354" s="91"/>
      <c r="AD354" s="91"/>
      <c r="AE354" s="91"/>
      <c r="AF354" s="91"/>
      <c r="AG354" s="91"/>
      <c r="AH354" s="91"/>
      <c r="AI354" s="91"/>
      <c r="AJ354" s="91"/>
      <c r="AK354" s="76"/>
      <c r="AL354" s="91"/>
      <c r="AM354" s="91"/>
      <c r="AN354" s="91"/>
      <c r="AO354" s="91"/>
      <c r="AP354" s="91"/>
      <c r="AQ354" s="91"/>
    </row>
    <row r="355" spans="1:44" ht="15.6" customHeight="1" x14ac:dyDescent="0.25">
      <c r="A355" s="5"/>
      <c r="B355" s="105"/>
      <c r="C355" s="106"/>
      <c r="D355" s="108"/>
      <c r="E355" s="106"/>
      <c r="F355" s="105"/>
      <c r="G355" s="106"/>
      <c r="H355" s="108"/>
      <c r="I355" s="106"/>
      <c r="J355" s="105"/>
      <c r="K355" s="106"/>
      <c r="L355" s="108"/>
      <c r="M355" s="106"/>
      <c r="N355" s="105"/>
      <c r="O355" s="106"/>
      <c r="P355" s="108"/>
      <c r="Q355" s="106"/>
      <c r="R355" s="86"/>
      <c r="S355" s="86"/>
      <c r="T355" s="86"/>
      <c r="U355" s="86"/>
      <c r="V355" s="27"/>
      <c r="W355" s="69"/>
      <c r="X355" s="109"/>
      <c r="Y355" s="109"/>
      <c r="Z355" s="109"/>
      <c r="AA355" s="109"/>
      <c r="AB355" s="109"/>
      <c r="AC355" s="109"/>
      <c r="AD355" s="109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09"/>
    </row>
    <row r="356" spans="1:44" ht="15.6" customHeight="1" thickBot="1" x14ac:dyDescent="0.3">
      <c r="A356" s="5"/>
      <c r="B356" s="10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  <c r="R356" s="110"/>
      <c r="S356" s="110"/>
      <c r="T356" s="110"/>
      <c r="U356" s="110"/>
      <c r="V356" s="27"/>
      <c r="W356" s="69"/>
      <c r="X356" s="109"/>
      <c r="Y356" s="109"/>
      <c r="Z356" s="109"/>
      <c r="AA356" s="109"/>
      <c r="AB356" s="109"/>
      <c r="AC356" s="109"/>
      <c r="AD356" s="109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09"/>
    </row>
    <row r="357" spans="1:44" ht="15.6" customHeight="1" x14ac:dyDescent="0.25">
      <c r="A357" s="5"/>
      <c r="B357" s="100"/>
      <c r="C357" s="101"/>
      <c r="D357" s="102"/>
      <c r="E357" s="103"/>
      <c r="F357" s="100"/>
      <c r="G357" s="101"/>
      <c r="H357" s="102"/>
      <c r="I357" s="103"/>
      <c r="J357" s="100"/>
      <c r="K357" s="101"/>
      <c r="L357" s="102"/>
      <c r="M357" s="103"/>
      <c r="N357" s="100"/>
      <c r="O357" s="101"/>
      <c r="P357" s="102"/>
      <c r="Q357" s="103"/>
      <c r="R357" s="86"/>
      <c r="S357" s="86"/>
      <c r="T357" s="86"/>
      <c r="U357" s="86"/>
      <c r="V357" s="27"/>
      <c r="W357" s="69"/>
      <c r="X357" s="69"/>
      <c r="Y357" s="69"/>
      <c r="Z357" s="69"/>
      <c r="AA357" s="69"/>
      <c r="AB357" s="91"/>
      <c r="AC357" s="69"/>
      <c r="AD357" s="69"/>
      <c r="AE357" s="69"/>
      <c r="AF357" s="69"/>
      <c r="AG357" s="69"/>
      <c r="AH357" s="69"/>
      <c r="AI357" s="69"/>
      <c r="AJ357" s="69"/>
      <c r="AK357" s="72"/>
      <c r="AL357" s="69"/>
      <c r="AM357" s="69"/>
      <c r="AN357" s="69"/>
      <c r="AO357" s="69"/>
      <c r="AP357" s="69"/>
      <c r="AQ357" s="69"/>
    </row>
    <row r="358" spans="1:44" ht="15.6" customHeight="1" x14ac:dyDescent="0.25">
      <c r="A358" s="5"/>
      <c r="B358" s="5"/>
      <c r="C358" s="5"/>
      <c r="D358" s="39"/>
      <c r="E358" s="39"/>
      <c r="F358" s="5"/>
      <c r="G358" s="5"/>
      <c r="H358" s="39"/>
      <c r="I358" s="39"/>
      <c r="J358" s="5"/>
      <c r="K358" s="5"/>
      <c r="L358" s="39"/>
      <c r="M358" s="39"/>
      <c r="N358" s="5"/>
      <c r="O358" s="5"/>
      <c r="P358" s="39"/>
      <c r="Q358" s="39"/>
      <c r="R358" s="5"/>
      <c r="S358" s="5"/>
      <c r="T358" s="5"/>
      <c r="U358" s="5"/>
      <c r="V358" s="5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5"/>
    </row>
    <row r="359" spans="1:44" ht="15.6" customHeight="1" x14ac:dyDescent="0.25">
      <c r="A359" s="5"/>
      <c r="B359" s="5"/>
      <c r="C359" s="5"/>
      <c r="D359" s="39"/>
      <c r="E359" s="89" t="s">
        <v>11</v>
      </c>
      <c r="F359" s="104" t="s">
        <v>12</v>
      </c>
      <c r="G359" s="104"/>
      <c r="H359" s="104"/>
      <c r="I359" s="104" t="s">
        <v>41</v>
      </c>
      <c r="J359" s="104"/>
      <c r="K359" s="5"/>
      <c r="L359" s="39"/>
      <c r="M359" s="39"/>
      <c r="N359" s="5"/>
      <c r="O359" s="86" t="s">
        <v>13</v>
      </c>
      <c r="P359" s="39" t="s">
        <v>14</v>
      </c>
      <c r="Q359" s="39"/>
      <c r="R359" s="5"/>
      <c r="S359" s="5" t="s">
        <v>43</v>
      </c>
      <c r="T359" s="5"/>
      <c r="U359" s="5"/>
      <c r="V359" s="5"/>
      <c r="W359" s="69"/>
      <c r="X359" s="119"/>
      <c r="Y359" s="119"/>
      <c r="Z359" s="119"/>
      <c r="AA359" s="119"/>
      <c r="AB359" s="119"/>
      <c r="AC359" s="119"/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/>
      <c r="AO359" s="119"/>
      <c r="AP359" s="119"/>
      <c r="AQ359" s="119"/>
      <c r="AR359" s="5"/>
    </row>
    <row r="360" spans="1:44" ht="15.6" customHeight="1" x14ac:dyDescent="0.25">
      <c r="A360" s="5"/>
      <c r="B360" s="5"/>
      <c r="C360" s="5"/>
      <c r="D360" s="39"/>
      <c r="E360" s="89" t="s">
        <v>15</v>
      </c>
      <c r="F360" s="104" t="s">
        <v>16</v>
      </c>
      <c r="G360" s="104"/>
      <c r="H360" s="104"/>
      <c r="I360" s="39" t="s">
        <v>42</v>
      </c>
      <c r="J360" s="5"/>
      <c r="K360" s="5"/>
      <c r="L360" s="39"/>
      <c r="M360" s="39"/>
      <c r="N360" s="5"/>
      <c r="O360" s="86" t="s">
        <v>18</v>
      </c>
      <c r="P360" s="39" t="s">
        <v>14</v>
      </c>
      <c r="Q360" s="39"/>
      <c r="R360" s="5"/>
      <c r="S360" s="5" t="s">
        <v>17</v>
      </c>
      <c r="T360" s="5"/>
      <c r="U360" s="5"/>
      <c r="V360" s="5"/>
      <c r="W360" s="69"/>
      <c r="X360" s="119"/>
      <c r="Y360" s="119"/>
      <c r="Z360" s="119"/>
      <c r="AA360" s="119"/>
      <c r="AB360" s="119"/>
      <c r="AC360" s="119"/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9"/>
      <c r="AN360" s="119"/>
      <c r="AO360" s="119"/>
      <c r="AP360" s="119"/>
      <c r="AQ360" s="119"/>
      <c r="AR360" s="5"/>
    </row>
    <row r="361" spans="1:44" s="84" customFormat="1" ht="15.6" customHeight="1" x14ac:dyDescent="0.25">
      <c r="A361" s="65" t="s">
        <v>69</v>
      </c>
      <c r="B361" s="65"/>
      <c r="C361" s="65"/>
      <c r="D361" s="77"/>
      <c r="E361" s="78"/>
      <c r="F361" s="65"/>
      <c r="G361" s="65"/>
      <c r="H361" s="77"/>
      <c r="I361" s="77"/>
      <c r="J361" s="65"/>
      <c r="K361" s="65"/>
      <c r="L361" s="77"/>
      <c r="M361" s="77"/>
      <c r="N361" s="65"/>
      <c r="O361" s="65"/>
      <c r="P361" s="77"/>
      <c r="Q361" s="77"/>
      <c r="R361" s="65"/>
      <c r="S361" s="65"/>
      <c r="T361" s="65"/>
      <c r="U361" s="65"/>
      <c r="V361" s="65"/>
      <c r="W361" s="69"/>
      <c r="X361" s="119"/>
      <c r="Y361" s="119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65"/>
    </row>
    <row r="362" spans="1:44" ht="18.75" x14ac:dyDescent="0.3">
      <c r="A362" s="5"/>
      <c r="B362" s="5"/>
      <c r="C362" s="5"/>
      <c r="D362" s="39"/>
      <c r="E362" s="40" t="s">
        <v>7</v>
      </c>
      <c r="F362" s="5"/>
      <c r="G362" s="7"/>
      <c r="H362" s="51"/>
      <c r="I362" s="51"/>
      <c r="J362" s="7"/>
      <c r="K362" s="7"/>
      <c r="L362" s="51"/>
      <c r="M362" s="52" t="s">
        <v>8</v>
      </c>
      <c r="N362" s="114" t="s">
        <v>68</v>
      </c>
      <c r="O362" s="115"/>
      <c r="P362" s="39"/>
      <c r="Q362" s="39"/>
      <c r="R362" s="5"/>
      <c r="S362" s="5"/>
      <c r="T362" s="5"/>
      <c r="U362" s="5"/>
      <c r="V362" s="5"/>
    </row>
    <row r="363" spans="1:44" ht="18.75" x14ac:dyDescent="0.3">
      <c r="A363" s="5"/>
      <c r="B363" s="5"/>
      <c r="C363" s="5"/>
      <c r="D363" s="39"/>
      <c r="E363" s="40" t="s">
        <v>35</v>
      </c>
      <c r="F363" s="5"/>
      <c r="G363" s="5"/>
      <c r="H363" s="39"/>
      <c r="I363" s="39"/>
      <c r="J363" s="9"/>
      <c r="K363" s="9"/>
      <c r="L363" s="53"/>
      <c r="M363" s="52" t="s">
        <v>9</v>
      </c>
      <c r="N363" s="116" t="str">
        <f>N362&amp;".1"</f>
        <v>1.3.1</v>
      </c>
      <c r="O363" s="116"/>
      <c r="P363" s="39"/>
      <c r="Q363" s="39"/>
      <c r="R363" s="5"/>
      <c r="S363" s="5"/>
      <c r="T363" s="5"/>
      <c r="U363" s="5"/>
      <c r="V363" s="5"/>
    </row>
    <row r="364" spans="1:44" ht="18.75" x14ac:dyDescent="0.3">
      <c r="A364" s="5"/>
      <c r="B364" s="5"/>
      <c r="C364" s="5"/>
      <c r="D364" s="39"/>
      <c r="E364" s="39" t="s">
        <v>36</v>
      </c>
      <c r="F364" s="5"/>
      <c r="G364" s="5"/>
      <c r="H364" s="51"/>
      <c r="I364" s="51"/>
      <c r="J364" s="7"/>
      <c r="K364" s="7"/>
      <c r="L364" s="51"/>
      <c r="M364" s="54" t="s">
        <v>9</v>
      </c>
      <c r="N364" s="11">
        <v>1</v>
      </c>
      <c r="O364" s="5"/>
      <c r="P364" s="39"/>
      <c r="Q364" s="39"/>
      <c r="R364" s="5"/>
      <c r="S364" s="5"/>
      <c r="T364" s="5"/>
      <c r="U364" s="5"/>
      <c r="V364" s="5"/>
    </row>
    <row r="365" spans="1:44" ht="18.75" x14ac:dyDescent="0.3">
      <c r="A365" s="5"/>
      <c r="B365" s="5"/>
      <c r="C365" s="5"/>
      <c r="D365" s="39"/>
      <c r="E365" s="39" t="s">
        <v>5</v>
      </c>
      <c r="F365" s="5"/>
      <c r="G365" s="5"/>
      <c r="H365" s="39"/>
      <c r="I365" s="39"/>
      <c r="J365" s="5"/>
      <c r="K365" s="5"/>
      <c r="L365" s="53"/>
      <c r="M365" s="54" t="s">
        <v>9</v>
      </c>
      <c r="N365" s="11" t="str">
        <f>"-"&amp;N363</f>
        <v>-1.3.1</v>
      </c>
      <c r="O365" s="12"/>
      <c r="P365" s="39"/>
      <c r="Q365" s="39"/>
      <c r="R365" s="5"/>
      <c r="S365" s="5"/>
      <c r="T365" s="5"/>
      <c r="U365" s="5"/>
      <c r="V365" s="5"/>
    </row>
    <row r="366" spans="1:44" ht="18.75" x14ac:dyDescent="0.3">
      <c r="A366" s="5"/>
      <c r="B366" s="5"/>
      <c r="C366" s="5"/>
      <c r="D366" s="39"/>
      <c r="E366" s="41" t="s">
        <v>10</v>
      </c>
      <c r="F366" s="5"/>
      <c r="G366" s="5"/>
      <c r="H366" s="39"/>
      <c r="I366" s="51"/>
      <c r="J366" s="7"/>
      <c r="K366" s="7"/>
      <c r="L366" s="51"/>
      <c r="M366" s="54" t="s">
        <v>9</v>
      </c>
      <c r="N366" s="3">
        <v>19</v>
      </c>
      <c r="O366" s="5"/>
      <c r="P366" s="39"/>
      <c r="Q366" s="39"/>
      <c r="R366" s="5"/>
      <c r="S366" s="5"/>
      <c r="T366" s="5"/>
      <c r="U366" s="5"/>
      <c r="V366" s="5"/>
    </row>
    <row r="367" spans="1:44" ht="15.75" thickBot="1" x14ac:dyDescent="0.3">
      <c r="A367" s="5"/>
      <c r="B367" s="5"/>
      <c r="C367" s="5"/>
      <c r="D367" s="39"/>
      <c r="E367" s="39"/>
      <c r="F367" s="5"/>
      <c r="G367" s="5"/>
      <c r="H367" s="39"/>
      <c r="I367" s="39"/>
      <c r="J367" s="5"/>
      <c r="K367" s="5"/>
      <c r="L367" s="39"/>
      <c r="M367" s="39"/>
      <c r="N367" s="5"/>
      <c r="O367" s="5"/>
      <c r="P367" s="39"/>
      <c r="Q367" s="39"/>
      <c r="R367" s="5"/>
      <c r="S367" s="5"/>
      <c r="T367" s="5"/>
      <c r="U367" s="5"/>
      <c r="V367" s="5"/>
    </row>
    <row r="368" spans="1:44" x14ac:dyDescent="0.25">
      <c r="A368" s="15"/>
      <c r="B368" s="16"/>
      <c r="C368" s="16"/>
      <c r="D368" s="42"/>
      <c r="E368" s="42"/>
      <c r="F368" s="16"/>
      <c r="G368" s="16"/>
      <c r="H368" s="42"/>
      <c r="I368" s="42"/>
      <c r="J368" s="16"/>
      <c r="K368" s="16"/>
      <c r="L368" s="42"/>
      <c r="M368" s="42"/>
      <c r="N368" s="16"/>
      <c r="O368" s="16"/>
      <c r="P368" s="42"/>
      <c r="Q368" s="42"/>
      <c r="R368" s="16"/>
      <c r="S368" s="16"/>
      <c r="T368" s="16"/>
      <c r="U368" s="16"/>
      <c r="V368" s="16"/>
    </row>
    <row r="369" spans="1:43" x14ac:dyDescent="0.25">
      <c r="A369" s="18"/>
      <c r="B369" s="87"/>
      <c r="C369" s="87"/>
      <c r="D369" s="117">
        <v>1</v>
      </c>
      <c r="E369" s="118"/>
      <c r="F369" s="87"/>
      <c r="G369" s="87"/>
      <c r="H369" s="117">
        <v>2</v>
      </c>
      <c r="I369" s="118"/>
      <c r="J369" s="87"/>
      <c r="K369" s="87"/>
      <c r="L369" s="117">
        <v>3</v>
      </c>
      <c r="M369" s="118"/>
      <c r="N369" s="87"/>
      <c r="O369" s="87"/>
      <c r="P369" s="117">
        <v>4</v>
      </c>
      <c r="Q369" s="118"/>
      <c r="R369" s="87"/>
      <c r="S369" s="87"/>
      <c r="T369" s="87"/>
      <c r="U369" s="87"/>
      <c r="V369" s="65"/>
    </row>
    <row r="370" spans="1:43" x14ac:dyDescent="0.25">
      <c r="A370" s="18"/>
      <c r="B370" s="111" t="s">
        <v>6</v>
      </c>
      <c r="C370" s="111"/>
      <c r="D370" s="117" t="s">
        <v>37</v>
      </c>
      <c r="E370" s="118" t="s">
        <v>0</v>
      </c>
      <c r="F370" s="111" t="s">
        <v>6</v>
      </c>
      <c r="G370" s="111"/>
      <c r="H370" s="117" t="s">
        <v>37</v>
      </c>
      <c r="I370" s="118"/>
      <c r="J370" s="111" t="s">
        <v>6</v>
      </c>
      <c r="K370" s="111"/>
      <c r="L370" s="117" t="s">
        <v>37</v>
      </c>
      <c r="M370" s="118"/>
      <c r="N370" s="111" t="s">
        <v>6</v>
      </c>
      <c r="O370" s="111"/>
      <c r="P370" s="117" t="s">
        <v>37</v>
      </c>
      <c r="Q370" s="118"/>
      <c r="R370" s="111"/>
      <c r="S370" s="111"/>
      <c r="T370" s="111"/>
      <c r="U370" s="111"/>
      <c r="V370" s="66"/>
    </row>
    <row r="371" spans="1:43" x14ac:dyDescent="0.25">
      <c r="A371" s="18"/>
      <c r="B371" s="110"/>
      <c r="C371" s="110"/>
      <c r="D371" s="112"/>
      <c r="E371" s="112"/>
      <c r="F371" s="110"/>
      <c r="G371" s="110"/>
      <c r="H371" s="112"/>
      <c r="I371" s="112"/>
      <c r="J371" s="110"/>
      <c r="K371" s="110"/>
      <c r="L371" s="112"/>
      <c r="M371" s="112"/>
      <c r="N371" s="110"/>
      <c r="O371" s="110"/>
      <c r="P371" s="112"/>
      <c r="Q371" s="112"/>
      <c r="R371" s="110"/>
      <c r="S371" s="110"/>
      <c r="T371" s="110"/>
      <c r="U371" s="110"/>
      <c r="V371" s="66"/>
    </row>
    <row r="372" spans="1:43" x14ac:dyDescent="0.25">
      <c r="A372" s="18"/>
      <c r="B372" s="111">
        <v>0</v>
      </c>
      <c r="C372" s="111"/>
      <c r="D372" s="113">
        <v>1</v>
      </c>
      <c r="E372" s="113">
        <v>1</v>
      </c>
      <c r="F372" s="111">
        <v>2</v>
      </c>
      <c r="G372" s="111">
        <v>2</v>
      </c>
      <c r="H372" s="113">
        <v>3</v>
      </c>
      <c r="I372" s="113">
        <v>3</v>
      </c>
      <c r="J372" s="111">
        <v>4</v>
      </c>
      <c r="K372" s="111">
        <v>4</v>
      </c>
      <c r="L372" s="113">
        <v>5</v>
      </c>
      <c r="M372" s="113"/>
      <c r="N372" s="111">
        <v>6</v>
      </c>
      <c r="O372" s="111">
        <v>1</v>
      </c>
      <c r="P372" s="113">
        <v>7</v>
      </c>
      <c r="Q372" s="113">
        <v>2</v>
      </c>
      <c r="R372" s="111">
        <v>8</v>
      </c>
      <c r="S372" s="111">
        <v>3</v>
      </c>
      <c r="T372" s="111">
        <v>9</v>
      </c>
      <c r="U372" s="111">
        <v>4</v>
      </c>
      <c r="V372" s="67"/>
    </row>
    <row r="373" spans="1:43" x14ac:dyDescent="0.25">
      <c r="A373" s="18"/>
      <c r="B373" s="87" t="s">
        <v>1</v>
      </c>
      <c r="C373" s="87" t="s">
        <v>2</v>
      </c>
      <c r="D373" s="88" t="s">
        <v>3</v>
      </c>
      <c r="E373" s="88" t="s">
        <v>4</v>
      </c>
      <c r="F373" s="87" t="s">
        <v>1</v>
      </c>
      <c r="G373" s="87" t="s">
        <v>2</v>
      </c>
      <c r="H373" s="88" t="s">
        <v>3</v>
      </c>
      <c r="I373" s="88" t="s">
        <v>4</v>
      </c>
      <c r="J373" s="87" t="s">
        <v>1</v>
      </c>
      <c r="K373" s="87" t="s">
        <v>2</v>
      </c>
      <c r="L373" s="88" t="s">
        <v>3</v>
      </c>
      <c r="M373" s="88" t="s">
        <v>4</v>
      </c>
      <c r="N373" s="87" t="s">
        <v>1</v>
      </c>
      <c r="O373" s="87" t="s">
        <v>2</v>
      </c>
      <c r="P373" s="88" t="s">
        <v>3</v>
      </c>
      <c r="Q373" s="88" t="s">
        <v>4</v>
      </c>
      <c r="R373" s="87" t="s">
        <v>1</v>
      </c>
      <c r="S373" s="87" t="s">
        <v>2</v>
      </c>
      <c r="T373" s="87" t="s">
        <v>3</v>
      </c>
      <c r="U373" s="87" t="s">
        <v>4</v>
      </c>
      <c r="V373" s="67"/>
    </row>
    <row r="374" spans="1:43" ht="15.75" thickBot="1" x14ac:dyDescent="0.3">
      <c r="A374" s="24"/>
      <c r="B374" s="25"/>
      <c r="C374" s="25"/>
      <c r="D374" s="44"/>
      <c r="E374" s="45"/>
      <c r="F374" s="25"/>
      <c r="G374" s="25"/>
      <c r="H374" s="44"/>
      <c r="I374" s="45"/>
      <c r="J374" s="25"/>
      <c r="K374" s="25"/>
      <c r="L374" s="44"/>
      <c r="M374" s="45"/>
      <c r="N374" s="25"/>
      <c r="O374" s="25"/>
      <c r="P374" s="44"/>
      <c r="Q374" s="45"/>
      <c r="R374" s="25"/>
      <c r="S374" s="25"/>
      <c r="T374" s="25"/>
      <c r="U374" s="25"/>
      <c r="V374" s="68"/>
    </row>
    <row r="375" spans="1:43" ht="15.6" customHeight="1" x14ac:dyDescent="0.25">
      <c r="A375" s="5"/>
      <c r="B375" s="105"/>
      <c r="C375" s="106"/>
      <c r="D375" s="108"/>
      <c r="E375" s="106"/>
      <c r="F375" s="105"/>
      <c r="G375" s="106"/>
      <c r="H375" s="108"/>
      <c r="I375" s="106"/>
      <c r="J375" s="105"/>
      <c r="K375" s="106"/>
      <c r="L375" s="108"/>
      <c r="M375" s="106"/>
      <c r="N375" s="105"/>
      <c r="O375" s="106"/>
      <c r="P375" s="108"/>
      <c r="Q375" s="106"/>
      <c r="R375" s="86"/>
      <c r="S375" s="86"/>
      <c r="T375" s="86"/>
      <c r="U375" s="86"/>
      <c r="V375" s="27"/>
      <c r="W375" s="69"/>
      <c r="X375" s="109"/>
      <c r="Y375" s="109"/>
      <c r="Z375" s="109"/>
      <c r="AA375" s="109"/>
      <c r="AB375" s="109"/>
      <c r="AC375" s="109"/>
      <c r="AD375" s="109"/>
      <c r="AE375" s="109"/>
      <c r="AF375" s="109"/>
      <c r="AG375" s="109"/>
      <c r="AH375" s="109"/>
      <c r="AI375" s="109"/>
      <c r="AJ375" s="109"/>
      <c r="AK375" s="109"/>
      <c r="AL375" s="109"/>
      <c r="AM375" s="109"/>
      <c r="AN375" s="109"/>
      <c r="AO375" s="109"/>
      <c r="AP375" s="109"/>
      <c r="AQ375" s="109"/>
    </row>
    <row r="376" spans="1:43" ht="15.6" customHeight="1" thickBot="1" x14ac:dyDescent="0.3">
      <c r="A376" s="5"/>
      <c r="B376" s="10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  <c r="R376" s="110"/>
      <c r="S376" s="110"/>
      <c r="T376" s="110"/>
      <c r="U376" s="110"/>
      <c r="V376" s="27"/>
      <c r="W376" s="69"/>
      <c r="X376" s="109"/>
      <c r="Y376" s="109"/>
      <c r="Z376" s="109"/>
      <c r="AA376" s="109"/>
      <c r="AB376" s="109"/>
      <c r="AC376" s="109"/>
      <c r="AD376" s="109"/>
      <c r="AE376" s="109"/>
      <c r="AF376" s="109"/>
      <c r="AG376" s="109"/>
      <c r="AH376" s="109"/>
      <c r="AI376" s="109"/>
      <c r="AJ376" s="109"/>
      <c r="AK376" s="109"/>
      <c r="AL376" s="109"/>
      <c r="AM376" s="109"/>
      <c r="AN376" s="109"/>
      <c r="AO376" s="109"/>
      <c r="AP376" s="109"/>
      <c r="AQ376" s="109"/>
    </row>
    <row r="377" spans="1:43" x14ac:dyDescent="0.25">
      <c r="A377" s="5"/>
      <c r="B377" s="100"/>
      <c r="C377" s="100"/>
      <c r="D377" s="102"/>
      <c r="E377" s="102"/>
      <c r="F377" s="100"/>
      <c r="G377" s="100"/>
      <c r="H377" s="102"/>
      <c r="I377" s="102"/>
      <c r="J377" s="100"/>
      <c r="K377" s="100"/>
      <c r="L377" s="102"/>
      <c r="M377" s="102"/>
      <c r="N377" s="100"/>
      <c r="O377" s="100"/>
      <c r="P377" s="102"/>
      <c r="Q377" s="102"/>
      <c r="R377" s="86"/>
      <c r="S377" s="86"/>
      <c r="T377" s="86"/>
      <c r="U377" s="86"/>
      <c r="V377" s="27"/>
    </row>
    <row r="378" spans="1:43" x14ac:dyDescent="0.25">
      <c r="A378" s="5"/>
      <c r="B378" s="5"/>
      <c r="C378" s="5"/>
      <c r="D378" s="39"/>
      <c r="E378" s="39"/>
      <c r="F378" s="5"/>
      <c r="G378" s="5"/>
      <c r="H378" s="39"/>
      <c r="I378" s="39"/>
      <c r="J378" s="5"/>
      <c r="K378" s="5"/>
      <c r="L378" s="39"/>
      <c r="M378" s="39"/>
      <c r="N378" s="5"/>
      <c r="O378" s="5"/>
      <c r="P378" s="39"/>
      <c r="Q378" s="39"/>
      <c r="R378" s="5"/>
      <c r="S378" s="5"/>
      <c r="T378" s="5"/>
      <c r="U378" s="5"/>
      <c r="V378" s="5"/>
    </row>
    <row r="379" spans="1:43" x14ac:dyDescent="0.25">
      <c r="A379" s="5"/>
      <c r="B379" s="5"/>
      <c r="C379" s="5"/>
      <c r="D379" s="39"/>
      <c r="E379" s="89" t="s">
        <v>11</v>
      </c>
      <c r="F379" s="104" t="s">
        <v>12</v>
      </c>
      <c r="G379" s="104"/>
      <c r="H379" s="104"/>
      <c r="I379" s="104" t="s">
        <v>41</v>
      </c>
      <c r="J379" s="104"/>
      <c r="K379" s="5"/>
      <c r="L379" s="39"/>
      <c r="M379" s="39"/>
      <c r="N379" s="5"/>
      <c r="O379" s="86" t="s">
        <v>13</v>
      </c>
      <c r="P379" s="39" t="s">
        <v>14</v>
      </c>
      <c r="Q379" s="39"/>
      <c r="R379" s="5"/>
      <c r="S379" s="5" t="s">
        <v>43</v>
      </c>
      <c r="T379" s="5"/>
      <c r="U379" s="5"/>
      <c r="V379" s="5"/>
    </row>
    <row r="380" spans="1:43" x14ac:dyDescent="0.25">
      <c r="A380" s="5"/>
      <c r="B380" s="5"/>
      <c r="C380" s="5"/>
      <c r="D380" s="39"/>
      <c r="E380" s="89" t="s">
        <v>15</v>
      </c>
      <c r="F380" s="104" t="s">
        <v>16</v>
      </c>
      <c r="G380" s="104"/>
      <c r="H380" s="104"/>
      <c r="I380" s="39" t="s">
        <v>42</v>
      </c>
      <c r="J380" s="5"/>
      <c r="K380" s="5"/>
      <c r="L380" s="39"/>
      <c r="M380" s="39"/>
      <c r="N380" s="5"/>
      <c r="O380" s="86" t="s">
        <v>18</v>
      </c>
      <c r="P380" s="39" t="s">
        <v>14</v>
      </c>
      <c r="Q380" s="39"/>
      <c r="R380" s="5"/>
      <c r="S380" s="5" t="s">
        <v>17</v>
      </c>
      <c r="T380" s="5"/>
      <c r="U380" s="5"/>
      <c r="V380" s="5"/>
    </row>
    <row r="381" spans="1:43" x14ac:dyDescent="0.25">
      <c r="A381" s="65" t="s">
        <v>69</v>
      </c>
      <c r="B381" s="65"/>
      <c r="C381" s="65"/>
      <c r="D381" s="77"/>
      <c r="E381" s="78"/>
      <c r="F381" s="65"/>
      <c r="G381" s="65"/>
      <c r="H381" s="77"/>
      <c r="I381" s="77"/>
      <c r="J381" s="65"/>
      <c r="K381" s="65"/>
      <c r="L381" s="77"/>
      <c r="M381" s="77"/>
      <c r="N381" s="65"/>
      <c r="O381" s="65"/>
      <c r="P381" s="77"/>
      <c r="Q381" s="77"/>
      <c r="R381" s="65"/>
      <c r="S381" s="65"/>
      <c r="T381" s="65"/>
      <c r="U381" s="65"/>
      <c r="V381" s="65"/>
    </row>
    <row r="382" spans="1:43" ht="18.75" x14ac:dyDescent="0.3">
      <c r="A382" s="5"/>
      <c r="B382" s="5"/>
      <c r="C382" s="5"/>
      <c r="D382" s="39"/>
      <c r="E382" s="40" t="s">
        <v>7</v>
      </c>
      <c r="F382" s="5"/>
      <c r="G382" s="7"/>
      <c r="H382" s="51"/>
      <c r="I382" s="51"/>
      <c r="J382" s="7"/>
      <c r="K382" s="7"/>
      <c r="L382" s="51"/>
      <c r="M382" s="52" t="s">
        <v>8</v>
      </c>
      <c r="N382" s="114" t="s">
        <v>68</v>
      </c>
      <c r="O382" s="115"/>
      <c r="P382" s="39"/>
      <c r="Q382" s="39"/>
      <c r="R382" s="5"/>
      <c r="S382" s="5"/>
      <c r="T382" s="5"/>
      <c r="U382" s="5"/>
      <c r="V382" s="5"/>
    </row>
    <row r="383" spans="1:43" ht="18.75" x14ac:dyDescent="0.3">
      <c r="A383" s="5"/>
      <c r="B383" s="5"/>
      <c r="C383" s="5"/>
      <c r="D383" s="39"/>
      <c r="E383" s="40" t="s">
        <v>35</v>
      </c>
      <c r="F383" s="5"/>
      <c r="G383" s="5"/>
      <c r="H383" s="39"/>
      <c r="I383" s="39"/>
      <c r="J383" s="9"/>
      <c r="K383" s="9"/>
      <c r="L383" s="53"/>
      <c r="M383" s="52" t="s">
        <v>9</v>
      </c>
      <c r="N383" s="116" t="str">
        <f>N382&amp;".1"</f>
        <v>1.3.1</v>
      </c>
      <c r="O383" s="116"/>
      <c r="P383" s="39"/>
      <c r="Q383" s="39"/>
      <c r="R383" s="5"/>
      <c r="S383" s="5"/>
      <c r="T383" s="5"/>
      <c r="U383" s="5"/>
      <c r="V383" s="5"/>
    </row>
    <row r="384" spans="1:43" ht="18.75" x14ac:dyDescent="0.3">
      <c r="A384" s="5"/>
      <c r="B384" s="5"/>
      <c r="C384" s="5"/>
      <c r="D384" s="39"/>
      <c r="E384" s="39" t="s">
        <v>36</v>
      </c>
      <c r="F384" s="5"/>
      <c r="G384" s="5"/>
      <c r="H384" s="51"/>
      <c r="I384" s="51"/>
      <c r="J384" s="7"/>
      <c r="K384" s="7"/>
      <c r="L384" s="51"/>
      <c r="M384" s="54" t="s">
        <v>9</v>
      </c>
      <c r="N384" s="11">
        <v>1</v>
      </c>
      <c r="O384" s="5"/>
      <c r="P384" s="39"/>
      <c r="Q384" s="39"/>
      <c r="R384" s="5"/>
      <c r="S384" s="5"/>
      <c r="T384" s="5"/>
      <c r="U384" s="5"/>
      <c r="V384" s="5"/>
    </row>
    <row r="385" spans="1:43" ht="18.75" x14ac:dyDescent="0.3">
      <c r="A385" s="5"/>
      <c r="B385" s="5"/>
      <c r="C385" s="5"/>
      <c r="D385" s="39"/>
      <c r="E385" s="39" t="s">
        <v>5</v>
      </c>
      <c r="F385" s="5"/>
      <c r="G385" s="5"/>
      <c r="H385" s="39"/>
      <c r="I385" s="39"/>
      <c r="J385" s="5"/>
      <c r="K385" s="5"/>
      <c r="L385" s="53"/>
      <c r="M385" s="54" t="s">
        <v>9</v>
      </c>
      <c r="N385" s="11" t="str">
        <f>"-"&amp;N383</f>
        <v>-1.3.1</v>
      </c>
      <c r="O385" s="12"/>
      <c r="P385" s="39"/>
      <c r="Q385" s="39"/>
      <c r="R385" s="5"/>
      <c r="S385" s="5"/>
      <c r="T385" s="5"/>
      <c r="U385" s="5"/>
      <c r="V385" s="5"/>
    </row>
    <row r="386" spans="1:43" ht="18.75" x14ac:dyDescent="0.3">
      <c r="A386" s="5"/>
      <c r="B386" s="5"/>
      <c r="C386" s="5"/>
      <c r="D386" s="39"/>
      <c r="E386" s="41" t="s">
        <v>10</v>
      </c>
      <c r="F386" s="5"/>
      <c r="G386" s="5"/>
      <c r="H386" s="39"/>
      <c r="I386" s="51"/>
      <c r="J386" s="7"/>
      <c r="K386" s="7"/>
      <c r="L386" s="51"/>
      <c r="M386" s="54" t="s">
        <v>9</v>
      </c>
      <c r="N386" s="3">
        <v>20</v>
      </c>
      <c r="O386" s="5"/>
      <c r="P386" s="39"/>
      <c r="Q386" s="39"/>
      <c r="R386" s="5"/>
      <c r="S386" s="5"/>
      <c r="T386" s="5"/>
      <c r="U386" s="5"/>
      <c r="V386" s="5"/>
    </row>
    <row r="387" spans="1:43" ht="15.75" thickBot="1" x14ac:dyDescent="0.3">
      <c r="A387" s="5"/>
      <c r="B387" s="5"/>
      <c r="C387" s="5"/>
      <c r="D387" s="39"/>
      <c r="E387" s="39"/>
      <c r="F387" s="5"/>
      <c r="G387" s="5"/>
      <c r="H387" s="39"/>
      <c r="I387" s="39"/>
      <c r="J387" s="5"/>
      <c r="K387" s="5"/>
      <c r="L387" s="39"/>
      <c r="M387" s="39"/>
      <c r="N387" s="5"/>
      <c r="O387" s="5"/>
      <c r="P387" s="39"/>
      <c r="Q387" s="39"/>
      <c r="R387" s="5"/>
      <c r="S387" s="5"/>
      <c r="T387" s="5"/>
      <c r="U387" s="5"/>
      <c r="V387" s="5"/>
    </row>
    <row r="388" spans="1:43" x14ac:dyDescent="0.25">
      <c r="A388" s="15"/>
      <c r="B388" s="16"/>
      <c r="C388" s="16"/>
      <c r="D388" s="42"/>
      <c r="E388" s="42"/>
      <c r="F388" s="16"/>
      <c r="G388" s="16"/>
      <c r="H388" s="42"/>
      <c r="I388" s="42"/>
      <c r="J388" s="16"/>
      <c r="K388" s="16"/>
      <c r="L388" s="42"/>
      <c r="M388" s="42"/>
      <c r="N388" s="16"/>
      <c r="O388" s="16"/>
      <c r="P388" s="42"/>
      <c r="Q388" s="42"/>
      <c r="R388" s="16"/>
      <c r="S388" s="16"/>
      <c r="T388" s="16"/>
      <c r="U388" s="16"/>
      <c r="V388" s="16"/>
    </row>
    <row r="389" spans="1:43" x14ac:dyDescent="0.25">
      <c r="A389" s="18"/>
      <c r="B389" s="87"/>
      <c r="C389" s="87"/>
      <c r="D389" s="117">
        <v>1</v>
      </c>
      <c r="E389" s="118"/>
      <c r="F389" s="87"/>
      <c r="G389" s="87"/>
      <c r="H389" s="117">
        <v>2</v>
      </c>
      <c r="I389" s="118"/>
      <c r="J389" s="87"/>
      <c r="K389" s="87"/>
      <c r="L389" s="117">
        <v>3</v>
      </c>
      <c r="M389" s="118"/>
      <c r="N389" s="87"/>
      <c r="O389" s="87"/>
      <c r="P389" s="117">
        <v>4</v>
      </c>
      <c r="Q389" s="118"/>
      <c r="R389" s="87"/>
      <c r="S389" s="87"/>
      <c r="T389" s="87"/>
      <c r="U389" s="87"/>
      <c r="V389" s="65"/>
    </row>
    <row r="390" spans="1:43" x14ac:dyDescent="0.25">
      <c r="A390" s="18"/>
      <c r="B390" s="111" t="s">
        <v>6</v>
      </c>
      <c r="C390" s="111"/>
      <c r="D390" s="117" t="s">
        <v>37</v>
      </c>
      <c r="E390" s="118" t="s">
        <v>0</v>
      </c>
      <c r="F390" s="111" t="s">
        <v>6</v>
      </c>
      <c r="G390" s="111"/>
      <c r="H390" s="117" t="s">
        <v>37</v>
      </c>
      <c r="I390" s="118"/>
      <c r="J390" s="111" t="s">
        <v>6</v>
      </c>
      <c r="K390" s="111"/>
      <c r="L390" s="117" t="s">
        <v>37</v>
      </c>
      <c r="M390" s="118"/>
      <c r="N390" s="111" t="s">
        <v>6</v>
      </c>
      <c r="O390" s="111"/>
      <c r="P390" s="117" t="s">
        <v>37</v>
      </c>
      <c r="Q390" s="118"/>
      <c r="R390" s="111"/>
      <c r="S390" s="111"/>
      <c r="T390" s="111"/>
      <c r="U390" s="111"/>
      <c r="V390" s="66"/>
    </row>
    <row r="391" spans="1:43" x14ac:dyDescent="0.25">
      <c r="A391" s="18"/>
      <c r="B391" s="110"/>
      <c r="C391" s="110"/>
      <c r="D391" s="112"/>
      <c r="E391" s="112"/>
      <c r="F391" s="110"/>
      <c r="G391" s="110"/>
      <c r="H391" s="112"/>
      <c r="I391" s="112"/>
      <c r="J391" s="110"/>
      <c r="K391" s="110"/>
      <c r="L391" s="112"/>
      <c r="M391" s="112"/>
      <c r="N391" s="110"/>
      <c r="O391" s="110"/>
      <c r="P391" s="112"/>
      <c r="Q391" s="112"/>
      <c r="R391" s="110"/>
      <c r="S391" s="110"/>
      <c r="T391" s="110"/>
      <c r="U391" s="110"/>
      <c r="V391" s="66"/>
    </row>
    <row r="392" spans="1:43" x14ac:dyDescent="0.25">
      <c r="A392" s="18"/>
      <c r="B392" s="111">
        <v>0</v>
      </c>
      <c r="C392" s="111"/>
      <c r="D392" s="113">
        <v>1</v>
      </c>
      <c r="E392" s="113">
        <v>1</v>
      </c>
      <c r="F392" s="111">
        <v>2</v>
      </c>
      <c r="G392" s="111">
        <v>2</v>
      </c>
      <c r="H392" s="113">
        <v>3</v>
      </c>
      <c r="I392" s="113">
        <v>3</v>
      </c>
      <c r="J392" s="111">
        <v>4</v>
      </c>
      <c r="K392" s="111">
        <v>4</v>
      </c>
      <c r="L392" s="113">
        <v>5</v>
      </c>
      <c r="M392" s="113"/>
      <c r="N392" s="111">
        <v>6</v>
      </c>
      <c r="O392" s="111">
        <v>1</v>
      </c>
      <c r="P392" s="113">
        <v>7</v>
      </c>
      <c r="Q392" s="113">
        <v>2</v>
      </c>
      <c r="R392" s="111">
        <v>8</v>
      </c>
      <c r="S392" s="111">
        <v>3</v>
      </c>
      <c r="T392" s="111">
        <v>9</v>
      </c>
      <c r="U392" s="111">
        <v>4</v>
      </c>
      <c r="V392" s="67"/>
    </row>
    <row r="393" spans="1:43" x14ac:dyDescent="0.25">
      <c r="A393" s="18"/>
      <c r="B393" s="87" t="s">
        <v>1</v>
      </c>
      <c r="C393" s="87" t="s">
        <v>2</v>
      </c>
      <c r="D393" s="88" t="s">
        <v>3</v>
      </c>
      <c r="E393" s="88" t="s">
        <v>4</v>
      </c>
      <c r="F393" s="87" t="s">
        <v>1</v>
      </c>
      <c r="G393" s="87" t="s">
        <v>2</v>
      </c>
      <c r="H393" s="88" t="s">
        <v>3</v>
      </c>
      <c r="I393" s="88" t="s">
        <v>4</v>
      </c>
      <c r="J393" s="87" t="s">
        <v>1</v>
      </c>
      <c r="K393" s="87" t="s">
        <v>2</v>
      </c>
      <c r="L393" s="88" t="s">
        <v>3</v>
      </c>
      <c r="M393" s="88" t="s">
        <v>4</v>
      </c>
      <c r="N393" s="87" t="s">
        <v>1</v>
      </c>
      <c r="O393" s="87" t="s">
        <v>2</v>
      </c>
      <c r="P393" s="88" t="s">
        <v>3</v>
      </c>
      <c r="Q393" s="88" t="s">
        <v>4</v>
      </c>
      <c r="R393" s="87" t="s">
        <v>1</v>
      </c>
      <c r="S393" s="87" t="s">
        <v>2</v>
      </c>
      <c r="T393" s="87" t="s">
        <v>3</v>
      </c>
      <c r="U393" s="87" t="s">
        <v>4</v>
      </c>
      <c r="V393" s="67"/>
    </row>
    <row r="394" spans="1:43" ht="15.75" thickBot="1" x14ac:dyDescent="0.3">
      <c r="A394" s="24"/>
      <c r="B394" s="25"/>
      <c r="C394" s="25"/>
      <c r="D394" s="44"/>
      <c r="E394" s="45"/>
      <c r="F394" s="25"/>
      <c r="G394" s="25"/>
      <c r="H394" s="44"/>
      <c r="I394" s="45"/>
      <c r="J394" s="25"/>
      <c r="K394" s="25"/>
      <c r="L394" s="44"/>
      <c r="M394" s="45"/>
      <c r="N394" s="25"/>
      <c r="O394" s="25"/>
      <c r="P394" s="44"/>
      <c r="Q394" s="45"/>
      <c r="R394" s="25"/>
      <c r="S394" s="25"/>
      <c r="T394" s="25"/>
      <c r="U394" s="25"/>
      <c r="V394" s="68"/>
    </row>
    <row r="395" spans="1:43" ht="15.6" customHeight="1" x14ac:dyDescent="0.25">
      <c r="A395" s="5"/>
      <c r="B395" s="105"/>
      <c r="C395" s="106"/>
      <c r="D395" s="108"/>
      <c r="E395" s="106"/>
      <c r="F395" s="105"/>
      <c r="G395" s="106"/>
      <c r="H395" s="108"/>
      <c r="I395" s="106"/>
      <c r="J395" s="105"/>
      <c r="K395" s="106"/>
      <c r="L395" s="108"/>
      <c r="M395" s="106"/>
      <c r="N395" s="105"/>
      <c r="O395" s="106"/>
      <c r="P395" s="108"/>
      <c r="Q395" s="106"/>
      <c r="R395" s="86"/>
      <c r="S395" s="86"/>
      <c r="T395" s="86"/>
      <c r="U395" s="86"/>
      <c r="V395" s="27"/>
      <c r="W395" s="69"/>
      <c r="X395" s="109"/>
      <c r="Y395" s="109"/>
      <c r="Z395" s="109"/>
      <c r="AA395" s="109"/>
      <c r="AB395" s="109"/>
      <c r="AC395" s="109"/>
      <c r="AD395" s="109"/>
      <c r="AE395" s="109"/>
      <c r="AF395" s="109"/>
      <c r="AG395" s="109"/>
      <c r="AH395" s="109"/>
      <c r="AI395" s="109"/>
      <c r="AJ395" s="109"/>
      <c r="AK395" s="109"/>
      <c r="AL395" s="109"/>
      <c r="AM395" s="109"/>
      <c r="AN395" s="109"/>
      <c r="AO395" s="109"/>
      <c r="AP395" s="109"/>
      <c r="AQ395" s="109"/>
    </row>
    <row r="396" spans="1:43" ht="15.6" customHeight="1" thickBot="1" x14ac:dyDescent="0.3">
      <c r="A396" s="5"/>
      <c r="B396" s="10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  <c r="R396" s="110"/>
      <c r="S396" s="110"/>
      <c r="T396" s="110"/>
      <c r="U396" s="110"/>
      <c r="V396" s="27"/>
      <c r="W396" s="69"/>
      <c r="X396" s="109"/>
      <c r="Y396" s="109"/>
      <c r="Z396" s="109"/>
      <c r="AA396" s="109"/>
      <c r="AB396" s="109"/>
      <c r="AC396" s="109"/>
      <c r="AD396" s="109"/>
      <c r="AE396" s="109"/>
      <c r="AF396" s="109"/>
      <c r="AG396" s="109"/>
      <c r="AH396" s="109"/>
      <c r="AI396" s="109"/>
      <c r="AJ396" s="109"/>
      <c r="AK396" s="109"/>
      <c r="AL396" s="109"/>
      <c r="AM396" s="109"/>
      <c r="AN396" s="109"/>
      <c r="AO396" s="109"/>
      <c r="AP396" s="109"/>
      <c r="AQ396" s="109"/>
    </row>
    <row r="397" spans="1:43" x14ac:dyDescent="0.25">
      <c r="A397" s="5"/>
      <c r="B397" s="100"/>
      <c r="C397" s="101"/>
      <c r="D397" s="102"/>
      <c r="E397" s="103"/>
      <c r="F397" s="100"/>
      <c r="G397" s="101"/>
      <c r="H397" s="102"/>
      <c r="I397" s="103"/>
      <c r="J397" s="100"/>
      <c r="K397" s="101"/>
      <c r="L397" s="102"/>
      <c r="M397" s="103"/>
      <c r="N397" s="100"/>
      <c r="O397" s="101"/>
      <c r="P397" s="102"/>
      <c r="Q397" s="103"/>
      <c r="R397" s="86"/>
      <c r="S397" s="86"/>
      <c r="T397" s="86"/>
      <c r="U397" s="86"/>
      <c r="V397" s="27"/>
    </row>
    <row r="398" spans="1:43" x14ac:dyDescent="0.25">
      <c r="A398" s="5"/>
      <c r="B398" s="5"/>
      <c r="C398" s="5"/>
      <c r="D398" s="39"/>
      <c r="E398" s="39"/>
      <c r="F398" s="5"/>
      <c r="G398" s="5"/>
      <c r="H398" s="39"/>
      <c r="I398" s="39"/>
      <c r="J398" s="5"/>
      <c r="K398" s="5"/>
      <c r="L398" s="39"/>
      <c r="M398" s="39"/>
      <c r="N398" s="5"/>
      <c r="O398" s="5"/>
      <c r="P398" s="39"/>
      <c r="Q398" s="39"/>
      <c r="R398" s="5"/>
      <c r="S398" s="5"/>
      <c r="T398" s="5"/>
      <c r="U398" s="5"/>
      <c r="V398" s="5"/>
    </row>
    <row r="399" spans="1:43" x14ac:dyDescent="0.25">
      <c r="A399" s="5"/>
      <c r="B399" s="5"/>
      <c r="C399" s="5"/>
      <c r="D399" s="39"/>
      <c r="E399" s="89" t="s">
        <v>11</v>
      </c>
      <c r="F399" s="104" t="s">
        <v>12</v>
      </c>
      <c r="G399" s="104"/>
      <c r="H399" s="104"/>
      <c r="I399" s="104" t="s">
        <v>41</v>
      </c>
      <c r="J399" s="104"/>
      <c r="K399" s="5"/>
      <c r="L399" s="39"/>
      <c r="M399" s="39"/>
      <c r="N399" s="5"/>
      <c r="O399" s="86" t="s">
        <v>13</v>
      </c>
      <c r="P399" s="39" t="s">
        <v>14</v>
      </c>
      <c r="Q399" s="39"/>
      <c r="R399" s="5"/>
      <c r="S399" s="5" t="s">
        <v>43</v>
      </c>
      <c r="T399" s="5"/>
      <c r="U399" s="5"/>
      <c r="V399" s="5"/>
    </row>
    <row r="400" spans="1:43" x14ac:dyDescent="0.25">
      <c r="A400" s="5"/>
      <c r="B400" s="5"/>
      <c r="C400" s="5"/>
      <c r="D400" s="39"/>
      <c r="E400" s="89" t="s">
        <v>15</v>
      </c>
      <c r="F400" s="104" t="s">
        <v>16</v>
      </c>
      <c r="G400" s="104"/>
      <c r="H400" s="104"/>
      <c r="I400" s="39" t="s">
        <v>42</v>
      </c>
      <c r="J400" s="5"/>
      <c r="K400" s="5"/>
      <c r="L400" s="39"/>
      <c r="M400" s="39"/>
      <c r="N400" s="5"/>
      <c r="O400" s="86" t="s">
        <v>18</v>
      </c>
      <c r="P400" s="39" t="s">
        <v>14</v>
      </c>
      <c r="Q400" s="39"/>
      <c r="R400" s="5"/>
      <c r="S400" s="5" t="s">
        <v>17</v>
      </c>
      <c r="T400" s="5"/>
      <c r="U400" s="5"/>
      <c r="V400" s="5"/>
    </row>
    <row r="401" spans="1:43" x14ac:dyDescent="0.25">
      <c r="A401" s="65" t="s">
        <v>69</v>
      </c>
      <c r="B401" s="65"/>
      <c r="C401" s="65"/>
      <c r="D401" s="77"/>
      <c r="E401" s="78"/>
      <c r="F401" s="65"/>
      <c r="G401" s="65"/>
      <c r="H401" s="77"/>
      <c r="I401" s="77"/>
      <c r="J401" s="65"/>
      <c r="K401" s="65"/>
      <c r="L401" s="77"/>
      <c r="M401" s="77"/>
      <c r="N401" s="65"/>
      <c r="O401" s="65"/>
      <c r="P401" s="77"/>
      <c r="Q401" s="77"/>
      <c r="R401" s="65"/>
      <c r="S401" s="65"/>
      <c r="T401" s="65"/>
      <c r="U401" s="65"/>
      <c r="V401" s="65"/>
    </row>
    <row r="402" spans="1:43" ht="18.75" x14ac:dyDescent="0.3">
      <c r="A402" s="5"/>
      <c r="B402" s="5"/>
      <c r="C402" s="5"/>
      <c r="D402" s="39"/>
      <c r="E402" s="40" t="s">
        <v>7</v>
      </c>
      <c r="F402" s="5"/>
      <c r="G402" s="7"/>
      <c r="H402" s="51"/>
      <c r="I402" s="51"/>
      <c r="J402" s="7"/>
      <c r="K402" s="7"/>
      <c r="L402" s="51"/>
      <c r="M402" s="52" t="s">
        <v>8</v>
      </c>
      <c r="N402" s="114" t="s">
        <v>68</v>
      </c>
      <c r="O402" s="115"/>
      <c r="P402" s="39"/>
      <c r="Q402" s="39"/>
      <c r="R402" s="5"/>
      <c r="S402" s="5"/>
      <c r="T402" s="5"/>
      <c r="U402" s="5"/>
      <c r="V402" s="5"/>
    </row>
    <row r="403" spans="1:43" ht="18.75" x14ac:dyDescent="0.3">
      <c r="A403" s="5"/>
      <c r="B403" s="5"/>
      <c r="C403" s="5"/>
      <c r="D403" s="39"/>
      <c r="E403" s="40" t="s">
        <v>35</v>
      </c>
      <c r="F403" s="5"/>
      <c r="G403" s="5"/>
      <c r="H403" s="39"/>
      <c r="I403" s="39"/>
      <c r="J403" s="9"/>
      <c r="K403" s="9"/>
      <c r="L403" s="53"/>
      <c r="M403" s="52" t="s">
        <v>9</v>
      </c>
      <c r="N403" s="116" t="str">
        <f>N402&amp;".1"</f>
        <v>1.3.1</v>
      </c>
      <c r="O403" s="116"/>
      <c r="P403" s="39"/>
      <c r="Q403" s="39"/>
      <c r="R403" s="5"/>
      <c r="S403" s="5"/>
      <c r="T403" s="5"/>
      <c r="U403" s="5"/>
      <c r="V403" s="5"/>
    </row>
    <row r="404" spans="1:43" ht="18.75" x14ac:dyDescent="0.3">
      <c r="A404" s="5"/>
      <c r="B404" s="5"/>
      <c r="C404" s="5"/>
      <c r="D404" s="39"/>
      <c r="E404" s="39" t="s">
        <v>36</v>
      </c>
      <c r="F404" s="5"/>
      <c r="G404" s="5"/>
      <c r="H404" s="51"/>
      <c r="I404" s="51"/>
      <c r="J404" s="7"/>
      <c r="K404" s="7"/>
      <c r="L404" s="51"/>
      <c r="M404" s="54" t="s">
        <v>9</v>
      </c>
      <c r="N404" s="11">
        <v>1</v>
      </c>
      <c r="O404" s="5"/>
      <c r="P404" s="39"/>
      <c r="Q404" s="39"/>
      <c r="R404" s="5"/>
      <c r="S404" s="5"/>
      <c r="T404" s="5"/>
      <c r="U404" s="5"/>
      <c r="V404" s="5"/>
    </row>
    <row r="405" spans="1:43" ht="18.75" x14ac:dyDescent="0.3">
      <c r="A405" s="5"/>
      <c r="B405" s="5"/>
      <c r="C405" s="5"/>
      <c r="D405" s="39"/>
      <c r="E405" s="39" t="s">
        <v>5</v>
      </c>
      <c r="F405" s="5"/>
      <c r="G405" s="5"/>
      <c r="H405" s="39"/>
      <c r="I405" s="39"/>
      <c r="J405" s="5"/>
      <c r="K405" s="5"/>
      <c r="L405" s="53"/>
      <c r="M405" s="54" t="s">
        <v>9</v>
      </c>
      <c r="N405" s="11" t="str">
        <f>"-"&amp;N403</f>
        <v>-1.3.1</v>
      </c>
      <c r="O405" s="12"/>
      <c r="P405" s="39"/>
      <c r="Q405" s="39"/>
      <c r="R405" s="5"/>
      <c r="S405" s="5"/>
      <c r="T405" s="5"/>
      <c r="U405" s="5"/>
      <c r="V405" s="5"/>
    </row>
    <row r="406" spans="1:43" ht="18.75" x14ac:dyDescent="0.3">
      <c r="A406" s="5"/>
      <c r="B406" s="5"/>
      <c r="C406" s="5"/>
      <c r="D406" s="39"/>
      <c r="E406" s="41" t="s">
        <v>10</v>
      </c>
      <c r="F406" s="5"/>
      <c r="G406" s="5"/>
      <c r="H406" s="39"/>
      <c r="I406" s="51"/>
      <c r="J406" s="7"/>
      <c r="K406" s="7"/>
      <c r="L406" s="51"/>
      <c r="M406" s="54" t="s">
        <v>9</v>
      </c>
      <c r="N406" s="3">
        <v>21</v>
      </c>
      <c r="O406" s="5"/>
      <c r="P406" s="39"/>
      <c r="Q406" s="39"/>
      <c r="R406" s="5"/>
      <c r="S406" s="5"/>
      <c r="T406" s="5"/>
      <c r="U406" s="5"/>
      <c r="V406" s="5"/>
    </row>
    <row r="407" spans="1:43" ht="15.75" thickBot="1" x14ac:dyDescent="0.3">
      <c r="A407" s="5"/>
      <c r="B407" s="5"/>
      <c r="C407" s="5"/>
      <c r="D407" s="39"/>
      <c r="E407" s="39"/>
      <c r="F407" s="5"/>
      <c r="G407" s="5"/>
      <c r="H407" s="39"/>
      <c r="I407" s="39"/>
      <c r="J407" s="5"/>
      <c r="K407" s="5"/>
      <c r="L407" s="39"/>
      <c r="M407" s="39"/>
      <c r="N407" s="5"/>
      <c r="O407" s="5"/>
      <c r="P407" s="39"/>
      <c r="Q407" s="39"/>
      <c r="R407" s="5"/>
      <c r="S407" s="5"/>
      <c r="T407" s="5"/>
      <c r="U407" s="5"/>
      <c r="V407" s="5"/>
    </row>
    <row r="408" spans="1:43" x14ac:dyDescent="0.25">
      <c r="A408" s="15"/>
      <c r="B408" s="16"/>
      <c r="C408" s="16"/>
      <c r="D408" s="42"/>
      <c r="E408" s="42"/>
      <c r="F408" s="16"/>
      <c r="G408" s="16"/>
      <c r="H408" s="42"/>
      <c r="I408" s="42"/>
      <c r="J408" s="16"/>
      <c r="K408" s="16"/>
      <c r="L408" s="42"/>
      <c r="M408" s="42"/>
      <c r="N408" s="16"/>
      <c r="O408" s="16"/>
      <c r="P408" s="42"/>
      <c r="Q408" s="42"/>
      <c r="R408" s="16"/>
      <c r="S408" s="16"/>
      <c r="T408" s="16"/>
      <c r="U408" s="16"/>
      <c r="V408" s="16"/>
    </row>
    <row r="409" spans="1:43" x14ac:dyDescent="0.25">
      <c r="A409" s="18"/>
      <c r="B409" s="87"/>
      <c r="C409" s="87"/>
      <c r="D409" s="117">
        <v>1</v>
      </c>
      <c r="E409" s="118"/>
      <c r="F409" s="87"/>
      <c r="G409" s="87"/>
      <c r="H409" s="117">
        <v>2</v>
      </c>
      <c r="I409" s="118"/>
      <c r="J409" s="87"/>
      <c r="K409" s="87"/>
      <c r="L409" s="117">
        <v>3</v>
      </c>
      <c r="M409" s="118"/>
      <c r="N409" s="87"/>
      <c r="O409" s="87"/>
      <c r="P409" s="117">
        <v>4</v>
      </c>
      <c r="Q409" s="118"/>
      <c r="R409" s="87"/>
      <c r="S409" s="87"/>
      <c r="T409" s="87"/>
      <c r="U409" s="87"/>
      <c r="V409" s="65"/>
    </row>
    <row r="410" spans="1:43" x14ac:dyDescent="0.25">
      <c r="A410" s="18"/>
      <c r="B410" s="111" t="s">
        <v>6</v>
      </c>
      <c r="C410" s="111"/>
      <c r="D410" s="117" t="s">
        <v>37</v>
      </c>
      <c r="E410" s="118" t="s">
        <v>0</v>
      </c>
      <c r="F410" s="111" t="s">
        <v>6</v>
      </c>
      <c r="G410" s="111"/>
      <c r="H410" s="117" t="s">
        <v>37</v>
      </c>
      <c r="I410" s="118"/>
      <c r="J410" s="111" t="s">
        <v>6</v>
      </c>
      <c r="K410" s="111"/>
      <c r="L410" s="117" t="s">
        <v>37</v>
      </c>
      <c r="M410" s="118"/>
      <c r="N410" s="111" t="s">
        <v>6</v>
      </c>
      <c r="O410" s="111"/>
      <c r="P410" s="117" t="s">
        <v>37</v>
      </c>
      <c r="Q410" s="118"/>
      <c r="R410" s="111"/>
      <c r="S410" s="111"/>
      <c r="T410" s="111"/>
      <c r="U410" s="111"/>
      <c r="V410" s="66"/>
    </row>
    <row r="411" spans="1:43" x14ac:dyDescent="0.25">
      <c r="A411" s="18"/>
      <c r="B411" s="110"/>
      <c r="C411" s="110"/>
      <c r="D411" s="112"/>
      <c r="E411" s="112"/>
      <c r="F411" s="110"/>
      <c r="G411" s="110"/>
      <c r="H411" s="112"/>
      <c r="I411" s="112"/>
      <c r="J411" s="110"/>
      <c r="K411" s="110"/>
      <c r="L411" s="112"/>
      <c r="M411" s="112"/>
      <c r="N411" s="110"/>
      <c r="O411" s="110"/>
      <c r="P411" s="112"/>
      <c r="Q411" s="112"/>
      <c r="R411" s="110"/>
      <c r="S411" s="110"/>
      <c r="T411" s="110"/>
      <c r="U411" s="110"/>
      <c r="V411" s="66"/>
    </row>
    <row r="412" spans="1:43" x14ac:dyDescent="0.25">
      <c r="A412" s="18"/>
      <c r="B412" s="111">
        <v>0</v>
      </c>
      <c r="C412" s="111"/>
      <c r="D412" s="113">
        <v>1</v>
      </c>
      <c r="E412" s="113">
        <v>1</v>
      </c>
      <c r="F412" s="111">
        <v>2</v>
      </c>
      <c r="G412" s="111">
        <v>2</v>
      </c>
      <c r="H412" s="113">
        <v>3</v>
      </c>
      <c r="I412" s="113">
        <v>3</v>
      </c>
      <c r="J412" s="111">
        <v>4</v>
      </c>
      <c r="K412" s="111">
        <v>4</v>
      </c>
      <c r="L412" s="113">
        <v>5</v>
      </c>
      <c r="M412" s="113"/>
      <c r="N412" s="111">
        <v>6</v>
      </c>
      <c r="O412" s="111">
        <v>1</v>
      </c>
      <c r="P412" s="113">
        <v>7</v>
      </c>
      <c r="Q412" s="113">
        <v>2</v>
      </c>
      <c r="R412" s="111">
        <v>8</v>
      </c>
      <c r="S412" s="111">
        <v>3</v>
      </c>
      <c r="T412" s="111">
        <v>9</v>
      </c>
      <c r="U412" s="111">
        <v>4</v>
      </c>
      <c r="V412" s="67"/>
    </row>
    <row r="413" spans="1:43" x14ac:dyDescent="0.25">
      <c r="A413" s="18"/>
      <c r="B413" s="87" t="s">
        <v>1</v>
      </c>
      <c r="C413" s="87" t="s">
        <v>2</v>
      </c>
      <c r="D413" s="88" t="s">
        <v>3</v>
      </c>
      <c r="E413" s="88" t="s">
        <v>4</v>
      </c>
      <c r="F413" s="87" t="s">
        <v>1</v>
      </c>
      <c r="G413" s="87" t="s">
        <v>2</v>
      </c>
      <c r="H413" s="88" t="s">
        <v>3</v>
      </c>
      <c r="I413" s="88" t="s">
        <v>4</v>
      </c>
      <c r="J413" s="87" t="s">
        <v>1</v>
      </c>
      <c r="K413" s="87" t="s">
        <v>2</v>
      </c>
      <c r="L413" s="88" t="s">
        <v>3</v>
      </c>
      <c r="M413" s="88" t="s">
        <v>4</v>
      </c>
      <c r="N413" s="87" t="s">
        <v>1</v>
      </c>
      <c r="O413" s="87" t="s">
        <v>2</v>
      </c>
      <c r="P413" s="88" t="s">
        <v>3</v>
      </c>
      <c r="Q413" s="88" t="s">
        <v>4</v>
      </c>
      <c r="R413" s="87" t="s">
        <v>1</v>
      </c>
      <c r="S413" s="87" t="s">
        <v>2</v>
      </c>
      <c r="T413" s="87" t="s">
        <v>3</v>
      </c>
      <c r="U413" s="87" t="s">
        <v>4</v>
      </c>
      <c r="V413" s="67"/>
    </row>
    <row r="414" spans="1:43" ht="15.75" thickBot="1" x14ac:dyDescent="0.3">
      <c r="A414" s="24"/>
      <c r="B414" s="25"/>
      <c r="C414" s="25"/>
      <c r="D414" s="44"/>
      <c r="E414" s="45"/>
      <c r="F414" s="25"/>
      <c r="G414" s="25"/>
      <c r="H414" s="44"/>
      <c r="I414" s="45"/>
      <c r="J414" s="25"/>
      <c r="K414" s="25"/>
      <c r="L414" s="44"/>
      <c r="M414" s="45"/>
      <c r="N414" s="25"/>
      <c r="O414" s="25"/>
      <c r="P414" s="44"/>
      <c r="Q414" s="45"/>
      <c r="R414" s="25"/>
      <c r="S414" s="25"/>
      <c r="T414" s="25"/>
      <c r="U414" s="25"/>
      <c r="V414" s="68"/>
    </row>
    <row r="415" spans="1:43" ht="15.6" customHeight="1" x14ac:dyDescent="0.25">
      <c r="A415" s="5"/>
      <c r="B415" s="105"/>
      <c r="C415" s="106"/>
      <c r="D415" s="108"/>
      <c r="E415" s="106"/>
      <c r="F415" s="105"/>
      <c r="G415" s="106"/>
      <c r="H415" s="108"/>
      <c r="I415" s="106"/>
      <c r="J415" s="105"/>
      <c r="K415" s="106"/>
      <c r="L415" s="108"/>
      <c r="M415" s="106"/>
      <c r="N415" s="105"/>
      <c r="O415" s="106"/>
      <c r="P415" s="108"/>
      <c r="Q415" s="106"/>
      <c r="R415" s="86"/>
      <c r="S415" s="86"/>
      <c r="T415" s="86"/>
      <c r="U415" s="86"/>
      <c r="V415" s="27"/>
      <c r="W415" s="69"/>
      <c r="X415" s="109"/>
      <c r="Y415" s="109"/>
      <c r="Z415" s="109"/>
      <c r="AA415" s="109"/>
      <c r="AB415" s="109"/>
      <c r="AC415" s="109"/>
      <c r="AD415" s="109"/>
      <c r="AE415" s="109"/>
      <c r="AF415" s="109"/>
      <c r="AG415" s="109"/>
      <c r="AH415" s="109"/>
      <c r="AI415" s="109"/>
      <c r="AJ415" s="109"/>
      <c r="AK415" s="109"/>
      <c r="AL415" s="109"/>
      <c r="AM415" s="109"/>
      <c r="AN415" s="109"/>
      <c r="AO415" s="109"/>
      <c r="AP415" s="109"/>
      <c r="AQ415" s="109"/>
    </row>
    <row r="416" spans="1:43" ht="15.6" customHeight="1" thickBot="1" x14ac:dyDescent="0.3">
      <c r="A416" s="5"/>
      <c r="B416" s="10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7"/>
      <c r="R416" s="110"/>
      <c r="S416" s="110"/>
      <c r="T416" s="110"/>
      <c r="U416" s="110"/>
      <c r="V416" s="27"/>
      <c r="W416" s="69"/>
      <c r="X416" s="109"/>
      <c r="Y416" s="109"/>
      <c r="Z416" s="109"/>
      <c r="AA416" s="109"/>
      <c r="AB416" s="109"/>
      <c r="AC416" s="109"/>
      <c r="AD416" s="109"/>
      <c r="AE416" s="109"/>
      <c r="AF416" s="109"/>
      <c r="AG416" s="109"/>
      <c r="AH416" s="109"/>
      <c r="AI416" s="109"/>
      <c r="AJ416" s="109"/>
      <c r="AK416" s="109"/>
      <c r="AL416" s="109"/>
      <c r="AM416" s="109"/>
      <c r="AN416" s="109"/>
      <c r="AO416" s="109"/>
      <c r="AP416" s="109"/>
      <c r="AQ416" s="109"/>
    </row>
    <row r="417" spans="1:22" x14ac:dyDescent="0.25">
      <c r="A417" s="5"/>
      <c r="B417" s="100"/>
      <c r="C417" s="101"/>
      <c r="D417" s="102"/>
      <c r="E417" s="103"/>
      <c r="F417" s="100"/>
      <c r="G417" s="101"/>
      <c r="H417" s="102"/>
      <c r="I417" s="103"/>
      <c r="J417" s="100"/>
      <c r="K417" s="101"/>
      <c r="L417" s="102"/>
      <c r="M417" s="103"/>
      <c r="N417" s="100"/>
      <c r="O417" s="101"/>
      <c r="P417" s="102"/>
      <c r="Q417" s="103"/>
      <c r="R417" s="86"/>
      <c r="S417" s="86"/>
      <c r="T417" s="86"/>
      <c r="U417" s="86"/>
      <c r="V417" s="27"/>
    </row>
    <row r="418" spans="1:22" x14ac:dyDescent="0.25">
      <c r="A418" s="5"/>
      <c r="B418" s="5"/>
      <c r="C418" s="5"/>
      <c r="D418" s="39"/>
      <c r="E418" s="39"/>
      <c r="F418" s="5"/>
      <c r="G418" s="5"/>
      <c r="H418" s="39"/>
      <c r="I418" s="39"/>
      <c r="J418" s="5"/>
      <c r="K418" s="5"/>
      <c r="L418" s="39"/>
      <c r="M418" s="39"/>
      <c r="N418" s="5"/>
      <c r="O418" s="5"/>
      <c r="P418" s="39"/>
      <c r="Q418" s="39"/>
      <c r="R418" s="5"/>
      <c r="S418" s="5"/>
      <c r="T418" s="5"/>
      <c r="U418" s="5"/>
      <c r="V418" s="5"/>
    </row>
    <row r="419" spans="1:22" x14ac:dyDescent="0.25">
      <c r="A419" s="5"/>
      <c r="B419" s="5"/>
      <c r="C419" s="5"/>
      <c r="D419" s="39"/>
      <c r="E419" s="89" t="s">
        <v>11</v>
      </c>
      <c r="F419" s="104" t="s">
        <v>12</v>
      </c>
      <c r="G419" s="104"/>
      <c r="H419" s="104"/>
      <c r="I419" s="104" t="s">
        <v>41</v>
      </c>
      <c r="J419" s="104"/>
      <c r="K419" s="5"/>
      <c r="L419" s="39"/>
      <c r="M419" s="39"/>
      <c r="N419" s="5"/>
      <c r="O419" s="86" t="s">
        <v>13</v>
      </c>
      <c r="P419" s="39" t="s">
        <v>14</v>
      </c>
      <c r="Q419" s="39"/>
      <c r="R419" s="5"/>
      <c r="S419" s="5" t="s">
        <v>43</v>
      </c>
      <c r="T419" s="5"/>
      <c r="U419" s="5"/>
      <c r="V419" s="5"/>
    </row>
    <row r="420" spans="1:22" x14ac:dyDescent="0.25">
      <c r="A420" s="5"/>
      <c r="B420" s="5"/>
      <c r="C420" s="5"/>
      <c r="D420" s="39"/>
      <c r="E420" s="89" t="s">
        <v>15</v>
      </c>
      <c r="F420" s="104" t="s">
        <v>16</v>
      </c>
      <c r="G420" s="104"/>
      <c r="H420" s="104"/>
      <c r="I420" s="39" t="s">
        <v>42</v>
      </c>
      <c r="J420" s="5"/>
      <c r="K420" s="5"/>
      <c r="L420" s="39"/>
      <c r="M420" s="39"/>
      <c r="N420" s="5"/>
      <c r="O420" s="86" t="s">
        <v>18</v>
      </c>
      <c r="P420" s="39" t="s">
        <v>14</v>
      </c>
      <c r="Q420" s="39"/>
      <c r="R420" s="5"/>
      <c r="S420" s="5" t="s">
        <v>17</v>
      </c>
      <c r="T420" s="5"/>
      <c r="U420" s="5"/>
      <c r="V420" s="5"/>
    </row>
    <row r="421" spans="1:22" x14ac:dyDescent="0.25">
      <c r="A421" s="65" t="s">
        <v>69</v>
      </c>
      <c r="B421" s="65"/>
      <c r="C421" s="65"/>
      <c r="D421" s="77"/>
      <c r="E421" s="78"/>
      <c r="F421" s="65"/>
      <c r="G421" s="65"/>
      <c r="H421" s="77"/>
      <c r="I421" s="77"/>
      <c r="J421" s="65"/>
      <c r="K421" s="65"/>
      <c r="L421" s="77"/>
      <c r="M421" s="77"/>
      <c r="N421" s="65"/>
      <c r="O421" s="65"/>
      <c r="P421" s="77"/>
      <c r="Q421" s="77"/>
      <c r="R421" s="65"/>
      <c r="S421" s="65"/>
      <c r="T421" s="65"/>
      <c r="U421" s="65"/>
      <c r="V421" s="65"/>
    </row>
    <row r="422" spans="1:22" ht="18.75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114" t="s">
        <v>68</v>
      </c>
      <c r="O422" s="115"/>
      <c r="P422" s="39"/>
      <c r="Q422" s="39"/>
      <c r="R422" s="5"/>
      <c r="S422" s="5"/>
      <c r="T422" s="5"/>
      <c r="U422" s="5"/>
      <c r="V422" s="5"/>
    </row>
    <row r="423" spans="1:22" ht="18.75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116" t="str">
        <f>N422&amp;".1"</f>
        <v>1.3.1</v>
      </c>
      <c r="O423" s="116"/>
      <c r="P423" s="39"/>
      <c r="Q423" s="39"/>
      <c r="R423" s="5"/>
      <c r="S423" s="5"/>
      <c r="T423" s="5"/>
      <c r="U423" s="5"/>
      <c r="V423" s="5"/>
    </row>
    <row r="424" spans="1:22" ht="18.75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v>1</v>
      </c>
      <c r="O424" s="5"/>
      <c r="P424" s="39"/>
      <c r="Q424" s="39"/>
      <c r="R424" s="5"/>
      <c r="S424" s="5"/>
      <c r="T424" s="5"/>
      <c r="U424" s="5"/>
      <c r="V424" s="5"/>
    </row>
    <row r="425" spans="1:22" ht="18.75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9</v>
      </c>
      <c r="N425" s="11" t="str">
        <f>"-"&amp;N423</f>
        <v>-1.3.1</v>
      </c>
      <c r="O425" s="12"/>
      <c r="P425" s="39"/>
      <c r="Q425" s="39"/>
      <c r="R425" s="5"/>
      <c r="S425" s="5"/>
      <c r="T425" s="5"/>
      <c r="U425" s="5"/>
      <c r="V425" s="5"/>
    </row>
    <row r="426" spans="1:22" ht="18.75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3">
        <v>22</v>
      </c>
      <c r="O426" s="5"/>
      <c r="P426" s="39"/>
      <c r="Q426" s="39"/>
      <c r="R426" s="5"/>
      <c r="S426" s="5"/>
      <c r="T426" s="5"/>
      <c r="U426" s="5"/>
      <c r="V426" s="5"/>
    </row>
    <row r="427" spans="1:22" ht="15.75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</row>
    <row r="428" spans="1:22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6"/>
    </row>
    <row r="429" spans="1:22" x14ac:dyDescent="0.25">
      <c r="A429" s="18"/>
      <c r="B429" s="87"/>
      <c r="C429" s="87"/>
      <c r="D429" s="117">
        <v>1</v>
      </c>
      <c r="E429" s="118"/>
      <c r="F429" s="87"/>
      <c r="G429" s="87"/>
      <c r="H429" s="117">
        <v>2</v>
      </c>
      <c r="I429" s="118"/>
      <c r="J429" s="87"/>
      <c r="K429" s="87"/>
      <c r="L429" s="117">
        <v>3</v>
      </c>
      <c r="M429" s="118"/>
      <c r="N429" s="87"/>
      <c r="O429" s="87"/>
      <c r="P429" s="117">
        <v>4</v>
      </c>
      <c r="Q429" s="118"/>
      <c r="R429" s="87"/>
      <c r="S429" s="87"/>
      <c r="T429" s="87"/>
      <c r="U429" s="87"/>
      <c r="V429" s="65"/>
    </row>
    <row r="430" spans="1:22" x14ac:dyDescent="0.25">
      <c r="A430" s="18"/>
      <c r="B430" s="111" t="s">
        <v>6</v>
      </c>
      <c r="C430" s="111"/>
      <c r="D430" s="117" t="s">
        <v>37</v>
      </c>
      <c r="E430" s="118" t="s">
        <v>0</v>
      </c>
      <c r="F430" s="111" t="s">
        <v>6</v>
      </c>
      <c r="G430" s="111"/>
      <c r="H430" s="117" t="s">
        <v>37</v>
      </c>
      <c r="I430" s="118"/>
      <c r="J430" s="111" t="s">
        <v>6</v>
      </c>
      <c r="K430" s="111"/>
      <c r="L430" s="117" t="s">
        <v>37</v>
      </c>
      <c r="M430" s="118"/>
      <c r="N430" s="111" t="s">
        <v>6</v>
      </c>
      <c r="O430" s="111"/>
      <c r="P430" s="117" t="s">
        <v>37</v>
      </c>
      <c r="Q430" s="118"/>
      <c r="R430" s="111"/>
      <c r="S430" s="111"/>
      <c r="T430" s="111"/>
      <c r="U430" s="111"/>
      <c r="V430" s="66"/>
    </row>
    <row r="431" spans="1:22" x14ac:dyDescent="0.25">
      <c r="A431" s="18"/>
      <c r="B431" s="110"/>
      <c r="C431" s="110"/>
      <c r="D431" s="112"/>
      <c r="E431" s="112"/>
      <c r="F431" s="110"/>
      <c r="G431" s="110"/>
      <c r="H431" s="112"/>
      <c r="I431" s="112"/>
      <c r="J431" s="110"/>
      <c r="K431" s="110"/>
      <c r="L431" s="112"/>
      <c r="M431" s="112"/>
      <c r="N431" s="110"/>
      <c r="O431" s="110"/>
      <c r="P431" s="112"/>
      <c r="Q431" s="112"/>
      <c r="R431" s="110"/>
      <c r="S431" s="110"/>
      <c r="T431" s="110"/>
      <c r="U431" s="110"/>
      <c r="V431" s="66"/>
    </row>
    <row r="432" spans="1:22" x14ac:dyDescent="0.25">
      <c r="A432" s="18"/>
      <c r="B432" s="111">
        <v>0</v>
      </c>
      <c r="C432" s="111"/>
      <c r="D432" s="113">
        <v>1</v>
      </c>
      <c r="E432" s="113">
        <v>1</v>
      </c>
      <c r="F432" s="111">
        <v>2</v>
      </c>
      <c r="G432" s="111">
        <v>2</v>
      </c>
      <c r="H432" s="113">
        <v>3</v>
      </c>
      <c r="I432" s="113">
        <v>3</v>
      </c>
      <c r="J432" s="111">
        <v>4</v>
      </c>
      <c r="K432" s="111">
        <v>4</v>
      </c>
      <c r="L432" s="113">
        <v>5</v>
      </c>
      <c r="M432" s="113"/>
      <c r="N432" s="111">
        <v>6</v>
      </c>
      <c r="O432" s="111">
        <v>1</v>
      </c>
      <c r="P432" s="113">
        <v>7</v>
      </c>
      <c r="Q432" s="113">
        <v>2</v>
      </c>
      <c r="R432" s="111">
        <v>8</v>
      </c>
      <c r="S432" s="111">
        <v>3</v>
      </c>
      <c r="T432" s="111">
        <v>9</v>
      </c>
      <c r="U432" s="111">
        <v>4</v>
      </c>
      <c r="V432" s="67"/>
    </row>
    <row r="433" spans="1:43" x14ac:dyDescent="0.25">
      <c r="A433" s="18"/>
      <c r="B433" s="87" t="s">
        <v>1</v>
      </c>
      <c r="C433" s="87" t="s">
        <v>2</v>
      </c>
      <c r="D433" s="88" t="s">
        <v>3</v>
      </c>
      <c r="E433" s="88" t="s">
        <v>4</v>
      </c>
      <c r="F433" s="87" t="s">
        <v>1</v>
      </c>
      <c r="G433" s="87" t="s">
        <v>2</v>
      </c>
      <c r="H433" s="88" t="s">
        <v>3</v>
      </c>
      <c r="I433" s="88" t="s">
        <v>4</v>
      </c>
      <c r="J433" s="87" t="s">
        <v>1</v>
      </c>
      <c r="K433" s="87" t="s">
        <v>2</v>
      </c>
      <c r="L433" s="88" t="s">
        <v>3</v>
      </c>
      <c r="M433" s="88" t="s">
        <v>4</v>
      </c>
      <c r="N433" s="87" t="s">
        <v>1</v>
      </c>
      <c r="O433" s="87" t="s">
        <v>2</v>
      </c>
      <c r="P433" s="88" t="s">
        <v>3</v>
      </c>
      <c r="Q433" s="88" t="s">
        <v>4</v>
      </c>
      <c r="R433" s="87" t="s">
        <v>1</v>
      </c>
      <c r="S433" s="87" t="s">
        <v>2</v>
      </c>
      <c r="T433" s="87" t="s">
        <v>3</v>
      </c>
      <c r="U433" s="87" t="s">
        <v>4</v>
      </c>
      <c r="V433" s="67"/>
    </row>
    <row r="434" spans="1:43" ht="15.75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68"/>
    </row>
    <row r="435" spans="1:43" ht="15.6" customHeight="1" x14ac:dyDescent="0.25">
      <c r="A435" s="5"/>
      <c r="B435" s="105"/>
      <c r="C435" s="106"/>
      <c r="D435" s="108"/>
      <c r="E435" s="106"/>
      <c r="F435" s="105"/>
      <c r="G435" s="106"/>
      <c r="H435" s="108"/>
      <c r="I435" s="106"/>
      <c r="J435" s="105"/>
      <c r="K435" s="106"/>
      <c r="L435" s="108"/>
      <c r="M435" s="106"/>
      <c r="N435" s="105"/>
      <c r="O435" s="106"/>
      <c r="P435" s="108"/>
      <c r="Q435" s="106"/>
      <c r="R435" s="86"/>
      <c r="S435" s="86"/>
      <c r="T435" s="86"/>
      <c r="U435" s="86"/>
      <c r="V435" s="27"/>
      <c r="W435" s="69"/>
      <c r="X435" s="109"/>
      <c r="Y435" s="109"/>
      <c r="Z435" s="109"/>
      <c r="AA435" s="109"/>
      <c r="AB435" s="109"/>
      <c r="AC435" s="109"/>
      <c r="AD435" s="109"/>
      <c r="AE435" s="109"/>
      <c r="AF435" s="109"/>
      <c r="AG435" s="109"/>
      <c r="AH435" s="109"/>
      <c r="AI435" s="109"/>
      <c r="AJ435" s="109"/>
      <c r="AK435" s="109"/>
      <c r="AL435" s="109"/>
      <c r="AM435" s="109"/>
      <c r="AN435" s="109"/>
      <c r="AO435" s="109"/>
      <c r="AP435" s="109"/>
      <c r="AQ435" s="109"/>
    </row>
    <row r="436" spans="1:43" ht="15.6" customHeight="1" thickBot="1" x14ac:dyDescent="0.3">
      <c r="A436" s="5"/>
      <c r="B436" s="10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  <c r="R436" s="110"/>
      <c r="S436" s="110"/>
      <c r="T436" s="110"/>
      <c r="U436" s="110"/>
      <c r="V436" s="27"/>
      <c r="W436" s="69"/>
      <c r="X436" s="109"/>
      <c r="Y436" s="109"/>
      <c r="Z436" s="109"/>
      <c r="AA436" s="109"/>
      <c r="AB436" s="109"/>
      <c r="AC436" s="109"/>
      <c r="AD436" s="109"/>
      <c r="AE436" s="109"/>
      <c r="AF436" s="109"/>
      <c r="AG436" s="109"/>
      <c r="AH436" s="109"/>
      <c r="AI436" s="109"/>
      <c r="AJ436" s="109"/>
      <c r="AK436" s="109"/>
      <c r="AL436" s="109"/>
      <c r="AM436" s="109"/>
      <c r="AN436" s="109"/>
      <c r="AO436" s="109"/>
      <c r="AP436" s="109"/>
      <c r="AQ436" s="109"/>
    </row>
    <row r="437" spans="1:43" x14ac:dyDescent="0.25">
      <c r="A437" s="5"/>
      <c r="B437" s="100"/>
      <c r="C437" s="101"/>
      <c r="D437" s="102"/>
      <c r="E437" s="103"/>
      <c r="F437" s="100"/>
      <c r="G437" s="101"/>
      <c r="H437" s="102"/>
      <c r="I437" s="103"/>
      <c r="J437" s="100"/>
      <c r="K437" s="101"/>
      <c r="L437" s="102"/>
      <c r="M437" s="103"/>
      <c r="N437" s="100"/>
      <c r="O437" s="101"/>
      <c r="P437" s="102"/>
      <c r="Q437" s="103"/>
      <c r="R437" s="86"/>
      <c r="S437" s="86"/>
      <c r="T437" s="86"/>
      <c r="U437" s="86"/>
      <c r="V437" s="27"/>
    </row>
    <row r="438" spans="1:43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</row>
    <row r="439" spans="1:43" x14ac:dyDescent="0.25">
      <c r="A439" s="5"/>
      <c r="B439" s="5"/>
      <c r="C439" s="5"/>
      <c r="D439" s="39"/>
      <c r="E439" s="89" t="s">
        <v>11</v>
      </c>
      <c r="F439" s="104" t="s">
        <v>12</v>
      </c>
      <c r="G439" s="104"/>
      <c r="H439" s="104"/>
      <c r="I439" s="104" t="s">
        <v>41</v>
      </c>
      <c r="J439" s="104"/>
      <c r="K439" s="5"/>
      <c r="L439" s="39"/>
      <c r="M439" s="39"/>
      <c r="N439" s="5"/>
      <c r="O439" s="86" t="s">
        <v>13</v>
      </c>
      <c r="P439" s="39" t="s">
        <v>14</v>
      </c>
      <c r="Q439" s="39"/>
      <c r="R439" s="5"/>
      <c r="S439" s="5" t="s">
        <v>43</v>
      </c>
      <c r="T439" s="5"/>
      <c r="U439" s="5"/>
      <c r="V439" s="5"/>
    </row>
    <row r="440" spans="1:43" x14ac:dyDescent="0.25">
      <c r="A440" s="5"/>
      <c r="B440" s="5"/>
      <c r="C440" s="5"/>
      <c r="D440" s="39"/>
      <c r="E440" s="89" t="s">
        <v>15</v>
      </c>
      <c r="F440" s="104" t="s">
        <v>16</v>
      </c>
      <c r="G440" s="104"/>
      <c r="H440" s="104"/>
      <c r="I440" s="39" t="s">
        <v>42</v>
      </c>
      <c r="J440" s="5"/>
      <c r="K440" s="5"/>
      <c r="L440" s="39"/>
      <c r="M440" s="39"/>
      <c r="N440" s="5"/>
      <c r="O440" s="86" t="s">
        <v>18</v>
      </c>
      <c r="P440" s="39" t="s">
        <v>14</v>
      </c>
      <c r="Q440" s="39"/>
      <c r="R440" s="5"/>
      <c r="S440" s="5" t="s">
        <v>17</v>
      </c>
      <c r="T440" s="5"/>
      <c r="U440" s="5"/>
      <c r="V440" s="5"/>
    </row>
    <row r="441" spans="1:43" x14ac:dyDescent="0.25">
      <c r="A441" s="65" t="s">
        <v>69</v>
      </c>
      <c r="B441" s="65"/>
      <c r="C441" s="65"/>
      <c r="D441" s="77"/>
      <c r="E441" s="78"/>
      <c r="F441" s="65"/>
      <c r="G441" s="65"/>
      <c r="H441" s="77"/>
      <c r="I441" s="77"/>
      <c r="J441" s="65"/>
      <c r="K441" s="65"/>
      <c r="L441" s="77"/>
      <c r="M441" s="77"/>
      <c r="N441" s="65"/>
      <c r="O441" s="65"/>
      <c r="P441" s="77"/>
      <c r="Q441" s="77"/>
      <c r="R441" s="65"/>
      <c r="S441" s="65"/>
      <c r="T441" s="65"/>
      <c r="U441" s="65"/>
      <c r="V441" s="65"/>
    </row>
    <row r="442" spans="1:43" ht="18.75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114" t="s">
        <v>68</v>
      </c>
      <c r="O442" s="115"/>
      <c r="P442" s="39"/>
      <c r="Q442" s="39"/>
      <c r="R442" s="5"/>
      <c r="S442" s="5"/>
      <c r="T442" s="5"/>
      <c r="U442" s="5"/>
      <c r="V442" s="5"/>
    </row>
    <row r="443" spans="1:43" ht="18.75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116" t="str">
        <f>N442&amp;".1"</f>
        <v>1.3.1</v>
      </c>
      <c r="O443" s="116"/>
      <c r="P443" s="39"/>
      <c r="Q443" s="39"/>
      <c r="R443" s="5"/>
      <c r="S443" s="5"/>
      <c r="T443" s="5"/>
      <c r="U443" s="5"/>
      <c r="V443" s="5"/>
    </row>
    <row r="444" spans="1:43" ht="18.75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v>1</v>
      </c>
      <c r="O444" s="5"/>
      <c r="P444" s="39"/>
      <c r="Q444" s="39"/>
      <c r="R444" s="5"/>
      <c r="S444" s="5"/>
      <c r="T444" s="5"/>
      <c r="U444" s="5"/>
      <c r="V444" s="5"/>
    </row>
    <row r="445" spans="1:43" ht="18.75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9</v>
      </c>
      <c r="N445" s="11" t="str">
        <f>"-"&amp;N443</f>
        <v>-1.3.1</v>
      </c>
      <c r="O445" s="12"/>
      <c r="P445" s="39"/>
      <c r="Q445" s="39"/>
      <c r="R445" s="5"/>
      <c r="S445" s="5"/>
      <c r="T445" s="5"/>
      <c r="U445" s="5"/>
      <c r="V445" s="5"/>
    </row>
    <row r="446" spans="1:43" ht="18.75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3">
        <v>23</v>
      </c>
      <c r="O446" s="5"/>
      <c r="P446" s="39"/>
      <c r="Q446" s="39"/>
      <c r="R446" s="5"/>
      <c r="S446" s="5"/>
      <c r="T446" s="5"/>
      <c r="U446" s="5"/>
      <c r="V446" s="5"/>
    </row>
    <row r="447" spans="1:43" ht="15.75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</row>
    <row r="448" spans="1:43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6"/>
    </row>
    <row r="449" spans="1:43" x14ac:dyDescent="0.25">
      <c r="A449" s="18"/>
      <c r="B449" s="87"/>
      <c r="C449" s="87"/>
      <c r="D449" s="117">
        <v>1</v>
      </c>
      <c r="E449" s="118"/>
      <c r="F449" s="87"/>
      <c r="G449" s="87"/>
      <c r="H449" s="117">
        <v>2</v>
      </c>
      <c r="I449" s="118"/>
      <c r="J449" s="87"/>
      <c r="K449" s="87"/>
      <c r="L449" s="117">
        <v>3</v>
      </c>
      <c r="M449" s="118"/>
      <c r="N449" s="87"/>
      <c r="O449" s="87"/>
      <c r="P449" s="117">
        <v>4</v>
      </c>
      <c r="Q449" s="118"/>
      <c r="R449" s="87"/>
      <c r="S449" s="87"/>
      <c r="T449" s="87"/>
      <c r="U449" s="87"/>
      <c r="V449" s="65"/>
    </row>
    <row r="450" spans="1:43" x14ac:dyDescent="0.25">
      <c r="A450" s="18"/>
      <c r="B450" s="111" t="s">
        <v>6</v>
      </c>
      <c r="C450" s="111"/>
      <c r="D450" s="117" t="s">
        <v>37</v>
      </c>
      <c r="E450" s="118" t="s">
        <v>0</v>
      </c>
      <c r="F450" s="111" t="s">
        <v>6</v>
      </c>
      <c r="G450" s="111"/>
      <c r="H450" s="117" t="s">
        <v>37</v>
      </c>
      <c r="I450" s="118"/>
      <c r="J450" s="111" t="s">
        <v>6</v>
      </c>
      <c r="K450" s="111"/>
      <c r="L450" s="117" t="s">
        <v>37</v>
      </c>
      <c r="M450" s="118"/>
      <c r="N450" s="111" t="s">
        <v>6</v>
      </c>
      <c r="O450" s="111"/>
      <c r="P450" s="117" t="s">
        <v>37</v>
      </c>
      <c r="Q450" s="118"/>
      <c r="R450" s="111"/>
      <c r="S450" s="111"/>
      <c r="T450" s="111"/>
      <c r="U450" s="111"/>
      <c r="V450" s="66"/>
    </row>
    <row r="451" spans="1:43" x14ac:dyDescent="0.25">
      <c r="A451" s="18"/>
      <c r="B451" s="110"/>
      <c r="C451" s="110"/>
      <c r="D451" s="112"/>
      <c r="E451" s="112"/>
      <c r="F451" s="110"/>
      <c r="G451" s="110"/>
      <c r="H451" s="112"/>
      <c r="I451" s="112"/>
      <c r="J451" s="110"/>
      <c r="K451" s="110"/>
      <c r="L451" s="112"/>
      <c r="M451" s="112"/>
      <c r="N451" s="110"/>
      <c r="O451" s="110"/>
      <c r="P451" s="112"/>
      <c r="Q451" s="112"/>
      <c r="R451" s="110"/>
      <c r="S451" s="110"/>
      <c r="T451" s="110"/>
      <c r="U451" s="110"/>
      <c r="V451" s="66"/>
    </row>
    <row r="452" spans="1:43" x14ac:dyDescent="0.25">
      <c r="A452" s="18"/>
      <c r="B452" s="111">
        <v>0</v>
      </c>
      <c r="C452" s="111"/>
      <c r="D452" s="113">
        <v>1</v>
      </c>
      <c r="E452" s="113">
        <v>1</v>
      </c>
      <c r="F452" s="111">
        <v>2</v>
      </c>
      <c r="G452" s="111">
        <v>2</v>
      </c>
      <c r="H452" s="113">
        <v>3</v>
      </c>
      <c r="I452" s="113">
        <v>3</v>
      </c>
      <c r="J452" s="111">
        <v>4</v>
      </c>
      <c r="K452" s="111">
        <v>4</v>
      </c>
      <c r="L452" s="113">
        <v>5</v>
      </c>
      <c r="M452" s="113"/>
      <c r="N452" s="111">
        <v>6</v>
      </c>
      <c r="O452" s="111">
        <v>1</v>
      </c>
      <c r="P452" s="113">
        <v>7</v>
      </c>
      <c r="Q452" s="113">
        <v>2</v>
      </c>
      <c r="R452" s="111">
        <v>8</v>
      </c>
      <c r="S452" s="111">
        <v>3</v>
      </c>
      <c r="T452" s="111">
        <v>9</v>
      </c>
      <c r="U452" s="111">
        <v>4</v>
      </c>
      <c r="V452" s="67"/>
    </row>
    <row r="453" spans="1:43" x14ac:dyDescent="0.25">
      <c r="A453" s="18"/>
      <c r="B453" s="87" t="s">
        <v>1</v>
      </c>
      <c r="C453" s="87" t="s">
        <v>2</v>
      </c>
      <c r="D453" s="88" t="s">
        <v>3</v>
      </c>
      <c r="E453" s="88" t="s">
        <v>4</v>
      </c>
      <c r="F453" s="87" t="s">
        <v>1</v>
      </c>
      <c r="G453" s="87" t="s">
        <v>2</v>
      </c>
      <c r="H453" s="88" t="s">
        <v>3</v>
      </c>
      <c r="I453" s="88" t="s">
        <v>4</v>
      </c>
      <c r="J453" s="87" t="s">
        <v>1</v>
      </c>
      <c r="K453" s="87" t="s">
        <v>2</v>
      </c>
      <c r="L453" s="88" t="s">
        <v>3</v>
      </c>
      <c r="M453" s="88" t="s">
        <v>4</v>
      </c>
      <c r="N453" s="87" t="s">
        <v>1</v>
      </c>
      <c r="O453" s="87" t="s">
        <v>2</v>
      </c>
      <c r="P453" s="88" t="s">
        <v>3</v>
      </c>
      <c r="Q453" s="88" t="s">
        <v>4</v>
      </c>
      <c r="R453" s="87" t="s">
        <v>1</v>
      </c>
      <c r="S453" s="87" t="s">
        <v>2</v>
      </c>
      <c r="T453" s="87" t="s">
        <v>3</v>
      </c>
      <c r="U453" s="87" t="s">
        <v>4</v>
      </c>
      <c r="V453" s="67"/>
    </row>
    <row r="454" spans="1:43" ht="15.75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68"/>
    </row>
    <row r="455" spans="1:43" ht="15.6" customHeight="1" x14ac:dyDescent="0.25">
      <c r="A455" s="5"/>
      <c r="B455" s="105"/>
      <c r="C455" s="106"/>
      <c r="D455" s="108"/>
      <c r="E455" s="106"/>
      <c r="F455" s="105"/>
      <c r="G455" s="106"/>
      <c r="H455" s="108"/>
      <c r="I455" s="106"/>
      <c r="J455" s="105"/>
      <c r="K455" s="106"/>
      <c r="L455" s="108"/>
      <c r="M455" s="106"/>
      <c r="N455" s="105"/>
      <c r="O455" s="106"/>
      <c r="P455" s="108"/>
      <c r="Q455" s="106"/>
      <c r="R455" s="86"/>
      <c r="S455" s="86"/>
      <c r="T455" s="86"/>
      <c r="U455" s="86"/>
      <c r="V455" s="27"/>
      <c r="W455" s="69"/>
      <c r="X455" s="109"/>
      <c r="Y455" s="109"/>
      <c r="Z455" s="109"/>
      <c r="AA455" s="109"/>
      <c r="AB455" s="109"/>
      <c r="AC455" s="109"/>
      <c r="AD455" s="109"/>
      <c r="AE455" s="109"/>
      <c r="AF455" s="109"/>
      <c r="AG455" s="109"/>
      <c r="AH455" s="109"/>
      <c r="AI455" s="109"/>
      <c r="AJ455" s="109"/>
      <c r="AK455" s="109"/>
      <c r="AL455" s="109"/>
      <c r="AM455" s="109"/>
      <c r="AN455" s="109"/>
      <c r="AO455" s="109"/>
      <c r="AP455" s="109"/>
      <c r="AQ455" s="109"/>
    </row>
    <row r="456" spans="1:43" ht="15.6" customHeight="1" thickBot="1" x14ac:dyDescent="0.3">
      <c r="A456" s="5"/>
      <c r="B456" s="10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  <c r="R456" s="110"/>
      <c r="S456" s="110"/>
      <c r="T456" s="110"/>
      <c r="U456" s="110"/>
      <c r="V456" s="27"/>
      <c r="W456" s="69"/>
      <c r="X456" s="109"/>
      <c r="Y456" s="109"/>
      <c r="Z456" s="109"/>
      <c r="AA456" s="109"/>
      <c r="AB456" s="109"/>
      <c r="AC456" s="109"/>
      <c r="AD456" s="109"/>
      <c r="AE456" s="109"/>
      <c r="AF456" s="109"/>
      <c r="AG456" s="109"/>
      <c r="AH456" s="109"/>
      <c r="AI456" s="109"/>
      <c r="AJ456" s="109"/>
      <c r="AK456" s="109"/>
      <c r="AL456" s="109"/>
      <c r="AM456" s="109"/>
      <c r="AN456" s="109"/>
      <c r="AO456" s="109"/>
      <c r="AP456" s="109"/>
      <c r="AQ456" s="109"/>
    </row>
    <row r="457" spans="1:43" x14ac:dyDescent="0.25">
      <c r="A457" s="5"/>
      <c r="B457" s="100"/>
      <c r="C457" s="101"/>
      <c r="D457" s="102"/>
      <c r="E457" s="103"/>
      <c r="F457" s="100"/>
      <c r="G457" s="101"/>
      <c r="H457" s="102"/>
      <c r="I457" s="103"/>
      <c r="J457" s="100"/>
      <c r="K457" s="101"/>
      <c r="L457" s="102"/>
      <c r="M457" s="103"/>
      <c r="N457" s="100"/>
      <c r="O457" s="101"/>
      <c r="P457" s="102"/>
      <c r="Q457" s="103"/>
      <c r="R457" s="86"/>
      <c r="S457" s="86"/>
      <c r="T457" s="86"/>
      <c r="U457" s="86"/>
      <c r="V457" s="27"/>
    </row>
    <row r="458" spans="1:43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</row>
    <row r="459" spans="1:43" x14ac:dyDescent="0.25">
      <c r="A459" s="5"/>
      <c r="B459" s="5"/>
      <c r="C459" s="5"/>
      <c r="D459" s="39"/>
      <c r="E459" s="89" t="s">
        <v>11</v>
      </c>
      <c r="F459" s="104" t="s">
        <v>12</v>
      </c>
      <c r="G459" s="104"/>
      <c r="H459" s="104"/>
      <c r="I459" s="104" t="s">
        <v>41</v>
      </c>
      <c r="J459" s="104"/>
      <c r="K459" s="5"/>
      <c r="L459" s="39"/>
      <c r="M459" s="39"/>
      <c r="N459" s="5"/>
      <c r="O459" s="86" t="s">
        <v>13</v>
      </c>
      <c r="P459" s="39" t="s">
        <v>14</v>
      </c>
      <c r="Q459" s="39"/>
      <c r="R459" s="5"/>
      <c r="S459" s="5" t="s">
        <v>43</v>
      </c>
      <c r="T459" s="5"/>
      <c r="U459" s="5"/>
      <c r="V459" s="5"/>
    </row>
    <row r="460" spans="1:43" x14ac:dyDescent="0.25">
      <c r="A460" s="5"/>
      <c r="B460" s="5"/>
      <c r="C460" s="5"/>
      <c r="D460" s="39"/>
      <c r="E460" s="89" t="s">
        <v>15</v>
      </c>
      <c r="F460" s="104" t="s">
        <v>16</v>
      </c>
      <c r="G460" s="104"/>
      <c r="H460" s="104"/>
      <c r="I460" s="39" t="s">
        <v>42</v>
      </c>
      <c r="J460" s="5"/>
      <c r="K460" s="5"/>
      <c r="L460" s="39"/>
      <c r="M460" s="39"/>
      <c r="N460" s="5"/>
      <c r="O460" s="86" t="s">
        <v>18</v>
      </c>
      <c r="P460" s="39" t="s">
        <v>14</v>
      </c>
      <c r="Q460" s="39"/>
      <c r="R460" s="5"/>
      <c r="S460" s="5" t="s">
        <v>17</v>
      </c>
      <c r="T460" s="5"/>
      <c r="U460" s="5"/>
      <c r="V460" s="5"/>
    </row>
    <row r="461" spans="1:43" x14ac:dyDescent="0.25">
      <c r="A461" s="65" t="s">
        <v>69</v>
      </c>
      <c r="B461" s="65"/>
      <c r="C461" s="65"/>
      <c r="D461" s="77"/>
      <c r="E461" s="78"/>
      <c r="F461" s="65"/>
      <c r="G461" s="65"/>
      <c r="H461" s="77"/>
      <c r="I461" s="77"/>
      <c r="J461" s="65"/>
      <c r="K461" s="65"/>
      <c r="L461" s="77"/>
      <c r="M461" s="77"/>
      <c r="N461" s="65"/>
      <c r="O461" s="65"/>
      <c r="P461" s="77"/>
      <c r="Q461" s="77"/>
      <c r="R461" s="65"/>
      <c r="S461" s="65"/>
      <c r="T461" s="65"/>
      <c r="U461" s="65"/>
      <c r="V461" s="65"/>
    </row>
    <row r="462" spans="1:43" ht="18.75" x14ac:dyDescent="0.3">
      <c r="A462" s="5"/>
      <c r="B462" s="5"/>
      <c r="C462" s="5"/>
      <c r="D462" s="39"/>
      <c r="E462" s="40" t="s">
        <v>7</v>
      </c>
      <c r="F462" s="5"/>
      <c r="G462" s="7"/>
      <c r="H462" s="51"/>
      <c r="I462" s="51"/>
      <c r="J462" s="7"/>
      <c r="K462" s="7"/>
      <c r="L462" s="51"/>
      <c r="M462" s="52" t="s">
        <v>8</v>
      </c>
      <c r="N462" s="114" t="s">
        <v>68</v>
      </c>
      <c r="O462" s="115"/>
      <c r="P462" s="39"/>
      <c r="Q462" s="39"/>
      <c r="R462" s="5"/>
      <c r="S462" s="5"/>
      <c r="T462" s="5"/>
      <c r="U462" s="5"/>
      <c r="V462" s="5"/>
    </row>
    <row r="463" spans="1:43" ht="18.75" x14ac:dyDescent="0.3">
      <c r="A463" s="5"/>
      <c r="B463" s="5"/>
      <c r="C463" s="5"/>
      <c r="D463" s="39"/>
      <c r="E463" s="40" t="s">
        <v>35</v>
      </c>
      <c r="F463" s="5"/>
      <c r="G463" s="5"/>
      <c r="H463" s="39"/>
      <c r="I463" s="39"/>
      <c r="J463" s="9"/>
      <c r="K463" s="9"/>
      <c r="L463" s="53"/>
      <c r="M463" s="52" t="s">
        <v>9</v>
      </c>
      <c r="N463" s="116" t="str">
        <f>N462&amp;".1"</f>
        <v>1.3.1</v>
      </c>
      <c r="O463" s="116"/>
      <c r="P463" s="39"/>
      <c r="Q463" s="39"/>
      <c r="R463" s="5"/>
      <c r="S463" s="5"/>
      <c r="T463" s="5"/>
      <c r="U463" s="5"/>
      <c r="V463" s="5"/>
    </row>
    <row r="464" spans="1:43" ht="18.75" x14ac:dyDescent="0.3">
      <c r="A464" s="5"/>
      <c r="B464" s="5"/>
      <c r="C464" s="5"/>
      <c r="D464" s="39"/>
      <c r="E464" s="39" t="s">
        <v>36</v>
      </c>
      <c r="F464" s="5"/>
      <c r="G464" s="5"/>
      <c r="H464" s="51"/>
      <c r="I464" s="51"/>
      <c r="J464" s="7"/>
      <c r="K464" s="7"/>
      <c r="L464" s="51"/>
      <c r="M464" s="54" t="s">
        <v>9</v>
      </c>
      <c r="N464" s="11">
        <v>1</v>
      </c>
      <c r="O464" s="5"/>
      <c r="P464" s="39"/>
      <c r="Q464" s="39"/>
      <c r="R464" s="5"/>
      <c r="S464" s="5"/>
      <c r="T464" s="5"/>
      <c r="U464" s="5"/>
      <c r="V464" s="5"/>
    </row>
    <row r="465" spans="1:43" ht="18.75" x14ac:dyDescent="0.3">
      <c r="A465" s="5"/>
      <c r="B465" s="5"/>
      <c r="C465" s="5"/>
      <c r="D465" s="39"/>
      <c r="E465" s="39" t="s">
        <v>5</v>
      </c>
      <c r="F465" s="5"/>
      <c r="G465" s="5"/>
      <c r="H465" s="39"/>
      <c r="I465" s="39"/>
      <c r="J465" s="5"/>
      <c r="K465" s="5"/>
      <c r="L465" s="53"/>
      <c r="M465" s="54" t="s">
        <v>9</v>
      </c>
      <c r="N465" s="11" t="str">
        <f>"-"&amp;N463</f>
        <v>-1.3.1</v>
      </c>
      <c r="O465" s="12"/>
      <c r="P465" s="39"/>
      <c r="Q465" s="39"/>
      <c r="R465" s="5"/>
      <c r="S465" s="5"/>
      <c r="T465" s="5"/>
      <c r="U465" s="5"/>
      <c r="V465" s="5"/>
    </row>
    <row r="466" spans="1:43" ht="18.75" x14ac:dyDescent="0.3">
      <c r="A466" s="5"/>
      <c r="B466" s="5"/>
      <c r="C466" s="5"/>
      <c r="D466" s="39"/>
      <c r="E466" s="41" t="s">
        <v>10</v>
      </c>
      <c r="F466" s="5"/>
      <c r="G466" s="5"/>
      <c r="H466" s="39"/>
      <c r="I466" s="51"/>
      <c r="J466" s="7"/>
      <c r="K466" s="7"/>
      <c r="L466" s="51"/>
      <c r="M466" s="54" t="s">
        <v>9</v>
      </c>
      <c r="N466" s="3">
        <v>24</v>
      </c>
      <c r="O466" s="5"/>
      <c r="P466" s="39"/>
      <c r="Q466" s="39"/>
      <c r="R466" s="5"/>
      <c r="S466" s="5"/>
      <c r="T466" s="5"/>
      <c r="U466" s="5"/>
      <c r="V466" s="5"/>
    </row>
    <row r="467" spans="1:43" ht="15.75" thickBot="1" x14ac:dyDescent="0.3">
      <c r="A467" s="5"/>
      <c r="B467" s="5"/>
      <c r="C467" s="5"/>
      <c r="D467" s="39"/>
      <c r="E467" s="39"/>
      <c r="F467" s="5"/>
      <c r="G467" s="5"/>
      <c r="H467" s="39"/>
      <c r="I467" s="39"/>
      <c r="J467" s="5"/>
      <c r="K467" s="5"/>
      <c r="L467" s="39"/>
      <c r="M467" s="39"/>
      <c r="N467" s="5"/>
      <c r="O467" s="5"/>
      <c r="P467" s="39"/>
      <c r="Q467" s="39"/>
      <c r="R467" s="5"/>
      <c r="S467" s="5"/>
      <c r="T467" s="5"/>
      <c r="U467" s="5"/>
      <c r="V467" s="5"/>
    </row>
    <row r="468" spans="1:43" x14ac:dyDescent="0.25">
      <c r="A468" s="15"/>
      <c r="B468" s="16"/>
      <c r="C468" s="16"/>
      <c r="D468" s="42"/>
      <c r="E468" s="42"/>
      <c r="F468" s="16"/>
      <c r="G468" s="16"/>
      <c r="H468" s="42"/>
      <c r="I468" s="42"/>
      <c r="J468" s="16"/>
      <c r="K468" s="16"/>
      <c r="L468" s="42"/>
      <c r="M468" s="42"/>
      <c r="N468" s="16"/>
      <c r="O468" s="16"/>
      <c r="P468" s="42"/>
      <c r="Q468" s="42"/>
      <c r="R468" s="16"/>
      <c r="S468" s="16"/>
      <c r="T468" s="16"/>
      <c r="U468" s="16"/>
      <c r="V468" s="16"/>
    </row>
    <row r="469" spans="1:43" x14ac:dyDescent="0.25">
      <c r="A469" s="18"/>
      <c r="B469" s="87"/>
      <c r="C469" s="87"/>
      <c r="D469" s="117">
        <v>1</v>
      </c>
      <c r="E469" s="118"/>
      <c r="F469" s="87"/>
      <c r="G469" s="87"/>
      <c r="H469" s="117">
        <v>2</v>
      </c>
      <c r="I469" s="118"/>
      <c r="J469" s="87"/>
      <c r="K469" s="87"/>
      <c r="L469" s="117">
        <v>3</v>
      </c>
      <c r="M469" s="118"/>
      <c r="N469" s="87"/>
      <c r="O469" s="87"/>
      <c r="P469" s="117">
        <v>4</v>
      </c>
      <c r="Q469" s="118"/>
      <c r="R469" s="87"/>
      <c r="S469" s="87"/>
      <c r="T469" s="87"/>
      <c r="U469" s="87"/>
      <c r="V469" s="65"/>
    </row>
    <row r="470" spans="1:43" x14ac:dyDescent="0.25">
      <c r="A470" s="18"/>
      <c r="B470" s="111" t="s">
        <v>6</v>
      </c>
      <c r="C470" s="111"/>
      <c r="D470" s="117" t="s">
        <v>37</v>
      </c>
      <c r="E470" s="118" t="s">
        <v>0</v>
      </c>
      <c r="F470" s="111" t="s">
        <v>6</v>
      </c>
      <c r="G470" s="111"/>
      <c r="H470" s="117" t="s">
        <v>37</v>
      </c>
      <c r="I470" s="118"/>
      <c r="J470" s="111" t="s">
        <v>6</v>
      </c>
      <c r="K470" s="111"/>
      <c r="L470" s="117" t="s">
        <v>37</v>
      </c>
      <c r="M470" s="118"/>
      <c r="N470" s="111" t="s">
        <v>6</v>
      </c>
      <c r="O470" s="111"/>
      <c r="P470" s="117" t="s">
        <v>37</v>
      </c>
      <c r="Q470" s="118"/>
      <c r="R470" s="111"/>
      <c r="S470" s="111"/>
      <c r="T470" s="111"/>
      <c r="U470" s="111"/>
      <c r="V470" s="66"/>
    </row>
    <row r="471" spans="1:43" x14ac:dyDescent="0.25">
      <c r="A471" s="18"/>
      <c r="B471" s="110"/>
      <c r="C471" s="110"/>
      <c r="D471" s="112"/>
      <c r="E471" s="112"/>
      <c r="F471" s="110"/>
      <c r="G471" s="110"/>
      <c r="H471" s="112"/>
      <c r="I471" s="112"/>
      <c r="J471" s="110"/>
      <c r="K471" s="110"/>
      <c r="L471" s="112"/>
      <c r="M471" s="112"/>
      <c r="N471" s="110"/>
      <c r="O471" s="110"/>
      <c r="P471" s="112"/>
      <c r="Q471" s="112"/>
      <c r="R471" s="110"/>
      <c r="S471" s="110"/>
      <c r="T471" s="110"/>
      <c r="U471" s="110"/>
      <c r="V471" s="66"/>
    </row>
    <row r="472" spans="1:43" x14ac:dyDescent="0.25">
      <c r="A472" s="18"/>
      <c r="B472" s="111">
        <v>0</v>
      </c>
      <c r="C472" s="111"/>
      <c r="D472" s="113">
        <v>1</v>
      </c>
      <c r="E472" s="113">
        <v>1</v>
      </c>
      <c r="F472" s="111">
        <v>2</v>
      </c>
      <c r="G472" s="111">
        <v>2</v>
      </c>
      <c r="H472" s="113">
        <v>3</v>
      </c>
      <c r="I472" s="113">
        <v>3</v>
      </c>
      <c r="J472" s="111">
        <v>4</v>
      </c>
      <c r="K472" s="111">
        <v>4</v>
      </c>
      <c r="L472" s="113">
        <v>5</v>
      </c>
      <c r="M472" s="113"/>
      <c r="N472" s="111">
        <v>6</v>
      </c>
      <c r="O472" s="111">
        <v>1</v>
      </c>
      <c r="P472" s="113">
        <v>7</v>
      </c>
      <c r="Q472" s="113">
        <v>2</v>
      </c>
      <c r="R472" s="111">
        <v>8</v>
      </c>
      <c r="S472" s="111">
        <v>3</v>
      </c>
      <c r="T472" s="111">
        <v>9</v>
      </c>
      <c r="U472" s="111">
        <v>4</v>
      </c>
      <c r="V472" s="67"/>
    </row>
    <row r="473" spans="1:43" x14ac:dyDescent="0.25">
      <c r="A473" s="18"/>
      <c r="B473" s="87" t="s">
        <v>1</v>
      </c>
      <c r="C473" s="87" t="s">
        <v>2</v>
      </c>
      <c r="D473" s="88" t="s">
        <v>3</v>
      </c>
      <c r="E473" s="88" t="s">
        <v>4</v>
      </c>
      <c r="F473" s="87" t="s">
        <v>1</v>
      </c>
      <c r="G473" s="87" t="s">
        <v>2</v>
      </c>
      <c r="H473" s="88" t="s">
        <v>3</v>
      </c>
      <c r="I473" s="88" t="s">
        <v>4</v>
      </c>
      <c r="J473" s="87" t="s">
        <v>1</v>
      </c>
      <c r="K473" s="87" t="s">
        <v>2</v>
      </c>
      <c r="L473" s="88" t="s">
        <v>3</v>
      </c>
      <c r="M473" s="88" t="s">
        <v>4</v>
      </c>
      <c r="N473" s="87" t="s">
        <v>1</v>
      </c>
      <c r="O473" s="87" t="s">
        <v>2</v>
      </c>
      <c r="P473" s="88" t="s">
        <v>3</v>
      </c>
      <c r="Q473" s="88" t="s">
        <v>4</v>
      </c>
      <c r="R473" s="87" t="s">
        <v>1</v>
      </c>
      <c r="S473" s="87" t="s">
        <v>2</v>
      </c>
      <c r="T473" s="87" t="s">
        <v>3</v>
      </c>
      <c r="U473" s="87" t="s">
        <v>4</v>
      </c>
      <c r="V473" s="67"/>
    </row>
    <row r="474" spans="1:43" ht="15.75" thickBot="1" x14ac:dyDescent="0.3">
      <c r="A474" s="24"/>
      <c r="B474" s="25"/>
      <c r="C474" s="25"/>
      <c r="D474" s="44"/>
      <c r="E474" s="45"/>
      <c r="F474" s="25"/>
      <c r="G474" s="25"/>
      <c r="H474" s="44"/>
      <c r="I474" s="45"/>
      <c r="J474" s="25"/>
      <c r="K474" s="25"/>
      <c r="L474" s="44"/>
      <c r="M474" s="45"/>
      <c r="N474" s="25"/>
      <c r="O474" s="25"/>
      <c r="P474" s="44"/>
      <c r="Q474" s="45"/>
      <c r="R474" s="25"/>
      <c r="S474" s="25"/>
      <c r="T474" s="25"/>
      <c r="U474" s="25"/>
      <c r="V474" s="68"/>
    </row>
    <row r="475" spans="1:43" ht="15.6" customHeight="1" x14ac:dyDescent="0.25">
      <c r="A475" s="5"/>
      <c r="B475" s="105"/>
      <c r="C475" s="106"/>
      <c r="D475" s="108"/>
      <c r="E475" s="106"/>
      <c r="F475" s="105"/>
      <c r="G475" s="106"/>
      <c r="H475" s="108"/>
      <c r="I475" s="106"/>
      <c r="J475" s="105"/>
      <c r="K475" s="106"/>
      <c r="L475" s="108"/>
      <c r="M475" s="106"/>
      <c r="N475" s="105"/>
      <c r="O475" s="106"/>
      <c r="P475" s="108"/>
      <c r="Q475" s="106"/>
      <c r="R475" s="86"/>
      <c r="S475" s="86"/>
      <c r="T475" s="86"/>
      <c r="U475" s="86"/>
      <c r="V475" s="27"/>
      <c r="W475" s="69"/>
      <c r="X475" s="109"/>
      <c r="Y475" s="109"/>
      <c r="Z475" s="109"/>
      <c r="AA475" s="109"/>
      <c r="AB475" s="109"/>
      <c r="AC475" s="109"/>
      <c r="AD475" s="109"/>
      <c r="AE475" s="109"/>
      <c r="AF475" s="109"/>
      <c r="AG475" s="109"/>
      <c r="AH475" s="109"/>
      <c r="AI475" s="109"/>
      <c r="AJ475" s="109"/>
      <c r="AK475" s="109"/>
      <c r="AL475" s="109"/>
      <c r="AM475" s="109"/>
      <c r="AN475" s="109"/>
      <c r="AO475" s="109"/>
      <c r="AP475" s="109"/>
      <c r="AQ475" s="109"/>
    </row>
    <row r="476" spans="1:43" ht="15.6" customHeight="1" thickBot="1" x14ac:dyDescent="0.3">
      <c r="A476" s="5"/>
      <c r="B476" s="10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7"/>
      <c r="R476" s="110"/>
      <c r="S476" s="110"/>
      <c r="T476" s="110"/>
      <c r="U476" s="110"/>
      <c r="V476" s="27"/>
      <c r="W476" s="69"/>
      <c r="X476" s="109"/>
      <c r="Y476" s="109"/>
      <c r="Z476" s="109"/>
      <c r="AA476" s="109"/>
      <c r="AB476" s="109"/>
      <c r="AC476" s="109"/>
      <c r="AD476" s="109"/>
      <c r="AE476" s="109"/>
      <c r="AF476" s="109"/>
      <c r="AG476" s="109"/>
      <c r="AH476" s="109"/>
      <c r="AI476" s="109"/>
      <c r="AJ476" s="109"/>
      <c r="AK476" s="109"/>
      <c r="AL476" s="109"/>
      <c r="AM476" s="109"/>
      <c r="AN476" s="109"/>
      <c r="AO476" s="109"/>
      <c r="AP476" s="109"/>
      <c r="AQ476" s="109"/>
    </row>
    <row r="477" spans="1:43" x14ac:dyDescent="0.25">
      <c r="A477" s="5"/>
      <c r="B477" s="100"/>
      <c r="C477" s="101"/>
      <c r="D477" s="102"/>
      <c r="E477" s="103"/>
      <c r="F477" s="100"/>
      <c r="G477" s="101"/>
      <c r="H477" s="102"/>
      <c r="I477" s="103"/>
      <c r="J477" s="100"/>
      <c r="K477" s="101"/>
      <c r="L477" s="102"/>
      <c r="M477" s="103"/>
      <c r="N477" s="100"/>
      <c r="O477" s="101"/>
      <c r="P477" s="102"/>
      <c r="Q477" s="103"/>
      <c r="R477" s="86"/>
      <c r="S477" s="86"/>
      <c r="T477" s="86"/>
      <c r="U477" s="86"/>
      <c r="V477" s="27"/>
    </row>
    <row r="478" spans="1:43" x14ac:dyDescent="0.25">
      <c r="A478" s="5"/>
      <c r="B478" s="5"/>
      <c r="C478" s="5"/>
      <c r="D478" s="39"/>
      <c r="E478" s="39"/>
      <c r="F478" s="5"/>
      <c r="G478" s="5"/>
      <c r="H478" s="39"/>
      <c r="I478" s="39"/>
      <c r="J478" s="5"/>
      <c r="K478" s="5"/>
      <c r="L478" s="39"/>
      <c r="M478" s="39"/>
      <c r="N478" s="5"/>
      <c r="O478" s="5"/>
      <c r="P478" s="39"/>
      <c r="Q478" s="39"/>
      <c r="R478" s="5"/>
      <c r="S478" s="5"/>
      <c r="T478" s="5"/>
      <c r="U478" s="5"/>
      <c r="V478" s="5"/>
    </row>
    <row r="479" spans="1:43" x14ac:dyDescent="0.25">
      <c r="A479" s="5"/>
      <c r="B479" s="5"/>
      <c r="C479" s="5"/>
      <c r="D479" s="39"/>
      <c r="E479" s="89" t="s">
        <v>11</v>
      </c>
      <c r="F479" s="104" t="s">
        <v>12</v>
      </c>
      <c r="G479" s="104"/>
      <c r="H479" s="104"/>
      <c r="I479" s="104" t="s">
        <v>41</v>
      </c>
      <c r="J479" s="104"/>
      <c r="K479" s="5"/>
      <c r="L479" s="39"/>
      <c r="M479" s="39"/>
      <c r="N479" s="5"/>
      <c r="O479" s="86" t="s">
        <v>13</v>
      </c>
      <c r="P479" s="39" t="s">
        <v>14</v>
      </c>
      <c r="Q479" s="39"/>
      <c r="R479" s="5"/>
      <c r="S479" s="5" t="s">
        <v>43</v>
      </c>
      <c r="T479" s="5"/>
      <c r="U479" s="5"/>
      <c r="V479" s="5"/>
    </row>
    <row r="480" spans="1:43" x14ac:dyDescent="0.25">
      <c r="A480" s="5"/>
      <c r="B480" s="5"/>
      <c r="C480" s="5"/>
      <c r="D480" s="39"/>
      <c r="E480" s="89" t="s">
        <v>15</v>
      </c>
      <c r="F480" s="104" t="s">
        <v>16</v>
      </c>
      <c r="G480" s="104"/>
      <c r="H480" s="104"/>
      <c r="I480" s="39" t="s">
        <v>42</v>
      </c>
      <c r="J480" s="5"/>
      <c r="K480" s="5"/>
      <c r="L480" s="39"/>
      <c r="M480" s="39"/>
      <c r="N480" s="5"/>
      <c r="O480" s="86" t="s">
        <v>18</v>
      </c>
      <c r="P480" s="39" t="s">
        <v>14</v>
      </c>
      <c r="Q480" s="39"/>
      <c r="R480" s="5"/>
      <c r="S480" s="5" t="s">
        <v>17</v>
      </c>
      <c r="T480" s="5"/>
      <c r="U480" s="5"/>
      <c r="V480" s="5"/>
    </row>
    <row r="481" spans="1:43" x14ac:dyDescent="0.25">
      <c r="A481" s="65" t="s">
        <v>69</v>
      </c>
      <c r="B481" s="65"/>
      <c r="C481" s="65"/>
      <c r="D481" s="77"/>
      <c r="E481" s="78"/>
      <c r="F481" s="65"/>
      <c r="G481" s="65"/>
      <c r="H481" s="77"/>
      <c r="I481" s="77"/>
      <c r="J481" s="65"/>
      <c r="K481" s="65"/>
      <c r="L481" s="77"/>
      <c r="M481" s="77"/>
      <c r="N481" s="65"/>
      <c r="O481" s="65"/>
      <c r="P481" s="77"/>
      <c r="Q481" s="77"/>
      <c r="R481" s="65"/>
      <c r="S481" s="65"/>
      <c r="T481" s="65"/>
      <c r="U481" s="65"/>
      <c r="V481" s="65"/>
    </row>
    <row r="482" spans="1:43" ht="18.75" x14ac:dyDescent="0.3">
      <c r="A482" s="5"/>
      <c r="B482" s="5"/>
      <c r="C482" s="5"/>
      <c r="D482" s="39"/>
      <c r="E482" s="40" t="s">
        <v>7</v>
      </c>
      <c r="F482" s="5"/>
      <c r="G482" s="7"/>
      <c r="H482" s="51"/>
      <c r="I482" s="51"/>
      <c r="J482" s="7"/>
      <c r="K482" s="7"/>
      <c r="L482" s="51"/>
      <c r="M482" s="52" t="s">
        <v>8</v>
      </c>
      <c r="N482" s="114" t="s">
        <v>68</v>
      </c>
      <c r="O482" s="115"/>
      <c r="P482" s="39"/>
      <c r="Q482" s="39"/>
      <c r="R482" s="5"/>
      <c r="S482" s="5"/>
      <c r="T482" s="5"/>
      <c r="U482" s="5"/>
      <c r="V482" s="5"/>
    </row>
    <row r="483" spans="1:43" ht="18.75" x14ac:dyDescent="0.3">
      <c r="A483" s="5"/>
      <c r="B483" s="5"/>
      <c r="C483" s="5"/>
      <c r="D483" s="39"/>
      <c r="E483" s="40" t="s">
        <v>35</v>
      </c>
      <c r="F483" s="5"/>
      <c r="G483" s="5"/>
      <c r="H483" s="39"/>
      <c r="I483" s="39"/>
      <c r="J483" s="9"/>
      <c r="K483" s="9"/>
      <c r="L483" s="53"/>
      <c r="M483" s="52" t="s">
        <v>9</v>
      </c>
      <c r="N483" s="116" t="str">
        <f>N482&amp;".1"</f>
        <v>1.3.1</v>
      </c>
      <c r="O483" s="116"/>
      <c r="P483" s="39"/>
      <c r="Q483" s="39"/>
      <c r="R483" s="5"/>
      <c r="S483" s="5"/>
      <c r="T483" s="5"/>
      <c r="U483" s="5"/>
      <c r="V483" s="5"/>
    </row>
    <row r="484" spans="1:43" ht="18.75" x14ac:dyDescent="0.3">
      <c r="A484" s="5"/>
      <c r="B484" s="5"/>
      <c r="C484" s="5"/>
      <c r="D484" s="39"/>
      <c r="E484" s="39" t="s">
        <v>36</v>
      </c>
      <c r="F484" s="5"/>
      <c r="G484" s="5"/>
      <c r="H484" s="51"/>
      <c r="I484" s="51"/>
      <c r="J484" s="7"/>
      <c r="K484" s="7"/>
      <c r="L484" s="51"/>
      <c r="M484" s="54" t="s">
        <v>9</v>
      </c>
      <c r="N484" s="11">
        <v>1</v>
      </c>
      <c r="O484" s="5"/>
      <c r="P484" s="39"/>
      <c r="Q484" s="39"/>
      <c r="R484" s="5"/>
      <c r="S484" s="5"/>
      <c r="T484" s="5"/>
      <c r="U484" s="5"/>
      <c r="V484" s="5"/>
    </row>
    <row r="485" spans="1:43" ht="18.75" x14ac:dyDescent="0.3">
      <c r="A485" s="5"/>
      <c r="B485" s="5"/>
      <c r="C485" s="5"/>
      <c r="D485" s="39"/>
      <c r="E485" s="39" t="s">
        <v>5</v>
      </c>
      <c r="F485" s="5"/>
      <c r="G485" s="5"/>
      <c r="H485" s="39"/>
      <c r="I485" s="39"/>
      <c r="J485" s="5"/>
      <c r="K485" s="5"/>
      <c r="L485" s="53"/>
      <c r="M485" s="54" t="s">
        <v>9</v>
      </c>
      <c r="N485" s="11" t="str">
        <f>"-"&amp;N483</f>
        <v>-1.3.1</v>
      </c>
      <c r="O485" s="12"/>
      <c r="P485" s="39"/>
      <c r="Q485" s="39"/>
      <c r="R485" s="5"/>
      <c r="S485" s="5"/>
      <c r="T485" s="5"/>
      <c r="U485" s="5"/>
      <c r="V485" s="5"/>
    </row>
    <row r="486" spans="1:43" ht="18.75" x14ac:dyDescent="0.3">
      <c r="A486" s="5"/>
      <c r="B486" s="5"/>
      <c r="C486" s="5"/>
      <c r="D486" s="39"/>
      <c r="E486" s="41" t="s">
        <v>10</v>
      </c>
      <c r="F486" s="5"/>
      <c r="G486" s="5"/>
      <c r="H486" s="39"/>
      <c r="I486" s="51"/>
      <c r="J486" s="7"/>
      <c r="K486" s="7"/>
      <c r="L486" s="51"/>
      <c r="M486" s="54" t="s">
        <v>9</v>
      </c>
      <c r="N486" s="3">
        <v>25</v>
      </c>
      <c r="O486" s="5"/>
      <c r="P486" s="39"/>
      <c r="Q486" s="39"/>
      <c r="R486" s="5"/>
      <c r="S486" s="5"/>
      <c r="T486" s="5"/>
      <c r="U486" s="5"/>
      <c r="V486" s="5"/>
    </row>
    <row r="487" spans="1:43" ht="15.75" thickBot="1" x14ac:dyDescent="0.3">
      <c r="A487" s="5"/>
      <c r="B487" s="5"/>
      <c r="C487" s="5"/>
      <c r="D487" s="39"/>
      <c r="E487" s="39"/>
      <c r="F487" s="5"/>
      <c r="G487" s="5"/>
      <c r="H487" s="39"/>
      <c r="I487" s="39"/>
      <c r="J487" s="5"/>
      <c r="K487" s="5"/>
      <c r="L487" s="39"/>
      <c r="M487" s="39"/>
      <c r="N487" s="5"/>
      <c r="O487" s="5"/>
      <c r="P487" s="39"/>
      <c r="Q487" s="39"/>
      <c r="R487" s="5"/>
      <c r="S487" s="5"/>
      <c r="T487" s="5"/>
      <c r="U487" s="5"/>
      <c r="V487" s="5"/>
    </row>
    <row r="488" spans="1:43" x14ac:dyDescent="0.25">
      <c r="A488" s="15"/>
      <c r="B488" s="16"/>
      <c r="C488" s="16"/>
      <c r="D488" s="42"/>
      <c r="E488" s="42"/>
      <c r="F488" s="16"/>
      <c r="G488" s="16"/>
      <c r="H488" s="42"/>
      <c r="I488" s="42"/>
      <c r="J488" s="16"/>
      <c r="K488" s="16"/>
      <c r="L488" s="42"/>
      <c r="M488" s="42"/>
      <c r="N488" s="16"/>
      <c r="O488" s="16"/>
      <c r="P488" s="42"/>
      <c r="Q488" s="42"/>
      <c r="R488" s="16"/>
      <c r="S488" s="16"/>
      <c r="T488" s="16"/>
      <c r="U488" s="16"/>
      <c r="V488" s="16"/>
    </row>
    <row r="489" spans="1:43" x14ac:dyDescent="0.25">
      <c r="A489" s="18"/>
      <c r="B489" s="87"/>
      <c r="C489" s="87"/>
      <c r="D489" s="117">
        <v>1</v>
      </c>
      <c r="E489" s="118"/>
      <c r="F489" s="87"/>
      <c r="G489" s="87"/>
      <c r="H489" s="117">
        <v>2</v>
      </c>
      <c r="I489" s="118"/>
      <c r="J489" s="87"/>
      <c r="K489" s="87"/>
      <c r="L489" s="117">
        <v>3</v>
      </c>
      <c r="M489" s="118"/>
      <c r="N489" s="87"/>
      <c r="O489" s="87"/>
      <c r="P489" s="117">
        <v>4</v>
      </c>
      <c r="Q489" s="118"/>
      <c r="R489" s="87"/>
      <c r="S489" s="87"/>
      <c r="T489" s="87"/>
      <c r="U489" s="87"/>
      <c r="V489" s="65"/>
    </row>
    <row r="490" spans="1:43" x14ac:dyDescent="0.25">
      <c r="A490" s="18"/>
      <c r="B490" s="111" t="s">
        <v>6</v>
      </c>
      <c r="C490" s="111"/>
      <c r="D490" s="117" t="s">
        <v>37</v>
      </c>
      <c r="E490" s="118" t="s">
        <v>0</v>
      </c>
      <c r="F490" s="111" t="s">
        <v>6</v>
      </c>
      <c r="G490" s="111"/>
      <c r="H490" s="117" t="s">
        <v>37</v>
      </c>
      <c r="I490" s="118"/>
      <c r="J490" s="111" t="s">
        <v>6</v>
      </c>
      <c r="K490" s="111"/>
      <c r="L490" s="117" t="s">
        <v>37</v>
      </c>
      <c r="M490" s="118"/>
      <c r="N490" s="111" t="s">
        <v>6</v>
      </c>
      <c r="O490" s="111"/>
      <c r="P490" s="117" t="s">
        <v>37</v>
      </c>
      <c r="Q490" s="118"/>
      <c r="R490" s="111"/>
      <c r="S490" s="111"/>
      <c r="T490" s="111"/>
      <c r="U490" s="111"/>
      <c r="V490" s="66"/>
    </row>
    <row r="491" spans="1:43" x14ac:dyDescent="0.25">
      <c r="A491" s="18"/>
      <c r="B491" s="110"/>
      <c r="C491" s="110"/>
      <c r="D491" s="112"/>
      <c r="E491" s="112"/>
      <c r="F491" s="110"/>
      <c r="G491" s="110"/>
      <c r="H491" s="112"/>
      <c r="I491" s="112"/>
      <c r="J491" s="110"/>
      <c r="K491" s="110"/>
      <c r="L491" s="112"/>
      <c r="M491" s="112"/>
      <c r="N491" s="110"/>
      <c r="O491" s="110"/>
      <c r="P491" s="112"/>
      <c r="Q491" s="112"/>
      <c r="R491" s="110"/>
      <c r="S491" s="110"/>
      <c r="T491" s="110"/>
      <c r="U491" s="110"/>
      <c r="V491" s="66"/>
    </row>
    <row r="492" spans="1:43" x14ac:dyDescent="0.25">
      <c r="A492" s="18"/>
      <c r="B492" s="111">
        <v>0</v>
      </c>
      <c r="C492" s="111"/>
      <c r="D492" s="113">
        <v>1</v>
      </c>
      <c r="E492" s="113">
        <v>1</v>
      </c>
      <c r="F492" s="111">
        <v>2</v>
      </c>
      <c r="G492" s="111">
        <v>2</v>
      </c>
      <c r="H492" s="113">
        <v>3</v>
      </c>
      <c r="I492" s="113">
        <v>3</v>
      </c>
      <c r="J492" s="111">
        <v>4</v>
      </c>
      <c r="K492" s="111">
        <v>4</v>
      </c>
      <c r="L492" s="113">
        <v>5</v>
      </c>
      <c r="M492" s="113"/>
      <c r="N492" s="111">
        <v>6</v>
      </c>
      <c r="O492" s="111">
        <v>1</v>
      </c>
      <c r="P492" s="113">
        <v>7</v>
      </c>
      <c r="Q492" s="113">
        <v>2</v>
      </c>
      <c r="R492" s="111">
        <v>8</v>
      </c>
      <c r="S492" s="111">
        <v>3</v>
      </c>
      <c r="T492" s="111">
        <v>9</v>
      </c>
      <c r="U492" s="111">
        <v>4</v>
      </c>
      <c r="V492" s="67"/>
    </row>
    <row r="493" spans="1:43" x14ac:dyDescent="0.25">
      <c r="A493" s="18"/>
      <c r="B493" s="87" t="s">
        <v>1</v>
      </c>
      <c r="C493" s="87" t="s">
        <v>2</v>
      </c>
      <c r="D493" s="88" t="s">
        <v>3</v>
      </c>
      <c r="E493" s="88" t="s">
        <v>4</v>
      </c>
      <c r="F493" s="87" t="s">
        <v>1</v>
      </c>
      <c r="G493" s="87" t="s">
        <v>2</v>
      </c>
      <c r="H493" s="88" t="s">
        <v>3</v>
      </c>
      <c r="I493" s="88" t="s">
        <v>4</v>
      </c>
      <c r="J493" s="87" t="s">
        <v>1</v>
      </c>
      <c r="K493" s="87" t="s">
        <v>2</v>
      </c>
      <c r="L493" s="88" t="s">
        <v>3</v>
      </c>
      <c r="M493" s="88" t="s">
        <v>4</v>
      </c>
      <c r="N493" s="87" t="s">
        <v>1</v>
      </c>
      <c r="O493" s="87" t="s">
        <v>2</v>
      </c>
      <c r="P493" s="88" t="s">
        <v>3</v>
      </c>
      <c r="Q493" s="88" t="s">
        <v>4</v>
      </c>
      <c r="R493" s="87" t="s">
        <v>1</v>
      </c>
      <c r="S493" s="87" t="s">
        <v>2</v>
      </c>
      <c r="T493" s="87" t="s">
        <v>3</v>
      </c>
      <c r="U493" s="87" t="s">
        <v>4</v>
      </c>
      <c r="V493" s="67"/>
    </row>
    <row r="494" spans="1:43" ht="15.75" thickBot="1" x14ac:dyDescent="0.3">
      <c r="A494" s="24"/>
      <c r="B494" s="25"/>
      <c r="C494" s="25"/>
      <c r="D494" s="44"/>
      <c r="E494" s="45"/>
      <c r="F494" s="25"/>
      <c r="G494" s="25"/>
      <c r="H494" s="44"/>
      <c r="I494" s="45"/>
      <c r="J494" s="25"/>
      <c r="K494" s="25"/>
      <c r="L494" s="44"/>
      <c r="M494" s="45"/>
      <c r="N494" s="25"/>
      <c r="O494" s="25"/>
      <c r="P494" s="44"/>
      <c r="Q494" s="45"/>
      <c r="R494" s="25"/>
      <c r="S494" s="25"/>
      <c r="T494" s="25"/>
      <c r="U494" s="25"/>
      <c r="V494" s="68"/>
    </row>
    <row r="495" spans="1:43" ht="15.6" customHeight="1" x14ac:dyDescent="0.25">
      <c r="A495" s="5"/>
      <c r="B495" s="105"/>
      <c r="C495" s="106"/>
      <c r="D495" s="108"/>
      <c r="E495" s="106"/>
      <c r="F495" s="105"/>
      <c r="G495" s="106"/>
      <c r="H495" s="108"/>
      <c r="I495" s="106"/>
      <c r="J495" s="105"/>
      <c r="K495" s="106"/>
      <c r="L495" s="108"/>
      <c r="M495" s="106"/>
      <c r="N495" s="105"/>
      <c r="O495" s="106"/>
      <c r="P495" s="108"/>
      <c r="Q495" s="106"/>
      <c r="R495" s="86"/>
      <c r="S495" s="86"/>
      <c r="T495" s="86"/>
      <c r="U495" s="86"/>
      <c r="V495" s="27"/>
      <c r="W495" s="69"/>
      <c r="X495" s="109"/>
      <c r="Y495" s="109"/>
      <c r="Z495" s="109"/>
      <c r="AA495" s="109"/>
      <c r="AB495" s="109"/>
      <c r="AC495" s="109"/>
      <c r="AD495" s="109"/>
      <c r="AE495" s="109"/>
      <c r="AF495" s="109"/>
      <c r="AG495" s="109"/>
      <c r="AH495" s="109"/>
      <c r="AI495" s="109"/>
      <c r="AJ495" s="109"/>
      <c r="AK495" s="109"/>
      <c r="AL495" s="109"/>
      <c r="AM495" s="109"/>
      <c r="AN495" s="109"/>
      <c r="AO495" s="109"/>
      <c r="AP495" s="109"/>
      <c r="AQ495" s="109"/>
    </row>
    <row r="496" spans="1:43" ht="15.6" customHeight="1" thickBot="1" x14ac:dyDescent="0.3">
      <c r="A496" s="5"/>
      <c r="B496" s="10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7"/>
      <c r="R496" s="110"/>
      <c r="S496" s="110"/>
      <c r="T496" s="110"/>
      <c r="U496" s="110"/>
      <c r="V496" s="27"/>
      <c r="W496" s="69"/>
      <c r="X496" s="109"/>
      <c r="Y496" s="109"/>
      <c r="Z496" s="109"/>
      <c r="AA496" s="109"/>
      <c r="AB496" s="109"/>
      <c r="AC496" s="109"/>
      <c r="AD496" s="109"/>
      <c r="AE496" s="109"/>
      <c r="AF496" s="109"/>
      <c r="AG496" s="109"/>
      <c r="AH496" s="109"/>
      <c r="AI496" s="109"/>
      <c r="AJ496" s="109"/>
      <c r="AK496" s="109"/>
      <c r="AL496" s="109"/>
      <c r="AM496" s="109"/>
      <c r="AN496" s="109"/>
      <c r="AO496" s="109"/>
      <c r="AP496" s="109"/>
      <c r="AQ496" s="109"/>
    </row>
    <row r="497" spans="1:22" x14ac:dyDescent="0.25">
      <c r="A497" s="5"/>
      <c r="B497" s="100"/>
      <c r="C497" s="101"/>
      <c r="D497" s="102"/>
      <c r="E497" s="103"/>
      <c r="F497" s="100"/>
      <c r="G497" s="101"/>
      <c r="H497" s="102"/>
      <c r="I497" s="103"/>
      <c r="J497" s="100"/>
      <c r="K497" s="101"/>
      <c r="L497" s="102"/>
      <c r="M497" s="103"/>
      <c r="N497" s="100"/>
      <c r="O497" s="101"/>
      <c r="P497" s="102"/>
      <c r="Q497" s="103"/>
      <c r="R497" s="86"/>
      <c r="S497" s="86"/>
      <c r="T497" s="86"/>
      <c r="U497" s="86"/>
      <c r="V497" s="27"/>
    </row>
    <row r="498" spans="1:22" x14ac:dyDescent="0.25">
      <c r="A498" s="5"/>
      <c r="B498" s="5"/>
      <c r="C498" s="5"/>
      <c r="D498" s="39"/>
      <c r="E498" s="39"/>
      <c r="F498" s="5"/>
      <c r="G498" s="5"/>
      <c r="H498" s="39"/>
      <c r="I498" s="39"/>
      <c r="J498" s="5"/>
      <c r="K498" s="5"/>
      <c r="L498" s="39"/>
      <c r="M498" s="39"/>
      <c r="N498" s="5"/>
      <c r="O498" s="5"/>
      <c r="P498" s="39"/>
      <c r="Q498" s="39"/>
      <c r="R498" s="5"/>
      <c r="S498" s="5"/>
      <c r="T498" s="5"/>
      <c r="U498" s="5"/>
      <c r="V498" s="5"/>
    </row>
    <row r="499" spans="1:22" x14ac:dyDescent="0.25">
      <c r="A499" s="5"/>
      <c r="B499" s="5"/>
      <c r="C499" s="5"/>
      <c r="D499" s="39"/>
      <c r="E499" s="89" t="s">
        <v>11</v>
      </c>
      <c r="F499" s="104" t="s">
        <v>12</v>
      </c>
      <c r="G499" s="104"/>
      <c r="H499" s="104"/>
      <c r="I499" s="104" t="s">
        <v>41</v>
      </c>
      <c r="J499" s="104"/>
      <c r="K499" s="5"/>
      <c r="L499" s="39"/>
      <c r="M499" s="39"/>
      <c r="N499" s="5"/>
      <c r="O499" s="86" t="s">
        <v>13</v>
      </c>
      <c r="P499" s="39" t="s">
        <v>14</v>
      </c>
      <c r="Q499" s="39"/>
      <c r="R499" s="5"/>
      <c r="S499" s="5" t="s">
        <v>43</v>
      </c>
      <c r="T499" s="5"/>
      <c r="U499" s="5"/>
      <c r="V499" s="5"/>
    </row>
    <row r="500" spans="1:22" x14ac:dyDescent="0.25">
      <c r="A500" s="5"/>
      <c r="B500" s="5"/>
      <c r="C500" s="5"/>
      <c r="D500" s="39"/>
      <c r="E500" s="89" t="s">
        <v>15</v>
      </c>
      <c r="F500" s="104" t="s">
        <v>16</v>
      </c>
      <c r="G500" s="104"/>
      <c r="H500" s="104"/>
      <c r="I500" s="39" t="s">
        <v>42</v>
      </c>
      <c r="J500" s="5"/>
      <c r="K500" s="5"/>
      <c r="L500" s="39"/>
      <c r="M500" s="39"/>
      <c r="N500" s="5"/>
      <c r="O500" s="86" t="s">
        <v>18</v>
      </c>
      <c r="P500" s="39" t="s">
        <v>14</v>
      </c>
      <c r="Q500" s="39"/>
      <c r="R500" s="5"/>
      <c r="S500" s="5" t="s">
        <v>17</v>
      </c>
      <c r="T500" s="5"/>
      <c r="U500" s="5"/>
      <c r="V500" s="5"/>
    </row>
    <row r="501" spans="1:22" x14ac:dyDescent="0.25">
      <c r="A501" s="65" t="s">
        <v>69</v>
      </c>
      <c r="B501" s="65"/>
      <c r="C501" s="65"/>
      <c r="D501" s="77"/>
      <c r="E501" s="78"/>
      <c r="F501" s="65"/>
      <c r="G501" s="65"/>
      <c r="H501" s="77"/>
      <c r="I501" s="77"/>
      <c r="J501" s="65"/>
      <c r="K501" s="65"/>
      <c r="L501" s="77"/>
      <c r="M501" s="77"/>
      <c r="N501" s="65"/>
      <c r="O501" s="65"/>
      <c r="P501" s="77"/>
      <c r="Q501" s="77"/>
      <c r="R501" s="65"/>
      <c r="S501" s="65"/>
      <c r="T501" s="65"/>
      <c r="U501" s="65"/>
      <c r="V501" s="65"/>
    </row>
    <row r="502" spans="1:22" ht="18.75" x14ac:dyDescent="0.3">
      <c r="A502" s="5"/>
      <c r="B502" s="5"/>
      <c r="C502" s="5"/>
      <c r="D502" s="39"/>
      <c r="E502" s="40" t="s">
        <v>7</v>
      </c>
      <c r="F502" s="5"/>
      <c r="G502" s="7"/>
      <c r="H502" s="51"/>
      <c r="I502" s="51"/>
      <c r="J502" s="7"/>
      <c r="K502" s="7"/>
      <c r="L502" s="51"/>
      <c r="M502" s="52" t="s">
        <v>8</v>
      </c>
      <c r="N502" s="114" t="s">
        <v>68</v>
      </c>
      <c r="O502" s="115"/>
      <c r="P502" s="39"/>
      <c r="Q502" s="39"/>
      <c r="R502" s="5"/>
      <c r="S502" s="5"/>
      <c r="T502" s="5"/>
      <c r="U502" s="5"/>
      <c r="V502" s="5"/>
    </row>
    <row r="503" spans="1:22" ht="18.75" x14ac:dyDescent="0.3">
      <c r="A503" s="5"/>
      <c r="B503" s="5"/>
      <c r="C503" s="5"/>
      <c r="D503" s="39"/>
      <c r="E503" s="40" t="s">
        <v>35</v>
      </c>
      <c r="F503" s="5"/>
      <c r="G503" s="5"/>
      <c r="H503" s="39"/>
      <c r="I503" s="39"/>
      <c r="J503" s="9"/>
      <c r="K503" s="9"/>
      <c r="L503" s="53"/>
      <c r="M503" s="52" t="s">
        <v>9</v>
      </c>
      <c r="N503" s="116" t="str">
        <f>N502&amp;".1"</f>
        <v>1.3.1</v>
      </c>
      <c r="O503" s="116"/>
      <c r="P503" s="39"/>
      <c r="Q503" s="39"/>
      <c r="R503" s="5"/>
      <c r="S503" s="5"/>
      <c r="T503" s="5"/>
      <c r="U503" s="5"/>
      <c r="V503" s="5"/>
    </row>
    <row r="504" spans="1:22" ht="18.75" x14ac:dyDescent="0.3">
      <c r="A504" s="5"/>
      <c r="B504" s="5"/>
      <c r="C504" s="5"/>
      <c r="D504" s="39"/>
      <c r="E504" s="39" t="s">
        <v>36</v>
      </c>
      <c r="F504" s="5"/>
      <c r="G504" s="5"/>
      <c r="H504" s="51"/>
      <c r="I504" s="51"/>
      <c r="J504" s="7"/>
      <c r="K504" s="7"/>
      <c r="L504" s="51"/>
      <c r="M504" s="54" t="s">
        <v>9</v>
      </c>
      <c r="N504" s="11">
        <v>1</v>
      </c>
      <c r="O504" s="5"/>
      <c r="P504" s="39"/>
      <c r="Q504" s="39"/>
      <c r="R504" s="5"/>
      <c r="S504" s="5"/>
      <c r="T504" s="5"/>
      <c r="U504" s="5"/>
      <c r="V504" s="5"/>
    </row>
    <row r="505" spans="1:22" ht="18.75" x14ac:dyDescent="0.3">
      <c r="A505" s="5"/>
      <c r="B505" s="5"/>
      <c r="C505" s="5"/>
      <c r="D505" s="39"/>
      <c r="E505" s="39" t="s">
        <v>5</v>
      </c>
      <c r="F505" s="5"/>
      <c r="G505" s="5"/>
      <c r="H505" s="39"/>
      <c r="I505" s="39"/>
      <c r="J505" s="5"/>
      <c r="K505" s="5"/>
      <c r="L505" s="53"/>
      <c r="M505" s="54" t="s">
        <v>9</v>
      </c>
      <c r="N505" s="11" t="str">
        <f>"-"&amp;N503</f>
        <v>-1.3.1</v>
      </c>
      <c r="O505" s="12"/>
      <c r="P505" s="39"/>
      <c r="Q505" s="39"/>
      <c r="R505" s="5"/>
      <c r="S505" s="5"/>
      <c r="T505" s="5"/>
      <c r="U505" s="5"/>
      <c r="V505" s="5"/>
    </row>
    <row r="506" spans="1:22" ht="18.75" x14ac:dyDescent="0.3">
      <c r="A506" s="5"/>
      <c r="B506" s="5"/>
      <c r="C506" s="5"/>
      <c r="D506" s="39"/>
      <c r="E506" s="41" t="s">
        <v>10</v>
      </c>
      <c r="F506" s="5"/>
      <c r="G506" s="5"/>
      <c r="H506" s="39"/>
      <c r="I506" s="51"/>
      <c r="J506" s="7"/>
      <c r="K506" s="7"/>
      <c r="L506" s="51"/>
      <c r="M506" s="54" t="s">
        <v>9</v>
      </c>
      <c r="N506" s="3">
        <v>26</v>
      </c>
      <c r="O506" s="5"/>
      <c r="P506" s="39"/>
      <c r="Q506" s="39"/>
      <c r="R506" s="5"/>
      <c r="S506" s="5"/>
      <c r="T506" s="5"/>
      <c r="U506" s="5"/>
      <c r="V506" s="5"/>
    </row>
    <row r="507" spans="1:22" ht="15.75" thickBot="1" x14ac:dyDescent="0.3">
      <c r="A507" s="5"/>
      <c r="B507" s="5"/>
      <c r="C507" s="5"/>
      <c r="D507" s="39"/>
      <c r="E507" s="39"/>
      <c r="F507" s="5"/>
      <c r="G507" s="5"/>
      <c r="H507" s="39"/>
      <c r="I507" s="39"/>
      <c r="J507" s="5"/>
      <c r="K507" s="5"/>
      <c r="L507" s="39"/>
      <c r="M507" s="39"/>
      <c r="N507" s="5"/>
      <c r="O507" s="5"/>
      <c r="P507" s="39"/>
      <c r="Q507" s="39"/>
      <c r="R507" s="5"/>
      <c r="S507" s="5"/>
      <c r="T507" s="5"/>
      <c r="U507" s="5"/>
      <c r="V507" s="5"/>
    </row>
    <row r="508" spans="1:22" x14ac:dyDescent="0.25">
      <c r="A508" s="15"/>
      <c r="B508" s="16"/>
      <c r="C508" s="16"/>
      <c r="D508" s="42"/>
      <c r="E508" s="42"/>
      <c r="F508" s="16"/>
      <c r="G508" s="16"/>
      <c r="H508" s="42"/>
      <c r="I508" s="42"/>
      <c r="J508" s="16"/>
      <c r="K508" s="16"/>
      <c r="L508" s="42"/>
      <c r="M508" s="42"/>
      <c r="N508" s="16"/>
      <c r="O508" s="16"/>
      <c r="P508" s="42"/>
      <c r="Q508" s="42"/>
      <c r="R508" s="16"/>
      <c r="S508" s="16"/>
      <c r="T508" s="16"/>
      <c r="U508" s="16"/>
      <c r="V508" s="16"/>
    </row>
    <row r="509" spans="1:22" x14ac:dyDescent="0.25">
      <c r="A509" s="18"/>
      <c r="B509" s="87"/>
      <c r="C509" s="87"/>
      <c r="D509" s="117">
        <v>1</v>
      </c>
      <c r="E509" s="118"/>
      <c r="F509" s="87"/>
      <c r="G509" s="87"/>
      <c r="H509" s="117">
        <v>2</v>
      </c>
      <c r="I509" s="118"/>
      <c r="J509" s="87"/>
      <c r="K509" s="87"/>
      <c r="L509" s="117">
        <v>3</v>
      </c>
      <c r="M509" s="118"/>
      <c r="N509" s="87"/>
      <c r="O509" s="87"/>
      <c r="P509" s="117">
        <v>4</v>
      </c>
      <c r="Q509" s="118"/>
      <c r="R509" s="87"/>
      <c r="S509" s="87"/>
      <c r="T509" s="87"/>
      <c r="U509" s="87"/>
      <c r="V509" s="65"/>
    </row>
    <row r="510" spans="1:22" x14ac:dyDescent="0.25">
      <c r="A510" s="18"/>
      <c r="B510" s="111" t="s">
        <v>6</v>
      </c>
      <c r="C510" s="111"/>
      <c r="D510" s="117" t="s">
        <v>37</v>
      </c>
      <c r="E510" s="118" t="s">
        <v>0</v>
      </c>
      <c r="F510" s="111" t="s">
        <v>6</v>
      </c>
      <c r="G510" s="111"/>
      <c r="H510" s="117" t="s">
        <v>37</v>
      </c>
      <c r="I510" s="118"/>
      <c r="J510" s="111" t="s">
        <v>6</v>
      </c>
      <c r="K510" s="111"/>
      <c r="L510" s="117" t="s">
        <v>37</v>
      </c>
      <c r="M510" s="118"/>
      <c r="N510" s="111" t="s">
        <v>6</v>
      </c>
      <c r="O510" s="111"/>
      <c r="P510" s="117" t="s">
        <v>37</v>
      </c>
      <c r="Q510" s="118"/>
      <c r="R510" s="111"/>
      <c r="S510" s="111"/>
      <c r="T510" s="111"/>
      <c r="U510" s="111"/>
      <c r="V510" s="66"/>
    </row>
    <row r="511" spans="1:22" x14ac:dyDescent="0.25">
      <c r="A511" s="18"/>
      <c r="B511" s="110"/>
      <c r="C511" s="110"/>
      <c r="D511" s="112"/>
      <c r="E511" s="112"/>
      <c r="F511" s="110"/>
      <c r="G511" s="110"/>
      <c r="H511" s="112"/>
      <c r="I511" s="112"/>
      <c r="J511" s="110"/>
      <c r="K511" s="110"/>
      <c r="L511" s="112"/>
      <c r="M511" s="112"/>
      <c r="N511" s="110"/>
      <c r="O511" s="110"/>
      <c r="P511" s="112"/>
      <c r="Q511" s="112"/>
      <c r="R511" s="110"/>
      <c r="S511" s="110"/>
      <c r="T511" s="110"/>
      <c r="U511" s="110"/>
      <c r="V511" s="66"/>
    </row>
    <row r="512" spans="1:22" x14ac:dyDescent="0.25">
      <c r="A512" s="18"/>
      <c r="B512" s="111">
        <v>0</v>
      </c>
      <c r="C512" s="111"/>
      <c r="D512" s="113">
        <v>1</v>
      </c>
      <c r="E512" s="113">
        <v>1</v>
      </c>
      <c r="F512" s="111">
        <v>2</v>
      </c>
      <c r="G512" s="111">
        <v>2</v>
      </c>
      <c r="H512" s="113">
        <v>3</v>
      </c>
      <c r="I512" s="113">
        <v>3</v>
      </c>
      <c r="J512" s="111">
        <v>4</v>
      </c>
      <c r="K512" s="111">
        <v>4</v>
      </c>
      <c r="L512" s="113">
        <v>5</v>
      </c>
      <c r="M512" s="113"/>
      <c r="N512" s="111">
        <v>6</v>
      </c>
      <c r="O512" s="111">
        <v>1</v>
      </c>
      <c r="P512" s="113">
        <v>7</v>
      </c>
      <c r="Q512" s="113">
        <v>2</v>
      </c>
      <c r="R512" s="111">
        <v>8</v>
      </c>
      <c r="S512" s="111">
        <v>3</v>
      </c>
      <c r="T512" s="111">
        <v>9</v>
      </c>
      <c r="U512" s="111">
        <v>4</v>
      </c>
      <c r="V512" s="67"/>
    </row>
    <row r="513" spans="1:43" x14ac:dyDescent="0.25">
      <c r="A513" s="18"/>
      <c r="B513" s="87" t="s">
        <v>1</v>
      </c>
      <c r="C513" s="87" t="s">
        <v>2</v>
      </c>
      <c r="D513" s="88" t="s">
        <v>3</v>
      </c>
      <c r="E513" s="88" t="s">
        <v>4</v>
      </c>
      <c r="F513" s="87" t="s">
        <v>1</v>
      </c>
      <c r="G513" s="87" t="s">
        <v>2</v>
      </c>
      <c r="H513" s="88" t="s">
        <v>3</v>
      </c>
      <c r="I513" s="88" t="s">
        <v>4</v>
      </c>
      <c r="J513" s="87" t="s">
        <v>1</v>
      </c>
      <c r="K513" s="87" t="s">
        <v>2</v>
      </c>
      <c r="L513" s="88" t="s">
        <v>3</v>
      </c>
      <c r="M513" s="88" t="s">
        <v>4</v>
      </c>
      <c r="N513" s="87" t="s">
        <v>1</v>
      </c>
      <c r="O513" s="87" t="s">
        <v>2</v>
      </c>
      <c r="P513" s="88" t="s">
        <v>3</v>
      </c>
      <c r="Q513" s="88" t="s">
        <v>4</v>
      </c>
      <c r="R513" s="87" t="s">
        <v>1</v>
      </c>
      <c r="S513" s="87" t="s">
        <v>2</v>
      </c>
      <c r="T513" s="87" t="s">
        <v>3</v>
      </c>
      <c r="U513" s="87" t="s">
        <v>4</v>
      </c>
      <c r="V513" s="67"/>
    </row>
    <row r="514" spans="1:43" ht="15.75" thickBot="1" x14ac:dyDescent="0.3">
      <c r="A514" s="24"/>
      <c r="B514" s="25"/>
      <c r="C514" s="25"/>
      <c r="D514" s="44"/>
      <c r="E514" s="45"/>
      <c r="F514" s="25"/>
      <c r="G514" s="25"/>
      <c r="H514" s="44"/>
      <c r="I514" s="45"/>
      <c r="J514" s="25"/>
      <c r="K514" s="25"/>
      <c r="L514" s="44"/>
      <c r="M514" s="45"/>
      <c r="N514" s="25"/>
      <c r="O514" s="25"/>
      <c r="P514" s="44"/>
      <c r="Q514" s="45"/>
      <c r="R514" s="25"/>
      <c r="S514" s="25"/>
      <c r="T514" s="25"/>
      <c r="U514" s="25"/>
      <c r="V514" s="68"/>
    </row>
    <row r="515" spans="1:43" ht="15.6" customHeight="1" x14ac:dyDescent="0.25">
      <c r="A515" s="5"/>
      <c r="B515" s="105"/>
      <c r="C515" s="106"/>
      <c r="D515" s="108"/>
      <c r="E515" s="106"/>
      <c r="F515" s="105"/>
      <c r="G515" s="106"/>
      <c r="H515" s="108"/>
      <c r="I515" s="106"/>
      <c r="J515" s="105"/>
      <c r="K515" s="106"/>
      <c r="L515" s="108"/>
      <c r="M515" s="106"/>
      <c r="N515" s="105"/>
      <c r="O515" s="106"/>
      <c r="P515" s="108"/>
      <c r="Q515" s="106"/>
      <c r="R515" s="86"/>
      <c r="S515" s="86"/>
      <c r="T515" s="86"/>
      <c r="U515" s="86"/>
      <c r="V515" s="27"/>
      <c r="W515" s="69"/>
      <c r="X515" s="109"/>
      <c r="Y515" s="109"/>
      <c r="Z515" s="109"/>
      <c r="AA515" s="109"/>
      <c r="AB515" s="109"/>
      <c r="AC515" s="109"/>
      <c r="AD515" s="109"/>
      <c r="AE515" s="109"/>
      <c r="AF515" s="109"/>
      <c r="AG515" s="109"/>
      <c r="AH515" s="109"/>
      <c r="AI515" s="109"/>
      <c r="AJ515" s="109"/>
      <c r="AK515" s="109"/>
      <c r="AL515" s="109"/>
      <c r="AM515" s="109"/>
      <c r="AN515" s="109"/>
      <c r="AO515" s="109"/>
      <c r="AP515" s="109"/>
      <c r="AQ515" s="109"/>
    </row>
    <row r="516" spans="1:43" ht="15.6" customHeight="1" thickBot="1" x14ac:dyDescent="0.3">
      <c r="A516" s="5"/>
      <c r="B516" s="10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7"/>
      <c r="R516" s="110"/>
      <c r="S516" s="110"/>
      <c r="T516" s="110"/>
      <c r="U516" s="110"/>
      <c r="V516" s="27"/>
      <c r="W516" s="69"/>
      <c r="X516" s="109"/>
      <c r="Y516" s="109"/>
      <c r="Z516" s="109"/>
      <c r="AA516" s="109"/>
      <c r="AB516" s="109"/>
      <c r="AC516" s="109"/>
      <c r="AD516" s="109"/>
      <c r="AE516" s="109"/>
      <c r="AF516" s="109"/>
      <c r="AG516" s="109"/>
      <c r="AH516" s="109"/>
      <c r="AI516" s="109"/>
      <c r="AJ516" s="109"/>
      <c r="AK516" s="109"/>
      <c r="AL516" s="109"/>
      <c r="AM516" s="109"/>
      <c r="AN516" s="109"/>
      <c r="AO516" s="109"/>
      <c r="AP516" s="109"/>
      <c r="AQ516" s="109"/>
    </row>
    <row r="517" spans="1:43" x14ac:dyDescent="0.25">
      <c r="A517" s="5"/>
      <c r="B517" s="100"/>
      <c r="C517" s="101"/>
      <c r="D517" s="102"/>
      <c r="E517" s="103"/>
      <c r="F517" s="100"/>
      <c r="G517" s="101"/>
      <c r="H517" s="102"/>
      <c r="I517" s="103"/>
      <c r="J517" s="100"/>
      <c r="K517" s="101"/>
      <c r="L517" s="102"/>
      <c r="M517" s="103"/>
      <c r="N517" s="100"/>
      <c r="O517" s="101"/>
      <c r="P517" s="102"/>
      <c r="Q517" s="103"/>
      <c r="R517" s="86"/>
      <c r="S517" s="86"/>
      <c r="T517" s="86"/>
      <c r="U517" s="86"/>
      <c r="V517" s="27"/>
    </row>
    <row r="518" spans="1:43" x14ac:dyDescent="0.25">
      <c r="A518" s="5"/>
      <c r="B518" s="5"/>
      <c r="C518" s="5"/>
      <c r="D518" s="39"/>
      <c r="E518" s="39"/>
      <c r="F518" s="5"/>
      <c r="G518" s="5"/>
      <c r="H518" s="39"/>
      <c r="I518" s="39"/>
      <c r="J518" s="5"/>
      <c r="K518" s="5"/>
      <c r="L518" s="39"/>
      <c r="M518" s="39"/>
      <c r="N518" s="5"/>
      <c r="O518" s="5"/>
      <c r="P518" s="39"/>
      <c r="Q518" s="39"/>
      <c r="R518" s="5"/>
      <c r="S518" s="5"/>
      <c r="T518" s="5"/>
      <c r="U518" s="5"/>
      <c r="V518" s="5"/>
    </row>
    <row r="519" spans="1:43" x14ac:dyDescent="0.25">
      <c r="A519" s="5"/>
      <c r="B519" s="5"/>
      <c r="C519" s="5"/>
      <c r="D519" s="39"/>
      <c r="E519" s="89" t="s">
        <v>11</v>
      </c>
      <c r="F519" s="104" t="s">
        <v>12</v>
      </c>
      <c r="G519" s="104"/>
      <c r="H519" s="104"/>
      <c r="I519" s="104" t="s">
        <v>41</v>
      </c>
      <c r="J519" s="104"/>
      <c r="K519" s="5"/>
      <c r="L519" s="39"/>
      <c r="M519" s="39"/>
      <c r="N519" s="5"/>
      <c r="O519" s="86" t="s">
        <v>13</v>
      </c>
      <c r="P519" s="39" t="s">
        <v>14</v>
      </c>
      <c r="Q519" s="39"/>
      <c r="R519" s="5"/>
      <c r="S519" s="5" t="s">
        <v>43</v>
      </c>
      <c r="T519" s="5"/>
      <c r="U519" s="5"/>
      <c r="V519" s="5"/>
    </row>
    <row r="520" spans="1:43" x14ac:dyDescent="0.25">
      <c r="A520" s="5"/>
      <c r="B520" s="5"/>
      <c r="C520" s="5"/>
      <c r="D520" s="39"/>
      <c r="E520" s="89" t="s">
        <v>15</v>
      </c>
      <c r="F520" s="104" t="s">
        <v>16</v>
      </c>
      <c r="G520" s="104"/>
      <c r="H520" s="104"/>
      <c r="I520" s="39" t="s">
        <v>42</v>
      </c>
      <c r="J520" s="5"/>
      <c r="K520" s="5"/>
      <c r="L520" s="39"/>
      <c r="M520" s="39"/>
      <c r="N520" s="5"/>
      <c r="O520" s="86" t="s">
        <v>18</v>
      </c>
      <c r="P520" s="39" t="s">
        <v>14</v>
      </c>
      <c r="Q520" s="39"/>
      <c r="R520" s="5"/>
      <c r="S520" s="5" t="s">
        <v>17</v>
      </c>
      <c r="T520" s="5"/>
      <c r="U520" s="5"/>
      <c r="V520" s="5"/>
    </row>
    <row r="521" spans="1:43" x14ac:dyDescent="0.25">
      <c r="A521" s="65" t="s">
        <v>69</v>
      </c>
      <c r="B521" s="65"/>
      <c r="C521" s="65"/>
      <c r="D521" s="77"/>
      <c r="E521" s="78"/>
      <c r="F521" s="65"/>
      <c r="G521" s="65"/>
      <c r="H521" s="77"/>
      <c r="I521" s="77"/>
      <c r="J521" s="65"/>
      <c r="K521" s="65"/>
      <c r="L521" s="77"/>
      <c r="M521" s="77"/>
      <c r="N521" s="65"/>
      <c r="O521" s="65"/>
      <c r="P521" s="77"/>
      <c r="Q521" s="77"/>
      <c r="R521" s="65"/>
      <c r="S521" s="65"/>
      <c r="T521" s="65"/>
      <c r="U521" s="65"/>
      <c r="V521" s="65"/>
    </row>
    <row r="522" spans="1:43" ht="18.75" x14ac:dyDescent="0.3">
      <c r="A522" s="5"/>
      <c r="B522" s="5"/>
      <c r="C522" s="5"/>
      <c r="D522" s="39"/>
      <c r="E522" s="40" t="s">
        <v>7</v>
      </c>
      <c r="F522" s="5"/>
      <c r="G522" s="7"/>
      <c r="H522" s="51"/>
      <c r="I522" s="51"/>
      <c r="J522" s="7"/>
      <c r="K522" s="7"/>
      <c r="L522" s="51"/>
      <c r="M522" s="52" t="s">
        <v>8</v>
      </c>
      <c r="N522" s="114" t="s">
        <v>68</v>
      </c>
      <c r="O522" s="115"/>
      <c r="P522" s="39"/>
      <c r="Q522" s="39"/>
      <c r="R522" s="5"/>
      <c r="S522" s="5"/>
      <c r="T522" s="5"/>
      <c r="U522" s="5"/>
      <c r="V522" s="5"/>
    </row>
    <row r="523" spans="1:43" ht="18.75" x14ac:dyDescent="0.3">
      <c r="A523" s="5"/>
      <c r="B523" s="5"/>
      <c r="C523" s="5"/>
      <c r="D523" s="39"/>
      <c r="E523" s="40" t="s">
        <v>35</v>
      </c>
      <c r="F523" s="5"/>
      <c r="G523" s="5"/>
      <c r="H523" s="39"/>
      <c r="I523" s="39"/>
      <c r="J523" s="9"/>
      <c r="K523" s="9"/>
      <c r="L523" s="53"/>
      <c r="M523" s="52" t="s">
        <v>9</v>
      </c>
      <c r="N523" s="116" t="str">
        <f>N522&amp;".1"</f>
        <v>1.3.1</v>
      </c>
      <c r="O523" s="116"/>
      <c r="P523" s="39"/>
      <c r="Q523" s="39"/>
      <c r="R523" s="5"/>
      <c r="S523" s="5"/>
      <c r="T523" s="5"/>
      <c r="U523" s="5"/>
      <c r="V523" s="5"/>
    </row>
    <row r="524" spans="1:43" ht="18.75" x14ac:dyDescent="0.3">
      <c r="A524" s="5"/>
      <c r="B524" s="5"/>
      <c r="C524" s="5"/>
      <c r="D524" s="39"/>
      <c r="E524" s="39" t="s">
        <v>36</v>
      </c>
      <c r="F524" s="5"/>
      <c r="G524" s="5"/>
      <c r="H524" s="51"/>
      <c r="I524" s="51"/>
      <c r="J524" s="7"/>
      <c r="K524" s="7"/>
      <c r="L524" s="51"/>
      <c r="M524" s="54" t="s">
        <v>9</v>
      </c>
      <c r="N524" s="11">
        <v>1</v>
      </c>
      <c r="O524" s="5"/>
      <c r="P524" s="39"/>
      <c r="Q524" s="39"/>
      <c r="R524" s="5"/>
      <c r="S524" s="5"/>
      <c r="T524" s="5"/>
      <c r="U524" s="5"/>
      <c r="V524" s="5"/>
    </row>
    <row r="525" spans="1:43" ht="18.75" x14ac:dyDescent="0.3">
      <c r="A525" s="5"/>
      <c r="B525" s="5"/>
      <c r="C525" s="5"/>
      <c r="D525" s="39"/>
      <c r="E525" s="39" t="s">
        <v>5</v>
      </c>
      <c r="F525" s="5"/>
      <c r="G525" s="5"/>
      <c r="H525" s="39"/>
      <c r="I525" s="39"/>
      <c r="J525" s="5"/>
      <c r="K525" s="5"/>
      <c r="L525" s="53"/>
      <c r="M525" s="54" t="s">
        <v>9</v>
      </c>
      <c r="N525" s="11" t="str">
        <f>"-"&amp;N523</f>
        <v>-1.3.1</v>
      </c>
      <c r="O525" s="12"/>
      <c r="P525" s="39"/>
      <c r="Q525" s="39"/>
      <c r="R525" s="5"/>
      <c r="S525" s="5"/>
      <c r="T525" s="5"/>
      <c r="U525" s="5"/>
      <c r="V525" s="5"/>
    </row>
    <row r="526" spans="1:43" ht="18.75" x14ac:dyDescent="0.3">
      <c r="A526" s="5"/>
      <c r="B526" s="5"/>
      <c r="C526" s="5"/>
      <c r="D526" s="39"/>
      <c r="E526" s="41" t="s">
        <v>10</v>
      </c>
      <c r="F526" s="5"/>
      <c r="G526" s="5"/>
      <c r="H526" s="39"/>
      <c r="I526" s="51"/>
      <c r="J526" s="7"/>
      <c r="K526" s="7"/>
      <c r="L526" s="51"/>
      <c r="M526" s="54" t="s">
        <v>9</v>
      </c>
      <c r="N526" s="3">
        <v>27</v>
      </c>
      <c r="O526" s="5"/>
      <c r="P526" s="39"/>
      <c r="Q526" s="39"/>
      <c r="R526" s="5"/>
      <c r="S526" s="5"/>
      <c r="T526" s="5"/>
      <c r="U526" s="5"/>
      <c r="V526" s="5"/>
    </row>
    <row r="527" spans="1:43" ht="15.75" thickBot="1" x14ac:dyDescent="0.3">
      <c r="A527" s="5"/>
      <c r="B527" s="5"/>
      <c r="C527" s="5"/>
      <c r="D527" s="39"/>
      <c r="E527" s="39"/>
      <c r="F527" s="5"/>
      <c r="G527" s="5"/>
      <c r="H527" s="39"/>
      <c r="I527" s="39"/>
      <c r="J527" s="5"/>
      <c r="K527" s="5"/>
      <c r="L527" s="39"/>
      <c r="M527" s="39"/>
      <c r="N527" s="5"/>
      <c r="O527" s="5"/>
      <c r="P527" s="39"/>
      <c r="Q527" s="39"/>
      <c r="R527" s="5"/>
      <c r="S527" s="5"/>
      <c r="T527" s="5"/>
      <c r="U527" s="5"/>
      <c r="V527" s="5"/>
    </row>
    <row r="528" spans="1:43" x14ac:dyDescent="0.25">
      <c r="A528" s="15"/>
      <c r="B528" s="16"/>
      <c r="C528" s="16"/>
      <c r="D528" s="42"/>
      <c r="E528" s="42"/>
      <c r="F528" s="16"/>
      <c r="G528" s="16"/>
      <c r="H528" s="42"/>
      <c r="I528" s="42"/>
      <c r="J528" s="16"/>
      <c r="K528" s="16"/>
      <c r="L528" s="42"/>
      <c r="M528" s="42"/>
      <c r="N528" s="16"/>
      <c r="O528" s="16"/>
      <c r="P528" s="42"/>
      <c r="Q528" s="42"/>
      <c r="R528" s="16"/>
      <c r="S528" s="16"/>
      <c r="T528" s="16"/>
      <c r="U528" s="16"/>
      <c r="V528" s="16"/>
    </row>
    <row r="529" spans="1:43" x14ac:dyDescent="0.25">
      <c r="A529" s="18"/>
      <c r="B529" s="87"/>
      <c r="C529" s="87"/>
      <c r="D529" s="117">
        <v>1</v>
      </c>
      <c r="E529" s="118"/>
      <c r="F529" s="87"/>
      <c r="G529" s="87"/>
      <c r="H529" s="117">
        <v>2</v>
      </c>
      <c r="I529" s="118"/>
      <c r="J529" s="87"/>
      <c r="K529" s="87"/>
      <c r="L529" s="117">
        <v>3</v>
      </c>
      <c r="M529" s="118"/>
      <c r="N529" s="87"/>
      <c r="O529" s="87"/>
      <c r="P529" s="117">
        <v>4</v>
      </c>
      <c r="Q529" s="118"/>
      <c r="R529" s="87"/>
      <c r="S529" s="87"/>
      <c r="T529" s="87"/>
      <c r="U529" s="87"/>
      <c r="V529" s="65"/>
    </row>
    <row r="530" spans="1:43" x14ac:dyDescent="0.25">
      <c r="A530" s="18"/>
      <c r="B530" s="111" t="s">
        <v>6</v>
      </c>
      <c r="C530" s="111"/>
      <c r="D530" s="117" t="s">
        <v>37</v>
      </c>
      <c r="E530" s="118" t="s">
        <v>0</v>
      </c>
      <c r="F530" s="111" t="s">
        <v>6</v>
      </c>
      <c r="G530" s="111"/>
      <c r="H530" s="117" t="s">
        <v>37</v>
      </c>
      <c r="I530" s="118"/>
      <c r="J530" s="111" t="s">
        <v>6</v>
      </c>
      <c r="K530" s="111"/>
      <c r="L530" s="117" t="s">
        <v>37</v>
      </c>
      <c r="M530" s="118"/>
      <c r="N530" s="111" t="s">
        <v>6</v>
      </c>
      <c r="O530" s="111"/>
      <c r="P530" s="117" t="s">
        <v>37</v>
      </c>
      <c r="Q530" s="118"/>
      <c r="R530" s="111"/>
      <c r="S530" s="111"/>
      <c r="T530" s="111"/>
      <c r="U530" s="111"/>
      <c r="V530" s="66"/>
    </row>
    <row r="531" spans="1:43" x14ac:dyDescent="0.25">
      <c r="A531" s="18"/>
      <c r="B531" s="110"/>
      <c r="C531" s="110"/>
      <c r="D531" s="112"/>
      <c r="E531" s="112"/>
      <c r="F531" s="110"/>
      <c r="G531" s="110"/>
      <c r="H531" s="112"/>
      <c r="I531" s="112"/>
      <c r="J531" s="110"/>
      <c r="K531" s="110"/>
      <c r="L531" s="112"/>
      <c r="M531" s="112"/>
      <c r="N531" s="110"/>
      <c r="O531" s="110"/>
      <c r="P531" s="112"/>
      <c r="Q531" s="112"/>
      <c r="R531" s="110"/>
      <c r="S531" s="110"/>
      <c r="T531" s="110"/>
      <c r="U531" s="110"/>
      <c r="V531" s="66"/>
    </row>
    <row r="532" spans="1:43" x14ac:dyDescent="0.25">
      <c r="A532" s="18"/>
      <c r="B532" s="111">
        <v>0</v>
      </c>
      <c r="C532" s="111"/>
      <c r="D532" s="113">
        <v>1</v>
      </c>
      <c r="E532" s="113">
        <v>1</v>
      </c>
      <c r="F532" s="111">
        <v>2</v>
      </c>
      <c r="G532" s="111">
        <v>2</v>
      </c>
      <c r="H532" s="113">
        <v>3</v>
      </c>
      <c r="I532" s="113">
        <v>3</v>
      </c>
      <c r="J532" s="111">
        <v>4</v>
      </c>
      <c r="K532" s="111">
        <v>4</v>
      </c>
      <c r="L532" s="113">
        <v>5</v>
      </c>
      <c r="M532" s="113"/>
      <c r="N532" s="111">
        <v>6</v>
      </c>
      <c r="O532" s="111">
        <v>1</v>
      </c>
      <c r="P532" s="113">
        <v>7</v>
      </c>
      <c r="Q532" s="113">
        <v>2</v>
      </c>
      <c r="R532" s="111">
        <v>8</v>
      </c>
      <c r="S532" s="111">
        <v>3</v>
      </c>
      <c r="T532" s="111">
        <v>9</v>
      </c>
      <c r="U532" s="111">
        <v>4</v>
      </c>
      <c r="V532" s="67"/>
    </row>
    <row r="533" spans="1:43" x14ac:dyDescent="0.25">
      <c r="A533" s="18"/>
      <c r="B533" s="87" t="s">
        <v>1</v>
      </c>
      <c r="C533" s="87" t="s">
        <v>2</v>
      </c>
      <c r="D533" s="88" t="s">
        <v>3</v>
      </c>
      <c r="E533" s="88" t="s">
        <v>4</v>
      </c>
      <c r="F533" s="87" t="s">
        <v>1</v>
      </c>
      <c r="G533" s="87" t="s">
        <v>2</v>
      </c>
      <c r="H533" s="88" t="s">
        <v>3</v>
      </c>
      <c r="I533" s="88" t="s">
        <v>4</v>
      </c>
      <c r="J533" s="87" t="s">
        <v>1</v>
      </c>
      <c r="K533" s="87" t="s">
        <v>2</v>
      </c>
      <c r="L533" s="88" t="s">
        <v>3</v>
      </c>
      <c r="M533" s="88" t="s">
        <v>4</v>
      </c>
      <c r="N533" s="87" t="s">
        <v>1</v>
      </c>
      <c r="O533" s="87" t="s">
        <v>2</v>
      </c>
      <c r="P533" s="88" t="s">
        <v>3</v>
      </c>
      <c r="Q533" s="88" t="s">
        <v>4</v>
      </c>
      <c r="R533" s="87" t="s">
        <v>1</v>
      </c>
      <c r="S533" s="87" t="s">
        <v>2</v>
      </c>
      <c r="T533" s="87" t="s">
        <v>3</v>
      </c>
      <c r="U533" s="87" t="s">
        <v>4</v>
      </c>
      <c r="V533" s="67"/>
    </row>
    <row r="534" spans="1:43" ht="15.75" thickBot="1" x14ac:dyDescent="0.3">
      <c r="A534" s="24"/>
      <c r="B534" s="25"/>
      <c r="C534" s="25"/>
      <c r="D534" s="44"/>
      <c r="E534" s="45"/>
      <c r="F534" s="25"/>
      <c r="G534" s="25"/>
      <c r="H534" s="44"/>
      <c r="I534" s="45"/>
      <c r="J534" s="25"/>
      <c r="K534" s="25"/>
      <c r="L534" s="44"/>
      <c r="M534" s="45"/>
      <c r="N534" s="25"/>
      <c r="O534" s="25"/>
      <c r="P534" s="44"/>
      <c r="Q534" s="45"/>
      <c r="R534" s="25"/>
      <c r="S534" s="25"/>
      <c r="T534" s="25"/>
      <c r="U534" s="25"/>
      <c r="V534" s="68"/>
    </row>
    <row r="535" spans="1:43" ht="15.6" customHeight="1" x14ac:dyDescent="0.25">
      <c r="A535" s="5"/>
      <c r="B535" s="105"/>
      <c r="C535" s="106"/>
      <c r="D535" s="108"/>
      <c r="E535" s="106"/>
      <c r="F535" s="105"/>
      <c r="G535" s="106"/>
      <c r="H535" s="108"/>
      <c r="I535" s="106"/>
      <c r="J535" s="105"/>
      <c r="K535" s="106"/>
      <c r="L535" s="108"/>
      <c r="M535" s="106"/>
      <c r="N535" s="105"/>
      <c r="O535" s="106"/>
      <c r="P535" s="108"/>
      <c r="Q535" s="106"/>
      <c r="R535" s="86"/>
      <c r="S535" s="86"/>
      <c r="T535" s="86"/>
      <c r="U535" s="86"/>
      <c r="V535" s="27"/>
      <c r="W535" s="69"/>
      <c r="X535" s="109"/>
      <c r="Y535" s="109"/>
      <c r="Z535" s="109"/>
      <c r="AA535" s="109"/>
      <c r="AB535" s="109"/>
      <c r="AC535" s="109"/>
      <c r="AD535" s="109"/>
      <c r="AE535" s="109"/>
      <c r="AF535" s="109"/>
      <c r="AG535" s="109"/>
      <c r="AH535" s="109"/>
      <c r="AI535" s="109"/>
      <c r="AJ535" s="109"/>
      <c r="AK535" s="109"/>
      <c r="AL535" s="109"/>
      <c r="AM535" s="109"/>
      <c r="AN535" s="109"/>
      <c r="AO535" s="109"/>
      <c r="AP535" s="109"/>
      <c r="AQ535" s="109"/>
    </row>
    <row r="536" spans="1:43" ht="15.6" customHeight="1" thickBot="1" x14ac:dyDescent="0.3">
      <c r="A536" s="5"/>
      <c r="B536" s="10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7"/>
      <c r="R536" s="110"/>
      <c r="S536" s="110"/>
      <c r="T536" s="110"/>
      <c r="U536" s="110"/>
      <c r="V536" s="27"/>
      <c r="W536" s="69"/>
      <c r="X536" s="109"/>
      <c r="Y536" s="109"/>
      <c r="Z536" s="109"/>
      <c r="AA536" s="109"/>
      <c r="AB536" s="109"/>
      <c r="AC536" s="109"/>
      <c r="AD536" s="109"/>
      <c r="AE536" s="109"/>
      <c r="AF536" s="109"/>
      <c r="AG536" s="109"/>
      <c r="AH536" s="109"/>
      <c r="AI536" s="109"/>
      <c r="AJ536" s="109"/>
      <c r="AK536" s="109"/>
      <c r="AL536" s="109"/>
      <c r="AM536" s="109"/>
      <c r="AN536" s="109"/>
      <c r="AO536" s="109"/>
      <c r="AP536" s="109"/>
      <c r="AQ536" s="109"/>
    </row>
    <row r="537" spans="1:43" x14ac:dyDescent="0.25">
      <c r="A537" s="5"/>
      <c r="B537" s="100"/>
      <c r="C537" s="101"/>
      <c r="D537" s="102"/>
      <c r="E537" s="103"/>
      <c r="F537" s="100"/>
      <c r="G537" s="101"/>
      <c r="H537" s="102"/>
      <c r="I537" s="103"/>
      <c r="J537" s="100"/>
      <c r="K537" s="101"/>
      <c r="L537" s="102"/>
      <c r="M537" s="103"/>
      <c r="N537" s="100"/>
      <c r="O537" s="101"/>
      <c r="P537" s="102"/>
      <c r="Q537" s="103"/>
      <c r="R537" s="86"/>
      <c r="S537" s="86"/>
      <c r="T537" s="86"/>
      <c r="U537" s="86"/>
      <c r="V537" s="27"/>
    </row>
    <row r="538" spans="1:43" x14ac:dyDescent="0.25">
      <c r="A538" s="5"/>
      <c r="B538" s="5"/>
      <c r="C538" s="5"/>
      <c r="D538" s="39"/>
      <c r="E538" s="39"/>
      <c r="F538" s="5"/>
      <c r="G538" s="5"/>
      <c r="H538" s="39"/>
      <c r="I538" s="39"/>
      <c r="J538" s="5"/>
      <c r="K538" s="5"/>
      <c r="L538" s="39"/>
      <c r="M538" s="39"/>
      <c r="N538" s="5"/>
      <c r="O538" s="5"/>
      <c r="P538" s="39"/>
      <c r="Q538" s="39"/>
      <c r="R538" s="5"/>
      <c r="S538" s="5"/>
      <c r="T538" s="5"/>
      <c r="U538" s="5"/>
      <c r="V538" s="5"/>
    </row>
    <row r="539" spans="1:43" x14ac:dyDescent="0.25">
      <c r="A539" s="5"/>
      <c r="B539" s="5"/>
      <c r="C539" s="5"/>
      <c r="D539" s="39"/>
      <c r="E539" s="89" t="s">
        <v>11</v>
      </c>
      <c r="F539" s="104" t="s">
        <v>12</v>
      </c>
      <c r="G539" s="104"/>
      <c r="H539" s="104"/>
      <c r="I539" s="104" t="s">
        <v>41</v>
      </c>
      <c r="J539" s="104"/>
      <c r="K539" s="5"/>
      <c r="L539" s="39"/>
      <c r="M539" s="39"/>
      <c r="N539" s="5"/>
      <c r="O539" s="86" t="s">
        <v>13</v>
      </c>
      <c r="P539" s="39" t="s">
        <v>14</v>
      </c>
      <c r="Q539" s="39"/>
      <c r="R539" s="5"/>
      <c r="S539" s="5" t="s">
        <v>43</v>
      </c>
      <c r="T539" s="5"/>
      <c r="U539" s="5"/>
      <c r="V539" s="5"/>
    </row>
    <row r="540" spans="1:43" x14ac:dyDescent="0.25">
      <c r="A540" s="5"/>
      <c r="B540" s="5"/>
      <c r="C540" s="5"/>
      <c r="D540" s="39"/>
      <c r="E540" s="89" t="s">
        <v>15</v>
      </c>
      <c r="F540" s="104" t="s">
        <v>16</v>
      </c>
      <c r="G540" s="104"/>
      <c r="H540" s="104"/>
      <c r="I540" s="39" t="s">
        <v>42</v>
      </c>
      <c r="J540" s="5"/>
      <c r="K540" s="5"/>
      <c r="L540" s="39"/>
      <c r="M540" s="39"/>
      <c r="N540" s="5"/>
      <c r="O540" s="86" t="s">
        <v>18</v>
      </c>
      <c r="P540" s="39" t="s">
        <v>14</v>
      </c>
      <c r="Q540" s="39"/>
      <c r="R540" s="5"/>
      <c r="S540" s="5" t="s">
        <v>17</v>
      </c>
      <c r="T540" s="5"/>
      <c r="U540" s="5"/>
      <c r="V540" s="5"/>
    </row>
    <row r="541" spans="1:43" x14ac:dyDescent="0.25">
      <c r="A541" s="65" t="s">
        <v>69</v>
      </c>
      <c r="B541" s="65"/>
      <c r="C541" s="65"/>
      <c r="D541" s="77"/>
      <c r="E541" s="78"/>
      <c r="F541" s="65"/>
      <c r="G541" s="65"/>
      <c r="H541" s="77"/>
      <c r="I541" s="77"/>
      <c r="J541" s="65"/>
      <c r="K541" s="65"/>
      <c r="L541" s="77"/>
      <c r="M541" s="77"/>
      <c r="N541" s="65"/>
      <c r="O541" s="65"/>
      <c r="P541" s="77"/>
      <c r="Q541" s="77"/>
      <c r="R541" s="65"/>
      <c r="S541" s="65"/>
      <c r="T541" s="65"/>
      <c r="U541" s="65"/>
      <c r="V541" s="65"/>
    </row>
    <row r="542" spans="1:43" ht="18.75" x14ac:dyDescent="0.3">
      <c r="A542" s="5"/>
      <c r="B542" s="5"/>
      <c r="C542" s="5"/>
      <c r="D542" s="39"/>
      <c r="E542" s="40" t="s">
        <v>7</v>
      </c>
      <c r="F542" s="5"/>
      <c r="G542" s="7"/>
      <c r="H542" s="51"/>
      <c r="I542" s="51"/>
      <c r="J542" s="7"/>
      <c r="K542" s="7"/>
      <c r="L542" s="51"/>
      <c r="M542" s="52" t="s">
        <v>8</v>
      </c>
      <c r="N542" s="114" t="s">
        <v>68</v>
      </c>
      <c r="O542" s="115"/>
      <c r="P542" s="39"/>
      <c r="Q542" s="39"/>
      <c r="R542" s="5"/>
      <c r="S542" s="5"/>
      <c r="T542" s="5"/>
      <c r="U542" s="5"/>
      <c r="V542" s="5"/>
    </row>
    <row r="543" spans="1:43" ht="18.75" x14ac:dyDescent="0.3">
      <c r="A543" s="5"/>
      <c r="B543" s="5"/>
      <c r="C543" s="5"/>
      <c r="D543" s="39"/>
      <c r="E543" s="40" t="s">
        <v>35</v>
      </c>
      <c r="F543" s="5"/>
      <c r="G543" s="5"/>
      <c r="H543" s="39"/>
      <c r="I543" s="39"/>
      <c r="J543" s="9"/>
      <c r="K543" s="9"/>
      <c r="L543" s="53"/>
      <c r="M543" s="52" t="s">
        <v>9</v>
      </c>
      <c r="N543" s="116" t="str">
        <f>N542&amp;".1"</f>
        <v>1.3.1</v>
      </c>
      <c r="O543" s="116"/>
      <c r="P543" s="39"/>
      <c r="Q543" s="39"/>
      <c r="R543" s="5"/>
      <c r="S543" s="5"/>
      <c r="T543" s="5"/>
      <c r="U543" s="5"/>
      <c r="V543" s="5"/>
    </row>
    <row r="544" spans="1:43" ht="18.75" x14ac:dyDescent="0.3">
      <c r="A544" s="5"/>
      <c r="B544" s="5"/>
      <c r="C544" s="5"/>
      <c r="D544" s="39"/>
      <c r="E544" s="39" t="s">
        <v>36</v>
      </c>
      <c r="F544" s="5"/>
      <c r="G544" s="5"/>
      <c r="H544" s="51"/>
      <c r="I544" s="51"/>
      <c r="J544" s="7"/>
      <c r="K544" s="7"/>
      <c r="L544" s="51"/>
      <c r="M544" s="54" t="s">
        <v>9</v>
      </c>
      <c r="N544" s="11">
        <v>1</v>
      </c>
      <c r="O544" s="5"/>
      <c r="P544" s="39"/>
      <c r="Q544" s="39"/>
      <c r="R544" s="5"/>
      <c r="S544" s="5"/>
      <c r="T544" s="5"/>
      <c r="U544" s="5"/>
      <c r="V544" s="5"/>
    </row>
    <row r="545" spans="1:43" ht="18.75" x14ac:dyDescent="0.3">
      <c r="A545" s="5"/>
      <c r="B545" s="5"/>
      <c r="C545" s="5"/>
      <c r="D545" s="39"/>
      <c r="E545" s="39" t="s">
        <v>5</v>
      </c>
      <c r="F545" s="5"/>
      <c r="G545" s="5"/>
      <c r="H545" s="39"/>
      <c r="I545" s="39"/>
      <c r="J545" s="5"/>
      <c r="K545" s="5"/>
      <c r="L545" s="53"/>
      <c r="M545" s="54" t="s">
        <v>9</v>
      </c>
      <c r="N545" s="11" t="str">
        <f>"-"&amp;N543</f>
        <v>-1.3.1</v>
      </c>
      <c r="O545" s="12"/>
      <c r="P545" s="39"/>
      <c r="Q545" s="39"/>
      <c r="R545" s="5"/>
      <c r="S545" s="5"/>
      <c r="T545" s="5"/>
      <c r="U545" s="5"/>
      <c r="V545" s="5"/>
    </row>
    <row r="546" spans="1:43" ht="18.75" x14ac:dyDescent="0.3">
      <c r="A546" s="5"/>
      <c r="B546" s="5"/>
      <c r="C546" s="5"/>
      <c r="D546" s="39"/>
      <c r="E546" s="41" t="s">
        <v>10</v>
      </c>
      <c r="F546" s="5"/>
      <c r="G546" s="5"/>
      <c r="H546" s="39"/>
      <c r="I546" s="51"/>
      <c r="J546" s="7"/>
      <c r="K546" s="7"/>
      <c r="L546" s="51"/>
      <c r="M546" s="54" t="s">
        <v>9</v>
      </c>
      <c r="N546" s="3">
        <v>28</v>
      </c>
      <c r="O546" s="5"/>
      <c r="P546" s="39"/>
      <c r="Q546" s="39"/>
      <c r="R546" s="5"/>
      <c r="S546" s="5"/>
      <c r="T546" s="5"/>
      <c r="U546" s="5"/>
      <c r="V546" s="5"/>
    </row>
    <row r="547" spans="1:43" ht="15.75" thickBot="1" x14ac:dyDescent="0.3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</row>
    <row r="548" spans="1:43" x14ac:dyDescent="0.25">
      <c r="A548" s="15"/>
      <c r="B548" s="16"/>
      <c r="C548" s="16"/>
      <c r="D548" s="42"/>
      <c r="E548" s="42"/>
      <c r="F548" s="16"/>
      <c r="G548" s="16"/>
      <c r="H548" s="42"/>
      <c r="I548" s="42"/>
      <c r="J548" s="16"/>
      <c r="K548" s="16"/>
      <c r="L548" s="42"/>
      <c r="M548" s="42"/>
      <c r="N548" s="16"/>
      <c r="O548" s="16"/>
      <c r="P548" s="42"/>
      <c r="Q548" s="42"/>
      <c r="R548" s="16"/>
      <c r="S548" s="16"/>
      <c r="T548" s="16"/>
      <c r="U548" s="16"/>
      <c r="V548" s="16"/>
    </row>
    <row r="549" spans="1:43" x14ac:dyDescent="0.25">
      <c r="A549" s="18"/>
      <c r="B549" s="87"/>
      <c r="C549" s="87"/>
      <c r="D549" s="117">
        <v>1</v>
      </c>
      <c r="E549" s="118"/>
      <c r="F549" s="87"/>
      <c r="G549" s="87"/>
      <c r="H549" s="117">
        <v>2</v>
      </c>
      <c r="I549" s="118"/>
      <c r="J549" s="87"/>
      <c r="K549" s="87"/>
      <c r="L549" s="117">
        <v>3</v>
      </c>
      <c r="M549" s="118"/>
      <c r="N549" s="87"/>
      <c r="O549" s="87"/>
      <c r="P549" s="117">
        <v>4</v>
      </c>
      <c r="Q549" s="118"/>
      <c r="R549" s="87"/>
      <c r="S549" s="87"/>
      <c r="T549" s="87"/>
      <c r="U549" s="87"/>
      <c r="V549" s="65"/>
    </row>
    <row r="550" spans="1:43" x14ac:dyDescent="0.25">
      <c r="A550" s="18"/>
      <c r="B550" s="111" t="s">
        <v>6</v>
      </c>
      <c r="C550" s="111"/>
      <c r="D550" s="117" t="s">
        <v>37</v>
      </c>
      <c r="E550" s="118" t="s">
        <v>0</v>
      </c>
      <c r="F550" s="111" t="s">
        <v>6</v>
      </c>
      <c r="G550" s="111"/>
      <c r="H550" s="117" t="s">
        <v>37</v>
      </c>
      <c r="I550" s="118"/>
      <c r="J550" s="111" t="s">
        <v>6</v>
      </c>
      <c r="K550" s="111"/>
      <c r="L550" s="117" t="s">
        <v>37</v>
      </c>
      <c r="M550" s="118"/>
      <c r="N550" s="111" t="s">
        <v>6</v>
      </c>
      <c r="O550" s="111"/>
      <c r="P550" s="117" t="s">
        <v>37</v>
      </c>
      <c r="Q550" s="118"/>
      <c r="R550" s="111"/>
      <c r="S550" s="111"/>
      <c r="T550" s="111"/>
      <c r="U550" s="111"/>
      <c r="V550" s="66"/>
    </row>
    <row r="551" spans="1:43" x14ac:dyDescent="0.25">
      <c r="A551" s="18"/>
      <c r="B551" s="110"/>
      <c r="C551" s="110"/>
      <c r="D551" s="112"/>
      <c r="E551" s="112"/>
      <c r="F551" s="110"/>
      <c r="G551" s="110"/>
      <c r="H551" s="112"/>
      <c r="I551" s="112"/>
      <c r="J551" s="110"/>
      <c r="K551" s="110"/>
      <c r="L551" s="112"/>
      <c r="M551" s="112"/>
      <c r="N551" s="110"/>
      <c r="O551" s="110"/>
      <c r="P551" s="112"/>
      <c r="Q551" s="112"/>
      <c r="R551" s="110"/>
      <c r="S551" s="110"/>
      <c r="T551" s="110"/>
      <c r="U551" s="110"/>
      <c r="V551" s="66"/>
    </row>
    <row r="552" spans="1:43" x14ac:dyDescent="0.25">
      <c r="A552" s="18"/>
      <c r="B552" s="111">
        <v>0</v>
      </c>
      <c r="C552" s="111"/>
      <c r="D552" s="113">
        <v>1</v>
      </c>
      <c r="E552" s="113">
        <v>1</v>
      </c>
      <c r="F552" s="111">
        <v>2</v>
      </c>
      <c r="G552" s="111">
        <v>2</v>
      </c>
      <c r="H552" s="113">
        <v>3</v>
      </c>
      <c r="I552" s="113">
        <v>3</v>
      </c>
      <c r="J552" s="111">
        <v>4</v>
      </c>
      <c r="K552" s="111">
        <v>4</v>
      </c>
      <c r="L552" s="113">
        <v>5</v>
      </c>
      <c r="M552" s="113"/>
      <c r="N552" s="111">
        <v>6</v>
      </c>
      <c r="O552" s="111">
        <v>1</v>
      </c>
      <c r="P552" s="113">
        <v>7</v>
      </c>
      <c r="Q552" s="113">
        <v>2</v>
      </c>
      <c r="R552" s="111">
        <v>8</v>
      </c>
      <c r="S552" s="111">
        <v>3</v>
      </c>
      <c r="T552" s="111">
        <v>9</v>
      </c>
      <c r="U552" s="111">
        <v>4</v>
      </c>
      <c r="V552" s="67"/>
    </row>
    <row r="553" spans="1:43" x14ac:dyDescent="0.25">
      <c r="A553" s="18"/>
      <c r="B553" s="87" t="s">
        <v>1</v>
      </c>
      <c r="C553" s="87" t="s">
        <v>2</v>
      </c>
      <c r="D553" s="88" t="s">
        <v>3</v>
      </c>
      <c r="E553" s="88" t="s">
        <v>4</v>
      </c>
      <c r="F553" s="87" t="s">
        <v>1</v>
      </c>
      <c r="G553" s="87" t="s">
        <v>2</v>
      </c>
      <c r="H553" s="88" t="s">
        <v>3</v>
      </c>
      <c r="I553" s="88" t="s">
        <v>4</v>
      </c>
      <c r="J553" s="87" t="s">
        <v>1</v>
      </c>
      <c r="K553" s="87" t="s">
        <v>2</v>
      </c>
      <c r="L553" s="88" t="s">
        <v>3</v>
      </c>
      <c r="M553" s="88" t="s">
        <v>4</v>
      </c>
      <c r="N553" s="87" t="s">
        <v>1</v>
      </c>
      <c r="O553" s="87" t="s">
        <v>2</v>
      </c>
      <c r="P553" s="88" t="s">
        <v>3</v>
      </c>
      <c r="Q553" s="88" t="s">
        <v>4</v>
      </c>
      <c r="R553" s="87" t="s">
        <v>1</v>
      </c>
      <c r="S553" s="87" t="s">
        <v>2</v>
      </c>
      <c r="T553" s="87" t="s">
        <v>3</v>
      </c>
      <c r="U553" s="87" t="s">
        <v>4</v>
      </c>
      <c r="V553" s="67"/>
    </row>
    <row r="554" spans="1:43" ht="15.75" thickBot="1" x14ac:dyDescent="0.3">
      <c r="A554" s="24"/>
      <c r="B554" s="25"/>
      <c r="C554" s="25"/>
      <c r="D554" s="44"/>
      <c r="E554" s="45"/>
      <c r="F554" s="25"/>
      <c r="G554" s="25"/>
      <c r="H554" s="44"/>
      <c r="I554" s="45"/>
      <c r="J554" s="25"/>
      <c r="K554" s="25"/>
      <c r="L554" s="44"/>
      <c r="M554" s="45"/>
      <c r="N554" s="25"/>
      <c r="O554" s="25"/>
      <c r="P554" s="44"/>
      <c r="Q554" s="45"/>
      <c r="R554" s="25"/>
      <c r="S554" s="25"/>
      <c r="T554" s="25"/>
      <c r="U554" s="25"/>
      <c r="V554" s="68"/>
    </row>
    <row r="555" spans="1:43" ht="15.6" customHeight="1" x14ac:dyDescent="0.25">
      <c r="A555" s="5"/>
      <c r="B555" s="105"/>
      <c r="C555" s="106"/>
      <c r="D555" s="108"/>
      <c r="E555" s="106"/>
      <c r="F555" s="105"/>
      <c r="G555" s="106"/>
      <c r="H555" s="108"/>
      <c r="I555" s="106"/>
      <c r="J555" s="105"/>
      <c r="K555" s="106"/>
      <c r="L555" s="108"/>
      <c r="M555" s="106"/>
      <c r="N555" s="105"/>
      <c r="O555" s="106"/>
      <c r="P555" s="108"/>
      <c r="Q555" s="106"/>
      <c r="R555" s="86"/>
      <c r="S555" s="86"/>
      <c r="T555" s="86"/>
      <c r="U555" s="86"/>
      <c r="V555" s="27"/>
      <c r="W555" s="69"/>
      <c r="X555" s="109"/>
      <c r="Y555" s="109"/>
      <c r="Z555" s="109"/>
      <c r="AA555" s="109"/>
      <c r="AB555" s="109"/>
      <c r="AC555" s="109"/>
      <c r="AD555" s="109"/>
      <c r="AE555" s="109"/>
      <c r="AF555" s="109"/>
      <c r="AG555" s="109"/>
      <c r="AH555" s="109"/>
      <c r="AI555" s="109"/>
      <c r="AJ555" s="109"/>
      <c r="AK555" s="109"/>
      <c r="AL555" s="109"/>
      <c r="AM555" s="109"/>
      <c r="AN555" s="109"/>
      <c r="AO555" s="109"/>
      <c r="AP555" s="109"/>
      <c r="AQ555" s="109"/>
    </row>
    <row r="556" spans="1:43" ht="15.6" customHeight="1" thickBot="1" x14ac:dyDescent="0.3">
      <c r="A556" s="5"/>
      <c r="B556" s="10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7"/>
      <c r="R556" s="110"/>
      <c r="S556" s="110"/>
      <c r="T556" s="110"/>
      <c r="U556" s="110"/>
      <c r="V556" s="27"/>
      <c r="W556" s="69"/>
      <c r="X556" s="109"/>
      <c r="Y556" s="109"/>
      <c r="Z556" s="109"/>
      <c r="AA556" s="109"/>
      <c r="AB556" s="109"/>
      <c r="AC556" s="109"/>
      <c r="AD556" s="109"/>
      <c r="AE556" s="109"/>
      <c r="AF556" s="109"/>
      <c r="AG556" s="109"/>
      <c r="AH556" s="109"/>
      <c r="AI556" s="109"/>
      <c r="AJ556" s="109"/>
      <c r="AK556" s="109"/>
      <c r="AL556" s="109"/>
      <c r="AM556" s="109"/>
      <c r="AN556" s="109"/>
      <c r="AO556" s="109"/>
      <c r="AP556" s="109"/>
      <c r="AQ556" s="109"/>
    </row>
    <row r="557" spans="1:43" x14ac:dyDescent="0.25">
      <c r="A557" s="5"/>
      <c r="B557" s="100"/>
      <c r="C557" s="101"/>
      <c r="D557" s="102"/>
      <c r="E557" s="103"/>
      <c r="F557" s="100"/>
      <c r="G557" s="101"/>
      <c r="H557" s="102"/>
      <c r="I557" s="103"/>
      <c r="J557" s="100"/>
      <c r="K557" s="101"/>
      <c r="L557" s="102"/>
      <c r="M557" s="103"/>
      <c r="N557" s="100"/>
      <c r="O557" s="101"/>
      <c r="P557" s="102"/>
      <c r="Q557" s="103"/>
      <c r="R557" s="86"/>
      <c r="S557" s="86"/>
      <c r="T557" s="86"/>
      <c r="U557" s="86"/>
      <c r="V557" s="27"/>
    </row>
    <row r="558" spans="1:43" x14ac:dyDescent="0.25">
      <c r="A558" s="5"/>
      <c r="B558" s="5"/>
      <c r="C558" s="5"/>
      <c r="D558" s="39"/>
      <c r="E558" s="39"/>
      <c r="F558" s="5"/>
      <c r="G558" s="5"/>
      <c r="H558" s="39"/>
      <c r="I558" s="39"/>
      <c r="J558" s="5"/>
      <c r="K558" s="5"/>
      <c r="L558" s="39"/>
      <c r="M558" s="39"/>
      <c r="N558" s="5"/>
      <c r="O558" s="5"/>
      <c r="P558" s="39"/>
      <c r="Q558" s="39"/>
      <c r="R558" s="5"/>
      <c r="S558" s="5"/>
      <c r="T558" s="5"/>
      <c r="U558" s="5"/>
      <c r="V558" s="5"/>
    </row>
    <row r="559" spans="1:43" x14ac:dyDescent="0.25">
      <c r="A559" s="5"/>
      <c r="B559" s="5"/>
      <c r="C559" s="5"/>
      <c r="D559" s="39"/>
      <c r="E559" s="89" t="s">
        <v>11</v>
      </c>
      <c r="F559" s="104" t="s">
        <v>12</v>
      </c>
      <c r="G559" s="104"/>
      <c r="H559" s="104"/>
      <c r="I559" s="104" t="s">
        <v>41</v>
      </c>
      <c r="J559" s="104"/>
      <c r="K559" s="5"/>
      <c r="L559" s="39"/>
      <c r="M559" s="39"/>
      <c r="N559" s="5"/>
      <c r="O559" s="86" t="s">
        <v>13</v>
      </c>
      <c r="P559" s="39" t="s">
        <v>14</v>
      </c>
      <c r="Q559" s="39"/>
      <c r="R559" s="5"/>
      <c r="S559" s="5" t="s">
        <v>43</v>
      </c>
      <c r="T559" s="5"/>
      <c r="U559" s="5"/>
      <c r="V559" s="5"/>
    </row>
    <row r="560" spans="1:43" x14ac:dyDescent="0.25">
      <c r="A560" s="5"/>
      <c r="B560" s="5"/>
      <c r="C560" s="5"/>
      <c r="D560" s="39"/>
      <c r="E560" s="89" t="s">
        <v>15</v>
      </c>
      <c r="F560" s="104" t="s">
        <v>16</v>
      </c>
      <c r="G560" s="104"/>
      <c r="H560" s="104"/>
      <c r="I560" s="39" t="s">
        <v>42</v>
      </c>
      <c r="J560" s="5"/>
      <c r="K560" s="5"/>
      <c r="L560" s="39"/>
      <c r="M560" s="39"/>
      <c r="N560" s="5"/>
      <c r="O560" s="86" t="s">
        <v>18</v>
      </c>
      <c r="P560" s="39" t="s">
        <v>14</v>
      </c>
      <c r="Q560" s="39"/>
      <c r="R560" s="5"/>
      <c r="S560" s="5" t="s">
        <v>17</v>
      </c>
      <c r="T560" s="5"/>
      <c r="U560" s="5"/>
      <c r="V560" s="5"/>
    </row>
    <row r="561" spans="1:43" x14ac:dyDescent="0.25">
      <c r="A561" s="65" t="s">
        <v>69</v>
      </c>
      <c r="B561" s="65"/>
      <c r="C561" s="65"/>
      <c r="D561" s="77"/>
      <c r="E561" s="78"/>
      <c r="F561" s="65"/>
      <c r="G561" s="65"/>
      <c r="H561" s="77"/>
      <c r="I561" s="77"/>
      <c r="J561" s="65"/>
      <c r="K561" s="65"/>
      <c r="L561" s="77"/>
      <c r="M561" s="77"/>
      <c r="N561" s="65"/>
      <c r="O561" s="65"/>
      <c r="P561" s="77"/>
      <c r="Q561" s="77"/>
      <c r="R561" s="65"/>
      <c r="S561" s="65"/>
      <c r="T561" s="65"/>
      <c r="U561" s="65"/>
      <c r="V561" s="65"/>
    </row>
    <row r="562" spans="1:43" ht="18.75" x14ac:dyDescent="0.3">
      <c r="A562" s="5"/>
      <c r="B562" s="5"/>
      <c r="C562" s="5"/>
      <c r="D562" s="39"/>
      <c r="E562" s="40" t="s">
        <v>7</v>
      </c>
      <c r="F562" s="5"/>
      <c r="G562" s="7"/>
      <c r="H562" s="51"/>
      <c r="I562" s="51"/>
      <c r="J562" s="7"/>
      <c r="K562" s="7"/>
      <c r="L562" s="51"/>
      <c r="M562" s="52" t="s">
        <v>8</v>
      </c>
      <c r="N562" s="114" t="s">
        <v>68</v>
      </c>
      <c r="O562" s="115"/>
      <c r="P562" s="39"/>
      <c r="Q562" s="39"/>
      <c r="R562" s="5"/>
      <c r="S562" s="5"/>
      <c r="T562" s="5"/>
      <c r="U562" s="5"/>
      <c r="V562" s="5"/>
    </row>
    <row r="563" spans="1:43" ht="18.75" x14ac:dyDescent="0.3">
      <c r="A563" s="5"/>
      <c r="B563" s="5"/>
      <c r="C563" s="5"/>
      <c r="D563" s="39"/>
      <c r="E563" s="40" t="s">
        <v>35</v>
      </c>
      <c r="F563" s="5"/>
      <c r="G563" s="5"/>
      <c r="H563" s="39"/>
      <c r="I563" s="39"/>
      <c r="J563" s="9"/>
      <c r="K563" s="9"/>
      <c r="L563" s="53"/>
      <c r="M563" s="52" t="s">
        <v>9</v>
      </c>
      <c r="N563" s="116" t="str">
        <f>N562&amp;".1"</f>
        <v>1.3.1</v>
      </c>
      <c r="O563" s="116"/>
      <c r="P563" s="39"/>
      <c r="Q563" s="39"/>
      <c r="R563" s="5"/>
      <c r="S563" s="5"/>
      <c r="T563" s="5"/>
      <c r="U563" s="5"/>
      <c r="V563" s="5"/>
    </row>
    <row r="564" spans="1:43" ht="18.75" x14ac:dyDescent="0.3">
      <c r="A564" s="5"/>
      <c r="B564" s="5"/>
      <c r="C564" s="5"/>
      <c r="D564" s="39"/>
      <c r="E564" s="39" t="s">
        <v>36</v>
      </c>
      <c r="F564" s="5"/>
      <c r="G564" s="5"/>
      <c r="H564" s="51"/>
      <c r="I564" s="51"/>
      <c r="J564" s="7"/>
      <c r="K564" s="7"/>
      <c r="L564" s="51"/>
      <c r="M564" s="54" t="s">
        <v>9</v>
      </c>
      <c r="N564" s="11">
        <v>1</v>
      </c>
      <c r="O564" s="5"/>
      <c r="P564" s="39"/>
      <c r="Q564" s="39"/>
      <c r="R564" s="5"/>
      <c r="S564" s="5"/>
      <c r="T564" s="5"/>
      <c r="U564" s="5"/>
      <c r="V564" s="5"/>
    </row>
    <row r="565" spans="1:43" ht="18.75" x14ac:dyDescent="0.3">
      <c r="A565" s="5"/>
      <c r="B565" s="5"/>
      <c r="C565" s="5"/>
      <c r="D565" s="39"/>
      <c r="E565" s="39" t="s">
        <v>5</v>
      </c>
      <c r="F565" s="5"/>
      <c r="G565" s="5"/>
      <c r="H565" s="39"/>
      <c r="I565" s="39"/>
      <c r="J565" s="5"/>
      <c r="K565" s="5"/>
      <c r="L565" s="53"/>
      <c r="M565" s="54" t="s">
        <v>9</v>
      </c>
      <c r="N565" s="11" t="str">
        <f>"-"&amp;N563</f>
        <v>-1.3.1</v>
      </c>
      <c r="O565" s="12"/>
      <c r="P565" s="39"/>
      <c r="Q565" s="39"/>
      <c r="R565" s="5"/>
      <c r="S565" s="5"/>
      <c r="T565" s="5"/>
      <c r="U565" s="5"/>
      <c r="V565" s="5"/>
    </row>
    <row r="566" spans="1:43" ht="18.75" x14ac:dyDescent="0.3">
      <c r="A566" s="5"/>
      <c r="B566" s="5"/>
      <c r="C566" s="5"/>
      <c r="D566" s="39"/>
      <c r="E566" s="41" t="s">
        <v>10</v>
      </c>
      <c r="F566" s="5"/>
      <c r="G566" s="5"/>
      <c r="H566" s="39"/>
      <c r="I566" s="51"/>
      <c r="J566" s="7"/>
      <c r="K566" s="7"/>
      <c r="L566" s="51"/>
      <c r="M566" s="54" t="s">
        <v>9</v>
      </c>
      <c r="N566" s="3">
        <v>29</v>
      </c>
      <c r="O566" s="5"/>
      <c r="P566" s="39"/>
      <c r="Q566" s="39"/>
      <c r="R566" s="5"/>
      <c r="S566" s="5"/>
      <c r="T566" s="5"/>
      <c r="U566" s="5"/>
      <c r="V566" s="5"/>
    </row>
    <row r="567" spans="1:43" ht="15.75" thickBot="1" x14ac:dyDescent="0.3">
      <c r="A567" s="5"/>
      <c r="B567" s="5"/>
      <c r="C567" s="5"/>
      <c r="D567" s="39"/>
      <c r="E567" s="39"/>
      <c r="F567" s="5"/>
      <c r="G567" s="5"/>
      <c r="H567" s="39"/>
      <c r="I567" s="39"/>
      <c r="J567" s="5"/>
      <c r="K567" s="5"/>
      <c r="L567" s="39"/>
      <c r="M567" s="39"/>
      <c r="N567" s="5"/>
      <c r="O567" s="5"/>
      <c r="P567" s="39"/>
      <c r="Q567" s="39"/>
      <c r="R567" s="5"/>
      <c r="S567" s="5"/>
      <c r="T567" s="5"/>
      <c r="U567" s="5"/>
      <c r="V567" s="5"/>
    </row>
    <row r="568" spans="1:43" x14ac:dyDescent="0.25">
      <c r="A568" s="15"/>
      <c r="B568" s="16"/>
      <c r="C568" s="16"/>
      <c r="D568" s="42"/>
      <c r="E568" s="42"/>
      <c r="F568" s="16"/>
      <c r="G568" s="16"/>
      <c r="H568" s="42"/>
      <c r="I568" s="42"/>
      <c r="J568" s="16"/>
      <c r="K568" s="16"/>
      <c r="L568" s="42"/>
      <c r="M568" s="42"/>
      <c r="N568" s="16"/>
      <c r="O568" s="16"/>
      <c r="P568" s="42"/>
      <c r="Q568" s="42"/>
      <c r="R568" s="16"/>
      <c r="S568" s="16"/>
      <c r="T568" s="16"/>
      <c r="U568" s="16"/>
      <c r="V568" s="16"/>
    </row>
    <row r="569" spans="1:43" x14ac:dyDescent="0.25">
      <c r="A569" s="18"/>
      <c r="B569" s="87"/>
      <c r="C569" s="87"/>
      <c r="D569" s="117">
        <v>1</v>
      </c>
      <c r="E569" s="118"/>
      <c r="F569" s="87"/>
      <c r="G569" s="87"/>
      <c r="H569" s="117">
        <v>2</v>
      </c>
      <c r="I569" s="118"/>
      <c r="J569" s="87"/>
      <c r="K569" s="87"/>
      <c r="L569" s="117">
        <v>3</v>
      </c>
      <c r="M569" s="118"/>
      <c r="N569" s="87"/>
      <c r="O569" s="87"/>
      <c r="P569" s="117">
        <v>4</v>
      </c>
      <c r="Q569" s="118"/>
      <c r="R569" s="87"/>
      <c r="S569" s="87"/>
      <c r="T569" s="87"/>
      <c r="U569" s="87"/>
      <c r="V569" s="65"/>
    </row>
    <row r="570" spans="1:43" x14ac:dyDescent="0.25">
      <c r="A570" s="18"/>
      <c r="B570" s="111" t="s">
        <v>6</v>
      </c>
      <c r="C570" s="111"/>
      <c r="D570" s="117" t="s">
        <v>37</v>
      </c>
      <c r="E570" s="118" t="s">
        <v>0</v>
      </c>
      <c r="F570" s="111" t="s">
        <v>6</v>
      </c>
      <c r="G570" s="111"/>
      <c r="H570" s="117" t="s">
        <v>37</v>
      </c>
      <c r="I570" s="118"/>
      <c r="J570" s="111" t="s">
        <v>6</v>
      </c>
      <c r="K570" s="111"/>
      <c r="L570" s="117" t="s">
        <v>37</v>
      </c>
      <c r="M570" s="118"/>
      <c r="N570" s="111" t="s">
        <v>6</v>
      </c>
      <c r="O570" s="111"/>
      <c r="P570" s="117" t="s">
        <v>37</v>
      </c>
      <c r="Q570" s="118"/>
      <c r="R570" s="111"/>
      <c r="S570" s="111"/>
      <c r="T570" s="111"/>
      <c r="U570" s="111"/>
      <c r="V570" s="66"/>
    </row>
    <row r="571" spans="1:43" x14ac:dyDescent="0.25">
      <c r="A571" s="18"/>
      <c r="B571" s="110"/>
      <c r="C571" s="110"/>
      <c r="D571" s="112"/>
      <c r="E571" s="112"/>
      <c r="F571" s="110"/>
      <c r="G571" s="110"/>
      <c r="H571" s="112"/>
      <c r="I571" s="112"/>
      <c r="J571" s="110"/>
      <c r="K571" s="110"/>
      <c r="L571" s="112"/>
      <c r="M571" s="112"/>
      <c r="N571" s="110"/>
      <c r="O571" s="110"/>
      <c r="P571" s="112"/>
      <c r="Q571" s="112"/>
      <c r="R571" s="110"/>
      <c r="S571" s="110"/>
      <c r="T571" s="110"/>
      <c r="U571" s="110"/>
      <c r="V571" s="66"/>
    </row>
    <row r="572" spans="1:43" x14ac:dyDescent="0.25">
      <c r="A572" s="18"/>
      <c r="B572" s="111">
        <v>0</v>
      </c>
      <c r="C572" s="111"/>
      <c r="D572" s="113">
        <v>1</v>
      </c>
      <c r="E572" s="113">
        <v>1</v>
      </c>
      <c r="F572" s="111">
        <v>2</v>
      </c>
      <c r="G572" s="111">
        <v>2</v>
      </c>
      <c r="H572" s="113">
        <v>3</v>
      </c>
      <c r="I572" s="113">
        <v>3</v>
      </c>
      <c r="J572" s="111">
        <v>4</v>
      </c>
      <c r="K572" s="111">
        <v>4</v>
      </c>
      <c r="L572" s="113">
        <v>5</v>
      </c>
      <c r="M572" s="113"/>
      <c r="N572" s="111">
        <v>6</v>
      </c>
      <c r="O572" s="111">
        <v>1</v>
      </c>
      <c r="P572" s="113">
        <v>7</v>
      </c>
      <c r="Q572" s="113">
        <v>2</v>
      </c>
      <c r="R572" s="111">
        <v>8</v>
      </c>
      <c r="S572" s="111">
        <v>3</v>
      </c>
      <c r="T572" s="111">
        <v>9</v>
      </c>
      <c r="U572" s="111">
        <v>4</v>
      </c>
      <c r="V572" s="67"/>
    </row>
    <row r="573" spans="1:43" x14ac:dyDescent="0.25">
      <c r="A573" s="18"/>
      <c r="B573" s="87" t="s">
        <v>1</v>
      </c>
      <c r="C573" s="87" t="s">
        <v>2</v>
      </c>
      <c r="D573" s="88" t="s">
        <v>3</v>
      </c>
      <c r="E573" s="88" t="s">
        <v>4</v>
      </c>
      <c r="F573" s="87" t="s">
        <v>1</v>
      </c>
      <c r="G573" s="87" t="s">
        <v>2</v>
      </c>
      <c r="H573" s="88" t="s">
        <v>3</v>
      </c>
      <c r="I573" s="88" t="s">
        <v>4</v>
      </c>
      <c r="J573" s="87" t="s">
        <v>1</v>
      </c>
      <c r="K573" s="87" t="s">
        <v>2</v>
      </c>
      <c r="L573" s="88" t="s">
        <v>3</v>
      </c>
      <c r="M573" s="88" t="s">
        <v>4</v>
      </c>
      <c r="N573" s="87" t="s">
        <v>1</v>
      </c>
      <c r="O573" s="87" t="s">
        <v>2</v>
      </c>
      <c r="P573" s="88" t="s">
        <v>3</v>
      </c>
      <c r="Q573" s="88" t="s">
        <v>4</v>
      </c>
      <c r="R573" s="87" t="s">
        <v>1</v>
      </c>
      <c r="S573" s="87" t="s">
        <v>2</v>
      </c>
      <c r="T573" s="87" t="s">
        <v>3</v>
      </c>
      <c r="U573" s="87" t="s">
        <v>4</v>
      </c>
      <c r="V573" s="67"/>
    </row>
    <row r="574" spans="1:43" ht="15.75" thickBot="1" x14ac:dyDescent="0.3">
      <c r="A574" s="24"/>
      <c r="B574" s="25"/>
      <c r="C574" s="25"/>
      <c r="D574" s="44"/>
      <c r="E574" s="45"/>
      <c r="F574" s="25"/>
      <c r="G574" s="25"/>
      <c r="H574" s="44"/>
      <c r="I574" s="45"/>
      <c r="J574" s="25"/>
      <c r="K574" s="25"/>
      <c r="L574" s="44"/>
      <c r="M574" s="45"/>
      <c r="N574" s="25"/>
      <c r="O574" s="25"/>
      <c r="P574" s="44"/>
      <c r="Q574" s="45"/>
      <c r="R574" s="25"/>
      <c r="S574" s="25"/>
      <c r="T574" s="25"/>
      <c r="U574" s="25"/>
      <c r="V574" s="68"/>
    </row>
    <row r="575" spans="1:43" ht="15.6" customHeight="1" x14ac:dyDescent="0.25">
      <c r="A575" s="5"/>
      <c r="B575" s="105"/>
      <c r="C575" s="106"/>
      <c r="D575" s="108"/>
      <c r="E575" s="106"/>
      <c r="F575" s="105"/>
      <c r="G575" s="106"/>
      <c r="H575" s="108"/>
      <c r="I575" s="106"/>
      <c r="J575" s="105"/>
      <c r="K575" s="106"/>
      <c r="L575" s="108"/>
      <c r="M575" s="106"/>
      <c r="N575" s="105"/>
      <c r="O575" s="106"/>
      <c r="P575" s="108"/>
      <c r="Q575" s="106"/>
      <c r="R575" s="86"/>
      <c r="S575" s="86"/>
      <c r="T575" s="86"/>
      <c r="U575" s="86"/>
      <c r="V575" s="27"/>
      <c r="W575" s="69"/>
      <c r="X575" s="109"/>
      <c r="Y575" s="109"/>
      <c r="Z575" s="109"/>
      <c r="AA575" s="109"/>
      <c r="AB575" s="109"/>
      <c r="AC575" s="109"/>
      <c r="AD575" s="109"/>
      <c r="AE575" s="109"/>
      <c r="AF575" s="109"/>
      <c r="AG575" s="109"/>
      <c r="AH575" s="109"/>
      <c r="AI575" s="109"/>
      <c r="AJ575" s="109"/>
      <c r="AK575" s="109"/>
      <c r="AL575" s="109"/>
      <c r="AM575" s="109"/>
      <c r="AN575" s="109"/>
      <c r="AO575" s="109"/>
      <c r="AP575" s="109"/>
      <c r="AQ575" s="109"/>
    </row>
    <row r="576" spans="1:43" ht="15.6" customHeight="1" thickBot="1" x14ac:dyDescent="0.3">
      <c r="A576" s="5"/>
      <c r="B576" s="10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7"/>
      <c r="R576" s="110"/>
      <c r="S576" s="110"/>
      <c r="T576" s="110"/>
      <c r="U576" s="110"/>
      <c r="V576" s="27"/>
      <c r="W576" s="69"/>
      <c r="X576" s="109"/>
      <c r="Y576" s="109"/>
      <c r="Z576" s="109"/>
      <c r="AA576" s="109"/>
      <c r="AB576" s="109"/>
      <c r="AC576" s="109"/>
      <c r="AD576" s="109"/>
      <c r="AE576" s="109"/>
      <c r="AF576" s="109"/>
      <c r="AG576" s="109"/>
      <c r="AH576" s="109"/>
      <c r="AI576" s="109"/>
      <c r="AJ576" s="109"/>
      <c r="AK576" s="109"/>
      <c r="AL576" s="109"/>
      <c r="AM576" s="109"/>
      <c r="AN576" s="109"/>
      <c r="AO576" s="109"/>
      <c r="AP576" s="109"/>
      <c r="AQ576" s="109"/>
    </row>
    <row r="577" spans="1:22" x14ac:dyDescent="0.25">
      <c r="A577" s="5"/>
      <c r="B577" s="100"/>
      <c r="C577" s="101"/>
      <c r="D577" s="102"/>
      <c r="E577" s="103"/>
      <c r="F577" s="100"/>
      <c r="G577" s="101"/>
      <c r="H577" s="102"/>
      <c r="I577" s="103"/>
      <c r="J577" s="100"/>
      <c r="K577" s="101"/>
      <c r="L577" s="102"/>
      <c r="M577" s="103"/>
      <c r="N577" s="100"/>
      <c r="O577" s="101"/>
      <c r="P577" s="102"/>
      <c r="Q577" s="103"/>
      <c r="R577" s="86"/>
      <c r="S577" s="86"/>
      <c r="T577" s="86"/>
      <c r="U577" s="86"/>
      <c r="V577" s="27"/>
    </row>
    <row r="578" spans="1:22" x14ac:dyDescent="0.25">
      <c r="A578" s="5"/>
      <c r="B578" s="5"/>
      <c r="C578" s="5"/>
      <c r="D578" s="39"/>
      <c r="E578" s="39"/>
      <c r="F578" s="5"/>
      <c r="G578" s="5"/>
      <c r="H578" s="39"/>
      <c r="I578" s="39"/>
      <c r="J578" s="5"/>
      <c r="K578" s="5"/>
      <c r="L578" s="39"/>
      <c r="M578" s="39"/>
      <c r="N578" s="5"/>
      <c r="O578" s="5"/>
      <c r="P578" s="39"/>
      <c r="Q578" s="39"/>
      <c r="R578" s="5"/>
      <c r="S578" s="5"/>
      <c r="T578" s="5"/>
      <c r="U578" s="5"/>
      <c r="V578" s="5"/>
    </row>
    <row r="579" spans="1:22" x14ac:dyDescent="0.25">
      <c r="A579" s="5"/>
      <c r="B579" s="5"/>
      <c r="C579" s="5"/>
      <c r="D579" s="39"/>
      <c r="E579" s="89" t="s">
        <v>11</v>
      </c>
      <c r="F579" s="104" t="s">
        <v>12</v>
      </c>
      <c r="G579" s="104"/>
      <c r="H579" s="104"/>
      <c r="I579" s="104" t="s">
        <v>41</v>
      </c>
      <c r="J579" s="104"/>
      <c r="K579" s="5"/>
      <c r="L579" s="39"/>
      <c r="M579" s="39"/>
      <c r="N579" s="5"/>
      <c r="O579" s="86" t="s">
        <v>13</v>
      </c>
      <c r="P579" s="39" t="s">
        <v>14</v>
      </c>
      <c r="Q579" s="39"/>
      <c r="R579" s="5"/>
      <c r="S579" s="5" t="s">
        <v>43</v>
      </c>
      <c r="T579" s="5"/>
      <c r="U579" s="5"/>
      <c r="V579" s="5"/>
    </row>
    <row r="580" spans="1:22" x14ac:dyDescent="0.25">
      <c r="A580" s="5"/>
      <c r="B580" s="5"/>
      <c r="C580" s="5"/>
      <c r="D580" s="39"/>
      <c r="E580" s="89" t="s">
        <v>15</v>
      </c>
      <c r="F580" s="104" t="s">
        <v>16</v>
      </c>
      <c r="G580" s="104"/>
      <c r="H580" s="104"/>
      <c r="I580" s="39" t="s">
        <v>42</v>
      </c>
      <c r="J580" s="5"/>
      <c r="K580" s="5"/>
      <c r="L580" s="39"/>
      <c r="M580" s="39"/>
      <c r="N580" s="5"/>
      <c r="O580" s="86" t="s">
        <v>18</v>
      </c>
      <c r="P580" s="39" t="s">
        <v>14</v>
      </c>
      <c r="Q580" s="39"/>
      <c r="R580" s="5"/>
      <c r="S580" s="5" t="s">
        <v>17</v>
      </c>
      <c r="T580" s="5"/>
      <c r="U580" s="5"/>
      <c r="V580" s="5"/>
    </row>
    <row r="581" spans="1:22" x14ac:dyDescent="0.25">
      <c r="A581" s="65" t="s">
        <v>69</v>
      </c>
      <c r="B581" s="65"/>
      <c r="C581" s="65"/>
      <c r="D581" s="77"/>
      <c r="E581" s="78"/>
      <c r="F581" s="65"/>
      <c r="G581" s="65"/>
      <c r="H581" s="77"/>
      <c r="I581" s="77"/>
      <c r="J581" s="65"/>
      <c r="K581" s="65"/>
      <c r="L581" s="77"/>
      <c r="M581" s="77"/>
      <c r="N581" s="65"/>
      <c r="O581" s="65"/>
      <c r="P581" s="77"/>
      <c r="Q581" s="77"/>
      <c r="R581" s="65"/>
      <c r="S581" s="65"/>
      <c r="T581" s="65"/>
      <c r="U581" s="65"/>
      <c r="V581" s="65"/>
    </row>
    <row r="582" spans="1:22" ht="18.75" x14ac:dyDescent="0.3">
      <c r="A582" s="5"/>
      <c r="B582" s="5"/>
      <c r="C582" s="5"/>
      <c r="D582" s="39"/>
      <c r="E582" s="40" t="s">
        <v>7</v>
      </c>
      <c r="F582" s="5"/>
      <c r="G582" s="7"/>
      <c r="H582" s="51"/>
      <c r="I582" s="51"/>
      <c r="J582" s="7"/>
      <c r="K582" s="7"/>
      <c r="L582" s="51"/>
      <c r="M582" s="52" t="s">
        <v>8</v>
      </c>
      <c r="N582" s="114" t="s">
        <v>68</v>
      </c>
      <c r="O582" s="115"/>
      <c r="P582" s="39"/>
      <c r="Q582" s="39"/>
      <c r="R582" s="5"/>
      <c r="S582" s="5"/>
      <c r="T582" s="5"/>
      <c r="U582" s="5"/>
      <c r="V582" s="5"/>
    </row>
    <row r="583" spans="1:22" ht="18.75" x14ac:dyDescent="0.3">
      <c r="A583" s="5"/>
      <c r="B583" s="5"/>
      <c r="C583" s="5"/>
      <c r="D583" s="39"/>
      <c r="E583" s="40" t="s">
        <v>35</v>
      </c>
      <c r="F583" s="5"/>
      <c r="G583" s="5"/>
      <c r="H583" s="39"/>
      <c r="I583" s="39"/>
      <c r="J583" s="9"/>
      <c r="K583" s="9"/>
      <c r="L583" s="53"/>
      <c r="M583" s="52" t="s">
        <v>9</v>
      </c>
      <c r="N583" s="116" t="str">
        <f>N582&amp;".1"</f>
        <v>1.3.1</v>
      </c>
      <c r="O583" s="116"/>
      <c r="P583" s="39"/>
      <c r="Q583" s="39"/>
      <c r="R583" s="5"/>
      <c r="S583" s="5"/>
      <c r="T583" s="5"/>
      <c r="U583" s="5"/>
      <c r="V583" s="5"/>
    </row>
    <row r="584" spans="1:22" ht="18.75" x14ac:dyDescent="0.3">
      <c r="A584" s="5"/>
      <c r="B584" s="5"/>
      <c r="C584" s="5"/>
      <c r="D584" s="39"/>
      <c r="E584" s="39" t="s">
        <v>36</v>
      </c>
      <c r="F584" s="5"/>
      <c r="G584" s="5"/>
      <c r="H584" s="51"/>
      <c r="I584" s="51"/>
      <c r="J584" s="7"/>
      <c r="K584" s="7"/>
      <c r="L584" s="51"/>
      <c r="M584" s="54" t="s">
        <v>9</v>
      </c>
      <c r="N584" s="11">
        <v>1</v>
      </c>
      <c r="O584" s="5"/>
      <c r="P584" s="39"/>
      <c r="Q584" s="39"/>
      <c r="R584" s="5"/>
      <c r="S584" s="5"/>
      <c r="T584" s="5"/>
      <c r="U584" s="5"/>
      <c r="V584" s="5"/>
    </row>
    <row r="585" spans="1:22" ht="18.75" x14ac:dyDescent="0.3">
      <c r="A585" s="5"/>
      <c r="B585" s="5"/>
      <c r="C585" s="5"/>
      <c r="D585" s="39"/>
      <c r="E585" s="39" t="s">
        <v>5</v>
      </c>
      <c r="F585" s="5"/>
      <c r="G585" s="5"/>
      <c r="H585" s="39"/>
      <c r="I585" s="39"/>
      <c r="J585" s="5"/>
      <c r="K585" s="5"/>
      <c r="L585" s="53"/>
      <c r="M585" s="54" t="s">
        <v>9</v>
      </c>
      <c r="N585" s="11" t="str">
        <f>"-"&amp;N583</f>
        <v>-1.3.1</v>
      </c>
      <c r="O585" s="12"/>
      <c r="P585" s="39"/>
      <c r="Q585" s="39"/>
      <c r="R585" s="5"/>
      <c r="S585" s="5"/>
      <c r="T585" s="5"/>
      <c r="U585" s="5"/>
      <c r="V585" s="5"/>
    </row>
    <row r="586" spans="1:22" ht="18.75" x14ac:dyDescent="0.3">
      <c r="A586" s="5"/>
      <c r="B586" s="5"/>
      <c r="C586" s="5"/>
      <c r="D586" s="39"/>
      <c r="E586" s="41" t="s">
        <v>10</v>
      </c>
      <c r="F586" s="5"/>
      <c r="G586" s="5"/>
      <c r="H586" s="39"/>
      <c r="I586" s="51"/>
      <c r="J586" s="7"/>
      <c r="K586" s="7"/>
      <c r="L586" s="51"/>
      <c r="M586" s="54" t="s">
        <v>9</v>
      </c>
      <c r="N586" s="3">
        <v>30</v>
      </c>
      <c r="O586" s="5"/>
      <c r="P586" s="39"/>
      <c r="Q586" s="39"/>
      <c r="R586" s="5"/>
      <c r="S586" s="5"/>
      <c r="T586" s="5"/>
      <c r="U586" s="5"/>
      <c r="V586" s="5"/>
    </row>
    <row r="587" spans="1:22" ht="15.75" thickBot="1" x14ac:dyDescent="0.3">
      <c r="A587" s="5"/>
      <c r="B587" s="5"/>
      <c r="C587" s="5"/>
      <c r="D587" s="39"/>
      <c r="E587" s="39"/>
      <c r="F587" s="5"/>
      <c r="G587" s="5"/>
      <c r="H587" s="39"/>
      <c r="I587" s="39"/>
      <c r="J587" s="5"/>
      <c r="K587" s="5"/>
      <c r="L587" s="39"/>
      <c r="M587" s="39"/>
      <c r="N587" s="5"/>
      <c r="O587" s="5"/>
      <c r="P587" s="39"/>
      <c r="Q587" s="39"/>
      <c r="R587" s="5"/>
      <c r="S587" s="5"/>
      <c r="T587" s="5"/>
      <c r="U587" s="5"/>
      <c r="V587" s="5"/>
    </row>
    <row r="588" spans="1:22" x14ac:dyDescent="0.25">
      <c r="A588" s="15"/>
      <c r="B588" s="16"/>
      <c r="C588" s="16"/>
      <c r="D588" s="42"/>
      <c r="E588" s="42"/>
      <c r="F588" s="16"/>
      <c r="G588" s="16"/>
      <c r="H588" s="42"/>
      <c r="I588" s="42"/>
      <c r="J588" s="16"/>
      <c r="K588" s="16"/>
      <c r="L588" s="42"/>
      <c r="M588" s="42"/>
      <c r="N588" s="16"/>
      <c r="O588" s="16"/>
      <c r="P588" s="42"/>
      <c r="Q588" s="42"/>
      <c r="R588" s="16"/>
      <c r="S588" s="16"/>
      <c r="T588" s="16"/>
      <c r="U588" s="16"/>
      <c r="V588" s="16"/>
    </row>
    <row r="589" spans="1:22" x14ac:dyDescent="0.25">
      <c r="A589" s="18"/>
      <c r="B589" s="87"/>
      <c r="C589" s="87"/>
      <c r="D589" s="117">
        <v>1</v>
      </c>
      <c r="E589" s="118"/>
      <c r="F589" s="87"/>
      <c r="G589" s="87"/>
      <c r="H589" s="117">
        <v>2</v>
      </c>
      <c r="I589" s="118"/>
      <c r="J589" s="87"/>
      <c r="K589" s="87"/>
      <c r="L589" s="117">
        <v>3</v>
      </c>
      <c r="M589" s="118"/>
      <c r="N589" s="87"/>
      <c r="O589" s="87"/>
      <c r="P589" s="117">
        <v>4</v>
      </c>
      <c r="Q589" s="118"/>
      <c r="R589" s="87"/>
      <c r="S589" s="87"/>
      <c r="T589" s="87"/>
      <c r="U589" s="87"/>
      <c r="V589" s="65"/>
    </row>
    <row r="590" spans="1:22" x14ac:dyDescent="0.25">
      <c r="A590" s="18"/>
      <c r="B590" s="111" t="s">
        <v>6</v>
      </c>
      <c r="C590" s="111"/>
      <c r="D590" s="117" t="s">
        <v>37</v>
      </c>
      <c r="E590" s="118" t="s">
        <v>0</v>
      </c>
      <c r="F590" s="111" t="s">
        <v>6</v>
      </c>
      <c r="G590" s="111"/>
      <c r="H590" s="117" t="s">
        <v>37</v>
      </c>
      <c r="I590" s="118"/>
      <c r="J590" s="111" t="s">
        <v>6</v>
      </c>
      <c r="K590" s="111"/>
      <c r="L590" s="117" t="s">
        <v>37</v>
      </c>
      <c r="M590" s="118"/>
      <c r="N590" s="111" t="s">
        <v>6</v>
      </c>
      <c r="O590" s="111"/>
      <c r="P590" s="117" t="s">
        <v>37</v>
      </c>
      <c r="Q590" s="118"/>
      <c r="R590" s="111"/>
      <c r="S590" s="111"/>
      <c r="T590" s="111"/>
      <c r="U590" s="111"/>
      <c r="V590" s="66"/>
    </row>
    <row r="591" spans="1:22" x14ac:dyDescent="0.25">
      <c r="A591" s="18"/>
      <c r="B591" s="110"/>
      <c r="C591" s="110"/>
      <c r="D591" s="112"/>
      <c r="E591" s="112"/>
      <c r="F591" s="110"/>
      <c r="G591" s="110"/>
      <c r="H591" s="112"/>
      <c r="I591" s="112"/>
      <c r="J591" s="110"/>
      <c r="K591" s="110"/>
      <c r="L591" s="112"/>
      <c r="M591" s="112"/>
      <c r="N591" s="110"/>
      <c r="O591" s="110"/>
      <c r="P591" s="112"/>
      <c r="Q591" s="112"/>
      <c r="R591" s="110"/>
      <c r="S591" s="110"/>
      <c r="T591" s="110"/>
      <c r="U591" s="110"/>
      <c r="V591" s="66"/>
    </row>
    <row r="592" spans="1:22" x14ac:dyDescent="0.25">
      <c r="A592" s="18"/>
      <c r="B592" s="111">
        <v>0</v>
      </c>
      <c r="C592" s="111"/>
      <c r="D592" s="113">
        <v>1</v>
      </c>
      <c r="E592" s="113">
        <v>1</v>
      </c>
      <c r="F592" s="111">
        <v>2</v>
      </c>
      <c r="G592" s="111">
        <v>2</v>
      </c>
      <c r="H592" s="113">
        <v>3</v>
      </c>
      <c r="I592" s="113">
        <v>3</v>
      </c>
      <c r="J592" s="111">
        <v>4</v>
      </c>
      <c r="K592" s="111">
        <v>4</v>
      </c>
      <c r="L592" s="113">
        <v>5</v>
      </c>
      <c r="M592" s="113"/>
      <c r="N592" s="111">
        <v>6</v>
      </c>
      <c r="O592" s="111">
        <v>1</v>
      </c>
      <c r="P592" s="113">
        <v>7</v>
      </c>
      <c r="Q592" s="113">
        <v>2</v>
      </c>
      <c r="R592" s="111">
        <v>8</v>
      </c>
      <c r="S592" s="111">
        <v>3</v>
      </c>
      <c r="T592" s="111">
        <v>9</v>
      </c>
      <c r="U592" s="111">
        <v>4</v>
      </c>
      <c r="V592" s="67"/>
    </row>
    <row r="593" spans="1:43" x14ac:dyDescent="0.25">
      <c r="A593" s="18"/>
      <c r="B593" s="87" t="s">
        <v>1</v>
      </c>
      <c r="C593" s="87" t="s">
        <v>2</v>
      </c>
      <c r="D593" s="88" t="s">
        <v>3</v>
      </c>
      <c r="E593" s="88" t="s">
        <v>4</v>
      </c>
      <c r="F593" s="87" t="s">
        <v>1</v>
      </c>
      <c r="G593" s="87" t="s">
        <v>2</v>
      </c>
      <c r="H593" s="88" t="s">
        <v>3</v>
      </c>
      <c r="I593" s="88" t="s">
        <v>4</v>
      </c>
      <c r="J593" s="87" t="s">
        <v>1</v>
      </c>
      <c r="K593" s="87" t="s">
        <v>2</v>
      </c>
      <c r="L593" s="88" t="s">
        <v>3</v>
      </c>
      <c r="M593" s="88" t="s">
        <v>4</v>
      </c>
      <c r="N593" s="87" t="s">
        <v>1</v>
      </c>
      <c r="O593" s="87" t="s">
        <v>2</v>
      </c>
      <c r="P593" s="88" t="s">
        <v>3</v>
      </c>
      <c r="Q593" s="88" t="s">
        <v>4</v>
      </c>
      <c r="R593" s="87" t="s">
        <v>1</v>
      </c>
      <c r="S593" s="87" t="s">
        <v>2</v>
      </c>
      <c r="T593" s="87" t="s">
        <v>3</v>
      </c>
      <c r="U593" s="87" t="s">
        <v>4</v>
      </c>
      <c r="V593" s="67"/>
    </row>
    <row r="594" spans="1:43" ht="15.75" thickBot="1" x14ac:dyDescent="0.3">
      <c r="A594" s="24"/>
      <c r="B594" s="25"/>
      <c r="C594" s="25"/>
      <c r="D594" s="44"/>
      <c r="E594" s="45"/>
      <c r="F594" s="25"/>
      <c r="G594" s="25"/>
      <c r="H594" s="44"/>
      <c r="I594" s="45"/>
      <c r="J594" s="25"/>
      <c r="K594" s="25"/>
      <c r="L594" s="44"/>
      <c r="M594" s="45"/>
      <c r="N594" s="25"/>
      <c r="O594" s="25"/>
      <c r="P594" s="44"/>
      <c r="Q594" s="45"/>
      <c r="R594" s="25"/>
      <c r="S594" s="25"/>
      <c r="T594" s="25"/>
      <c r="U594" s="25"/>
      <c r="V594" s="68"/>
    </row>
    <row r="595" spans="1:43" ht="15.6" customHeight="1" x14ac:dyDescent="0.25">
      <c r="A595" s="5"/>
      <c r="B595" s="105"/>
      <c r="C595" s="106"/>
      <c r="D595" s="108"/>
      <c r="E595" s="106"/>
      <c r="F595" s="105"/>
      <c r="G595" s="106"/>
      <c r="H595" s="108"/>
      <c r="I595" s="106"/>
      <c r="J595" s="105"/>
      <c r="K595" s="106"/>
      <c r="L595" s="108"/>
      <c r="M595" s="106"/>
      <c r="N595" s="105"/>
      <c r="O595" s="106"/>
      <c r="P595" s="108"/>
      <c r="Q595" s="106"/>
      <c r="R595" s="86"/>
      <c r="S595" s="86"/>
      <c r="T595" s="86"/>
      <c r="U595" s="86"/>
      <c r="V595" s="27"/>
      <c r="W595" s="69"/>
      <c r="X595" s="109"/>
      <c r="Y595" s="109"/>
      <c r="Z595" s="109"/>
      <c r="AA595" s="109"/>
      <c r="AB595" s="109"/>
      <c r="AC595" s="109"/>
      <c r="AD595" s="109"/>
      <c r="AE595" s="109"/>
      <c r="AF595" s="109"/>
      <c r="AG595" s="109"/>
      <c r="AH595" s="109"/>
      <c r="AI595" s="109"/>
      <c r="AJ595" s="109"/>
      <c r="AK595" s="109"/>
      <c r="AL595" s="109"/>
      <c r="AM595" s="109"/>
      <c r="AN595" s="109"/>
      <c r="AO595" s="109"/>
      <c r="AP595" s="109"/>
      <c r="AQ595" s="109"/>
    </row>
    <row r="596" spans="1:43" ht="15.6" customHeight="1" thickBot="1" x14ac:dyDescent="0.3">
      <c r="A596" s="5"/>
      <c r="B596" s="10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10"/>
      <c r="S596" s="110"/>
      <c r="T596" s="110"/>
      <c r="U596" s="110"/>
      <c r="V596" s="27"/>
      <c r="W596" s="69"/>
      <c r="X596" s="109"/>
      <c r="Y596" s="109"/>
      <c r="Z596" s="109"/>
      <c r="AA596" s="109"/>
      <c r="AB596" s="109"/>
      <c r="AC596" s="109"/>
      <c r="AD596" s="109"/>
      <c r="AE596" s="109"/>
      <c r="AF596" s="109"/>
      <c r="AG596" s="109"/>
      <c r="AH596" s="109"/>
      <c r="AI596" s="109"/>
      <c r="AJ596" s="109"/>
      <c r="AK596" s="109"/>
      <c r="AL596" s="109"/>
      <c r="AM596" s="109"/>
      <c r="AN596" s="109"/>
      <c r="AO596" s="109"/>
      <c r="AP596" s="109"/>
      <c r="AQ596" s="109"/>
    </row>
    <row r="597" spans="1:43" x14ac:dyDescent="0.25">
      <c r="A597" s="5"/>
      <c r="B597" s="100"/>
      <c r="C597" s="101"/>
      <c r="D597" s="102"/>
      <c r="E597" s="103"/>
      <c r="F597" s="100"/>
      <c r="G597" s="101"/>
      <c r="H597" s="102"/>
      <c r="I597" s="103"/>
      <c r="J597" s="100"/>
      <c r="K597" s="101"/>
      <c r="L597" s="102"/>
      <c r="M597" s="103"/>
      <c r="N597" s="100"/>
      <c r="O597" s="101"/>
      <c r="P597" s="102"/>
      <c r="Q597" s="103"/>
      <c r="R597" s="86"/>
      <c r="S597" s="86"/>
      <c r="T597" s="86"/>
      <c r="U597" s="86"/>
      <c r="V597" s="27"/>
    </row>
    <row r="598" spans="1:43" x14ac:dyDescent="0.25">
      <c r="A598" s="5"/>
      <c r="B598" s="5"/>
      <c r="C598" s="5"/>
      <c r="D598" s="39"/>
      <c r="E598" s="39"/>
      <c r="F598" s="5"/>
      <c r="G598" s="5"/>
      <c r="H598" s="39"/>
      <c r="I598" s="39"/>
      <c r="J598" s="5"/>
      <c r="K598" s="5"/>
      <c r="L598" s="39"/>
      <c r="M598" s="39"/>
      <c r="N598" s="5"/>
      <c r="O598" s="5"/>
      <c r="P598" s="39"/>
      <c r="Q598" s="39"/>
      <c r="R598" s="5"/>
      <c r="S598" s="5"/>
      <c r="T598" s="5"/>
      <c r="U598" s="5"/>
      <c r="V598" s="5"/>
    </row>
    <row r="599" spans="1:43" x14ac:dyDescent="0.25">
      <c r="A599" s="5"/>
      <c r="B599" s="5"/>
      <c r="C599" s="5"/>
      <c r="D599" s="39"/>
      <c r="E599" s="89" t="s">
        <v>11</v>
      </c>
      <c r="F599" s="104" t="s">
        <v>12</v>
      </c>
      <c r="G599" s="104"/>
      <c r="H599" s="104"/>
      <c r="I599" s="104" t="s">
        <v>41</v>
      </c>
      <c r="J599" s="104"/>
      <c r="K599" s="5"/>
      <c r="L599" s="39"/>
      <c r="M599" s="39"/>
      <c r="N599" s="5"/>
      <c r="O599" s="86" t="s">
        <v>13</v>
      </c>
      <c r="P599" s="39" t="s">
        <v>14</v>
      </c>
      <c r="Q599" s="39"/>
      <c r="R599" s="5"/>
      <c r="S599" s="5" t="s">
        <v>43</v>
      </c>
      <c r="T599" s="5"/>
      <c r="U599" s="5"/>
      <c r="V599" s="5"/>
    </row>
    <row r="600" spans="1:43" x14ac:dyDescent="0.25">
      <c r="A600" s="5"/>
      <c r="B600" s="5"/>
      <c r="C600" s="5"/>
      <c r="D600" s="39"/>
      <c r="E600" s="89" t="s">
        <v>15</v>
      </c>
      <c r="F600" s="104" t="s">
        <v>16</v>
      </c>
      <c r="G600" s="104"/>
      <c r="H600" s="104"/>
      <c r="I600" s="39" t="s">
        <v>42</v>
      </c>
      <c r="J600" s="5"/>
      <c r="K600" s="5"/>
      <c r="L600" s="39"/>
      <c r="M600" s="39"/>
      <c r="N600" s="5"/>
      <c r="O600" s="86" t="s">
        <v>18</v>
      </c>
      <c r="P600" s="39" t="s">
        <v>14</v>
      </c>
      <c r="Q600" s="39"/>
      <c r="R600" s="5"/>
      <c r="S600" s="5" t="s">
        <v>17</v>
      </c>
      <c r="T600" s="5"/>
      <c r="U600" s="5"/>
      <c r="V600" s="5"/>
    </row>
    <row r="601" spans="1:43" x14ac:dyDescent="0.25">
      <c r="A601" s="65" t="s">
        <v>69</v>
      </c>
      <c r="B601" s="65"/>
      <c r="C601" s="65"/>
      <c r="D601" s="77"/>
      <c r="E601" s="78"/>
      <c r="F601" s="65"/>
      <c r="G601" s="65"/>
      <c r="H601" s="77"/>
      <c r="I601" s="77"/>
      <c r="J601" s="65"/>
      <c r="K601" s="65"/>
      <c r="L601" s="77"/>
      <c r="M601" s="77"/>
      <c r="N601" s="65"/>
      <c r="O601" s="65"/>
      <c r="P601" s="77"/>
      <c r="Q601" s="77"/>
      <c r="R601" s="65"/>
      <c r="S601" s="65"/>
      <c r="T601" s="65"/>
      <c r="U601" s="65"/>
      <c r="V601" s="65"/>
    </row>
    <row r="602" spans="1:43" ht="18.75" x14ac:dyDescent="0.3">
      <c r="A602" s="5"/>
      <c r="B602" s="5"/>
      <c r="C602" s="5"/>
      <c r="D602" s="39"/>
      <c r="E602" s="40" t="s">
        <v>7</v>
      </c>
      <c r="F602" s="5"/>
      <c r="G602" s="7"/>
      <c r="H602" s="51"/>
      <c r="I602" s="51"/>
      <c r="J602" s="7"/>
      <c r="K602" s="7"/>
      <c r="L602" s="51"/>
      <c r="M602" s="52" t="s">
        <v>8</v>
      </c>
      <c r="N602" s="114" t="s">
        <v>68</v>
      </c>
      <c r="O602" s="115"/>
      <c r="P602" s="39"/>
      <c r="Q602" s="39"/>
      <c r="R602" s="5"/>
      <c r="S602" s="5"/>
      <c r="T602" s="5"/>
      <c r="U602" s="5"/>
      <c r="V602" s="5"/>
    </row>
    <row r="603" spans="1:43" ht="18.75" x14ac:dyDescent="0.3">
      <c r="A603" s="5"/>
      <c r="B603" s="5"/>
      <c r="C603" s="5"/>
      <c r="D603" s="39"/>
      <c r="E603" s="40" t="s">
        <v>35</v>
      </c>
      <c r="F603" s="5"/>
      <c r="G603" s="5"/>
      <c r="H603" s="39"/>
      <c r="I603" s="39"/>
      <c r="J603" s="9"/>
      <c r="K603" s="9"/>
      <c r="L603" s="53"/>
      <c r="M603" s="52" t="s">
        <v>9</v>
      </c>
      <c r="N603" s="116" t="str">
        <f>N602&amp;".1"</f>
        <v>1.3.1</v>
      </c>
      <c r="O603" s="116"/>
      <c r="P603" s="39"/>
      <c r="Q603" s="39"/>
      <c r="R603" s="5"/>
      <c r="S603" s="5"/>
      <c r="T603" s="5"/>
      <c r="U603" s="5"/>
      <c r="V603" s="5"/>
    </row>
    <row r="604" spans="1:43" ht="18.75" x14ac:dyDescent="0.3">
      <c r="A604" s="5"/>
      <c r="B604" s="5"/>
      <c r="C604" s="5"/>
      <c r="D604" s="39"/>
      <c r="E604" s="39" t="s">
        <v>36</v>
      </c>
      <c r="F604" s="5"/>
      <c r="G604" s="5"/>
      <c r="H604" s="51"/>
      <c r="I604" s="51"/>
      <c r="J604" s="7"/>
      <c r="K604" s="7"/>
      <c r="L604" s="51"/>
      <c r="M604" s="54" t="s">
        <v>9</v>
      </c>
      <c r="N604" s="11">
        <v>1</v>
      </c>
      <c r="O604" s="5"/>
      <c r="P604" s="39"/>
      <c r="Q604" s="39"/>
      <c r="R604" s="5"/>
      <c r="S604" s="5"/>
      <c r="T604" s="5"/>
      <c r="U604" s="5"/>
      <c r="V604" s="5"/>
    </row>
    <row r="605" spans="1:43" ht="18.75" x14ac:dyDescent="0.3">
      <c r="A605" s="5"/>
      <c r="B605" s="5"/>
      <c r="C605" s="5"/>
      <c r="D605" s="39"/>
      <c r="E605" s="39" t="s">
        <v>5</v>
      </c>
      <c r="F605" s="5"/>
      <c r="G605" s="5"/>
      <c r="H605" s="39"/>
      <c r="I605" s="39"/>
      <c r="J605" s="5"/>
      <c r="K605" s="5"/>
      <c r="L605" s="53"/>
      <c r="M605" s="54" t="s">
        <v>9</v>
      </c>
      <c r="N605" s="11" t="str">
        <f>"-"&amp;N603</f>
        <v>-1.3.1</v>
      </c>
      <c r="O605" s="12"/>
      <c r="P605" s="39"/>
      <c r="Q605" s="39"/>
      <c r="R605" s="5"/>
      <c r="S605" s="5"/>
      <c r="T605" s="5"/>
      <c r="U605" s="5"/>
      <c r="V605" s="5"/>
    </row>
    <row r="606" spans="1:43" ht="18.75" x14ac:dyDescent="0.3">
      <c r="A606" s="5"/>
      <c r="B606" s="5"/>
      <c r="C606" s="5"/>
      <c r="D606" s="39"/>
      <c r="E606" s="41" t="s">
        <v>10</v>
      </c>
      <c r="F606" s="5"/>
      <c r="G606" s="5"/>
      <c r="H606" s="39"/>
      <c r="I606" s="51"/>
      <c r="J606" s="7"/>
      <c r="K606" s="7"/>
      <c r="L606" s="51"/>
      <c r="M606" s="54" t="s">
        <v>9</v>
      </c>
      <c r="N606" s="3">
        <v>31</v>
      </c>
      <c r="O606" s="5"/>
      <c r="P606" s="39"/>
      <c r="Q606" s="39"/>
      <c r="R606" s="5"/>
      <c r="S606" s="5"/>
      <c r="T606" s="5"/>
      <c r="U606" s="5"/>
      <c r="V606" s="5"/>
    </row>
    <row r="607" spans="1:43" ht="15.75" thickBot="1" x14ac:dyDescent="0.3">
      <c r="A607" s="5"/>
      <c r="B607" s="5"/>
      <c r="C607" s="5"/>
      <c r="D607" s="39"/>
      <c r="E607" s="39"/>
      <c r="F607" s="5"/>
      <c r="G607" s="5"/>
      <c r="H607" s="39"/>
      <c r="I607" s="39"/>
      <c r="J607" s="5"/>
      <c r="K607" s="5"/>
      <c r="L607" s="39"/>
      <c r="M607" s="39"/>
      <c r="N607" s="5"/>
      <c r="O607" s="5"/>
      <c r="P607" s="39"/>
      <c r="Q607" s="39"/>
      <c r="R607" s="5"/>
      <c r="S607" s="5"/>
      <c r="T607" s="5"/>
      <c r="U607" s="5"/>
      <c r="V607" s="5"/>
    </row>
    <row r="608" spans="1:43" x14ac:dyDescent="0.25">
      <c r="A608" s="15"/>
      <c r="B608" s="16"/>
      <c r="C608" s="16"/>
      <c r="D608" s="42"/>
      <c r="E608" s="42"/>
      <c r="F608" s="16"/>
      <c r="G608" s="16"/>
      <c r="H608" s="42"/>
      <c r="I608" s="42"/>
      <c r="J608" s="16"/>
      <c r="K608" s="16"/>
      <c r="L608" s="42"/>
      <c r="M608" s="42"/>
      <c r="N608" s="16"/>
      <c r="O608" s="16"/>
      <c r="P608" s="42"/>
      <c r="Q608" s="42"/>
      <c r="R608" s="16"/>
      <c r="S608" s="16"/>
      <c r="T608" s="16"/>
      <c r="U608" s="16"/>
      <c r="V608" s="16"/>
    </row>
    <row r="609" spans="1:43" x14ac:dyDescent="0.25">
      <c r="A609" s="18"/>
      <c r="B609" s="87"/>
      <c r="C609" s="87"/>
      <c r="D609" s="117">
        <v>1</v>
      </c>
      <c r="E609" s="118"/>
      <c r="F609" s="87"/>
      <c r="G609" s="87"/>
      <c r="H609" s="117">
        <v>2</v>
      </c>
      <c r="I609" s="118"/>
      <c r="J609" s="87"/>
      <c r="K609" s="87"/>
      <c r="L609" s="117">
        <v>3</v>
      </c>
      <c r="M609" s="118"/>
      <c r="N609" s="87"/>
      <c r="O609" s="87"/>
      <c r="P609" s="117">
        <v>4</v>
      </c>
      <c r="Q609" s="118"/>
      <c r="R609" s="87"/>
      <c r="S609" s="87"/>
      <c r="T609" s="87"/>
      <c r="U609" s="87"/>
      <c r="V609" s="65"/>
    </row>
    <row r="610" spans="1:43" x14ac:dyDescent="0.25">
      <c r="A610" s="18"/>
      <c r="B610" s="111" t="s">
        <v>6</v>
      </c>
      <c r="C610" s="111"/>
      <c r="D610" s="117" t="s">
        <v>37</v>
      </c>
      <c r="E610" s="118" t="s">
        <v>0</v>
      </c>
      <c r="F610" s="111" t="s">
        <v>6</v>
      </c>
      <c r="G610" s="111"/>
      <c r="H610" s="117" t="s">
        <v>37</v>
      </c>
      <c r="I610" s="118"/>
      <c r="J610" s="111" t="s">
        <v>6</v>
      </c>
      <c r="K610" s="111"/>
      <c r="L610" s="117" t="s">
        <v>37</v>
      </c>
      <c r="M610" s="118"/>
      <c r="N610" s="111" t="s">
        <v>6</v>
      </c>
      <c r="O610" s="111"/>
      <c r="P610" s="117" t="s">
        <v>37</v>
      </c>
      <c r="Q610" s="118"/>
      <c r="R610" s="111"/>
      <c r="S610" s="111"/>
      <c r="T610" s="111"/>
      <c r="U610" s="111"/>
      <c r="V610" s="66"/>
    </row>
    <row r="611" spans="1:43" x14ac:dyDescent="0.25">
      <c r="A611" s="18"/>
      <c r="B611" s="110"/>
      <c r="C611" s="110"/>
      <c r="D611" s="112"/>
      <c r="E611" s="112"/>
      <c r="F611" s="110"/>
      <c r="G611" s="110"/>
      <c r="H611" s="112"/>
      <c r="I611" s="112"/>
      <c r="J611" s="110"/>
      <c r="K611" s="110"/>
      <c r="L611" s="112"/>
      <c r="M611" s="112"/>
      <c r="N611" s="110"/>
      <c r="O611" s="110"/>
      <c r="P611" s="112"/>
      <c r="Q611" s="112"/>
      <c r="R611" s="110"/>
      <c r="S611" s="110"/>
      <c r="T611" s="110"/>
      <c r="U611" s="110"/>
      <c r="V611" s="66"/>
    </row>
    <row r="612" spans="1:43" x14ac:dyDescent="0.25">
      <c r="A612" s="18"/>
      <c r="B612" s="111">
        <v>0</v>
      </c>
      <c r="C612" s="111"/>
      <c r="D612" s="113">
        <v>1</v>
      </c>
      <c r="E612" s="113">
        <v>1</v>
      </c>
      <c r="F612" s="111">
        <v>2</v>
      </c>
      <c r="G612" s="111">
        <v>2</v>
      </c>
      <c r="H612" s="113">
        <v>3</v>
      </c>
      <c r="I612" s="113">
        <v>3</v>
      </c>
      <c r="J612" s="111">
        <v>4</v>
      </c>
      <c r="K612" s="111">
        <v>4</v>
      </c>
      <c r="L612" s="113">
        <v>5</v>
      </c>
      <c r="M612" s="113"/>
      <c r="N612" s="111">
        <v>6</v>
      </c>
      <c r="O612" s="111">
        <v>1</v>
      </c>
      <c r="P612" s="113">
        <v>7</v>
      </c>
      <c r="Q612" s="113">
        <v>2</v>
      </c>
      <c r="R612" s="111">
        <v>8</v>
      </c>
      <c r="S612" s="111">
        <v>3</v>
      </c>
      <c r="T612" s="111">
        <v>9</v>
      </c>
      <c r="U612" s="111">
        <v>4</v>
      </c>
      <c r="V612" s="67"/>
    </row>
    <row r="613" spans="1:43" x14ac:dyDescent="0.25">
      <c r="A613" s="18"/>
      <c r="B613" s="87" t="s">
        <v>1</v>
      </c>
      <c r="C613" s="87" t="s">
        <v>2</v>
      </c>
      <c r="D613" s="88" t="s">
        <v>3</v>
      </c>
      <c r="E613" s="88" t="s">
        <v>4</v>
      </c>
      <c r="F613" s="87" t="s">
        <v>1</v>
      </c>
      <c r="G613" s="87" t="s">
        <v>2</v>
      </c>
      <c r="H613" s="88" t="s">
        <v>3</v>
      </c>
      <c r="I613" s="88" t="s">
        <v>4</v>
      </c>
      <c r="J613" s="87" t="s">
        <v>1</v>
      </c>
      <c r="K613" s="87" t="s">
        <v>2</v>
      </c>
      <c r="L613" s="88" t="s">
        <v>3</v>
      </c>
      <c r="M613" s="88" t="s">
        <v>4</v>
      </c>
      <c r="N613" s="87" t="s">
        <v>1</v>
      </c>
      <c r="O613" s="87" t="s">
        <v>2</v>
      </c>
      <c r="P613" s="88" t="s">
        <v>3</v>
      </c>
      <c r="Q613" s="88" t="s">
        <v>4</v>
      </c>
      <c r="R613" s="87" t="s">
        <v>1</v>
      </c>
      <c r="S613" s="87" t="s">
        <v>2</v>
      </c>
      <c r="T613" s="87" t="s">
        <v>3</v>
      </c>
      <c r="U613" s="87" t="s">
        <v>4</v>
      </c>
      <c r="V613" s="67"/>
    </row>
    <row r="614" spans="1:43" ht="15.75" thickBot="1" x14ac:dyDescent="0.3">
      <c r="A614" s="24"/>
      <c r="B614" s="25"/>
      <c r="C614" s="25"/>
      <c r="D614" s="44"/>
      <c r="E614" s="45"/>
      <c r="F614" s="25"/>
      <c r="G614" s="25"/>
      <c r="H614" s="44"/>
      <c r="I614" s="45"/>
      <c r="J614" s="25"/>
      <c r="K614" s="25"/>
      <c r="L614" s="44"/>
      <c r="M614" s="45"/>
      <c r="N614" s="25"/>
      <c r="O614" s="25"/>
      <c r="P614" s="44"/>
      <c r="Q614" s="45"/>
      <c r="R614" s="25"/>
      <c r="S614" s="25"/>
      <c r="T614" s="25"/>
      <c r="U614" s="25"/>
      <c r="V614" s="68"/>
    </row>
    <row r="615" spans="1:43" ht="15.6" customHeight="1" x14ac:dyDescent="0.25">
      <c r="A615" s="5"/>
      <c r="B615" s="105"/>
      <c r="C615" s="106"/>
      <c r="D615" s="108"/>
      <c r="E615" s="106"/>
      <c r="F615" s="105"/>
      <c r="G615" s="106"/>
      <c r="H615" s="108"/>
      <c r="I615" s="106"/>
      <c r="J615" s="105"/>
      <c r="K615" s="106"/>
      <c r="L615" s="108"/>
      <c r="M615" s="106"/>
      <c r="N615" s="105"/>
      <c r="O615" s="106"/>
      <c r="P615" s="108"/>
      <c r="Q615" s="106"/>
      <c r="R615" s="86"/>
      <c r="S615" s="86"/>
      <c r="T615" s="86"/>
      <c r="U615" s="86"/>
      <c r="V615" s="27"/>
      <c r="W615" s="69"/>
      <c r="X615" s="109"/>
      <c r="Y615" s="109"/>
      <c r="Z615" s="109"/>
      <c r="AA615" s="109"/>
      <c r="AB615" s="109"/>
      <c r="AC615" s="109"/>
      <c r="AD615" s="109"/>
      <c r="AE615" s="109"/>
      <c r="AF615" s="109"/>
      <c r="AG615" s="109"/>
      <c r="AH615" s="109"/>
      <c r="AI615" s="109"/>
      <c r="AJ615" s="109"/>
      <c r="AK615" s="109"/>
      <c r="AL615" s="109"/>
      <c r="AM615" s="109"/>
      <c r="AN615" s="109"/>
      <c r="AO615" s="109"/>
      <c r="AP615" s="109"/>
      <c r="AQ615" s="109"/>
    </row>
    <row r="616" spans="1:43" ht="15.6" customHeight="1" thickBot="1" x14ac:dyDescent="0.3">
      <c r="A616" s="5"/>
      <c r="B616" s="10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10"/>
      <c r="S616" s="110"/>
      <c r="T616" s="110"/>
      <c r="U616" s="110"/>
      <c r="V616" s="27"/>
      <c r="W616" s="69"/>
      <c r="X616" s="109"/>
      <c r="Y616" s="109"/>
      <c r="Z616" s="109"/>
      <c r="AA616" s="109"/>
      <c r="AB616" s="109"/>
      <c r="AC616" s="109"/>
      <c r="AD616" s="109"/>
      <c r="AE616" s="109"/>
      <c r="AF616" s="109"/>
      <c r="AG616" s="109"/>
      <c r="AH616" s="109"/>
      <c r="AI616" s="109"/>
      <c r="AJ616" s="109"/>
      <c r="AK616" s="109"/>
      <c r="AL616" s="109"/>
      <c r="AM616" s="109"/>
      <c r="AN616" s="109"/>
      <c r="AO616" s="109"/>
      <c r="AP616" s="109"/>
      <c r="AQ616" s="109"/>
    </row>
    <row r="617" spans="1:43" x14ac:dyDescent="0.25">
      <c r="A617" s="5"/>
      <c r="B617" s="100"/>
      <c r="C617" s="101"/>
      <c r="D617" s="102"/>
      <c r="E617" s="103"/>
      <c r="F617" s="100"/>
      <c r="G617" s="101"/>
      <c r="H617" s="102"/>
      <c r="I617" s="103"/>
      <c r="J617" s="100"/>
      <c r="K617" s="101"/>
      <c r="L617" s="102"/>
      <c r="M617" s="103"/>
      <c r="N617" s="100"/>
      <c r="O617" s="101"/>
      <c r="P617" s="102"/>
      <c r="Q617" s="103"/>
      <c r="R617" s="86"/>
      <c r="S617" s="86"/>
      <c r="T617" s="86"/>
      <c r="U617" s="86"/>
      <c r="V617" s="27"/>
    </row>
    <row r="618" spans="1:43" x14ac:dyDescent="0.25">
      <c r="A618" s="5"/>
      <c r="B618" s="5"/>
      <c r="C618" s="5"/>
      <c r="D618" s="39"/>
      <c r="E618" s="39"/>
      <c r="F618" s="5"/>
      <c r="G618" s="5"/>
      <c r="H618" s="39"/>
      <c r="I618" s="39"/>
      <c r="J618" s="5"/>
      <c r="K618" s="5"/>
      <c r="L618" s="39"/>
      <c r="M618" s="39"/>
      <c r="N618" s="5"/>
      <c r="O618" s="5"/>
      <c r="P618" s="39"/>
      <c r="Q618" s="39"/>
      <c r="R618" s="5"/>
      <c r="S618" s="5"/>
      <c r="T618" s="5"/>
      <c r="U618" s="5"/>
      <c r="V618" s="5"/>
    </row>
    <row r="619" spans="1:43" x14ac:dyDescent="0.25">
      <c r="A619" s="5"/>
      <c r="B619" s="5"/>
      <c r="C619" s="5"/>
      <c r="D619" s="39"/>
      <c r="E619" s="89" t="s">
        <v>11</v>
      </c>
      <c r="F619" s="104" t="s">
        <v>12</v>
      </c>
      <c r="G619" s="104"/>
      <c r="H619" s="104"/>
      <c r="I619" s="104" t="s">
        <v>41</v>
      </c>
      <c r="J619" s="104"/>
      <c r="K619" s="5"/>
      <c r="L619" s="39"/>
      <c r="M619" s="39"/>
      <c r="N619" s="5"/>
      <c r="O619" s="86" t="s">
        <v>13</v>
      </c>
      <c r="P619" s="39" t="s">
        <v>14</v>
      </c>
      <c r="Q619" s="39"/>
      <c r="R619" s="5"/>
      <c r="S619" s="5" t="s">
        <v>43</v>
      </c>
      <c r="T619" s="5"/>
      <c r="U619" s="5"/>
      <c r="V619" s="5"/>
    </row>
    <row r="620" spans="1:43" x14ac:dyDescent="0.25">
      <c r="A620" s="5"/>
      <c r="B620" s="5"/>
      <c r="C620" s="5"/>
      <c r="D620" s="39"/>
      <c r="E620" s="89" t="s">
        <v>15</v>
      </c>
      <c r="F620" s="104" t="s">
        <v>16</v>
      </c>
      <c r="G620" s="104"/>
      <c r="H620" s="104"/>
      <c r="I620" s="39" t="s">
        <v>42</v>
      </c>
      <c r="J620" s="5"/>
      <c r="K620" s="5"/>
      <c r="L620" s="39"/>
      <c r="M620" s="39"/>
      <c r="N620" s="5"/>
      <c r="O620" s="86" t="s">
        <v>18</v>
      </c>
      <c r="P620" s="39" t="s">
        <v>14</v>
      </c>
      <c r="Q620" s="39"/>
      <c r="R620" s="5"/>
      <c r="S620" s="5" t="s">
        <v>17</v>
      </c>
      <c r="T620" s="5"/>
      <c r="U620" s="5"/>
      <c r="V620" s="5"/>
    </row>
    <row r="621" spans="1:43" x14ac:dyDescent="0.25">
      <c r="A621" s="65" t="s">
        <v>69</v>
      </c>
      <c r="B621" s="65"/>
      <c r="C621" s="65"/>
      <c r="D621" s="77"/>
      <c r="E621" s="78"/>
      <c r="F621" s="65"/>
      <c r="G621" s="65"/>
      <c r="H621" s="77"/>
      <c r="I621" s="77"/>
      <c r="J621" s="65"/>
      <c r="K621" s="65"/>
      <c r="L621" s="77"/>
      <c r="M621" s="77"/>
      <c r="N621" s="65"/>
      <c r="O621" s="65"/>
      <c r="P621" s="77"/>
      <c r="Q621" s="77"/>
      <c r="R621" s="65"/>
      <c r="S621" s="65"/>
      <c r="T621" s="65"/>
      <c r="U621" s="65"/>
      <c r="V621" s="65"/>
    </row>
    <row r="622" spans="1:43" ht="18.75" x14ac:dyDescent="0.3">
      <c r="A622" s="5"/>
      <c r="B622" s="5"/>
      <c r="C622" s="5"/>
      <c r="D622" s="39"/>
      <c r="E622" s="40" t="s">
        <v>70</v>
      </c>
      <c r="F622" s="5"/>
      <c r="G622" s="7"/>
      <c r="H622" s="51"/>
      <c r="I622" s="51"/>
      <c r="J622" s="7"/>
      <c r="K622" s="7"/>
      <c r="L622" s="51"/>
      <c r="M622" s="52" t="s">
        <v>8</v>
      </c>
      <c r="N622" s="114" t="s">
        <v>68</v>
      </c>
      <c r="O622" s="115"/>
      <c r="P622" s="39"/>
      <c r="Q622" s="39"/>
      <c r="R622" s="5"/>
      <c r="S622" s="5"/>
      <c r="T622" s="5"/>
      <c r="U622" s="5"/>
      <c r="V622" s="5"/>
    </row>
    <row r="623" spans="1:43" ht="18.75" x14ac:dyDescent="0.3">
      <c r="A623" s="5"/>
      <c r="B623" s="5"/>
      <c r="C623" s="5"/>
      <c r="D623" s="39"/>
      <c r="E623" s="40" t="s">
        <v>35</v>
      </c>
      <c r="F623" s="5"/>
      <c r="G623" s="5"/>
      <c r="H623" s="39"/>
      <c r="I623" s="39"/>
      <c r="J623" s="9"/>
      <c r="K623" s="9"/>
      <c r="L623" s="53"/>
      <c r="M623" s="52" t="s">
        <v>9</v>
      </c>
      <c r="N623" s="116" t="str">
        <f>N622&amp;".1"</f>
        <v>1.3.1</v>
      </c>
      <c r="O623" s="116"/>
      <c r="P623" s="39"/>
      <c r="Q623" s="39"/>
      <c r="R623" s="5"/>
      <c r="S623" s="5"/>
      <c r="T623" s="5"/>
      <c r="U623" s="5"/>
      <c r="V623" s="5"/>
    </row>
    <row r="624" spans="1:43" ht="18.75" x14ac:dyDescent="0.3">
      <c r="A624" s="5"/>
      <c r="B624" s="5"/>
      <c r="C624" s="5"/>
      <c r="D624" s="39"/>
      <c r="E624" s="39" t="s">
        <v>36</v>
      </c>
      <c r="F624" s="5"/>
      <c r="G624" s="5"/>
      <c r="H624" s="51"/>
      <c r="I624" s="51"/>
      <c r="J624" s="7"/>
      <c r="K624" s="7"/>
      <c r="L624" s="51"/>
      <c r="M624" s="54" t="s">
        <v>9</v>
      </c>
      <c r="N624" s="11">
        <v>1</v>
      </c>
      <c r="O624" s="5"/>
      <c r="P624" s="39"/>
      <c r="Q624" s="39"/>
      <c r="R624" s="5"/>
      <c r="S624" s="5"/>
      <c r="T624" s="5"/>
      <c r="U624" s="5"/>
      <c r="V624" s="5"/>
    </row>
    <row r="625" spans="1:43" ht="18.75" x14ac:dyDescent="0.3">
      <c r="A625" s="5"/>
      <c r="B625" s="5"/>
      <c r="C625" s="5"/>
      <c r="D625" s="39"/>
      <c r="E625" s="39" t="s">
        <v>5</v>
      </c>
      <c r="F625" s="5"/>
      <c r="G625" s="5"/>
      <c r="H625" s="39"/>
      <c r="I625" s="39"/>
      <c r="J625" s="5"/>
      <c r="K625" s="5"/>
      <c r="L625" s="53"/>
      <c r="M625" s="54" t="s">
        <v>9</v>
      </c>
      <c r="N625" s="11" t="str">
        <f>"-"&amp;N623</f>
        <v>-1.3.1</v>
      </c>
      <c r="O625" s="12"/>
      <c r="P625" s="39"/>
      <c r="Q625" s="39"/>
      <c r="R625" s="5"/>
      <c r="S625" s="5"/>
      <c r="T625" s="5"/>
      <c r="U625" s="5"/>
      <c r="V625" s="5"/>
    </row>
    <row r="626" spans="1:43" ht="18.75" x14ac:dyDescent="0.3">
      <c r="A626" s="5"/>
      <c r="B626" s="5"/>
      <c r="C626" s="5"/>
      <c r="D626" s="39"/>
      <c r="E626" s="41" t="s">
        <v>10</v>
      </c>
      <c r="F626" s="5"/>
      <c r="G626" s="5"/>
      <c r="H626" s="39"/>
      <c r="I626" s="51"/>
      <c r="J626" s="7"/>
      <c r="K626" s="7"/>
      <c r="L626" s="51"/>
      <c r="M626" s="54" t="s">
        <v>9</v>
      </c>
      <c r="N626" s="3">
        <v>32</v>
      </c>
      <c r="O626" s="5"/>
      <c r="P626" s="39"/>
      <c r="Q626" s="39"/>
      <c r="R626" s="5"/>
      <c r="S626" s="5"/>
      <c r="T626" s="5"/>
      <c r="U626" s="5"/>
      <c r="V626" s="5"/>
    </row>
    <row r="627" spans="1:43" ht="15.75" thickBot="1" x14ac:dyDescent="0.3">
      <c r="A627" s="5"/>
      <c r="B627" s="5"/>
      <c r="C627" s="5"/>
      <c r="D627" s="39"/>
      <c r="E627" s="39"/>
      <c r="F627" s="5"/>
      <c r="G627" s="5"/>
      <c r="H627" s="39"/>
      <c r="I627" s="39"/>
      <c r="J627" s="5"/>
      <c r="K627" s="5"/>
      <c r="L627" s="39"/>
      <c r="M627" s="39"/>
      <c r="N627" s="5"/>
      <c r="O627" s="5"/>
      <c r="P627" s="39"/>
      <c r="Q627" s="39"/>
      <c r="R627" s="5"/>
      <c r="S627" s="5"/>
      <c r="T627" s="5"/>
      <c r="U627" s="5"/>
      <c r="V627" s="5"/>
    </row>
    <row r="628" spans="1:43" x14ac:dyDescent="0.25">
      <c r="A628" s="15"/>
      <c r="B628" s="16"/>
      <c r="C628" s="16"/>
      <c r="D628" s="42"/>
      <c r="E628" s="42"/>
      <c r="F628" s="16"/>
      <c r="G628" s="16"/>
      <c r="H628" s="42"/>
      <c r="I628" s="42"/>
      <c r="J628" s="16"/>
      <c r="K628" s="16"/>
      <c r="L628" s="42"/>
      <c r="M628" s="42"/>
      <c r="N628" s="16"/>
      <c r="O628" s="16"/>
      <c r="P628" s="42"/>
      <c r="Q628" s="42"/>
      <c r="R628" s="16"/>
      <c r="S628" s="16"/>
      <c r="T628" s="16"/>
      <c r="U628" s="16"/>
      <c r="V628" s="16"/>
    </row>
    <row r="629" spans="1:43" x14ac:dyDescent="0.25">
      <c r="A629" s="18"/>
      <c r="B629" s="93"/>
      <c r="C629" s="93"/>
      <c r="D629" s="117">
        <v>1</v>
      </c>
      <c r="E629" s="118"/>
      <c r="F629" s="93"/>
      <c r="G629" s="93"/>
      <c r="H629" s="117">
        <v>2</v>
      </c>
      <c r="I629" s="118"/>
      <c r="J629" s="93"/>
      <c r="K629" s="93"/>
      <c r="L629" s="117">
        <v>3</v>
      </c>
      <c r="M629" s="118"/>
      <c r="N629" s="93"/>
      <c r="O629" s="93"/>
      <c r="P629" s="117">
        <v>4</v>
      </c>
      <c r="Q629" s="118"/>
      <c r="R629" s="93"/>
      <c r="S629" s="93"/>
      <c r="T629" s="93"/>
      <c r="U629" s="93"/>
      <c r="V629" s="65"/>
    </row>
    <row r="630" spans="1:43" x14ac:dyDescent="0.25">
      <c r="A630" s="18"/>
      <c r="B630" s="111" t="s">
        <v>6</v>
      </c>
      <c r="C630" s="111"/>
      <c r="D630" s="117" t="s">
        <v>37</v>
      </c>
      <c r="E630" s="118" t="s">
        <v>0</v>
      </c>
      <c r="F630" s="111" t="s">
        <v>6</v>
      </c>
      <c r="G630" s="111"/>
      <c r="H630" s="117" t="s">
        <v>37</v>
      </c>
      <c r="I630" s="118"/>
      <c r="J630" s="111" t="s">
        <v>6</v>
      </c>
      <c r="K630" s="111"/>
      <c r="L630" s="117" t="s">
        <v>37</v>
      </c>
      <c r="M630" s="118"/>
      <c r="N630" s="111" t="s">
        <v>6</v>
      </c>
      <c r="O630" s="111"/>
      <c r="P630" s="117" t="s">
        <v>37</v>
      </c>
      <c r="Q630" s="118"/>
      <c r="R630" s="111"/>
      <c r="S630" s="111"/>
      <c r="T630" s="111"/>
      <c r="U630" s="111"/>
      <c r="V630" s="66"/>
    </row>
    <row r="631" spans="1:43" x14ac:dyDescent="0.25">
      <c r="A631" s="18"/>
      <c r="B631" s="110"/>
      <c r="C631" s="110"/>
      <c r="D631" s="112"/>
      <c r="E631" s="112"/>
      <c r="F631" s="110"/>
      <c r="G631" s="110"/>
      <c r="H631" s="112"/>
      <c r="I631" s="112"/>
      <c r="J631" s="110"/>
      <c r="K631" s="110"/>
      <c r="L631" s="112"/>
      <c r="M631" s="112"/>
      <c r="N631" s="110"/>
      <c r="O631" s="110"/>
      <c r="P631" s="112"/>
      <c r="Q631" s="112"/>
      <c r="R631" s="110"/>
      <c r="S631" s="110"/>
      <c r="T631" s="110"/>
      <c r="U631" s="110"/>
      <c r="V631" s="66"/>
    </row>
    <row r="632" spans="1:43" x14ac:dyDescent="0.25">
      <c r="A632" s="18"/>
      <c r="B632" s="111">
        <v>0</v>
      </c>
      <c r="C632" s="111"/>
      <c r="D632" s="113">
        <v>1</v>
      </c>
      <c r="E632" s="113">
        <v>1</v>
      </c>
      <c r="F632" s="111">
        <v>2</v>
      </c>
      <c r="G632" s="111">
        <v>2</v>
      </c>
      <c r="H632" s="113">
        <v>3</v>
      </c>
      <c r="I632" s="113">
        <v>3</v>
      </c>
      <c r="J632" s="111">
        <v>4</v>
      </c>
      <c r="K632" s="111">
        <v>4</v>
      </c>
      <c r="L632" s="113">
        <v>5</v>
      </c>
      <c r="M632" s="113"/>
      <c r="N632" s="111">
        <v>6</v>
      </c>
      <c r="O632" s="111">
        <v>1</v>
      </c>
      <c r="P632" s="113">
        <v>7</v>
      </c>
      <c r="Q632" s="113">
        <v>2</v>
      </c>
      <c r="R632" s="111">
        <v>8</v>
      </c>
      <c r="S632" s="111">
        <v>3</v>
      </c>
      <c r="T632" s="111">
        <v>9</v>
      </c>
      <c r="U632" s="111">
        <v>4</v>
      </c>
      <c r="V632" s="67"/>
    </row>
    <row r="633" spans="1:43" x14ac:dyDescent="0.25">
      <c r="A633" s="18"/>
      <c r="B633" s="93" t="s">
        <v>1</v>
      </c>
      <c r="C633" s="93" t="s">
        <v>2</v>
      </c>
      <c r="D633" s="94" t="s">
        <v>3</v>
      </c>
      <c r="E633" s="94" t="s">
        <v>4</v>
      </c>
      <c r="F633" s="93" t="s">
        <v>1</v>
      </c>
      <c r="G633" s="93" t="s">
        <v>2</v>
      </c>
      <c r="H633" s="94" t="s">
        <v>3</v>
      </c>
      <c r="I633" s="94" t="s">
        <v>4</v>
      </c>
      <c r="J633" s="93" t="s">
        <v>1</v>
      </c>
      <c r="K633" s="93" t="s">
        <v>2</v>
      </c>
      <c r="L633" s="94" t="s">
        <v>3</v>
      </c>
      <c r="M633" s="94" t="s">
        <v>4</v>
      </c>
      <c r="N633" s="93" t="s">
        <v>1</v>
      </c>
      <c r="O633" s="93" t="s">
        <v>2</v>
      </c>
      <c r="P633" s="94" t="s">
        <v>3</v>
      </c>
      <c r="Q633" s="94" t="s">
        <v>4</v>
      </c>
      <c r="R633" s="93" t="s">
        <v>1</v>
      </c>
      <c r="S633" s="93" t="s">
        <v>2</v>
      </c>
      <c r="T633" s="93" t="s">
        <v>3</v>
      </c>
      <c r="U633" s="93" t="s">
        <v>4</v>
      </c>
      <c r="V633" s="67"/>
    </row>
    <row r="634" spans="1:43" ht="15.75" thickBot="1" x14ac:dyDescent="0.3">
      <c r="A634" s="24"/>
      <c r="B634" s="25"/>
      <c r="C634" s="25"/>
      <c r="D634" s="44"/>
      <c r="E634" s="45"/>
      <c r="F634" s="25"/>
      <c r="G634" s="25"/>
      <c r="H634" s="44"/>
      <c r="I634" s="45"/>
      <c r="J634" s="25"/>
      <c r="K634" s="25"/>
      <c r="L634" s="44"/>
      <c r="M634" s="45"/>
      <c r="N634" s="25"/>
      <c r="O634" s="25"/>
      <c r="P634" s="44"/>
      <c r="Q634" s="45"/>
      <c r="R634" s="25"/>
      <c r="S634" s="25"/>
      <c r="T634" s="25"/>
      <c r="U634" s="25"/>
      <c r="V634" s="68"/>
    </row>
    <row r="635" spans="1:43" ht="15.6" customHeight="1" x14ac:dyDescent="0.25">
      <c r="A635" s="5"/>
      <c r="B635" s="105"/>
      <c r="C635" s="106"/>
      <c r="D635" s="108"/>
      <c r="E635" s="106"/>
      <c r="F635" s="105"/>
      <c r="G635" s="106"/>
      <c r="H635" s="108"/>
      <c r="I635" s="106"/>
      <c r="J635" s="105"/>
      <c r="K635" s="106"/>
      <c r="L635" s="108"/>
      <c r="M635" s="106"/>
      <c r="N635" s="105"/>
      <c r="O635" s="106"/>
      <c r="P635" s="108"/>
      <c r="Q635" s="106"/>
      <c r="R635" s="92"/>
      <c r="S635" s="92"/>
      <c r="T635" s="92"/>
      <c r="U635" s="92"/>
      <c r="V635" s="27"/>
      <c r="W635" s="69"/>
      <c r="X635" s="109"/>
      <c r="Y635" s="109"/>
      <c r="Z635" s="109"/>
      <c r="AA635" s="109"/>
      <c r="AB635" s="109"/>
      <c r="AC635" s="109"/>
      <c r="AD635" s="109"/>
      <c r="AE635" s="109"/>
      <c r="AF635" s="109"/>
      <c r="AG635" s="109"/>
      <c r="AH635" s="109"/>
      <c r="AI635" s="109"/>
      <c r="AJ635" s="109"/>
      <c r="AK635" s="109"/>
      <c r="AL635" s="109"/>
      <c r="AM635" s="109"/>
      <c r="AN635" s="109"/>
      <c r="AO635" s="109"/>
      <c r="AP635" s="109"/>
      <c r="AQ635" s="109"/>
    </row>
    <row r="636" spans="1:43" ht="15.6" customHeight="1" thickBot="1" x14ac:dyDescent="0.3">
      <c r="A636" s="5"/>
      <c r="B636" s="10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7"/>
      <c r="R636" s="110"/>
      <c r="S636" s="110"/>
      <c r="T636" s="110"/>
      <c r="U636" s="110"/>
      <c r="V636" s="27"/>
      <c r="W636" s="69"/>
      <c r="X636" s="109"/>
      <c r="Y636" s="109"/>
      <c r="Z636" s="109"/>
      <c r="AA636" s="109"/>
      <c r="AB636" s="109"/>
      <c r="AC636" s="109"/>
      <c r="AD636" s="109"/>
      <c r="AE636" s="109"/>
      <c r="AF636" s="109"/>
      <c r="AG636" s="109"/>
      <c r="AH636" s="109"/>
      <c r="AI636" s="109"/>
      <c r="AJ636" s="109"/>
      <c r="AK636" s="109"/>
      <c r="AL636" s="109"/>
      <c r="AM636" s="109"/>
      <c r="AN636" s="109"/>
      <c r="AO636" s="109"/>
      <c r="AP636" s="109"/>
      <c r="AQ636" s="109"/>
    </row>
    <row r="637" spans="1:43" x14ac:dyDescent="0.25">
      <c r="A637" s="5"/>
      <c r="B637" s="100"/>
      <c r="C637" s="101"/>
      <c r="D637" s="102"/>
      <c r="E637" s="103"/>
      <c r="F637" s="100"/>
      <c r="G637" s="101"/>
      <c r="H637" s="102"/>
      <c r="I637" s="103"/>
      <c r="J637" s="100"/>
      <c r="K637" s="101"/>
      <c r="L637" s="102"/>
      <c r="M637" s="103"/>
      <c r="N637" s="100"/>
      <c r="O637" s="101"/>
      <c r="P637" s="102"/>
      <c r="Q637" s="103"/>
      <c r="R637" s="92"/>
      <c r="S637" s="92"/>
      <c r="T637" s="92"/>
      <c r="U637" s="92"/>
      <c r="V637" s="27"/>
    </row>
    <row r="638" spans="1:43" x14ac:dyDescent="0.25">
      <c r="A638" s="5"/>
      <c r="B638" s="5"/>
      <c r="C638" s="5"/>
      <c r="D638" s="39"/>
      <c r="E638" s="39"/>
      <c r="F638" s="5"/>
      <c r="G638" s="5"/>
      <c r="H638" s="39"/>
      <c r="I638" s="39"/>
      <c r="J638" s="5"/>
      <c r="K638" s="5"/>
      <c r="L638" s="39"/>
      <c r="M638" s="39"/>
      <c r="N638" s="5"/>
      <c r="O638" s="5"/>
      <c r="P638" s="39"/>
      <c r="Q638" s="39"/>
      <c r="R638" s="5"/>
      <c r="S638" s="5"/>
      <c r="T638" s="5"/>
      <c r="U638" s="5"/>
      <c r="V638" s="5"/>
    </row>
    <row r="639" spans="1:43" x14ac:dyDescent="0.25">
      <c r="A639" s="5"/>
      <c r="B639" s="5"/>
      <c r="C639" s="5"/>
      <c r="D639" s="39"/>
      <c r="E639" s="95" t="s">
        <v>11</v>
      </c>
      <c r="F639" s="104" t="s">
        <v>12</v>
      </c>
      <c r="G639" s="104"/>
      <c r="H639" s="104"/>
      <c r="I639" s="104" t="s">
        <v>41</v>
      </c>
      <c r="J639" s="104"/>
      <c r="K639" s="5"/>
      <c r="L639" s="39"/>
      <c r="M639" s="39"/>
      <c r="N639" s="5"/>
      <c r="O639" s="92" t="s">
        <v>13</v>
      </c>
      <c r="P639" s="39" t="s">
        <v>14</v>
      </c>
      <c r="Q639" s="39"/>
      <c r="R639" s="5"/>
      <c r="S639" s="5" t="s">
        <v>43</v>
      </c>
      <c r="T639" s="5"/>
      <c r="U639" s="5"/>
      <c r="V639" s="5"/>
    </row>
    <row r="640" spans="1:43" x14ac:dyDescent="0.25">
      <c r="A640" s="5"/>
      <c r="B640" s="5"/>
      <c r="C640" s="5"/>
      <c r="D640" s="39"/>
      <c r="E640" s="95" t="s">
        <v>15</v>
      </c>
      <c r="F640" s="104" t="s">
        <v>16</v>
      </c>
      <c r="G640" s="104"/>
      <c r="H640" s="104"/>
      <c r="I640" s="39" t="s">
        <v>42</v>
      </c>
      <c r="J640" s="5"/>
      <c r="K640" s="5"/>
      <c r="L640" s="39"/>
      <c r="M640" s="39"/>
      <c r="N640" s="5"/>
      <c r="O640" s="92" t="s">
        <v>18</v>
      </c>
      <c r="P640" s="39" t="s">
        <v>14</v>
      </c>
      <c r="Q640" s="39"/>
      <c r="R640" s="5"/>
      <c r="S640" s="5" t="s">
        <v>17</v>
      </c>
      <c r="T640" s="5"/>
      <c r="U640" s="5"/>
      <c r="V640" s="5"/>
    </row>
    <row r="641" spans="1:43" x14ac:dyDescent="0.25">
      <c r="A641" s="65" t="s">
        <v>69</v>
      </c>
      <c r="B641" s="65"/>
      <c r="C641" s="65"/>
      <c r="D641" s="77"/>
      <c r="E641" s="78"/>
      <c r="F641" s="65"/>
      <c r="G641" s="65"/>
      <c r="H641" s="77"/>
      <c r="I641" s="77"/>
      <c r="J641" s="65"/>
      <c r="K641" s="65"/>
      <c r="L641" s="77"/>
      <c r="M641" s="77"/>
      <c r="N641" s="65"/>
      <c r="O641" s="65"/>
      <c r="P641" s="77"/>
      <c r="Q641" s="77"/>
      <c r="R641" s="65"/>
      <c r="S641" s="65"/>
      <c r="T641" s="65"/>
      <c r="U641" s="65"/>
      <c r="V641" s="65"/>
    </row>
    <row r="642" spans="1:43" ht="18.75" x14ac:dyDescent="0.3">
      <c r="A642" s="5"/>
      <c r="B642" s="5"/>
      <c r="C642" s="5"/>
      <c r="D642" s="39"/>
      <c r="E642" s="40" t="s">
        <v>70</v>
      </c>
      <c r="F642" s="5"/>
      <c r="G642" s="7"/>
      <c r="H642" s="51"/>
      <c r="I642" s="51"/>
      <c r="J642" s="7"/>
      <c r="K642" s="7"/>
      <c r="L642" s="51"/>
      <c r="M642" s="52" t="s">
        <v>8</v>
      </c>
      <c r="N642" s="114" t="s">
        <v>68</v>
      </c>
      <c r="O642" s="115"/>
      <c r="P642" s="39"/>
      <c r="Q642" s="39"/>
      <c r="R642" s="5"/>
      <c r="S642" s="5"/>
      <c r="T642" s="5"/>
      <c r="U642" s="5"/>
      <c r="V642" s="5"/>
    </row>
    <row r="643" spans="1:43" ht="18.75" x14ac:dyDescent="0.3">
      <c r="A643" s="5"/>
      <c r="B643" s="5"/>
      <c r="C643" s="5"/>
      <c r="D643" s="39"/>
      <c r="E643" s="40" t="s">
        <v>35</v>
      </c>
      <c r="F643" s="5"/>
      <c r="G643" s="5"/>
      <c r="H643" s="39"/>
      <c r="I643" s="39"/>
      <c r="J643" s="9"/>
      <c r="K643" s="9"/>
      <c r="L643" s="53"/>
      <c r="M643" s="52" t="s">
        <v>9</v>
      </c>
      <c r="N643" s="116" t="str">
        <f>N642&amp;".1"</f>
        <v>1.3.1</v>
      </c>
      <c r="O643" s="116"/>
      <c r="P643" s="39"/>
      <c r="Q643" s="39"/>
      <c r="R643" s="5"/>
      <c r="S643" s="5"/>
      <c r="T643" s="5"/>
      <c r="U643" s="5"/>
      <c r="V643" s="5"/>
    </row>
    <row r="644" spans="1:43" ht="18.75" x14ac:dyDescent="0.3">
      <c r="A644" s="5"/>
      <c r="B644" s="5"/>
      <c r="C644" s="5"/>
      <c r="D644" s="39"/>
      <c r="E644" s="39" t="s">
        <v>36</v>
      </c>
      <c r="F644" s="5"/>
      <c r="G644" s="5"/>
      <c r="H644" s="51"/>
      <c r="I644" s="51"/>
      <c r="J644" s="7"/>
      <c r="K644" s="7"/>
      <c r="L644" s="51"/>
      <c r="M644" s="54" t="s">
        <v>9</v>
      </c>
      <c r="N644" s="11">
        <v>1</v>
      </c>
      <c r="O644" s="5"/>
      <c r="P644" s="39"/>
      <c r="Q644" s="39"/>
      <c r="R644" s="5"/>
      <c r="S644" s="5"/>
      <c r="T644" s="5"/>
      <c r="U644" s="5"/>
      <c r="V644" s="5"/>
    </row>
    <row r="645" spans="1:43" ht="18.75" x14ac:dyDescent="0.3">
      <c r="A645" s="5"/>
      <c r="B645" s="5"/>
      <c r="C645" s="5"/>
      <c r="D645" s="39"/>
      <c r="E645" s="39" t="s">
        <v>5</v>
      </c>
      <c r="F645" s="5"/>
      <c r="G645" s="5"/>
      <c r="H645" s="39"/>
      <c r="I645" s="39"/>
      <c r="J645" s="5"/>
      <c r="K645" s="5"/>
      <c r="L645" s="53"/>
      <c r="M645" s="54" t="s">
        <v>9</v>
      </c>
      <c r="N645" s="11" t="str">
        <f>"-"&amp;N643</f>
        <v>-1.3.1</v>
      </c>
      <c r="O645" s="12"/>
      <c r="P645" s="39"/>
      <c r="Q645" s="39"/>
      <c r="R645" s="5"/>
      <c r="S645" s="5"/>
      <c r="T645" s="5"/>
      <c r="U645" s="5"/>
      <c r="V645" s="5"/>
    </row>
    <row r="646" spans="1:43" ht="18.75" x14ac:dyDescent="0.3">
      <c r="A646" s="5"/>
      <c r="B646" s="5"/>
      <c r="C646" s="5"/>
      <c r="D646" s="39"/>
      <c r="E646" s="41" t="s">
        <v>10</v>
      </c>
      <c r="F646" s="5"/>
      <c r="G646" s="5"/>
      <c r="H646" s="39"/>
      <c r="I646" s="51"/>
      <c r="J646" s="7"/>
      <c r="K646" s="7"/>
      <c r="L646" s="51"/>
      <c r="M646" s="54" t="s">
        <v>9</v>
      </c>
      <c r="N646" s="3">
        <v>32</v>
      </c>
      <c r="O646" s="5"/>
      <c r="P646" s="39"/>
      <c r="Q646" s="39"/>
      <c r="R646" s="5"/>
      <c r="S646" s="5"/>
      <c r="T646" s="5"/>
      <c r="U646" s="5"/>
      <c r="V646" s="5"/>
    </row>
    <row r="647" spans="1:43" ht="15.75" thickBot="1" x14ac:dyDescent="0.3">
      <c r="A647" s="5"/>
      <c r="B647" s="5"/>
      <c r="C647" s="5"/>
      <c r="D647" s="39"/>
      <c r="E647" s="39"/>
      <c r="F647" s="5"/>
      <c r="G647" s="5"/>
      <c r="H647" s="39"/>
      <c r="I647" s="39"/>
      <c r="J647" s="5"/>
      <c r="K647" s="5"/>
      <c r="L647" s="39"/>
      <c r="M647" s="39"/>
      <c r="N647" s="5"/>
      <c r="O647" s="5"/>
      <c r="P647" s="39"/>
      <c r="Q647" s="39"/>
      <c r="R647" s="5"/>
      <c r="S647" s="5"/>
      <c r="T647" s="5"/>
      <c r="U647" s="5"/>
      <c r="V647" s="5"/>
    </row>
    <row r="648" spans="1:43" x14ac:dyDescent="0.25">
      <c r="A648" s="15"/>
      <c r="B648" s="16"/>
      <c r="C648" s="16"/>
      <c r="D648" s="42"/>
      <c r="E648" s="42"/>
      <c r="F648" s="16"/>
      <c r="G648" s="16"/>
      <c r="H648" s="42"/>
      <c r="I648" s="42"/>
      <c r="J648" s="16"/>
      <c r="K648" s="16"/>
      <c r="L648" s="42"/>
      <c r="M648" s="42"/>
      <c r="N648" s="16"/>
      <c r="O648" s="16"/>
      <c r="P648" s="42"/>
      <c r="Q648" s="42"/>
      <c r="R648" s="16"/>
      <c r="S648" s="16"/>
      <c r="T648" s="16"/>
      <c r="U648" s="16"/>
      <c r="V648" s="16"/>
    </row>
    <row r="649" spans="1:43" x14ac:dyDescent="0.25">
      <c r="A649" s="18"/>
      <c r="B649" s="97"/>
      <c r="C649" s="97"/>
      <c r="D649" s="117">
        <v>1</v>
      </c>
      <c r="E649" s="118"/>
      <c r="F649" s="97"/>
      <c r="G649" s="97"/>
      <c r="H649" s="117">
        <v>2</v>
      </c>
      <c r="I649" s="118"/>
      <c r="J649" s="97"/>
      <c r="K649" s="97"/>
      <c r="L649" s="117">
        <v>3</v>
      </c>
      <c r="M649" s="118"/>
      <c r="N649" s="97"/>
      <c r="O649" s="97"/>
      <c r="P649" s="117">
        <v>4</v>
      </c>
      <c r="Q649" s="118"/>
      <c r="R649" s="97"/>
      <c r="S649" s="97"/>
      <c r="T649" s="97"/>
      <c r="U649" s="97"/>
      <c r="V649" s="65"/>
    </row>
    <row r="650" spans="1:43" x14ac:dyDescent="0.25">
      <c r="A650" s="18"/>
      <c r="B650" s="111" t="s">
        <v>6</v>
      </c>
      <c r="C650" s="111"/>
      <c r="D650" s="117" t="s">
        <v>37</v>
      </c>
      <c r="E650" s="118" t="s">
        <v>0</v>
      </c>
      <c r="F650" s="111" t="s">
        <v>6</v>
      </c>
      <c r="G650" s="111"/>
      <c r="H650" s="117" t="s">
        <v>37</v>
      </c>
      <c r="I650" s="118"/>
      <c r="J650" s="111" t="s">
        <v>6</v>
      </c>
      <c r="K650" s="111"/>
      <c r="L650" s="117" t="s">
        <v>37</v>
      </c>
      <c r="M650" s="118"/>
      <c r="N650" s="111" t="s">
        <v>6</v>
      </c>
      <c r="O650" s="111"/>
      <c r="P650" s="117" t="s">
        <v>37</v>
      </c>
      <c r="Q650" s="118"/>
      <c r="R650" s="111"/>
      <c r="S650" s="111"/>
      <c r="T650" s="111"/>
      <c r="U650" s="111"/>
      <c r="V650" s="66"/>
    </row>
    <row r="651" spans="1:43" x14ac:dyDescent="0.25">
      <c r="A651" s="18"/>
      <c r="B651" s="110"/>
      <c r="C651" s="110"/>
      <c r="D651" s="112"/>
      <c r="E651" s="112"/>
      <c r="F651" s="110"/>
      <c r="G651" s="110"/>
      <c r="H651" s="112"/>
      <c r="I651" s="112"/>
      <c r="J651" s="110"/>
      <c r="K651" s="110"/>
      <c r="L651" s="112"/>
      <c r="M651" s="112"/>
      <c r="N651" s="110"/>
      <c r="O651" s="110"/>
      <c r="P651" s="112"/>
      <c r="Q651" s="112"/>
      <c r="R651" s="110"/>
      <c r="S651" s="110"/>
      <c r="T651" s="110"/>
      <c r="U651" s="110"/>
      <c r="V651" s="66"/>
    </row>
    <row r="652" spans="1:43" x14ac:dyDescent="0.25">
      <c r="A652" s="18"/>
      <c r="B652" s="111">
        <v>0</v>
      </c>
      <c r="C652" s="111"/>
      <c r="D652" s="113">
        <v>1</v>
      </c>
      <c r="E652" s="113">
        <v>1</v>
      </c>
      <c r="F652" s="111">
        <v>2</v>
      </c>
      <c r="G652" s="111">
        <v>2</v>
      </c>
      <c r="H652" s="113">
        <v>3</v>
      </c>
      <c r="I652" s="113">
        <v>3</v>
      </c>
      <c r="J652" s="111">
        <v>4</v>
      </c>
      <c r="K652" s="111">
        <v>4</v>
      </c>
      <c r="L652" s="113">
        <v>5</v>
      </c>
      <c r="M652" s="113"/>
      <c r="N652" s="111">
        <v>6</v>
      </c>
      <c r="O652" s="111">
        <v>1</v>
      </c>
      <c r="P652" s="113">
        <v>7</v>
      </c>
      <c r="Q652" s="113">
        <v>2</v>
      </c>
      <c r="R652" s="111">
        <v>8</v>
      </c>
      <c r="S652" s="111">
        <v>3</v>
      </c>
      <c r="T652" s="111">
        <v>9</v>
      </c>
      <c r="U652" s="111">
        <v>4</v>
      </c>
      <c r="V652" s="67"/>
    </row>
    <row r="653" spans="1:43" x14ac:dyDescent="0.25">
      <c r="A653" s="18"/>
      <c r="B653" s="97" t="s">
        <v>1</v>
      </c>
      <c r="C653" s="97" t="s">
        <v>2</v>
      </c>
      <c r="D653" s="99" t="s">
        <v>3</v>
      </c>
      <c r="E653" s="99" t="s">
        <v>4</v>
      </c>
      <c r="F653" s="97" t="s">
        <v>1</v>
      </c>
      <c r="G653" s="97" t="s">
        <v>2</v>
      </c>
      <c r="H653" s="99" t="s">
        <v>3</v>
      </c>
      <c r="I653" s="99" t="s">
        <v>4</v>
      </c>
      <c r="J653" s="97" t="s">
        <v>1</v>
      </c>
      <c r="K653" s="97" t="s">
        <v>2</v>
      </c>
      <c r="L653" s="99" t="s">
        <v>3</v>
      </c>
      <c r="M653" s="99" t="s">
        <v>4</v>
      </c>
      <c r="N653" s="97" t="s">
        <v>1</v>
      </c>
      <c r="O653" s="97" t="s">
        <v>2</v>
      </c>
      <c r="P653" s="99" t="s">
        <v>3</v>
      </c>
      <c r="Q653" s="99" t="s">
        <v>4</v>
      </c>
      <c r="R653" s="97" t="s">
        <v>1</v>
      </c>
      <c r="S653" s="97" t="s">
        <v>2</v>
      </c>
      <c r="T653" s="97" t="s">
        <v>3</v>
      </c>
      <c r="U653" s="97" t="s">
        <v>4</v>
      </c>
      <c r="V653" s="67"/>
    </row>
    <row r="654" spans="1:43" ht="15.75" thickBot="1" x14ac:dyDescent="0.3">
      <c r="A654" s="24"/>
      <c r="B654" s="25"/>
      <c r="C654" s="25"/>
      <c r="D654" s="44"/>
      <c r="E654" s="45"/>
      <c r="F654" s="25"/>
      <c r="G654" s="25"/>
      <c r="H654" s="44"/>
      <c r="I654" s="45"/>
      <c r="J654" s="25"/>
      <c r="K654" s="25"/>
      <c r="L654" s="44"/>
      <c r="M654" s="45"/>
      <c r="N654" s="25"/>
      <c r="O654" s="25"/>
      <c r="P654" s="44"/>
      <c r="Q654" s="45"/>
      <c r="R654" s="25"/>
      <c r="S654" s="25"/>
      <c r="T654" s="25"/>
      <c r="U654" s="25"/>
      <c r="V654" s="68"/>
    </row>
    <row r="655" spans="1:43" ht="15.6" customHeight="1" x14ac:dyDescent="0.25">
      <c r="A655" s="5"/>
      <c r="B655" s="105"/>
      <c r="C655" s="106"/>
      <c r="D655" s="108"/>
      <c r="E655" s="106"/>
      <c r="F655" s="105"/>
      <c r="G655" s="106"/>
      <c r="H655" s="108"/>
      <c r="I655" s="106"/>
      <c r="J655" s="105"/>
      <c r="K655" s="106"/>
      <c r="L655" s="108"/>
      <c r="M655" s="106"/>
      <c r="N655" s="105"/>
      <c r="O655" s="106"/>
      <c r="P655" s="108"/>
      <c r="Q655" s="106"/>
      <c r="R655" s="96"/>
      <c r="S655" s="96"/>
      <c r="T655" s="96"/>
      <c r="U655" s="96"/>
      <c r="V655" s="27"/>
      <c r="W655" s="69"/>
      <c r="X655" s="109"/>
      <c r="Y655" s="109"/>
      <c r="Z655" s="109"/>
      <c r="AA655" s="109"/>
      <c r="AB655" s="109"/>
      <c r="AC655" s="109"/>
      <c r="AD655" s="109"/>
      <c r="AE655" s="109"/>
      <c r="AF655" s="109"/>
      <c r="AG655" s="109"/>
      <c r="AH655" s="109"/>
      <c r="AI655" s="109"/>
      <c r="AJ655" s="109"/>
      <c r="AK655" s="109"/>
      <c r="AL655" s="109"/>
      <c r="AM655" s="109"/>
      <c r="AN655" s="109"/>
      <c r="AO655" s="109"/>
      <c r="AP655" s="109"/>
      <c r="AQ655" s="109"/>
    </row>
    <row r="656" spans="1:43" ht="15.6" customHeight="1" thickBot="1" x14ac:dyDescent="0.3">
      <c r="A656" s="5"/>
      <c r="B656" s="10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7"/>
      <c r="R656" s="110"/>
      <c r="S656" s="110"/>
      <c r="T656" s="110"/>
      <c r="U656" s="110"/>
      <c r="V656" s="27"/>
      <c r="W656" s="69"/>
      <c r="X656" s="109"/>
      <c r="Y656" s="109"/>
      <c r="Z656" s="109"/>
      <c r="AA656" s="109"/>
      <c r="AB656" s="109"/>
      <c r="AC656" s="109"/>
      <c r="AD656" s="109"/>
      <c r="AE656" s="109"/>
      <c r="AF656" s="109"/>
      <c r="AG656" s="109"/>
      <c r="AH656" s="109"/>
      <c r="AI656" s="109"/>
      <c r="AJ656" s="109"/>
      <c r="AK656" s="109"/>
      <c r="AL656" s="109"/>
      <c r="AM656" s="109"/>
      <c r="AN656" s="109"/>
      <c r="AO656" s="109"/>
      <c r="AP656" s="109"/>
      <c r="AQ656" s="109"/>
    </row>
    <row r="657" spans="1:22" x14ac:dyDescent="0.25">
      <c r="A657" s="5"/>
      <c r="B657" s="100"/>
      <c r="C657" s="101"/>
      <c r="D657" s="102"/>
      <c r="E657" s="103"/>
      <c r="F657" s="100"/>
      <c r="G657" s="101"/>
      <c r="H657" s="102"/>
      <c r="I657" s="103"/>
      <c r="J657" s="100"/>
      <c r="K657" s="101"/>
      <c r="L657" s="102"/>
      <c r="M657" s="103"/>
      <c r="N657" s="100"/>
      <c r="O657" s="101"/>
      <c r="P657" s="102"/>
      <c r="Q657" s="103"/>
      <c r="R657" s="96"/>
      <c r="S657" s="96"/>
      <c r="T657" s="96"/>
      <c r="U657" s="96"/>
      <c r="V657" s="27"/>
    </row>
    <row r="658" spans="1:22" x14ac:dyDescent="0.25">
      <c r="A658" s="5"/>
      <c r="B658" s="5"/>
      <c r="C658" s="5"/>
      <c r="D658" s="39"/>
      <c r="E658" s="39"/>
      <c r="F658" s="5"/>
      <c r="G658" s="5"/>
      <c r="H658" s="39"/>
      <c r="I658" s="39"/>
      <c r="J658" s="5"/>
      <c r="K658" s="5"/>
      <c r="L658" s="39"/>
      <c r="M658" s="39"/>
      <c r="N658" s="5"/>
      <c r="O658" s="5"/>
      <c r="P658" s="39"/>
      <c r="Q658" s="39"/>
      <c r="R658" s="5"/>
      <c r="S658" s="5"/>
      <c r="T658" s="5"/>
      <c r="U658" s="5"/>
      <c r="V658" s="5"/>
    </row>
    <row r="659" spans="1:22" x14ac:dyDescent="0.25">
      <c r="A659" s="5"/>
      <c r="B659" s="5"/>
      <c r="C659" s="5"/>
      <c r="D659" s="39"/>
      <c r="E659" s="98" t="s">
        <v>11</v>
      </c>
      <c r="F659" s="104" t="s">
        <v>12</v>
      </c>
      <c r="G659" s="104"/>
      <c r="H659" s="104"/>
      <c r="I659" s="104" t="s">
        <v>41</v>
      </c>
      <c r="J659" s="104"/>
      <c r="K659" s="5"/>
      <c r="L659" s="39"/>
      <c r="M659" s="39"/>
      <c r="N659" s="5"/>
      <c r="O659" s="96" t="s">
        <v>13</v>
      </c>
      <c r="P659" s="39" t="s">
        <v>14</v>
      </c>
      <c r="Q659" s="39"/>
      <c r="R659" s="5"/>
      <c r="S659" s="5" t="s">
        <v>43</v>
      </c>
      <c r="T659" s="5"/>
      <c r="U659" s="5"/>
      <c r="V659" s="5"/>
    </row>
    <row r="660" spans="1:22" x14ac:dyDescent="0.25">
      <c r="A660" s="5"/>
      <c r="B660" s="5"/>
      <c r="C660" s="5"/>
      <c r="D660" s="39"/>
      <c r="E660" s="98" t="s">
        <v>15</v>
      </c>
      <c r="F660" s="104" t="s">
        <v>16</v>
      </c>
      <c r="G660" s="104"/>
      <c r="H660" s="104"/>
      <c r="I660" s="39" t="s">
        <v>42</v>
      </c>
      <c r="J660" s="5"/>
      <c r="K660" s="5"/>
      <c r="L660" s="39"/>
      <c r="M660" s="39"/>
      <c r="N660" s="5"/>
      <c r="O660" s="96" t="s">
        <v>18</v>
      </c>
      <c r="P660" s="39" t="s">
        <v>14</v>
      </c>
      <c r="Q660" s="39"/>
      <c r="R660" s="5"/>
      <c r="S660" s="5" t="s">
        <v>17</v>
      </c>
      <c r="T660" s="5"/>
      <c r="U660" s="5"/>
      <c r="V660" s="5"/>
    </row>
  </sheetData>
  <sheetProtection formatCells="0" formatColumns="0" formatRows="0" insertColumns="0" insertRows="0" insertHyperlinks="0" deleteColumns="0" deleteRows="0" sort="0" autoFilter="0" pivotTables="0"/>
  <mergeCells count="2366">
    <mergeCell ref="F659:H659"/>
    <mergeCell ref="I659:J659"/>
    <mergeCell ref="F660:H660"/>
    <mergeCell ref="X655:AA655"/>
    <mergeCell ref="AB655:AE655"/>
    <mergeCell ref="AF655:AI655"/>
    <mergeCell ref="AJ655:AM655"/>
    <mergeCell ref="AN655:AQ655"/>
    <mergeCell ref="R656:U656"/>
    <mergeCell ref="X656:AA656"/>
    <mergeCell ref="AB656:AE656"/>
    <mergeCell ref="AF656:AI656"/>
    <mergeCell ref="AJ656:AM656"/>
    <mergeCell ref="AN656:AQ656"/>
    <mergeCell ref="B657:C657"/>
    <mergeCell ref="D657:E657"/>
    <mergeCell ref="F657:G657"/>
    <mergeCell ref="H657:I657"/>
    <mergeCell ref="J657:K657"/>
    <mergeCell ref="L657:M657"/>
    <mergeCell ref="N657:O657"/>
    <mergeCell ref="P657:Q657"/>
    <mergeCell ref="B652:C652"/>
    <mergeCell ref="D652:E652"/>
    <mergeCell ref="F652:G652"/>
    <mergeCell ref="H652:I652"/>
    <mergeCell ref="J652:K652"/>
    <mergeCell ref="L652:M652"/>
    <mergeCell ref="N652:O652"/>
    <mergeCell ref="P652:Q652"/>
    <mergeCell ref="R652:S652"/>
    <mergeCell ref="T652:U652"/>
    <mergeCell ref="B655:C656"/>
    <mergeCell ref="D655:E656"/>
    <mergeCell ref="F655:G656"/>
    <mergeCell ref="H655:I656"/>
    <mergeCell ref="J655:K656"/>
    <mergeCell ref="L655:M656"/>
    <mergeCell ref="N655:O656"/>
    <mergeCell ref="P655:Q656"/>
    <mergeCell ref="N642:O642"/>
    <mergeCell ref="N643:O643"/>
    <mergeCell ref="D649:E649"/>
    <mergeCell ref="H649:I649"/>
    <mergeCell ref="L649:M649"/>
    <mergeCell ref="P649:Q649"/>
    <mergeCell ref="B650:C650"/>
    <mergeCell ref="D650:E650"/>
    <mergeCell ref="F650:G650"/>
    <mergeCell ref="H650:I650"/>
    <mergeCell ref="J650:K650"/>
    <mergeCell ref="L650:M650"/>
    <mergeCell ref="N650:O650"/>
    <mergeCell ref="P650:Q650"/>
    <mergeCell ref="R650:S650"/>
    <mergeCell ref="T650:U650"/>
    <mergeCell ref="B651:C651"/>
    <mergeCell ref="D651:E651"/>
    <mergeCell ref="F651:G651"/>
    <mergeCell ref="H651:I651"/>
    <mergeCell ref="J651:K651"/>
    <mergeCell ref="L651:M651"/>
    <mergeCell ref="N651:O651"/>
    <mergeCell ref="P651:Q651"/>
    <mergeCell ref="R651:S651"/>
    <mergeCell ref="T651:U651"/>
    <mergeCell ref="B637:C637"/>
    <mergeCell ref="D637:E637"/>
    <mergeCell ref="F637:G637"/>
    <mergeCell ref="H637:I637"/>
    <mergeCell ref="J637:K637"/>
    <mergeCell ref="L637:M637"/>
    <mergeCell ref="N637:O637"/>
    <mergeCell ref="P637:Q637"/>
    <mergeCell ref="F639:H639"/>
    <mergeCell ref="I639:J639"/>
    <mergeCell ref="F640:H640"/>
    <mergeCell ref="B635:C636"/>
    <mergeCell ref="D635:E636"/>
    <mergeCell ref="F635:G636"/>
    <mergeCell ref="H635:I636"/>
    <mergeCell ref="J635:K636"/>
    <mergeCell ref="L635:M636"/>
    <mergeCell ref="N635:O636"/>
    <mergeCell ref="P635:Q636"/>
    <mergeCell ref="AF635:AI635"/>
    <mergeCell ref="AJ635:AM635"/>
    <mergeCell ref="AN635:AQ635"/>
    <mergeCell ref="R636:U636"/>
    <mergeCell ref="X636:AA636"/>
    <mergeCell ref="AB636:AE636"/>
    <mergeCell ref="AF636:AI636"/>
    <mergeCell ref="AJ636:AM636"/>
    <mergeCell ref="AN636:AQ636"/>
    <mergeCell ref="R630:S630"/>
    <mergeCell ref="T630:U630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N622:O622"/>
    <mergeCell ref="N623:O623"/>
    <mergeCell ref="D629:E629"/>
    <mergeCell ref="H629:I629"/>
    <mergeCell ref="L629:M629"/>
    <mergeCell ref="P629:Q629"/>
    <mergeCell ref="B630:C630"/>
    <mergeCell ref="D630:E630"/>
    <mergeCell ref="F630:G630"/>
    <mergeCell ref="H630:I630"/>
    <mergeCell ref="J630:K630"/>
    <mergeCell ref="L630:M630"/>
    <mergeCell ref="N630:O630"/>
    <mergeCell ref="P630:Q630"/>
    <mergeCell ref="X635:AA635"/>
    <mergeCell ref="AB635:AE635"/>
    <mergeCell ref="X315:AA315"/>
    <mergeCell ref="AB315:AE315"/>
    <mergeCell ref="AF315:AI315"/>
    <mergeCell ref="AJ315:AM315"/>
    <mergeCell ref="AN315:AQ315"/>
    <mergeCell ref="X316:AA316"/>
    <mergeCell ref="AB316:AE316"/>
    <mergeCell ref="AF316:AI316"/>
    <mergeCell ref="AJ316:AM316"/>
    <mergeCell ref="AN316:AQ316"/>
    <mergeCell ref="F319:H319"/>
    <mergeCell ref="I319:J319"/>
    <mergeCell ref="F320:H320"/>
    <mergeCell ref="R332:S332"/>
    <mergeCell ref="T332:U332"/>
    <mergeCell ref="R336:U336"/>
    <mergeCell ref="L330:M330"/>
    <mergeCell ref="N330:O330"/>
    <mergeCell ref="P330:Q330"/>
    <mergeCell ref="R330:S330"/>
    <mergeCell ref="T330:U330"/>
    <mergeCell ref="R316:U316"/>
    <mergeCell ref="AK322:AL322"/>
    <mergeCell ref="AK323:AL323"/>
    <mergeCell ref="X329:AA329"/>
    <mergeCell ref="AB329:AE329"/>
    <mergeCell ref="AF329:AI329"/>
    <mergeCell ref="AJ329:AM329"/>
    <mergeCell ref="X330:Y330"/>
    <mergeCell ref="Z330:AA330"/>
    <mergeCell ref="AB330:AC330"/>
    <mergeCell ref="AD330:AE330"/>
    <mergeCell ref="B317:C317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J332:K332"/>
    <mergeCell ref="L332:M332"/>
    <mergeCell ref="N332:O332"/>
    <mergeCell ref="P332:Q332"/>
    <mergeCell ref="N322:O322"/>
    <mergeCell ref="N323:O323"/>
    <mergeCell ref="D329:E329"/>
    <mergeCell ref="H329:I329"/>
    <mergeCell ref="L329:M329"/>
    <mergeCell ref="P329:Q329"/>
    <mergeCell ref="B330:C330"/>
    <mergeCell ref="D330:E330"/>
    <mergeCell ref="F330:G330"/>
    <mergeCell ref="H330:I330"/>
    <mergeCell ref="J330:K330"/>
    <mergeCell ref="B331:C331"/>
    <mergeCell ref="D331:E331"/>
    <mergeCell ref="F299:H299"/>
    <mergeCell ref="I299:J299"/>
    <mergeCell ref="F300:H300"/>
    <mergeCell ref="P309:Q309"/>
    <mergeCell ref="L309:M309"/>
    <mergeCell ref="H309:I309"/>
    <mergeCell ref="X295:AA295"/>
    <mergeCell ref="AB295:AE295"/>
    <mergeCell ref="AF295:AI295"/>
    <mergeCell ref="AJ295:AM295"/>
    <mergeCell ref="AN295:AQ295"/>
    <mergeCell ref="X296:AA296"/>
    <mergeCell ref="AB296:AE296"/>
    <mergeCell ref="AF296:AI296"/>
    <mergeCell ref="AJ296:AM296"/>
    <mergeCell ref="AN296:AQ296"/>
    <mergeCell ref="X255:AA255"/>
    <mergeCell ref="AB255:AE255"/>
    <mergeCell ref="AF255:AI255"/>
    <mergeCell ref="AJ255:AM255"/>
    <mergeCell ref="AN255:AQ255"/>
    <mergeCell ref="X256:AA256"/>
    <mergeCell ref="AB256:AE256"/>
    <mergeCell ref="AF256:AI256"/>
    <mergeCell ref="AJ256:AM256"/>
    <mergeCell ref="AN256:AQ256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X275:AA275"/>
    <mergeCell ref="AB275:AE275"/>
    <mergeCell ref="AF275:AI275"/>
    <mergeCell ref="AJ275:AM275"/>
    <mergeCell ref="AN275:AQ275"/>
    <mergeCell ref="X276:AA276"/>
    <mergeCell ref="AB276:AE276"/>
    <mergeCell ref="AF276:AI276"/>
    <mergeCell ref="AJ276:AM276"/>
    <mergeCell ref="AN276:AQ276"/>
    <mergeCell ref="N263:O263"/>
    <mergeCell ref="R256:U256"/>
    <mergeCell ref="B257:C257"/>
    <mergeCell ref="F257:G257"/>
    <mergeCell ref="X215:AA215"/>
    <mergeCell ref="AB215:AE215"/>
    <mergeCell ref="AF215:AI215"/>
    <mergeCell ref="AJ215:AM215"/>
    <mergeCell ref="AN215:AQ215"/>
    <mergeCell ref="X216:AA216"/>
    <mergeCell ref="AB216:AE216"/>
    <mergeCell ref="AF216:AI216"/>
    <mergeCell ref="AJ216:AM216"/>
    <mergeCell ref="AN216:AQ216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X235:AA235"/>
    <mergeCell ref="AB235:AE235"/>
    <mergeCell ref="AF235:AI235"/>
    <mergeCell ref="AJ235:AM235"/>
    <mergeCell ref="AN235:AQ235"/>
    <mergeCell ref="X236:AA236"/>
    <mergeCell ref="AB236:AE236"/>
    <mergeCell ref="AF236:AI236"/>
    <mergeCell ref="AJ236:AM236"/>
    <mergeCell ref="AN236:AQ236"/>
    <mergeCell ref="R216:U216"/>
    <mergeCell ref="F219:H219"/>
    <mergeCell ref="I219:J219"/>
    <mergeCell ref="B217:C217"/>
    <mergeCell ref="X175:AA175"/>
    <mergeCell ref="AB175:AE175"/>
    <mergeCell ref="AF175:AI175"/>
    <mergeCell ref="AJ175:AM175"/>
    <mergeCell ref="AN175:AQ175"/>
    <mergeCell ref="X176:AA176"/>
    <mergeCell ref="AB176:AE176"/>
    <mergeCell ref="AF176:AI176"/>
    <mergeCell ref="AJ176:AM176"/>
    <mergeCell ref="AN176:AQ176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X195:AA195"/>
    <mergeCell ref="AB195:AE195"/>
    <mergeCell ref="AF195:AI195"/>
    <mergeCell ref="AJ195:AM195"/>
    <mergeCell ref="AN195:AQ195"/>
    <mergeCell ref="X196:AA196"/>
    <mergeCell ref="AB196:AE196"/>
    <mergeCell ref="AF196:AI196"/>
    <mergeCell ref="AJ196:AM196"/>
    <mergeCell ref="AN196:AQ196"/>
    <mergeCell ref="AB136:AE136"/>
    <mergeCell ref="AF136:AI136"/>
    <mergeCell ref="AJ136:AM136"/>
    <mergeCell ref="AN136:AQ136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X155:AA155"/>
    <mergeCell ref="AB155:AE155"/>
    <mergeCell ref="AF155:AI155"/>
    <mergeCell ref="AJ155:AM155"/>
    <mergeCell ref="AN155:AQ155"/>
    <mergeCell ref="X156:AA156"/>
    <mergeCell ref="AB156:AE156"/>
    <mergeCell ref="AF156:AI156"/>
    <mergeCell ref="AJ156:AM156"/>
    <mergeCell ref="AN156:AQ156"/>
    <mergeCell ref="R136:U136"/>
    <mergeCell ref="D150:E150"/>
    <mergeCell ref="N150:O150"/>
    <mergeCell ref="P150:Q150"/>
    <mergeCell ref="F137:G137"/>
    <mergeCell ref="B111:C111"/>
    <mergeCell ref="X135:AA135"/>
    <mergeCell ref="AB135:AE135"/>
    <mergeCell ref="AF135:AI135"/>
    <mergeCell ref="AJ135:AM135"/>
    <mergeCell ref="AN135:AQ135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0:C110"/>
    <mergeCell ref="B95:C96"/>
    <mergeCell ref="D95:E96"/>
    <mergeCell ref="F95:G96"/>
    <mergeCell ref="B97:C97"/>
    <mergeCell ref="AN76:AQ76"/>
    <mergeCell ref="X95:AA95"/>
    <mergeCell ref="AB95:AE95"/>
    <mergeCell ref="AF95:AI95"/>
    <mergeCell ref="AJ95:AM95"/>
    <mergeCell ref="AN95:AQ95"/>
    <mergeCell ref="X96:AA96"/>
    <mergeCell ref="AB96:AE96"/>
    <mergeCell ref="AF96:AI96"/>
    <mergeCell ref="AJ96:AM96"/>
    <mergeCell ref="AN96:AQ96"/>
    <mergeCell ref="X115:AA115"/>
    <mergeCell ref="AB115:AE115"/>
    <mergeCell ref="AF115:AI115"/>
    <mergeCell ref="AJ115:AM115"/>
    <mergeCell ref="AN115:AQ115"/>
    <mergeCell ref="X116:AA116"/>
    <mergeCell ref="AB116:AE116"/>
    <mergeCell ref="AF116:AI116"/>
    <mergeCell ref="AJ116:AM116"/>
    <mergeCell ref="AN116:AQ116"/>
    <mergeCell ref="B197:C197"/>
    <mergeCell ref="D209:E209"/>
    <mergeCell ref="P209:Q209"/>
    <mergeCell ref="AB56:AE56"/>
    <mergeCell ref="AF56:AI56"/>
    <mergeCell ref="AJ56:AM56"/>
    <mergeCell ref="AN56:AQ56"/>
    <mergeCell ref="B55:C56"/>
    <mergeCell ref="D55:E56"/>
    <mergeCell ref="F55:G56"/>
    <mergeCell ref="H55:I56"/>
    <mergeCell ref="J55:K56"/>
    <mergeCell ref="L55:M56"/>
    <mergeCell ref="N55:O56"/>
    <mergeCell ref="P55:Q56"/>
    <mergeCell ref="X55:AA55"/>
    <mergeCell ref="AB55:AE55"/>
    <mergeCell ref="AF55:AI55"/>
    <mergeCell ref="AJ55:AM55"/>
    <mergeCell ref="AN55:AQ55"/>
    <mergeCell ref="B75:C76"/>
    <mergeCell ref="D75:E76"/>
    <mergeCell ref="F75:G76"/>
    <mergeCell ref="X75:AA75"/>
    <mergeCell ref="AB75:AE75"/>
    <mergeCell ref="AF75:AI75"/>
    <mergeCell ref="AJ75:AM75"/>
    <mergeCell ref="AN75:AQ75"/>
    <mergeCell ref="X76:AA76"/>
    <mergeCell ref="AB76:AE76"/>
    <mergeCell ref="AF76:AI76"/>
    <mergeCell ref="AJ76:AM76"/>
    <mergeCell ref="N203:O203"/>
    <mergeCell ref="N162:O162"/>
    <mergeCell ref="F139:H139"/>
    <mergeCell ref="I139:J139"/>
    <mergeCell ref="F140:H140"/>
    <mergeCell ref="N142:O142"/>
    <mergeCell ref="F200:H200"/>
    <mergeCell ref="N202:O202"/>
    <mergeCell ref="J35:K36"/>
    <mergeCell ref="L35:M36"/>
    <mergeCell ref="N35:O36"/>
    <mergeCell ref="P35:Q36"/>
    <mergeCell ref="X56:AA56"/>
    <mergeCell ref="D197:E197"/>
    <mergeCell ref="H197:I197"/>
    <mergeCell ref="L197:M197"/>
    <mergeCell ref="P197:Q197"/>
    <mergeCell ref="R96:U96"/>
    <mergeCell ref="R110:S110"/>
    <mergeCell ref="T110:U110"/>
    <mergeCell ref="R176:U176"/>
    <mergeCell ref="F179:H179"/>
    <mergeCell ref="I179:J179"/>
    <mergeCell ref="F180:H180"/>
    <mergeCell ref="X136:AA136"/>
    <mergeCell ref="B115:C116"/>
    <mergeCell ref="D115:E116"/>
    <mergeCell ref="F115:G116"/>
    <mergeCell ref="H115:I116"/>
    <mergeCell ref="J115:K116"/>
    <mergeCell ref="L115:M116"/>
    <mergeCell ref="N115:O116"/>
    <mergeCell ref="P110:Q110"/>
    <mergeCell ref="B112:C112"/>
    <mergeCell ref="D112:E112"/>
    <mergeCell ref="P115:Q116"/>
    <mergeCell ref="P210:Q210"/>
    <mergeCell ref="B130:C130"/>
    <mergeCell ref="D130:E130"/>
    <mergeCell ref="B131:C131"/>
    <mergeCell ref="D131:E131"/>
    <mergeCell ref="J137:K137"/>
    <mergeCell ref="L137:M137"/>
    <mergeCell ref="N137:O137"/>
    <mergeCell ref="P137:Q137"/>
    <mergeCell ref="D137:E137"/>
    <mergeCell ref="N143:O143"/>
    <mergeCell ref="D149:E149"/>
    <mergeCell ref="H149:I149"/>
    <mergeCell ref="L149:M149"/>
    <mergeCell ref="P149:Q149"/>
    <mergeCell ref="B150:C150"/>
    <mergeCell ref="B152:C152"/>
    <mergeCell ref="D152:E152"/>
    <mergeCell ref="F152:G152"/>
    <mergeCell ref="H152:I152"/>
    <mergeCell ref="J152:K152"/>
    <mergeCell ref="L90:M90"/>
    <mergeCell ref="N90:O90"/>
    <mergeCell ref="P90:Q90"/>
    <mergeCell ref="H91:I91"/>
    <mergeCell ref="J91:K91"/>
    <mergeCell ref="L91:M91"/>
    <mergeCell ref="N91:O91"/>
    <mergeCell ref="P91:Q91"/>
    <mergeCell ref="F112:G112"/>
    <mergeCell ref="H112:I112"/>
    <mergeCell ref="J112:K112"/>
    <mergeCell ref="L112:M112"/>
    <mergeCell ref="N112:O112"/>
    <mergeCell ref="P112:Q112"/>
    <mergeCell ref="J97:K97"/>
    <mergeCell ref="L97:M97"/>
    <mergeCell ref="N97:O97"/>
    <mergeCell ref="P97:Q97"/>
    <mergeCell ref="H95:I96"/>
    <mergeCell ref="J95:K96"/>
    <mergeCell ref="L95:M96"/>
    <mergeCell ref="N95:O96"/>
    <mergeCell ref="P95:Q96"/>
    <mergeCell ref="P131:Q131"/>
    <mergeCell ref="F99:H99"/>
    <mergeCell ref="I99:J99"/>
    <mergeCell ref="F100:H100"/>
    <mergeCell ref="N102:O102"/>
    <mergeCell ref="N103:O103"/>
    <mergeCell ref="H109:I109"/>
    <mergeCell ref="L109:M109"/>
    <mergeCell ref="P109:Q109"/>
    <mergeCell ref="F110:G110"/>
    <mergeCell ref="R51:S51"/>
    <mergeCell ref="L50:M50"/>
    <mergeCell ref="N50:O50"/>
    <mergeCell ref="P50:Q50"/>
    <mergeCell ref="R50:S50"/>
    <mergeCell ref="T50:U50"/>
    <mergeCell ref="B52:C52"/>
    <mergeCell ref="F52:G52"/>
    <mergeCell ref="P69:Q69"/>
    <mergeCell ref="B77:C77"/>
    <mergeCell ref="B90:C90"/>
    <mergeCell ref="D52:E52"/>
    <mergeCell ref="J52:K52"/>
    <mergeCell ref="N52:O52"/>
    <mergeCell ref="R52:S52"/>
    <mergeCell ref="T52:U52"/>
    <mergeCell ref="R56:U56"/>
    <mergeCell ref="B57:C57"/>
    <mergeCell ref="D57:E57"/>
    <mergeCell ref="F57:G57"/>
    <mergeCell ref="H57:I57"/>
    <mergeCell ref="J57:K57"/>
    <mergeCell ref="F197:G197"/>
    <mergeCell ref="J197:K197"/>
    <mergeCell ref="N197:O197"/>
    <mergeCell ref="F199:H199"/>
    <mergeCell ref="I199:J199"/>
    <mergeCell ref="F59:H59"/>
    <mergeCell ref="I59:J59"/>
    <mergeCell ref="F60:H60"/>
    <mergeCell ref="H110:I110"/>
    <mergeCell ref="J110:K110"/>
    <mergeCell ref="D69:E69"/>
    <mergeCell ref="H69:I69"/>
    <mergeCell ref="L69:M69"/>
    <mergeCell ref="D91:E91"/>
    <mergeCell ref="F91:G91"/>
    <mergeCell ref="J131:K131"/>
    <mergeCell ref="L131:M131"/>
    <mergeCell ref="N131:O131"/>
    <mergeCell ref="H75:I76"/>
    <mergeCell ref="J75:K76"/>
    <mergeCell ref="L75:M76"/>
    <mergeCell ref="N75:O76"/>
    <mergeCell ref="F131:G131"/>
    <mergeCell ref="H131:I131"/>
    <mergeCell ref="N182:O182"/>
    <mergeCell ref="N183:O183"/>
    <mergeCell ref="D189:E189"/>
    <mergeCell ref="N62:O62"/>
    <mergeCell ref="N63:O63"/>
    <mergeCell ref="F90:G90"/>
    <mergeCell ref="H90:I90"/>
    <mergeCell ref="J90:K9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F40:H40"/>
    <mergeCell ref="D49:E49"/>
    <mergeCell ref="H49:I49"/>
    <mergeCell ref="L49:M49"/>
    <mergeCell ref="P49:Q49"/>
    <mergeCell ref="D50:E50"/>
    <mergeCell ref="F50:G50"/>
    <mergeCell ref="H50:I50"/>
    <mergeCell ref="J50:K50"/>
    <mergeCell ref="L15:M16"/>
    <mergeCell ref="N2:O2"/>
    <mergeCell ref="D9:E9"/>
    <mergeCell ref="H9:I9"/>
    <mergeCell ref="L9:M9"/>
    <mergeCell ref="N11:O11"/>
    <mergeCell ref="N10:O10"/>
    <mergeCell ref="N3:O3"/>
    <mergeCell ref="L10:M10"/>
    <mergeCell ref="L11:M11"/>
    <mergeCell ref="AK2:AL2"/>
    <mergeCell ref="AK3:AL3"/>
    <mergeCell ref="T10:U10"/>
    <mergeCell ref="L12:M12"/>
    <mergeCell ref="P9:Q9"/>
    <mergeCell ref="P11:Q11"/>
    <mergeCell ref="R11:S11"/>
    <mergeCell ref="P10:Q10"/>
    <mergeCell ref="R10:S10"/>
    <mergeCell ref="AD10:AE10"/>
    <mergeCell ref="AF10:AG10"/>
    <mergeCell ref="AH10:AI10"/>
    <mergeCell ref="AJ10:AK10"/>
    <mergeCell ref="AL10:AM10"/>
    <mergeCell ref="R12:S12"/>
    <mergeCell ref="T11:U11"/>
    <mergeCell ref="T12:U12"/>
    <mergeCell ref="R16:U16"/>
    <mergeCell ref="N12:O12"/>
    <mergeCell ref="P12:Q12"/>
    <mergeCell ref="AB12:AC12"/>
    <mergeCell ref="B10:C10"/>
    <mergeCell ref="D10:E10"/>
    <mergeCell ref="F10:G10"/>
    <mergeCell ref="H10:I10"/>
    <mergeCell ref="J10:K10"/>
    <mergeCell ref="B12:C12"/>
    <mergeCell ref="D12:E12"/>
    <mergeCell ref="F12:G12"/>
    <mergeCell ref="H12:I12"/>
    <mergeCell ref="J12:K12"/>
    <mergeCell ref="B11:C11"/>
    <mergeCell ref="D11:E11"/>
    <mergeCell ref="F11:G11"/>
    <mergeCell ref="H11:I11"/>
    <mergeCell ref="J11:K11"/>
    <mergeCell ref="B15:C16"/>
    <mergeCell ref="D15:E16"/>
    <mergeCell ref="F15:G16"/>
    <mergeCell ref="H15:I16"/>
    <mergeCell ref="J15:K16"/>
    <mergeCell ref="P30:Q30"/>
    <mergeCell ref="R30:S30"/>
    <mergeCell ref="P29:Q29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J30:K30"/>
    <mergeCell ref="L30:M30"/>
    <mergeCell ref="F19:H19"/>
    <mergeCell ref="F20:H20"/>
    <mergeCell ref="N17:O17"/>
    <mergeCell ref="H17:I17"/>
    <mergeCell ref="L17:M17"/>
    <mergeCell ref="D17:E17"/>
    <mergeCell ref="I19:J19"/>
    <mergeCell ref="B17:C17"/>
    <mergeCell ref="F17:G17"/>
    <mergeCell ref="J17:K17"/>
    <mergeCell ref="AP12:AQ12"/>
    <mergeCell ref="X9:AA9"/>
    <mergeCell ref="AB9:AE9"/>
    <mergeCell ref="AF9:AI9"/>
    <mergeCell ref="AJ9:AM9"/>
    <mergeCell ref="AJ12:AK12"/>
    <mergeCell ref="AD12:AE12"/>
    <mergeCell ref="AF12:AG12"/>
    <mergeCell ref="AH12:AI12"/>
    <mergeCell ref="AN12:AO12"/>
    <mergeCell ref="AL12:AM12"/>
    <mergeCell ref="AJ15:AM15"/>
    <mergeCell ref="AN15:AQ15"/>
    <mergeCell ref="AN20:AQ20"/>
    <mergeCell ref="X19:AQ19"/>
    <mergeCell ref="AJ16:AM16"/>
    <mergeCell ref="AN16:AQ16"/>
    <mergeCell ref="X10:Y10"/>
    <mergeCell ref="Z10:AA10"/>
    <mergeCell ref="AB10:AC10"/>
    <mergeCell ref="AL32:AM32"/>
    <mergeCell ref="AN32:AO32"/>
    <mergeCell ref="AP32:AQ32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X39:AQ39"/>
    <mergeCell ref="AN10:AO10"/>
    <mergeCell ref="AP10:AQ10"/>
    <mergeCell ref="X11:AA11"/>
    <mergeCell ref="AB11:AE11"/>
    <mergeCell ref="AF11:AI11"/>
    <mergeCell ref="AJ11:AM11"/>
    <mergeCell ref="AN11:AQ11"/>
    <mergeCell ref="X12:Y12"/>
    <mergeCell ref="Z12:AA12"/>
    <mergeCell ref="X15:AA15"/>
    <mergeCell ref="X20:AA20"/>
    <mergeCell ref="AN21:AO21"/>
    <mergeCell ref="AK22:AL22"/>
    <mergeCell ref="AK23:AL23"/>
    <mergeCell ref="X29:AA29"/>
    <mergeCell ref="AB29:AE29"/>
    <mergeCell ref="AF29:AI29"/>
    <mergeCell ref="AJ29:AM29"/>
    <mergeCell ref="X30:Y30"/>
    <mergeCell ref="Z30:AA30"/>
    <mergeCell ref="AB30:AC30"/>
    <mergeCell ref="AD30:AE30"/>
    <mergeCell ref="AF30:AG30"/>
    <mergeCell ref="AP21:AQ21"/>
    <mergeCell ref="AB15:AE15"/>
    <mergeCell ref="AF15:AI15"/>
    <mergeCell ref="N23:O23"/>
    <mergeCell ref="AL30:AM30"/>
    <mergeCell ref="AN30:AO30"/>
    <mergeCell ref="AP30:AQ30"/>
    <mergeCell ref="N15:O16"/>
    <mergeCell ref="P15:Q16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X16:AA16"/>
    <mergeCell ref="AB16:AE16"/>
    <mergeCell ref="AF16:AI16"/>
    <mergeCell ref="AB20:AE20"/>
    <mergeCell ref="AF20:AI20"/>
    <mergeCell ref="AJ20:AM20"/>
    <mergeCell ref="N22:O22"/>
    <mergeCell ref="T30:U30"/>
    <mergeCell ref="P17:Q17"/>
    <mergeCell ref="AF32:AG32"/>
    <mergeCell ref="AH32:AI32"/>
    <mergeCell ref="AJ32:AK32"/>
    <mergeCell ref="D29:E29"/>
    <mergeCell ref="H29:I29"/>
    <mergeCell ref="L29:M29"/>
    <mergeCell ref="H30:I30"/>
    <mergeCell ref="N30:O30"/>
    <mergeCell ref="B51:C51"/>
    <mergeCell ref="D51:E51"/>
    <mergeCell ref="F51:G51"/>
    <mergeCell ref="H51:I51"/>
    <mergeCell ref="J51:K51"/>
    <mergeCell ref="L51:M51"/>
    <mergeCell ref="N51:O51"/>
    <mergeCell ref="P51:Q51"/>
    <mergeCell ref="AH30:AI30"/>
    <mergeCell ref="AJ30:AK30"/>
    <mergeCell ref="N31:O31"/>
    <mergeCell ref="P31:Q31"/>
    <mergeCell ref="R31:S31"/>
    <mergeCell ref="T31:U31"/>
    <mergeCell ref="X31:AA31"/>
    <mergeCell ref="AB31:AE31"/>
    <mergeCell ref="N42:O42"/>
    <mergeCell ref="N43:O43"/>
    <mergeCell ref="B50:C50"/>
    <mergeCell ref="T51:U51"/>
    <mergeCell ref="B35:C36"/>
    <mergeCell ref="D35:E36"/>
    <mergeCell ref="F35:G36"/>
    <mergeCell ref="H35:I36"/>
    <mergeCell ref="AF31:AI31"/>
    <mergeCell ref="AJ31:AM31"/>
    <mergeCell ref="B32:C32"/>
    <mergeCell ref="D32:E32"/>
    <mergeCell ref="F32:G32"/>
    <mergeCell ref="H32:I32"/>
    <mergeCell ref="J32:K32"/>
    <mergeCell ref="L32:M32"/>
    <mergeCell ref="N32:O32"/>
    <mergeCell ref="X40:AA40"/>
    <mergeCell ref="AB40:AE40"/>
    <mergeCell ref="AF40:AI40"/>
    <mergeCell ref="AJ40:AM40"/>
    <mergeCell ref="AN40:AQ40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N31:AQ31"/>
    <mergeCell ref="P32:Q32"/>
    <mergeCell ref="R32:S32"/>
    <mergeCell ref="T32:U32"/>
    <mergeCell ref="X32:Y32"/>
    <mergeCell ref="Z32:AA32"/>
    <mergeCell ref="AB32:AC32"/>
    <mergeCell ref="AD32:AE32"/>
    <mergeCell ref="L57:M57"/>
    <mergeCell ref="N57:O57"/>
    <mergeCell ref="P57:Q57"/>
    <mergeCell ref="H52:I52"/>
    <mergeCell ref="L52:M52"/>
    <mergeCell ref="P52:Q52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R76:U76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D77:E77"/>
    <mergeCell ref="F77:G77"/>
    <mergeCell ref="H77:I77"/>
    <mergeCell ref="J77:K77"/>
    <mergeCell ref="L77:M77"/>
    <mergeCell ref="N77:O77"/>
    <mergeCell ref="P77:Q77"/>
    <mergeCell ref="P75:Q76"/>
    <mergeCell ref="R91:S91"/>
    <mergeCell ref="T91:U91"/>
    <mergeCell ref="D90:E90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B91:C9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R90:S90"/>
    <mergeCell ref="T90:U90"/>
    <mergeCell ref="D109:E109"/>
    <mergeCell ref="D110:E110"/>
    <mergeCell ref="L110:M110"/>
    <mergeCell ref="N110:O110"/>
    <mergeCell ref="D97:E97"/>
    <mergeCell ref="F97:G97"/>
    <mergeCell ref="H97:I97"/>
    <mergeCell ref="R112:S112"/>
    <mergeCell ref="T112:U112"/>
    <mergeCell ref="R116:U116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F130:G130"/>
    <mergeCell ref="H130:I130"/>
    <mergeCell ref="J130:K130"/>
    <mergeCell ref="L130:M130"/>
    <mergeCell ref="N130:O130"/>
    <mergeCell ref="P130:Q130"/>
    <mergeCell ref="R130:S130"/>
    <mergeCell ref="T130:U130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5:C136"/>
    <mergeCell ref="D135:E136"/>
    <mergeCell ref="L135:M136"/>
    <mergeCell ref="N135:O136"/>
    <mergeCell ref="P135:Q136"/>
    <mergeCell ref="B137:C137"/>
    <mergeCell ref="H137:I137"/>
    <mergeCell ref="F150:G150"/>
    <mergeCell ref="H150:I150"/>
    <mergeCell ref="J150:K150"/>
    <mergeCell ref="L150:M150"/>
    <mergeCell ref="F135:G136"/>
    <mergeCell ref="H135:I136"/>
    <mergeCell ref="J135:K136"/>
    <mergeCell ref="R152:S152"/>
    <mergeCell ref="T152:U152"/>
    <mergeCell ref="R156:U156"/>
    <mergeCell ref="F159:H159"/>
    <mergeCell ref="I159:J15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T170:U170"/>
    <mergeCell ref="F157:G157"/>
    <mergeCell ref="H157:I157"/>
    <mergeCell ref="J157:K157"/>
    <mergeCell ref="L157:M157"/>
    <mergeCell ref="N157:O157"/>
    <mergeCell ref="P157:Q157"/>
    <mergeCell ref="D169:E169"/>
    <mergeCell ref="B157:C157"/>
    <mergeCell ref="D157:E157"/>
    <mergeCell ref="F160:H160"/>
    <mergeCell ref="N163:O163"/>
    <mergeCell ref="L152:M152"/>
    <mergeCell ref="N152:O152"/>
    <mergeCell ref="P152:Q152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H189:I189"/>
    <mergeCell ref="L189:M189"/>
    <mergeCell ref="P189:Q189"/>
    <mergeCell ref="B177:C177"/>
    <mergeCell ref="D177:E177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F177:G177"/>
    <mergeCell ref="H177:I177"/>
    <mergeCell ref="J177:K177"/>
    <mergeCell ref="L177:M177"/>
    <mergeCell ref="N177:O177"/>
    <mergeCell ref="P177:Q177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R196:U19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H209:I209"/>
    <mergeCell ref="L209:M209"/>
    <mergeCell ref="B210:C210"/>
    <mergeCell ref="D210:E210"/>
    <mergeCell ref="F210:G210"/>
    <mergeCell ref="H210:I210"/>
    <mergeCell ref="J210:K210"/>
    <mergeCell ref="L210:M210"/>
    <mergeCell ref="N210:O210"/>
    <mergeCell ref="D217:E217"/>
    <mergeCell ref="F217:G217"/>
    <mergeCell ref="H217:I217"/>
    <mergeCell ref="J217:K217"/>
    <mergeCell ref="L217:M217"/>
    <mergeCell ref="N217:O217"/>
    <mergeCell ref="P217:Q217"/>
    <mergeCell ref="F220:H220"/>
    <mergeCell ref="N223:O223"/>
    <mergeCell ref="D229:E229"/>
    <mergeCell ref="H229:I229"/>
    <mergeCell ref="L229:M229"/>
    <mergeCell ref="P229:Q229"/>
    <mergeCell ref="N222:O222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R236:U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R250:S250"/>
    <mergeCell ref="J257:K257"/>
    <mergeCell ref="N257:O257"/>
    <mergeCell ref="F259:H259"/>
    <mergeCell ref="I259:J259"/>
    <mergeCell ref="F260:H260"/>
    <mergeCell ref="N262:O262"/>
    <mergeCell ref="D257:E257"/>
    <mergeCell ref="H257:I257"/>
    <mergeCell ref="L257:M257"/>
    <mergeCell ref="P257:Q257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H269:I269"/>
    <mergeCell ref="L269:M269"/>
    <mergeCell ref="P269:Q269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D269:E269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R276:U276"/>
    <mergeCell ref="P291:Q291"/>
    <mergeCell ref="R291:S291"/>
    <mergeCell ref="T291:U291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90:C290"/>
    <mergeCell ref="D290:E290"/>
    <mergeCell ref="F290:G290"/>
    <mergeCell ref="H290:I290"/>
    <mergeCell ref="J290:K290"/>
    <mergeCell ref="L290:M290"/>
    <mergeCell ref="N290:O290"/>
    <mergeCell ref="P290:Q290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7:Q297"/>
    <mergeCell ref="L297:M297"/>
    <mergeCell ref="N297:O297"/>
    <mergeCell ref="D309:E309"/>
    <mergeCell ref="N303:O303"/>
    <mergeCell ref="N302:O302"/>
    <mergeCell ref="J292:K292"/>
    <mergeCell ref="L292:M292"/>
    <mergeCell ref="N292:O292"/>
    <mergeCell ref="P292:Q292"/>
    <mergeCell ref="R292:S292"/>
    <mergeCell ref="T292:U292"/>
    <mergeCell ref="R296:U296"/>
    <mergeCell ref="R312:S312"/>
    <mergeCell ref="T312:U312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310:C310"/>
    <mergeCell ref="D310:E310"/>
    <mergeCell ref="D317:E317"/>
    <mergeCell ref="F317:G317"/>
    <mergeCell ref="H317:I317"/>
    <mergeCell ref="J317:K317"/>
    <mergeCell ref="L317:M317"/>
    <mergeCell ref="N317:O317"/>
    <mergeCell ref="P317:Q317"/>
    <mergeCell ref="F310:G310"/>
    <mergeCell ref="H310:I310"/>
    <mergeCell ref="J310:K310"/>
    <mergeCell ref="L310:M310"/>
    <mergeCell ref="N310:O310"/>
    <mergeCell ref="P310:Q310"/>
    <mergeCell ref="B292:C292"/>
    <mergeCell ref="D292:E292"/>
    <mergeCell ref="F292:G292"/>
    <mergeCell ref="H292:I292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B297:C297"/>
    <mergeCell ref="D297:E297"/>
    <mergeCell ref="F297:G297"/>
    <mergeCell ref="H297:I297"/>
    <mergeCell ref="J297:K297"/>
    <mergeCell ref="AF330:AG330"/>
    <mergeCell ref="AH330:AI330"/>
    <mergeCell ref="AJ330:AK330"/>
    <mergeCell ref="AL330:AM330"/>
    <mergeCell ref="AN330:AO330"/>
    <mergeCell ref="AP330:AQ330"/>
    <mergeCell ref="F331:G331"/>
    <mergeCell ref="H331:I331"/>
    <mergeCell ref="J331:K331"/>
    <mergeCell ref="L331:M331"/>
    <mergeCell ref="N331:O331"/>
    <mergeCell ref="P331:Q331"/>
    <mergeCell ref="R331:S331"/>
    <mergeCell ref="T331:U331"/>
    <mergeCell ref="X331:AA331"/>
    <mergeCell ref="AB331:AE331"/>
    <mergeCell ref="AF331:AI331"/>
    <mergeCell ref="AJ331:AM331"/>
    <mergeCell ref="AN331:AQ331"/>
    <mergeCell ref="X332:Y332"/>
    <mergeCell ref="Z332:AA332"/>
    <mergeCell ref="AB332:AC332"/>
    <mergeCell ref="AD332:AE332"/>
    <mergeCell ref="AF332:AG332"/>
    <mergeCell ref="AH332:AI332"/>
    <mergeCell ref="AJ332:AK332"/>
    <mergeCell ref="AL332:AM332"/>
    <mergeCell ref="AN332:AO332"/>
    <mergeCell ref="AP332:AQ332"/>
    <mergeCell ref="B335:C336"/>
    <mergeCell ref="D335:E336"/>
    <mergeCell ref="F335:G336"/>
    <mergeCell ref="H335:I336"/>
    <mergeCell ref="J335:K336"/>
    <mergeCell ref="L335:M336"/>
    <mergeCell ref="N335:O336"/>
    <mergeCell ref="P335:Q336"/>
    <mergeCell ref="X335:AA335"/>
    <mergeCell ref="AB335:AE335"/>
    <mergeCell ref="AF335:AI335"/>
    <mergeCell ref="AJ335:AM335"/>
    <mergeCell ref="AN335:AQ335"/>
    <mergeCell ref="X336:AA336"/>
    <mergeCell ref="AB336:AE336"/>
    <mergeCell ref="AF336:AI336"/>
    <mergeCell ref="AJ336:AM336"/>
    <mergeCell ref="AN336:AQ336"/>
    <mergeCell ref="B332:C332"/>
    <mergeCell ref="D332:E332"/>
    <mergeCell ref="F332:G332"/>
    <mergeCell ref="H332:I332"/>
    <mergeCell ref="B337:C337"/>
    <mergeCell ref="D337:E337"/>
    <mergeCell ref="F337:G337"/>
    <mergeCell ref="H337:I337"/>
    <mergeCell ref="J337:K337"/>
    <mergeCell ref="L337:M337"/>
    <mergeCell ref="N337:O337"/>
    <mergeCell ref="P337:Q337"/>
    <mergeCell ref="X339:AQ339"/>
    <mergeCell ref="X340:AA340"/>
    <mergeCell ref="AB340:AE340"/>
    <mergeCell ref="AF340:AI340"/>
    <mergeCell ref="AJ340:AM340"/>
    <mergeCell ref="AN340:AQ340"/>
    <mergeCell ref="X341:Y341"/>
    <mergeCell ref="Z341:AA341"/>
    <mergeCell ref="AB341:AC341"/>
    <mergeCell ref="AD341:AE341"/>
    <mergeCell ref="AF341:AG341"/>
    <mergeCell ref="AH341:AI341"/>
    <mergeCell ref="AJ341:AK341"/>
    <mergeCell ref="AL341:AM341"/>
    <mergeCell ref="AN341:AO341"/>
    <mergeCell ref="AP341:AQ341"/>
    <mergeCell ref="F339:H339"/>
    <mergeCell ref="I339:J339"/>
    <mergeCell ref="F340:H340"/>
    <mergeCell ref="N342:O342"/>
    <mergeCell ref="AK342:AL342"/>
    <mergeCell ref="N343:O343"/>
    <mergeCell ref="AK343:AL343"/>
    <mergeCell ref="D349:E349"/>
    <mergeCell ref="H349:I349"/>
    <mergeCell ref="L349:M349"/>
    <mergeCell ref="P349:Q349"/>
    <mergeCell ref="X349:AA349"/>
    <mergeCell ref="AB349:AE349"/>
    <mergeCell ref="AF349:AI349"/>
    <mergeCell ref="AJ349:AM349"/>
    <mergeCell ref="B350:C350"/>
    <mergeCell ref="D350:E350"/>
    <mergeCell ref="F350:G350"/>
    <mergeCell ref="H350:I350"/>
    <mergeCell ref="J350:K350"/>
    <mergeCell ref="L350:M350"/>
    <mergeCell ref="N350:O350"/>
    <mergeCell ref="P350:Q350"/>
    <mergeCell ref="R350:S350"/>
    <mergeCell ref="T350:U350"/>
    <mergeCell ref="X350:Y350"/>
    <mergeCell ref="Z350:AA350"/>
    <mergeCell ref="AB350:AC350"/>
    <mergeCell ref="AD350:AE350"/>
    <mergeCell ref="AF350:AG350"/>
    <mergeCell ref="AH350:AI350"/>
    <mergeCell ref="AJ350:AK350"/>
    <mergeCell ref="AL350:AM350"/>
    <mergeCell ref="AN350:AO350"/>
    <mergeCell ref="AP350:AQ350"/>
    <mergeCell ref="R352:S352"/>
    <mergeCell ref="T352:U352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X351:AA351"/>
    <mergeCell ref="AB351:AE351"/>
    <mergeCell ref="AF351:AI351"/>
    <mergeCell ref="AJ351:AM351"/>
    <mergeCell ref="AN351:AQ351"/>
    <mergeCell ref="AL352:AM352"/>
    <mergeCell ref="AN352:AO352"/>
    <mergeCell ref="AP352:AQ352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AJ360:AM360"/>
    <mergeCell ref="AN360:AQ360"/>
    <mergeCell ref="AF355:AI355"/>
    <mergeCell ref="AJ355:AM355"/>
    <mergeCell ref="AN355:AQ355"/>
    <mergeCell ref="R356:U356"/>
    <mergeCell ref="X356:AA356"/>
    <mergeCell ref="AB356:AE356"/>
    <mergeCell ref="AF356:AI356"/>
    <mergeCell ref="AJ356:AM356"/>
    <mergeCell ref="AN356:AQ356"/>
    <mergeCell ref="X352:Y352"/>
    <mergeCell ref="Z352:AA352"/>
    <mergeCell ref="AB352:AC352"/>
    <mergeCell ref="AD352:AE352"/>
    <mergeCell ref="AF352:AG352"/>
    <mergeCell ref="AH352:AI352"/>
    <mergeCell ref="AJ352:AK352"/>
    <mergeCell ref="B355:C356"/>
    <mergeCell ref="D355:E356"/>
    <mergeCell ref="F355:G356"/>
    <mergeCell ref="H355:I356"/>
    <mergeCell ref="J355:K356"/>
    <mergeCell ref="L355:M356"/>
    <mergeCell ref="N355:O356"/>
    <mergeCell ref="P355:Q356"/>
    <mergeCell ref="X355:AA355"/>
    <mergeCell ref="AB355:AE355"/>
    <mergeCell ref="X361:Y361"/>
    <mergeCell ref="Z361:AA361"/>
    <mergeCell ref="AB361:AC361"/>
    <mergeCell ref="AD361:AE361"/>
    <mergeCell ref="AF361:AG361"/>
    <mergeCell ref="AH361:AI361"/>
    <mergeCell ref="AJ361:AK361"/>
    <mergeCell ref="B357:C357"/>
    <mergeCell ref="D357:E357"/>
    <mergeCell ref="F357:G357"/>
    <mergeCell ref="H357:I357"/>
    <mergeCell ref="J357:K357"/>
    <mergeCell ref="L357:M357"/>
    <mergeCell ref="N357:O357"/>
    <mergeCell ref="P357:Q357"/>
    <mergeCell ref="F359:H359"/>
    <mergeCell ref="I359:J359"/>
    <mergeCell ref="X359:AQ359"/>
    <mergeCell ref="F360:H360"/>
    <mergeCell ref="X360:AA360"/>
    <mergeCell ref="AB360:AE360"/>
    <mergeCell ref="AF360:AI360"/>
    <mergeCell ref="AL361:AM361"/>
    <mergeCell ref="AN361:AO361"/>
    <mergeCell ref="AP361:AQ361"/>
    <mergeCell ref="N362:O362"/>
    <mergeCell ref="N363:O363"/>
    <mergeCell ref="D369:E369"/>
    <mergeCell ref="H369:I369"/>
    <mergeCell ref="L369:M369"/>
    <mergeCell ref="P369:Q369"/>
    <mergeCell ref="B370:C370"/>
    <mergeCell ref="D370:E370"/>
    <mergeCell ref="F370:G370"/>
    <mergeCell ref="H370:I370"/>
    <mergeCell ref="J370:K370"/>
    <mergeCell ref="L370:M370"/>
    <mergeCell ref="N370:O370"/>
    <mergeCell ref="P370:Q370"/>
    <mergeCell ref="R370:S370"/>
    <mergeCell ref="T370:U370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B375:C376"/>
    <mergeCell ref="D375:E376"/>
    <mergeCell ref="F375:G376"/>
    <mergeCell ref="H375:I376"/>
    <mergeCell ref="J375:K376"/>
    <mergeCell ref="L375:M376"/>
    <mergeCell ref="N375:O376"/>
    <mergeCell ref="P375:Q376"/>
    <mergeCell ref="X375:AA375"/>
    <mergeCell ref="AB375:AE375"/>
    <mergeCell ref="AF375:AI375"/>
    <mergeCell ref="AJ375:AM375"/>
    <mergeCell ref="AN375:AQ375"/>
    <mergeCell ref="R376:U376"/>
    <mergeCell ref="X376:AA376"/>
    <mergeCell ref="AB376:AE376"/>
    <mergeCell ref="AF376:AI376"/>
    <mergeCell ref="AJ376:AM376"/>
    <mergeCell ref="AN376:AQ376"/>
    <mergeCell ref="B377:C377"/>
    <mergeCell ref="D377:E377"/>
    <mergeCell ref="F377:G377"/>
    <mergeCell ref="H377:I377"/>
    <mergeCell ref="J377:K377"/>
    <mergeCell ref="L377:M377"/>
    <mergeCell ref="N377:O377"/>
    <mergeCell ref="P377:Q377"/>
    <mergeCell ref="F379:H379"/>
    <mergeCell ref="I379:J379"/>
    <mergeCell ref="F380:H380"/>
    <mergeCell ref="N382:O382"/>
    <mergeCell ref="N383:O383"/>
    <mergeCell ref="D389:E389"/>
    <mergeCell ref="H389:I389"/>
    <mergeCell ref="L389:M389"/>
    <mergeCell ref="P389:Q389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95:C396"/>
    <mergeCell ref="D395:E396"/>
    <mergeCell ref="F395:G396"/>
    <mergeCell ref="H395:I396"/>
    <mergeCell ref="J395:K396"/>
    <mergeCell ref="L395:M396"/>
    <mergeCell ref="N395:O396"/>
    <mergeCell ref="P395:Q396"/>
    <mergeCell ref="X395:AA395"/>
    <mergeCell ref="AB395:AE395"/>
    <mergeCell ref="AF395:AI395"/>
    <mergeCell ref="AJ395:AM395"/>
    <mergeCell ref="AN395:AQ395"/>
    <mergeCell ref="R396:U396"/>
    <mergeCell ref="X396:AA396"/>
    <mergeCell ref="AB396:AE396"/>
    <mergeCell ref="AF396:AI396"/>
    <mergeCell ref="AJ396:AM396"/>
    <mergeCell ref="AN396:AQ396"/>
    <mergeCell ref="B397:C397"/>
    <mergeCell ref="D397:E397"/>
    <mergeCell ref="F397:G397"/>
    <mergeCell ref="H397:I397"/>
    <mergeCell ref="J397:K397"/>
    <mergeCell ref="L397:M397"/>
    <mergeCell ref="N397:O397"/>
    <mergeCell ref="P397:Q397"/>
    <mergeCell ref="F399:H399"/>
    <mergeCell ref="I399:J399"/>
    <mergeCell ref="F400:H400"/>
    <mergeCell ref="N402:O402"/>
    <mergeCell ref="N403:O403"/>
    <mergeCell ref="D409:E409"/>
    <mergeCell ref="H409:I409"/>
    <mergeCell ref="L409:M409"/>
    <mergeCell ref="P409:Q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T410:U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B415:C416"/>
    <mergeCell ref="D415:E416"/>
    <mergeCell ref="F415:G416"/>
    <mergeCell ref="H415:I416"/>
    <mergeCell ref="J415:K416"/>
    <mergeCell ref="L415:M416"/>
    <mergeCell ref="N415:O416"/>
    <mergeCell ref="P415:Q416"/>
    <mergeCell ref="X415:AA415"/>
    <mergeCell ref="AB415:AE415"/>
    <mergeCell ref="AF415:AI415"/>
    <mergeCell ref="AJ415:AM415"/>
    <mergeCell ref="AN415:AQ415"/>
    <mergeCell ref="R416:U416"/>
    <mergeCell ref="X416:AA416"/>
    <mergeCell ref="AB416:AE416"/>
    <mergeCell ref="AF416:AI416"/>
    <mergeCell ref="AJ416:AM416"/>
    <mergeCell ref="AN416:AQ416"/>
    <mergeCell ref="B417:C417"/>
    <mergeCell ref="D417:E417"/>
    <mergeCell ref="F417:G417"/>
    <mergeCell ref="H417:I417"/>
    <mergeCell ref="J417:K417"/>
    <mergeCell ref="L417:M417"/>
    <mergeCell ref="N417:O417"/>
    <mergeCell ref="P417:Q417"/>
    <mergeCell ref="F419:H419"/>
    <mergeCell ref="I419:J419"/>
    <mergeCell ref="F420:H420"/>
    <mergeCell ref="N422:O422"/>
    <mergeCell ref="N423:O423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5:C436"/>
    <mergeCell ref="D435:E436"/>
    <mergeCell ref="F435:G436"/>
    <mergeCell ref="H435:I436"/>
    <mergeCell ref="J435:K436"/>
    <mergeCell ref="L435:M436"/>
    <mergeCell ref="N435:O436"/>
    <mergeCell ref="P435:Q436"/>
    <mergeCell ref="X435:AA435"/>
    <mergeCell ref="AB435:AE435"/>
    <mergeCell ref="AF435:AI435"/>
    <mergeCell ref="AJ435:AM435"/>
    <mergeCell ref="AN435:AQ435"/>
    <mergeCell ref="R436:U436"/>
    <mergeCell ref="X436:AA436"/>
    <mergeCell ref="AB436:AE436"/>
    <mergeCell ref="AF436:AI436"/>
    <mergeCell ref="AJ436:AM436"/>
    <mergeCell ref="AN436:AQ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F439:H439"/>
    <mergeCell ref="I439:J439"/>
    <mergeCell ref="F440:H440"/>
    <mergeCell ref="N442:O442"/>
    <mergeCell ref="N443:O44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B455:C456"/>
    <mergeCell ref="D455:E456"/>
    <mergeCell ref="F455:G456"/>
    <mergeCell ref="H455:I456"/>
    <mergeCell ref="J455:K456"/>
    <mergeCell ref="L455:M456"/>
    <mergeCell ref="N455:O456"/>
    <mergeCell ref="P455:Q456"/>
    <mergeCell ref="X455:AA455"/>
    <mergeCell ref="AB455:AE455"/>
    <mergeCell ref="AF455:AI455"/>
    <mergeCell ref="AJ455:AM455"/>
    <mergeCell ref="AN455:AQ455"/>
    <mergeCell ref="R456:U456"/>
    <mergeCell ref="X456:AA456"/>
    <mergeCell ref="AB456:AE456"/>
    <mergeCell ref="AF456:AI456"/>
    <mergeCell ref="AJ456:AM456"/>
    <mergeCell ref="AN456:AQ456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F460:H460"/>
    <mergeCell ref="N462:O462"/>
    <mergeCell ref="N463:O463"/>
    <mergeCell ref="D469:E469"/>
    <mergeCell ref="H469:I469"/>
    <mergeCell ref="L469:M469"/>
    <mergeCell ref="P469:Q469"/>
    <mergeCell ref="B470:C470"/>
    <mergeCell ref="D470:E470"/>
    <mergeCell ref="F470:G470"/>
    <mergeCell ref="H470:I470"/>
    <mergeCell ref="J470:K470"/>
    <mergeCell ref="L470:M470"/>
    <mergeCell ref="N470:O470"/>
    <mergeCell ref="P470:Q470"/>
    <mergeCell ref="R470:S470"/>
    <mergeCell ref="T470:U470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5:C476"/>
    <mergeCell ref="D475:E476"/>
    <mergeCell ref="F475:G476"/>
    <mergeCell ref="H475:I476"/>
    <mergeCell ref="J475:K476"/>
    <mergeCell ref="L475:M476"/>
    <mergeCell ref="N475:O476"/>
    <mergeCell ref="P475:Q476"/>
    <mergeCell ref="X475:AA475"/>
    <mergeCell ref="AB475:AE475"/>
    <mergeCell ref="AF475:AI475"/>
    <mergeCell ref="AJ475:AM475"/>
    <mergeCell ref="AN475:AQ475"/>
    <mergeCell ref="R476:U476"/>
    <mergeCell ref="X476:AA476"/>
    <mergeCell ref="AB476:AE476"/>
    <mergeCell ref="AF476:AI476"/>
    <mergeCell ref="AJ476:AM476"/>
    <mergeCell ref="AN476:AQ476"/>
    <mergeCell ref="B477:C477"/>
    <mergeCell ref="D477:E477"/>
    <mergeCell ref="F477:G477"/>
    <mergeCell ref="H477:I477"/>
    <mergeCell ref="J477:K477"/>
    <mergeCell ref="L477:M477"/>
    <mergeCell ref="N477:O477"/>
    <mergeCell ref="P477:Q477"/>
    <mergeCell ref="F479:H479"/>
    <mergeCell ref="I479:J479"/>
    <mergeCell ref="F480:H480"/>
    <mergeCell ref="N482:O482"/>
    <mergeCell ref="N483:O483"/>
    <mergeCell ref="D489:E489"/>
    <mergeCell ref="H489:I489"/>
    <mergeCell ref="L489:M489"/>
    <mergeCell ref="P489:Q489"/>
    <mergeCell ref="B490:C490"/>
    <mergeCell ref="D490:E490"/>
    <mergeCell ref="F490:G490"/>
    <mergeCell ref="H490:I490"/>
    <mergeCell ref="J490:K490"/>
    <mergeCell ref="L490:M490"/>
    <mergeCell ref="N490:O490"/>
    <mergeCell ref="P490:Q490"/>
    <mergeCell ref="R490:S490"/>
    <mergeCell ref="T490:U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95:C496"/>
    <mergeCell ref="D495:E496"/>
    <mergeCell ref="F495:G496"/>
    <mergeCell ref="H495:I496"/>
    <mergeCell ref="J495:K496"/>
    <mergeCell ref="L495:M496"/>
    <mergeCell ref="N495:O496"/>
    <mergeCell ref="P495:Q496"/>
    <mergeCell ref="X495:AA495"/>
    <mergeCell ref="AB495:AE495"/>
    <mergeCell ref="AF495:AI495"/>
    <mergeCell ref="AJ495:AM495"/>
    <mergeCell ref="AN495:AQ495"/>
    <mergeCell ref="R496:U496"/>
    <mergeCell ref="X496:AA496"/>
    <mergeCell ref="AB496:AE496"/>
    <mergeCell ref="AF496:AI496"/>
    <mergeCell ref="AJ496:AM496"/>
    <mergeCell ref="AN496:AQ496"/>
    <mergeCell ref="B497:C497"/>
    <mergeCell ref="D497:E497"/>
    <mergeCell ref="F497:G497"/>
    <mergeCell ref="H497:I497"/>
    <mergeCell ref="J497:K497"/>
    <mergeCell ref="L497:M497"/>
    <mergeCell ref="N497:O497"/>
    <mergeCell ref="P497:Q497"/>
    <mergeCell ref="F499:H499"/>
    <mergeCell ref="I499:J499"/>
    <mergeCell ref="F500:H500"/>
    <mergeCell ref="N502:O502"/>
    <mergeCell ref="N503:O503"/>
    <mergeCell ref="D509:E509"/>
    <mergeCell ref="H509:I509"/>
    <mergeCell ref="L509:M509"/>
    <mergeCell ref="P509:Q509"/>
    <mergeCell ref="B510:C510"/>
    <mergeCell ref="D510:E510"/>
    <mergeCell ref="F510:G510"/>
    <mergeCell ref="H510:I510"/>
    <mergeCell ref="J510:K510"/>
    <mergeCell ref="L510:M510"/>
    <mergeCell ref="N510:O510"/>
    <mergeCell ref="P510:Q510"/>
    <mergeCell ref="R510:S510"/>
    <mergeCell ref="T510:U510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515:C516"/>
    <mergeCell ref="D515:E516"/>
    <mergeCell ref="F515:G516"/>
    <mergeCell ref="H515:I516"/>
    <mergeCell ref="J515:K516"/>
    <mergeCell ref="L515:M516"/>
    <mergeCell ref="N515:O516"/>
    <mergeCell ref="P515:Q516"/>
    <mergeCell ref="X515:AA515"/>
    <mergeCell ref="AB515:AE515"/>
    <mergeCell ref="AF515:AI515"/>
    <mergeCell ref="AJ515:AM515"/>
    <mergeCell ref="AN515:AQ515"/>
    <mergeCell ref="R516:U516"/>
    <mergeCell ref="X516:AA516"/>
    <mergeCell ref="AB516:AE516"/>
    <mergeCell ref="AF516:AI516"/>
    <mergeCell ref="AJ516:AM516"/>
    <mergeCell ref="AN516:AQ516"/>
    <mergeCell ref="B517:C517"/>
    <mergeCell ref="D517:E517"/>
    <mergeCell ref="F517:G517"/>
    <mergeCell ref="H517:I517"/>
    <mergeCell ref="J517:K517"/>
    <mergeCell ref="L517:M517"/>
    <mergeCell ref="N517:O517"/>
    <mergeCell ref="P517:Q517"/>
    <mergeCell ref="F519:H519"/>
    <mergeCell ref="I519:J519"/>
    <mergeCell ref="F520:H520"/>
    <mergeCell ref="N522:O522"/>
    <mergeCell ref="N523:O523"/>
    <mergeCell ref="D529:E529"/>
    <mergeCell ref="H529:I529"/>
    <mergeCell ref="L529:M529"/>
    <mergeCell ref="P529:Q529"/>
    <mergeCell ref="B530:C530"/>
    <mergeCell ref="D530:E530"/>
    <mergeCell ref="F530:G530"/>
    <mergeCell ref="H530:I530"/>
    <mergeCell ref="J530:K530"/>
    <mergeCell ref="L530:M530"/>
    <mergeCell ref="N530:O530"/>
    <mergeCell ref="P530:Q530"/>
    <mergeCell ref="R530:S530"/>
    <mergeCell ref="T530:U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B535:C536"/>
    <mergeCell ref="D535:E536"/>
    <mergeCell ref="F535:G536"/>
    <mergeCell ref="H535:I536"/>
    <mergeCell ref="J535:K536"/>
    <mergeCell ref="L535:M536"/>
    <mergeCell ref="N535:O536"/>
    <mergeCell ref="P535:Q536"/>
    <mergeCell ref="X535:AA535"/>
    <mergeCell ref="AB535:AE535"/>
    <mergeCell ref="AF535:AI535"/>
    <mergeCell ref="AJ535:AM535"/>
    <mergeCell ref="AN535:AQ535"/>
    <mergeCell ref="R536:U536"/>
    <mergeCell ref="X536:AA536"/>
    <mergeCell ref="AB536:AE536"/>
    <mergeCell ref="AF536:AI536"/>
    <mergeCell ref="AJ536:AM536"/>
    <mergeCell ref="AN536:AQ536"/>
    <mergeCell ref="B537:C537"/>
    <mergeCell ref="D537:E537"/>
    <mergeCell ref="F537:G537"/>
    <mergeCell ref="H537:I537"/>
    <mergeCell ref="J537:K537"/>
    <mergeCell ref="L537:M537"/>
    <mergeCell ref="N537:O537"/>
    <mergeCell ref="P537:Q537"/>
    <mergeCell ref="F539:H539"/>
    <mergeCell ref="I539:J539"/>
    <mergeCell ref="F540:H540"/>
    <mergeCell ref="N542:O542"/>
    <mergeCell ref="N543:O543"/>
    <mergeCell ref="D549:E549"/>
    <mergeCell ref="H549:I549"/>
    <mergeCell ref="L549:M549"/>
    <mergeCell ref="P549:Q549"/>
    <mergeCell ref="B550:C550"/>
    <mergeCell ref="D550:E550"/>
    <mergeCell ref="F550:G550"/>
    <mergeCell ref="H550:I550"/>
    <mergeCell ref="J550:K550"/>
    <mergeCell ref="L550:M550"/>
    <mergeCell ref="N550:O550"/>
    <mergeCell ref="P550:Q550"/>
    <mergeCell ref="R550:S550"/>
    <mergeCell ref="T550:U550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55:C556"/>
    <mergeCell ref="D555:E556"/>
    <mergeCell ref="F555:G556"/>
    <mergeCell ref="H555:I556"/>
    <mergeCell ref="J555:K556"/>
    <mergeCell ref="L555:M556"/>
    <mergeCell ref="N555:O556"/>
    <mergeCell ref="P555:Q556"/>
    <mergeCell ref="X555:AA555"/>
    <mergeCell ref="AB555:AE555"/>
    <mergeCell ref="AF555:AI555"/>
    <mergeCell ref="AJ555:AM555"/>
    <mergeCell ref="AN555:AQ555"/>
    <mergeCell ref="R556:U556"/>
    <mergeCell ref="X556:AA556"/>
    <mergeCell ref="AB556:AE556"/>
    <mergeCell ref="AF556:AI556"/>
    <mergeCell ref="AJ556:AM556"/>
    <mergeCell ref="AN556:AQ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F559:H559"/>
    <mergeCell ref="I559:J559"/>
    <mergeCell ref="F560:H560"/>
    <mergeCell ref="N562:O562"/>
    <mergeCell ref="N563:O563"/>
    <mergeCell ref="D569:E569"/>
    <mergeCell ref="H569:I569"/>
    <mergeCell ref="L569:M569"/>
    <mergeCell ref="P569:Q569"/>
    <mergeCell ref="B570:C570"/>
    <mergeCell ref="D570:E570"/>
    <mergeCell ref="F570:G570"/>
    <mergeCell ref="H570:I570"/>
    <mergeCell ref="J570:K570"/>
    <mergeCell ref="L570:M570"/>
    <mergeCell ref="N570:O570"/>
    <mergeCell ref="P570:Q570"/>
    <mergeCell ref="R570:S570"/>
    <mergeCell ref="T570:U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B575:C576"/>
    <mergeCell ref="D575:E576"/>
    <mergeCell ref="F575:G576"/>
    <mergeCell ref="H575:I576"/>
    <mergeCell ref="J575:K576"/>
    <mergeCell ref="L575:M576"/>
    <mergeCell ref="N575:O576"/>
    <mergeCell ref="P575:Q576"/>
    <mergeCell ref="X575:AA575"/>
    <mergeCell ref="AB575:AE575"/>
    <mergeCell ref="AF575:AI575"/>
    <mergeCell ref="AJ575:AM575"/>
    <mergeCell ref="AN575:AQ575"/>
    <mergeCell ref="R576:U576"/>
    <mergeCell ref="X576:AA576"/>
    <mergeCell ref="AB576:AE576"/>
    <mergeCell ref="AF576:AI576"/>
    <mergeCell ref="AJ576:AM576"/>
    <mergeCell ref="AN576:AQ576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F579:H579"/>
    <mergeCell ref="I579:J579"/>
    <mergeCell ref="F580:H580"/>
    <mergeCell ref="N582:O582"/>
    <mergeCell ref="N583:O583"/>
    <mergeCell ref="D589:E589"/>
    <mergeCell ref="H589:I589"/>
    <mergeCell ref="L589:M589"/>
    <mergeCell ref="P589:Q589"/>
    <mergeCell ref="B590:C590"/>
    <mergeCell ref="D590:E590"/>
    <mergeCell ref="F590:G590"/>
    <mergeCell ref="H590:I590"/>
    <mergeCell ref="J590:K590"/>
    <mergeCell ref="L590:M590"/>
    <mergeCell ref="N590:O590"/>
    <mergeCell ref="P590:Q590"/>
    <mergeCell ref="R590:S590"/>
    <mergeCell ref="T590:U590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95:C596"/>
    <mergeCell ref="D595:E596"/>
    <mergeCell ref="F595:G596"/>
    <mergeCell ref="H595:I596"/>
    <mergeCell ref="J595:K596"/>
    <mergeCell ref="L595:M596"/>
    <mergeCell ref="N595:O596"/>
    <mergeCell ref="P595:Q596"/>
    <mergeCell ref="X595:AA595"/>
    <mergeCell ref="AB595:AE595"/>
    <mergeCell ref="AF595:AI595"/>
    <mergeCell ref="AJ595:AM595"/>
    <mergeCell ref="AN595:AQ595"/>
    <mergeCell ref="R596:U596"/>
    <mergeCell ref="X596:AA596"/>
    <mergeCell ref="AB596:AE596"/>
    <mergeCell ref="AF596:AI596"/>
    <mergeCell ref="AJ596:AM596"/>
    <mergeCell ref="AN596:AQ596"/>
    <mergeCell ref="B597:C597"/>
    <mergeCell ref="D597:E597"/>
    <mergeCell ref="F597:G597"/>
    <mergeCell ref="H597:I597"/>
    <mergeCell ref="J597:K597"/>
    <mergeCell ref="L597:M597"/>
    <mergeCell ref="N597:O597"/>
    <mergeCell ref="P597:Q597"/>
    <mergeCell ref="T612:U612"/>
    <mergeCell ref="F599:H599"/>
    <mergeCell ref="I599:J599"/>
    <mergeCell ref="F600:H600"/>
    <mergeCell ref="N602:O602"/>
    <mergeCell ref="N603:O603"/>
    <mergeCell ref="D609:E609"/>
    <mergeCell ref="H609:I609"/>
    <mergeCell ref="L609:M609"/>
    <mergeCell ref="P609:Q609"/>
    <mergeCell ref="B610:C610"/>
    <mergeCell ref="D610:E610"/>
    <mergeCell ref="F610:G610"/>
    <mergeCell ref="H610:I610"/>
    <mergeCell ref="J610:K610"/>
    <mergeCell ref="L610:M610"/>
    <mergeCell ref="N610:O610"/>
    <mergeCell ref="P610:Q610"/>
    <mergeCell ref="X615:AA615"/>
    <mergeCell ref="AB615:AE615"/>
    <mergeCell ref="AF615:AI615"/>
    <mergeCell ref="AJ615:AM615"/>
    <mergeCell ref="AN615:AQ615"/>
    <mergeCell ref="R616:U616"/>
    <mergeCell ref="X616:AA616"/>
    <mergeCell ref="AB616:AE616"/>
    <mergeCell ref="AF616:AI616"/>
    <mergeCell ref="AJ616:AM616"/>
    <mergeCell ref="AN616:AQ616"/>
    <mergeCell ref="R610:S610"/>
    <mergeCell ref="T610:U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B617:C617"/>
    <mergeCell ref="D617:E617"/>
    <mergeCell ref="F617:G617"/>
    <mergeCell ref="H617:I617"/>
    <mergeCell ref="J617:K617"/>
    <mergeCell ref="L617:M617"/>
    <mergeCell ref="N617:O617"/>
    <mergeCell ref="P617:Q617"/>
    <mergeCell ref="F619:H619"/>
    <mergeCell ref="I619:J619"/>
    <mergeCell ref="F620:H620"/>
    <mergeCell ref="B615:C616"/>
    <mergeCell ref="D615:E616"/>
    <mergeCell ref="F615:G616"/>
    <mergeCell ref="H615:I616"/>
    <mergeCell ref="J615:K616"/>
    <mergeCell ref="L615:M616"/>
    <mergeCell ref="N615:O616"/>
    <mergeCell ref="P615:Q616"/>
  </mergeCells>
  <printOptions horizontalCentered="1"/>
  <pageMargins left="0.98425196850393704" right="0.39370078740157483" top="0.39370078740157483" bottom="2.559055118110236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showWhiteSpace="0" view="pageLayout" topLeftCell="A636" zoomScaleNormal="100" workbookViewId="0">
      <selection sqref="A1:XFD671"/>
    </sheetView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4" t="s">
        <v>25</v>
      </c>
      <c r="O2" s="115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52" t="s">
        <v>25</v>
      </c>
      <c r="AL2" s="152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6" t="str">
        <f>N2&amp;".2"</f>
        <v>1.1.2</v>
      </c>
      <c r="O3" s="116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60" t="str">
        <f>AK2&amp;".2"</f>
        <v>1.1.2</v>
      </c>
      <c r="AL3" s="160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20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"-"&amp;N2&amp;".3"</f>
        <v>-1.1.3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"-"&amp;AK2&amp;".4"</f>
        <v>-1.1.4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17">
        <v>1</v>
      </c>
      <c r="E9" s="118"/>
      <c r="F9" s="19"/>
      <c r="G9" s="19"/>
      <c r="H9" s="117">
        <v>2</v>
      </c>
      <c r="I9" s="118"/>
      <c r="J9" s="19"/>
      <c r="K9" s="19"/>
      <c r="L9" s="117">
        <v>3</v>
      </c>
      <c r="M9" s="118"/>
      <c r="N9" s="19"/>
      <c r="O9" s="19"/>
      <c r="P9" s="117">
        <v>4</v>
      </c>
      <c r="Q9" s="118"/>
      <c r="R9" s="19"/>
      <c r="S9" s="19"/>
      <c r="T9" s="19"/>
      <c r="U9" s="19"/>
      <c r="V9" s="20"/>
      <c r="W9" s="5"/>
      <c r="X9" s="157">
        <v>1</v>
      </c>
      <c r="Y9" s="158"/>
      <c r="Z9" s="158"/>
      <c r="AA9" s="159"/>
      <c r="AB9" s="157">
        <v>2</v>
      </c>
      <c r="AC9" s="158"/>
      <c r="AD9" s="158"/>
      <c r="AE9" s="159"/>
      <c r="AF9" s="157">
        <v>3</v>
      </c>
      <c r="AG9" s="158"/>
      <c r="AH9" s="158"/>
      <c r="AI9" s="159"/>
      <c r="AJ9" s="157">
        <v>4</v>
      </c>
      <c r="AK9" s="158"/>
      <c r="AL9" s="158"/>
      <c r="AM9" s="159"/>
      <c r="AN9" s="32"/>
      <c r="AO9" s="32"/>
      <c r="AP9" s="19"/>
      <c r="AQ9" s="19"/>
    </row>
    <row r="10" spans="1:44" ht="15.6" customHeight="1" x14ac:dyDescent="0.25">
      <c r="A10" s="18"/>
      <c r="B10" s="111" t="s">
        <v>6</v>
      </c>
      <c r="C10" s="111"/>
      <c r="D10" s="117" t="s">
        <v>37</v>
      </c>
      <c r="E10" s="118" t="s">
        <v>0</v>
      </c>
      <c r="F10" s="111" t="s">
        <v>6</v>
      </c>
      <c r="G10" s="111"/>
      <c r="H10" s="117" t="s">
        <v>37</v>
      </c>
      <c r="I10" s="118"/>
      <c r="J10" s="111" t="s">
        <v>6</v>
      </c>
      <c r="K10" s="111"/>
      <c r="L10" s="117" t="s">
        <v>37</v>
      </c>
      <c r="M10" s="118"/>
      <c r="N10" s="111" t="s">
        <v>6</v>
      </c>
      <c r="O10" s="111"/>
      <c r="P10" s="117" t="s">
        <v>37</v>
      </c>
      <c r="Q10" s="118"/>
      <c r="R10" s="111"/>
      <c r="S10" s="111"/>
      <c r="T10" s="111"/>
      <c r="U10" s="111"/>
      <c r="V10" s="21"/>
      <c r="W10" s="5"/>
      <c r="X10" s="143" t="s">
        <v>39</v>
      </c>
      <c r="Y10" s="143"/>
      <c r="Z10" s="157" t="s">
        <v>21</v>
      </c>
      <c r="AA10" s="159" t="s">
        <v>0</v>
      </c>
      <c r="AB10" s="145" t="s">
        <v>40</v>
      </c>
      <c r="AC10" s="145"/>
      <c r="AD10" s="157" t="s">
        <v>21</v>
      </c>
      <c r="AE10" s="159" t="s">
        <v>0</v>
      </c>
      <c r="AF10" s="143">
        <v>485</v>
      </c>
      <c r="AG10" s="143"/>
      <c r="AH10" s="157" t="s">
        <v>21</v>
      </c>
      <c r="AI10" s="159" t="s">
        <v>0</v>
      </c>
      <c r="AJ10" s="143">
        <v>485</v>
      </c>
      <c r="AK10" s="143"/>
      <c r="AL10" s="157" t="s">
        <v>21</v>
      </c>
      <c r="AM10" s="159" t="s">
        <v>0</v>
      </c>
      <c r="AN10" s="143"/>
      <c r="AO10" s="143"/>
      <c r="AP10" s="111"/>
      <c r="AQ10" s="111"/>
    </row>
    <row r="11" spans="1:44" ht="15.6" customHeight="1" x14ac:dyDescent="0.25">
      <c r="A11" s="18"/>
      <c r="B11" s="110"/>
      <c r="C11" s="110"/>
      <c r="D11" s="112"/>
      <c r="E11" s="112"/>
      <c r="F11" s="110"/>
      <c r="G11" s="110"/>
      <c r="H11" s="112"/>
      <c r="I11" s="112"/>
      <c r="J11" s="110"/>
      <c r="K11" s="110"/>
      <c r="L11" s="112"/>
      <c r="M11" s="112"/>
      <c r="N11" s="110"/>
      <c r="O11" s="110"/>
      <c r="P11" s="112"/>
      <c r="Q11" s="112"/>
      <c r="R11" s="110"/>
      <c r="S11" s="110"/>
      <c r="T11" s="110"/>
      <c r="U11" s="110"/>
      <c r="V11" s="21"/>
      <c r="W11" s="5"/>
      <c r="X11" s="157" t="s">
        <v>26</v>
      </c>
      <c r="Y11" s="158"/>
      <c r="Z11" s="158"/>
      <c r="AA11" s="159"/>
      <c r="AB11" s="157" t="s">
        <v>27</v>
      </c>
      <c r="AC11" s="158"/>
      <c r="AD11" s="158"/>
      <c r="AE11" s="159"/>
      <c r="AF11" s="157" t="s">
        <v>28</v>
      </c>
      <c r="AG11" s="158"/>
      <c r="AH11" s="158"/>
      <c r="AI11" s="159"/>
      <c r="AJ11" s="157"/>
      <c r="AK11" s="158"/>
      <c r="AL11" s="158"/>
      <c r="AM11" s="159"/>
      <c r="AN11" s="157"/>
      <c r="AO11" s="158"/>
      <c r="AP11" s="158"/>
      <c r="AQ11" s="159"/>
    </row>
    <row r="12" spans="1:44" ht="15.6" customHeight="1" x14ac:dyDescent="0.25">
      <c r="A12" s="18"/>
      <c r="B12" s="111">
        <v>0</v>
      </c>
      <c r="C12" s="111"/>
      <c r="D12" s="113">
        <v>1</v>
      </c>
      <c r="E12" s="113">
        <v>1</v>
      </c>
      <c r="F12" s="111">
        <v>2</v>
      </c>
      <c r="G12" s="111">
        <v>2</v>
      </c>
      <c r="H12" s="113">
        <v>3</v>
      </c>
      <c r="I12" s="113">
        <v>3</v>
      </c>
      <c r="J12" s="111">
        <v>4</v>
      </c>
      <c r="K12" s="111">
        <v>4</v>
      </c>
      <c r="L12" s="113">
        <v>5</v>
      </c>
      <c r="M12" s="113"/>
      <c r="N12" s="111">
        <v>6</v>
      </c>
      <c r="O12" s="111">
        <v>1</v>
      </c>
      <c r="P12" s="113">
        <v>7</v>
      </c>
      <c r="Q12" s="113">
        <v>2</v>
      </c>
      <c r="R12" s="111">
        <v>8</v>
      </c>
      <c r="S12" s="111">
        <v>3</v>
      </c>
      <c r="T12" s="111">
        <v>9</v>
      </c>
      <c r="U12" s="111">
        <v>4</v>
      </c>
      <c r="V12" s="23"/>
      <c r="W12" s="5"/>
      <c r="X12" s="143">
        <v>0</v>
      </c>
      <c r="Y12" s="143"/>
      <c r="Z12" s="143">
        <v>1</v>
      </c>
      <c r="AA12" s="143">
        <v>1</v>
      </c>
      <c r="AB12" s="143">
        <v>2</v>
      </c>
      <c r="AC12" s="143">
        <v>2</v>
      </c>
      <c r="AD12" s="143">
        <v>3</v>
      </c>
      <c r="AE12" s="143">
        <v>3</v>
      </c>
      <c r="AF12" s="143">
        <v>4</v>
      </c>
      <c r="AG12" s="143">
        <v>4</v>
      </c>
      <c r="AH12" s="143">
        <v>5</v>
      </c>
      <c r="AI12" s="143"/>
      <c r="AJ12" s="143">
        <v>6</v>
      </c>
      <c r="AK12" s="143">
        <v>1</v>
      </c>
      <c r="AL12" s="143">
        <v>7</v>
      </c>
      <c r="AM12" s="143">
        <v>2</v>
      </c>
      <c r="AN12" s="143">
        <v>8</v>
      </c>
      <c r="AO12" s="143">
        <v>3</v>
      </c>
      <c r="AP12" s="111">
        <v>9</v>
      </c>
      <c r="AQ12" s="111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53" t="s">
        <v>23</v>
      </c>
      <c r="Y15" s="154"/>
      <c r="Z15" s="154"/>
      <c r="AA15" s="154"/>
      <c r="AB15" s="153" t="s">
        <v>23</v>
      </c>
      <c r="AC15" s="154"/>
      <c r="AD15" s="154"/>
      <c r="AE15" s="154"/>
      <c r="AF15" s="153"/>
      <c r="AG15" s="154" t="s">
        <v>23</v>
      </c>
      <c r="AH15" s="154"/>
      <c r="AI15" s="154"/>
      <c r="AJ15" s="153"/>
      <c r="AK15" s="154" t="s">
        <v>23</v>
      </c>
      <c r="AL15" s="154"/>
      <c r="AM15" s="154"/>
      <c r="AN15" s="153"/>
      <c r="AO15" s="154"/>
      <c r="AP15" s="154"/>
      <c r="AQ15" s="154"/>
    </row>
    <row r="16" spans="1:44" ht="15.6" customHeight="1" thickBot="1" x14ac:dyDescent="0.3">
      <c r="A16" s="5"/>
      <c r="B16" s="135"/>
      <c r="C16" s="136"/>
      <c r="D16" s="133"/>
      <c r="E16" s="134"/>
      <c r="F16" s="135"/>
      <c r="G16" s="136"/>
      <c r="H16" s="133"/>
      <c r="I16" s="134"/>
      <c r="J16" s="135"/>
      <c r="K16" s="136"/>
      <c r="L16" s="133"/>
      <c r="M16" s="134"/>
      <c r="N16" s="135"/>
      <c r="O16" s="136"/>
      <c r="P16" s="133"/>
      <c r="Q16" s="134"/>
      <c r="R16" s="110"/>
      <c r="S16" s="110"/>
      <c r="T16" s="110"/>
      <c r="U16" s="110"/>
      <c r="V16" s="27"/>
      <c r="W16" s="35"/>
      <c r="X16" s="155" t="s">
        <v>22</v>
      </c>
      <c r="Y16" s="156"/>
      <c r="Z16" s="156"/>
      <c r="AA16" s="156"/>
      <c r="AB16" s="155" t="s">
        <v>22</v>
      </c>
      <c r="AC16" s="156"/>
      <c r="AD16" s="156"/>
      <c r="AE16" s="156"/>
      <c r="AF16" s="155"/>
      <c r="AG16" s="156"/>
      <c r="AH16" s="156"/>
      <c r="AI16" s="156"/>
      <c r="AJ16" s="155"/>
      <c r="AK16" s="156"/>
      <c r="AL16" s="156"/>
      <c r="AM16" s="156"/>
      <c r="AN16" s="155"/>
      <c r="AO16" s="156"/>
      <c r="AP16" s="156"/>
      <c r="AQ16" s="156"/>
    </row>
    <row r="17" spans="1:44" ht="15.6" customHeight="1" x14ac:dyDescent="0.25">
      <c r="A17" s="5"/>
      <c r="B17" s="59"/>
      <c r="C17" s="59"/>
      <c r="D17" s="102"/>
      <c r="E17" s="103"/>
      <c r="F17" s="59" t="str">
        <f>IF(H16&lt;1,"","пом.")</f>
        <v/>
      </c>
      <c r="G17" s="59"/>
      <c r="H17" s="102"/>
      <c r="I17" s="103"/>
      <c r="J17" s="59" t="str">
        <f>IF(L16&lt;1,"","пом.")</f>
        <v/>
      </c>
      <c r="K17" s="59"/>
      <c r="L17" s="102"/>
      <c r="M17" s="103"/>
      <c r="N17" s="59" t="str">
        <f>IF(P16&lt;1,"","пом.")</f>
        <v/>
      </c>
      <c r="O17" s="59"/>
      <c r="P17" s="102"/>
      <c r="Q17" s="103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104" t="s">
        <v>12</v>
      </c>
      <c r="G19" s="104"/>
      <c r="H19" s="104"/>
      <c r="I19" s="104" t="s">
        <v>41</v>
      </c>
      <c r="J19" s="104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6" t="s">
        <v>29</v>
      </c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8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4" t="s">
        <v>16</v>
      </c>
      <c r="G20" s="104"/>
      <c r="H20" s="104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19</v>
      </c>
      <c r="T20" s="5"/>
      <c r="U20" s="5"/>
      <c r="V20" s="5"/>
      <c r="W20" s="5"/>
      <c r="X20" s="149" t="s">
        <v>26</v>
      </c>
      <c r="Y20" s="150"/>
      <c r="Z20" s="150"/>
      <c r="AA20" s="151"/>
      <c r="AB20" s="149" t="s">
        <v>27</v>
      </c>
      <c r="AC20" s="150"/>
      <c r="AD20" s="150"/>
      <c r="AE20" s="151"/>
      <c r="AF20" s="149" t="s">
        <v>28</v>
      </c>
      <c r="AG20" s="150"/>
      <c r="AH20" s="150"/>
      <c r="AI20" s="151"/>
      <c r="AJ20" s="149" t="s">
        <v>30</v>
      </c>
      <c r="AK20" s="150"/>
      <c r="AL20" s="150"/>
      <c r="AM20" s="151"/>
      <c r="AN20" s="149"/>
      <c r="AO20" s="150"/>
      <c r="AP20" s="150"/>
      <c r="AQ20" s="151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1" t="s">
        <v>31</v>
      </c>
      <c r="Y21" s="139"/>
      <c r="Z21" s="139" t="s">
        <v>32</v>
      </c>
      <c r="AA21" s="140"/>
      <c r="AB21" s="141" t="s">
        <v>31</v>
      </c>
      <c r="AC21" s="139"/>
      <c r="AD21" s="139" t="s">
        <v>32</v>
      </c>
      <c r="AE21" s="140"/>
      <c r="AF21" s="141" t="s">
        <v>31</v>
      </c>
      <c r="AG21" s="139"/>
      <c r="AH21" s="139" t="s">
        <v>32</v>
      </c>
      <c r="AI21" s="140"/>
      <c r="AJ21" s="141" t="s">
        <v>31</v>
      </c>
      <c r="AK21" s="139"/>
      <c r="AL21" s="139" t="s">
        <v>32</v>
      </c>
      <c r="AM21" s="140"/>
      <c r="AN21" s="141"/>
      <c r="AO21" s="139"/>
      <c r="AP21" s="139"/>
      <c r="AQ21" s="14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52" t="str">
        <f>N2</f>
        <v>1.1</v>
      </c>
      <c r="O22" s="152"/>
      <c r="P22" s="39"/>
      <c r="Q22" s="39"/>
      <c r="R22" s="5"/>
      <c r="S22" s="5"/>
      <c r="T22" s="5"/>
      <c r="U22" s="5"/>
      <c r="V22" s="5"/>
      <c r="W22" s="5"/>
      <c r="X22" s="142" t="s">
        <v>39</v>
      </c>
      <c r="Y22" s="143"/>
      <c r="Z22" s="139">
        <v>1</v>
      </c>
      <c r="AA22" s="140"/>
      <c r="AB22" s="144" t="s">
        <v>40</v>
      </c>
      <c r="AC22" s="145"/>
      <c r="AD22" s="139">
        <v>1</v>
      </c>
      <c r="AE22" s="140"/>
      <c r="AF22" s="141"/>
      <c r="AG22" s="139"/>
      <c r="AH22" s="139"/>
      <c r="AI22" s="140"/>
      <c r="AJ22" s="141"/>
      <c r="AK22" s="139"/>
      <c r="AL22" s="139"/>
      <c r="AM22" s="140"/>
      <c r="AN22" s="141"/>
      <c r="AO22" s="139"/>
      <c r="AP22" s="139"/>
      <c r="AQ22" s="14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60" t="str">
        <f>N3</f>
        <v>1.1.2</v>
      </c>
      <c r="O23" s="160"/>
      <c r="P23" s="39"/>
      <c r="Q23" s="39"/>
      <c r="R23" s="5"/>
      <c r="S23" s="5"/>
      <c r="T23" s="5"/>
      <c r="U23" s="5"/>
      <c r="V23" s="5"/>
      <c r="W23" s="5"/>
      <c r="X23" s="129"/>
      <c r="Y23" s="130"/>
      <c r="Z23" s="130"/>
      <c r="AA23" s="131"/>
      <c r="AB23" s="137" t="s">
        <v>40</v>
      </c>
      <c r="AC23" s="138"/>
      <c r="AD23" s="130">
        <v>2</v>
      </c>
      <c r="AE23" s="131"/>
      <c r="AF23" s="129"/>
      <c r="AG23" s="130"/>
      <c r="AH23" s="130"/>
      <c r="AI23" s="131"/>
      <c r="AJ23" s="129"/>
      <c r="AK23" s="130"/>
      <c r="AL23" s="130"/>
      <c r="AM23" s="131"/>
      <c r="AN23" s="129"/>
      <c r="AO23" s="130"/>
      <c r="AP23" s="130"/>
      <c r="AQ23" s="131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IF(N5="-"&amp;N2&amp;".3",IF(N6=15,"-"&amp;N2&amp;".4","-"&amp;N2&amp;".3"),N5)</f>
        <v>-1.1.3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IF(N25="-"&amp;N2&amp;".3",N6+1,1)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17">
        <v>1</v>
      </c>
      <c r="E29" s="118"/>
      <c r="F29" s="19"/>
      <c r="G29" s="19"/>
      <c r="H29" s="117">
        <v>2</v>
      </c>
      <c r="I29" s="118"/>
      <c r="J29" s="19"/>
      <c r="K29" s="19"/>
      <c r="L29" s="117">
        <v>3</v>
      </c>
      <c r="M29" s="118"/>
      <c r="N29" s="19"/>
      <c r="O29" s="19"/>
      <c r="P29" s="117">
        <v>4</v>
      </c>
      <c r="Q29" s="118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11" t="s">
        <v>6</v>
      </c>
      <c r="C30" s="111"/>
      <c r="D30" s="117" t="s">
        <v>37</v>
      </c>
      <c r="E30" s="118" t="s">
        <v>0</v>
      </c>
      <c r="F30" s="111" t="s">
        <v>6</v>
      </c>
      <c r="G30" s="111"/>
      <c r="H30" s="117" t="s">
        <v>37</v>
      </c>
      <c r="I30" s="118"/>
      <c r="J30" s="111" t="s">
        <v>6</v>
      </c>
      <c r="K30" s="111"/>
      <c r="L30" s="117" t="s">
        <v>37</v>
      </c>
      <c r="M30" s="118"/>
      <c r="N30" s="111" t="s">
        <v>6</v>
      </c>
      <c r="O30" s="111"/>
      <c r="P30" s="117" t="s">
        <v>37</v>
      </c>
      <c r="Q30" s="118"/>
      <c r="R30" s="111"/>
      <c r="S30" s="111"/>
      <c r="T30" s="111"/>
      <c r="U30" s="111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10"/>
      <c r="C31" s="110"/>
      <c r="D31" s="112"/>
      <c r="E31" s="112"/>
      <c r="F31" s="110"/>
      <c r="G31" s="110"/>
      <c r="H31" s="112"/>
      <c r="I31" s="112"/>
      <c r="J31" s="110"/>
      <c r="K31" s="110"/>
      <c r="L31" s="112"/>
      <c r="M31" s="112"/>
      <c r="N31" s="110"/>
      <c r="O31" s="110"/>
      <c r="P31" s="112"/>
      <c r="Q31" s="112"/>
      <c r="R31" s="110"/>
      <c r="S31" s="110"/>
      <c r="T31" s="110"/>
      <c r="U31" s="110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11">
        <v>0</v>
      </c>
      <c r="C32" s="111"/>
      <c r="D32" s="113">
        <v>1</v>
      </c>
      <c r="E32" s="113">
        <v>1</v>
      </c>
      <c r="F32" s="111">
        <v>2</v>
      </c>
      <c r="G32" s="111">
        <v>2</v>
      </c>
      <c r="H32" s="113">
        <v>3</v>
      </c>
      <c r="I32" s="113">
        <v>3</v>
      </c>
      <c r="J32" s="111">
        <v>4</v>
      </c>
      <c r="K32" s="111">
        <v>4</v>
      </c>
      <c r="L32" s="113">
        <v>5</v>
      </c>
      <c r="M32" s="113"/>
      <c r="N32" s="111">
        <v>6</v>
      </c>
      <c r="O32" s="111">
        <v>1</v>
      </c>
      <c r="P32" s="113">
        <v>7</v>
      </c>
      <c r="Q32" s="113">
        <v>2</v>
      </c>
      <c r="R32" s="111">
        <v>8</v>
      </c>
      <c r="S32" s="111">
        <v>3</v>
      </c>
      <c r="T32" s="111">
        <v>9</v>
      </c>
      <c r="U32" s="111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35"/>
      <c r="C36" s="136"/>
      <c r="D36" s="133"/>
      <c r="E36" s="134"/>
      <c r="F36" s="135"/>
      <c r="G36" s="136"/>
      <c r="H36" s="133"/>
      <c r="I36" s="134"/>
      <c r="J36" s="135"/>
      <c r="K36" s="136"/>
      <c r="L36" s="133"/>
      <c r="M36" s="134"/>
      <c r="N36" s="135"/>
      <c r="O36" s="136"/>
      <c r="P36" s="133"/>
      <c r="Q36" s="134"/>
      <c r="R36" s="110"/>
      <c r="S36" s="110"/>
      <c r="T36" s="110"/>
      <c r="U36" s="110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102"/>
      <c r="E37" s="103"/>
      <c r="F37" s="59" t="str">
        <f>IF(H36&lt;1,"","пом.")</f>
        <v/>
      </c>
      <c r="G37" s="59"/>
      <c r="H37" s="102"/>
      <c r="I37" s="103"/>
      <c r="J37" s="59" t="str">
        <f>IF(L36&lt;1,"","пом.")</f>
        <v/>
      </c>
      <c r="K37" s="59"/>
      <c r="L37" s="102"/>
      <c r="M37" s="103"/>
      <c r="N37" s="59" t="str">
        <f>IF(P36&lt;1,"","пом.")</f>
        <v/>
      </c>
      <c r="O37" s="59"/>
      <c r="P37" s="102"/>
      <c r="Q37" s="103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104" t="s">
        <v>12</v>
      </c>
      <c r="G39" s="104"/>
      <c r="H39" s="104"/>
      <c r="I39" s="132" t="s">
        <v>41</v>
      </c>
      <c r="J39" s="132"/>
      <c r="K39" s="60"/>
      <c r="L39" s="39"/>
      <c r="M39" s="39"/>
      <c r="N39" s="5"/>
      <c r="O39" s="22" t="s">
        <v>13</v>
      </c>
      <c r="P39" s="104" t="s">
        <v>14</v>
      </c>
      <c r="Q39" s="104"/>
      <c r="R39" s="104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104" t="s">
        <v>16</v>
      </c>
      <c r="G40" s="104"/>
      <c r="H40" s="104"/>
      <c r="I40" s="132" t="s">
        <v>42</v>
      </c>
      <c r="J40" s="132"/>
      <c r="K40" s="132"/>
      <c r="L40" s="39"/>
      <c r="M40" s="39"/>
      <c r="N40" s="5"/>
      <c r="O40" s="22" t="s">
        <v>18</v>
      </c>
      <c r="P40" s="104" t="s">
        <v>14</v>
      </c>
      <c r="Q40" s="104"/>
      <c r="R40" s="104"/>
      <c r="S40" s="5" t="s">
        <v>19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N44&amp;".2"</f>
        <v>1.1.2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IF(N25="-"&amp;N2&amp;".3",IF(N26=15,"-"&amp;N2&amp;".4","-"&amp;N2&amp;".3"),N25)</f>
        <v>-1.1.3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IF(N47="-"&amp;N2&amp;".3",N26+1,IF(N25="-"&amp;N2&amp;".3",1,N26+1))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17">
        <v>1</v>
      </c>
      <c r="E51" s="118"/>
      <c r="F51" s="19"/>
      <c r="G51" s="19"/>
      <c r="H51" s="117">
        <v>2</v>
      </c>
      <c r="I51" s="118"/>
      <c r="J51" s="19"/>
      <c r="K51" s="19"/>
      <c r="L51" s="117">
        <v>3</v>
      </c>
      <c r="M51" s="118"/>
      <c r="N51" s="19"/>
      <c r="O51" s="19"/>
      <c r="P51" s="117">
        <v>4</v>
      </c>
      <c r="Q51" s="118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11" t="s">
        <v>6</v>
      </c>
      <c r="C52" s="111"/>
      <c r="D52" s="117" t="s">
        <v>37</v>
      </c>
      <c r="E52" s="118" t="s">
        <v>0</v>
      </c>
      <c r="F52" s="111" t="s">
        <v>6</v>
      </c>
      <c r="G52" s="111"/>
      <c r="H52" s="117" t="s">
        <v>37</v>
      </c>
      <c r="I52" s="118"/>
      <c r="J52" s="111" t="s">
        <v>6</v>
      </c>
      <c r="K52" s="111"/>
      <c r="L52" s="117" t="s">
        <v>37</v>
      </c>
      <c r="M52" s="118"/>
      <c r="N52" s="111" t="s">
        <v>6</v>
      </c>
      <c r="O52" s="111"/>
      <c r="P52" s="117" t="s">
        <v>37</v>
      </c>
      <c r="Q52" s="118"/>
      <c r="R52" s="111"/>
      <c r="S52" s="111"/>
      <c r="T52" s="111"/>
      <c r="U52" s="111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10"/>
      <c r="C53" s="110"/>
      <c r="D53" s="112"/>
      <c r="E53" s="112"/>
      <c r="F53" s="110"/>
      <c r="G53" s="110"/>
      <c r="H53" s="112"/>
      <c r="I53" s="112"/>
      <c r="J53" s="110"/>
      <c r="K53" s="110"/>
      <c r="L53" s="112"/>
      <c r="M53" s="112"/>
      <c r="N53" s="110"/>
      <c r="O53" s="110"/>
      <c r="P53" s="112"/>
      <c r="Q53" s="112"/>
      <c r="R53" s="110"/>
      <c r="S53" s="110"/>
      <c r="T53" s="110"/>
      <c r="U53" s="110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11">
        <v>0</v>
      </c>
      <c r="C54" s="111"/>
      <c r="D54" s="113">
        <v>1</v>
      </c>
      <c r="E54" s="113">
        <v>1</v>
      </c>
      <c r="F54" s="111">
        <v>2</v>
      </c>
      <c r="G54" s="111">
        <v>2</v>
      </c>
      <c r="H54" s="113">
        <v>3</v>
      </c>
      <c r="I54" s="113">
        <v>3</v>
      </c>
      <c r="J54" s="111">
        <v>4</v>
      </c>
      <c r="K54" s="111">
        <v>4</v>
      </c>
      <c r="L54" s="113">
        <v>5</v>
      </c>
      <c r="M54" s="113"/>
      <c r="N54" s="111">
        <v>6</v>
      </c>
      <c r="O54" s="111">
        <v>1</v>
      </c>
      <c r="P54" s="113">
        <v>7</v>
      </c>
      <c r="Q54" s="113">
        <v>2</v>
      </c>
      <c r="R54" s="111">
        <v>8</v>
      </c>
      <c r="S54" s="111">
        <v>3</v>
      </c>
      <c r="T54" s="111">
        <v>9</v>
      </c>
      <c r="U54" s="111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35"/>
      <c r="C58" s="136"/>
      <c r="D58" s="133"/>
      <c r="E58" s="134"/>
      <c r="F58" s="135"/>
      <c r="G58" s="136"/>
      <c r="H58" s="133"/>
      <c r="I58" s="134"/>
      <c r="J58" s="135"/>
      <c r="K58" s="136"/>
      <c r="L58" s="133"/>
      <c r="M58" s="134"/>
      <c r="N58" s="135"/>
      <c r="O58" s="136"/>
      <c r="P58" s="133"/>
      <c r="Q58" s="134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102"/>
      <c r="E59" s="103"/>
      <c r="F59" s="59" t="str">
        <f>IF(H58&lt;1,"","пом.")</f>
        <v/>
      </c>
      <c r="G59" s="59"/>
      <c r="H59" s="102"/>
      <c r="I59" s="103"/>
      <c r="J59" s="59" t="str">
        <f>IF(L58&lt;1,"","пом.")</f>
        <v/>
      </c>
      <c r="K59" s="59"/>
      <c r="L59" s="102"/>
      <c r="M59" s="103"/>
      <c r="N59" s="59" t="str">
        <f>IF(P58&lt;1,"","пом.")</f>
        <v/>
      </c>
      <c r="O59" s="59"/>
      <c r="P59" s="102"/>
      <c r="Q59" s="103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104" t="s">
        <v>12</v>
      </c>
      <c r="G61" s="104"/>
      <c r="H61" s="104"/>
      <c r="I61" s="132" t="s">
        <v>41</v>
      </c>
      <c r="J61" s="132"/>
      <c r="K61" s="60"/>
      <c r="L61" s="39"/>
      <c r="M61" s="39"/>
      <c r="N61" s="5"/>
      <c r="O61" s="22" t="s">
        <v>13</v>
      </c>
      <c r="P61" s="104" t="s">
        <v>14</v>
      </c>
      <c r="Q61" s="104"/>
      <c r="R61" s="104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104" t="s">
        <v>16</v>
      </c>
      <c r="G62" s="104"/>
      <c r="H62" s="104"/>
      <c r="I62" s="132" t="s">
        <v>42</v>
      </c>
      <c r="J62" s="132"/>
      <c r="K62" s="132"/>
      <c r="L62" s="39"/>
      <c r="M62" s="39"/>
      <c r="N62" s="5"/>
      <c r="O62" s="22" t="s">
        <v>18</v>
      </c>
      <c r="P62" s="104" t="s">
        <v>14</v>
      </c>
      <c r="Q62" s="104"/>
      <c r="R62" s="104"/>
      <c r="S62" s="5" t="s">
        <v>19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1.1.2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IF(N47="-"&amp;N44&amp;".3",IF(N48=15,"-"&amp;N44&amp;".4","-"&amp;N44&amp;".3"),N47)</f>
        <v>-1.1.3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IF(N67="-"&amp;N2&amp;".3",N48+1,IF(N47="-"&amp;N2&amp;".3",1,N48+1))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17">
        <v>1</v>
      </c>
      <c r="E71" s="118"/>
      <c r="F71" s="19"/>
      <c r="G71" s="19"/>
      <c r="H71" s="117">
        <v>2</v>
      </c>
      <c r="I71" s="118"/>
      <c r="J71" s="19"/>
      <c r="K71" s="19"/>
      <c r="L71" s="117">
        <v>3</v>
      </c>
      <c r="M71" s="118"/>
      <c r="N71" s="19"/>
      <c r="O71" s="19"/>
      <c r="P71" s="117">
        <v>4</v>
      </c>
      <c r="Q71" s="118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11" t="s">
        <v>6</v>
      </c>
      <c r="C72" s="111"/>
      <c r="D72" s="117" t="s">
        <v>37</v>
      </c>
      <c r="E72" s="118" t="s">
        <v>0</v>
      </c>
      <c r="F72" s="111" t="s">
        <v>6</v>
      </c>
      <c r="G72" s="111"/>
      <c r="H72" s="117" t="s">
        <v>37</v>
      </c>
      <c r="I72" s="118"/>
      <c r="J72" s="111" t="s">
        <v>6</v>
      </c>
      <c r="K72" s="111"/>
      <c r="L72" s="117" t="s">
        <v>37</v>
      </c>
      <c r="M72" s="118"/>
      <c r="N72" s="111" t="s">
        <v>6</v>
      </c>
      <c r="O72" s="111"/>
      <c r="P72" s="117" t="s">
        <v>37</v>
      </c>
      <c r="Q72" s="118"/>
      <c r="R72" s="111"/>
      <c r="S72" s="111"/>
      <c r="T72" s="111"/>
      <c r="U72" s="111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10"/>
      <c r="C73" s="110"/>
      <c r="D73" s="112"/>
      <c r="E73" s="112"/>
      <c r="F73" s="110"/>
      <c r="G73" s="110"/>
      <c r="H73" s="112"/>
      <c r="I73" s="112"/>
      <c r="J73" s="110"/>
      <c r="K73" s="110"/>
      <c r="L73" s="112"/>
      <c r="M73" s="112"/>
      <c r="N73" s="110"/>
      <c r="O73" s="110"/>
      <c r="P73" s="112"/>
      <c r="Q73" s="112"/>
      <c r="R73" s="110"/>
      <c r="S73" s="110"/>
      <c r="T73" s="110"/>
      <c r="U73" s="110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11">
        <v>0</v>
      </c>
      <c r="C74" s="111"/>
      <c r="D74" s="113">
        <v>1</v>
      </c>
      <c r="E74" s="113">
        <v>1</v>
      </c>
      <c r="F74" s="111">
        <v>2</v>
      </c>
      <c r="G74" s="111">
        <v>2</v>
      </c>
      <c r="H74" s="113">
        <v>3</v>
      </c>
      <c r="I74" s="113">
        <v>3</v>
      </c>
      <c r="J74" s="111">
        <v>4</v>
      </c>
      <c r="K74" s="111">
        <v>4</v>
      </c>
      <c r="L74" s="113">
        <v>5</v>
      </c>
      <c r="M74" s="113"/>
      <c r="N74" s="111">
        <v>6</v>
      </c>
      <c r="O74" s="111">
        <v>1</v>
      </c>
      <c r="P74" s="113">
        <v>7</v>
      </c>
      <c r="Q74" s="113">
        <v>2</v>
      </c>
      <c r="R74" s="111">
        <v>8</v>
      </c>
      <c r="S74" s="111">
        <v>3</v>
      </c>
      <c r="T74" s="111">
        <v>9</v>
      </c>
      <c r="U74" s="111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35"/>
      <c r="C78" s="136"/>
      <c r="D78" s="133"/>
      <c r="E78" s="134"/>
      <c r="F78" s="135"/>
      <c r="G78" s="136"/>
      <c r="H78" s="133"/>
      <c r="I78" s="134"/>
      <c r="J78" s="135"/>
      <c r="K78" s="136"/>
      <c r="L78" s="133"/>
      <c r="M78" s="134"/>
      <c r="N78" s="135"/>
      <c r="O78" s="136"/>
      <c r="P78" s="133"/>
      <c r="Q78" s="134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102"/>
      <c r="E79" s="103"/>
      <c r="F79" s="59" t="str">
        <f>IF(H78&lt;1,"","пом.")</f>
        <v/>
      </c>
      <c r="G79" s="59"/>
      <c r="H79" s="102"/>
      <c r="I79" s="103"/>
      <c r="J79" s="59" t="str">
        <f>IF(L78&lt;1,"","пом.")</f>
        <v/>
      </c>
      <c r="K79" s="59"/>
      <c r="L79" s="102"/>
      <c r="M79" s="103"/>
      <c r="N79" s="59" t="str">
        <f>IF(P78&lt;1,"","пом.")</f>
        <v/>
      </c>
      <c r="O79" s="59"/>
      <c r="P79" s="102"/>
      <c r="Q79" s="103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104" t="s">
        <v>12</v>
      </c>
      <c r="G81" s="104"/>
      <c r="H81" s="104"/>
      <c r="I81" s="132" t="s">
        <v>41</v>
      </c>
      <c r="J81" s="132"/>
      <c r="K81" s="60"/>
      <c r="L81" s="39"/>
      <c r="M81" s="39"/>
      <c r="N81" s="5"/>
      <c r="O81" s="22" t="s">
        <v>13</v>
      </c>
      <c r="P81" s="104" t="s">
        <v>14</v>
      </c>
      <c r="Q81" s="104"/>
      <c r="R81" s="104"/>
      <c r="S81" s="132" t="s">
        <v>43</v>
      </c>
      <c r="T81" s="132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104" t="s">
        <v>16</v>
      </c>
      <c r="G82" s="104"/>
      <c r="H82" s="104"/>
      <c r="I82" s="132" t="s">
        <v>42</v>
      </c>
      <c r="J82" s="132"/>
      <c r="K82" s="132"/>
      <c r="L82" s="39"/>
      <c r="M82" s="39"/>
      <c r="N82" s="5"/>
      <c r="O82" s="22" t="s">
        <v>18</v>
      </c>
      <c r="P82" s="104" t="s">
        <v>14</v>
      </c>
      <c r="Q82" s="104"/>
      <c r="R82" s="104"/>
      <c r="S82" s="128" t="s">
        <v>19</v>
      </c>
      <c r="T82" s="128"/>
      <c r="U82" s="128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N86&amp;".2"</f>
        <v>1.1.2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IF(N67="-"&amp;N44&amp;".3",IF(N68=15,"-"&amp;N44&amp;".4","-"&amp;N44&amp;".3"),N67)</f>
        <v>-1.1.3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IF(N89="-"&amp;N44&amp;".3",N68+1,IF(N67="-"&amp;N44&amp;".3",1,N68+1))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17">
        <v>1</v>
      </c>
      <c r="E93" s="118"/>
      <c r="F93" s="19"/>
      <c r="G93" s="19"/>
      <c r="H93" s="117">
        <v>2</v>
      </c>
      <c r="I93" s="118"/>
      <c r="J93" s="19"/>
      <c r="K93" s="19"/>
      <c r="L93" s="117">
        <v>3</v>
      </c>
      <c r="M93" s="118"/>
      <c r="N93" s="19"/>
      <c r="O93" s="19"/>
      <c r="P93" s="117">
        <v>4</v>
      </c>
      <c r="Q93" s="118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11" t="s">
        <v>6</v>
      </c>
      <c r="C94" s="111"/>
      <c r="D94" s="117" t="s">
        <v>37</v>
      </c>
      <c r="E94" s="118" t="s">
        <v>0</v>
      </c>
      <c r="F94" s="111" t="s">
        <v>6</v>
      </c>
      <c r="G94" s="111"/>
      <c r="H94" s="117" t="s">
        <v>37</v>
      </c>
      <c r="I94" s="118"/>
      <c r="J94" s="111" t="s">
        <v>6</v>
      </c>
      <c r="K94" s="111"/>
      <c r="L94" s="117" t="s">
        <v>37</v>
      </c>
      <c r="M94" s="118"/>
      <c r="N94" s="111" t="s">
        <v>6</v>
      </c>
      <c r="O94" s="111"/>
      <c r="P94" s="117" t="s">
        <v>37</v>
      </c>
      <c r="Q94" s="118"/>
      <c r="R94" s="111"/>
      <c r="S94" s="111"/>
      <c r="T94" s="111"/>
      <c r="U94" s="111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10"/>
      <c r="C95" s="110"/>
      <c r="D95" s="112"/>
      <c r="E95" s="112"/>
      <c r="F95" s="110"/>
      <c r="G95" s="110"/>
      <c r="H95" s="112"/>
      <c r="I95" s="112"/>
      <c r="J95" s="110"/>
      <c r="K95" s="110"/>
      <c r="L95" s="112"/>
      <c r="M95" s="112"/>
      <c r="N95" s="110"/>
      <c r="O95" s="110"/>
      <c r="P95" s="112"/>
      <c r="Q95" s="112"/>
      <c r="R95" s="110"/>
      <c r="S95" s="110"/>
      <c r="T95" s="110"/>
      <c r="U95" s="110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11">
        <v>0</v>
      </c>
      <c r="C96" s="111"/>
      <c r="D96" s="113">
        <v>1</v>
      </c>
      <c r="E96" s="113">
        <v>1</v>
      </c>
      <c r="F96" s="111">
        <v>2</v>
      </c>
      <c r="G96" s="111">
        <v>2</v>
      </c>
      <c r="H96" s="113">
        <v>3</v>
      </c>
      <c r="I96" s="113">
        <v>3</v>
      </c>
      <c r="J96" s="111">
        <v>4</v>
      </c>
      <c r="K96" s="111">
        <v>4</v>
      </c>
      <c r="L96" s="113">
        <v>5</v>
      </c>
      <c r="M96" s="113"/>
      <c r="N96" s="111">
        <v>6</v>
      </c>
      <c r="O96" s="111">
        <v>1</v>
      </c>
      <c r="P96" s="113">
        <v>7</v>
      </c>
      <c r="Q96" s="113">
        <v>2</v>
      </c>
      <c r="R96" s="111">
        <v>8</v>
      </c>
      <c r="S96" s="111">
        <v>3</v>
      </c>
      <c r="T96" s="111">
        <v>9</v>
      </c>
      <c r="U96" s="111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35"/>
      <c r="C100" s="136"/>
      <c r="D100" s="133"/>
      <c r="E100" s="134"/>
      <c r="F100" s="135"/>
      <c r="G100" s="136"/>
      <c r="H100" s="133"/>
      <c r="I100" s="134"/>
      <c r="J100" s="135"/>
      <c r="K100" s="136"/>
      <c r="L100" s="133"/>
      <c r="M100" s="134"/>
      <c r="N100" s="135"/>
      <c r="O100" s="136"/>
      <c r="P100" s="133"/>
      <c r="Q100" s="134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102"/>
      <c r="E101" s="103"/>
      <c r="F101" s="59" t="str">
        <f>IF(H100&lt;1,"","пом.")</f>
        <v/>
      </c>
      <c r="G101" s="59"/>
      <c r="H101" s="102"/>
      <c r="I101" s="103"/>
      <c r="J101" s="59" t="str">
        <f>IF(L100&lt;1,"","пом.")</f>
        <v/>
      </c>
      <c r="K101" s="59"/>
      <c r="L101" s="102"/>
      <c r="M101" s="103"/>
      <c r="N101" s="59" t="str">
        <f>IF(P100&lt;1,"","пом.")</f>
        <v/>
      </c>
      <c r="O101" s="59"/>
      <c r="P101" s="102"/>
      <c r="Q101" s="103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104" t="s">
        <v>12</v>
      </c>
      <c r="G103" s="104"/>
      <c r="H103" s="104"/>
      <c r="I103" s="132" t="s">
        <v>41</v>
      </c>
      <c r="J103" s="132"/>
      <c r="K103" s="60"/>
      <c r="L103" s="39"/>
      <c r="M103" s="39"/>
      <c r="N103" s="5"/>
      <c r="O103" s="22" t="s">
        <v>13</v>
      </c>
      <c r="P103" s="104" t="s">
        <v>14</v>
      </c>
      <c r="Q103" s="104"/>
      <c r="R103" s="104"/>
      <c r="S103" s="132" t="s">
        <v>43</v>
      </c>
      <c r="T103" s="132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104" t="s">
        <v>16</v>
      </c>
      <c r="G104" s="104"/>
      <c r="H104" s="104"/>
      <c r="I104" s="132" t="s">
        <v>42</v>
      </c>
      <c r="J104" s="132"/>
      <c r="K104" s="132"/>
      <c r="L104" s="39"/>
      <c r="M104" s="39"/>
      <c r="N104" s="5"/>
      <c r="O104" s="22" t="s">
        <v>18</v>
      </c>
      <c r="P104" s="104" t="s">
        <v>14</v>
      </c>
      <c r="Q104" s="104"/>
      <c r="R104" s="104"/>
      <c r="S104" s="128" t="s">
        <v>19</v>
      </c>
      <c r="T104" s="128"/>
      <c r="U104" s="128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1.1.2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IF(N89="-"&amp;N86&amp;".3",IF(N90=15,"-"&amp;N86&amp;".4","-"&amp;N86&amp;".3"),N89)</f>
        <v>-1.1.3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IF(N109="-"&amp;N44&amp;".3",N90+1,IF(N89="-"&amp;N44&amp;".3",1,N90+1))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17">
        <v>1</v>
      </c>
      <c r="E113" s="118"/>
      <c r="F113" s="19"/>
      <c r="G113" s="19"/>
      <c r="H113" s="117">
        <v>2</v>
      </c>
      <c r="I113" s="118"/>
      <c r="J113" s="19"/>
      <c r="K113" s="19"/>
      <c r="L113" s="117">
        <v>3</v>
      </c>
      <c r="M113" s="118"/>
      <c r="N113" s="19"/>
      <c r="O113" s="19"/>
      <c r="P113" s="117">
        <v>4</v>
      </c>
      <c r="Q113" s="118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11" t="s">
        <v>6</v>
      </c>
      <c r="C114" s="111"/>
      <c r="D114" s="117" t="s">
        <v>37</v>
      </c>
      <c r="E114" s="118" t="s">
        <v>0</v>
      </c>
      <c r="F114" s="111" t="s">
        <v>6</v>
      </c>
      <c r="G114" s="111"/>
      <c r="H114" s="117" t="s">
        <v>37</v>
      </c>
      <c r="I114" s="118"/>
      <c r="J114" s="111" t="s">
        <v>6</v>
      </c>
      <c r="K114" s="111"/>
      <c r="L114" s="117" t="s">
        <v>37</v>
      </c>
      <c r="M114" s="118"/>
      <c r="N114" s="111" t="s">
        <v>6</v>
      </c>
      <c r="O114" s="111"/>
      <c r="P114" s="117" t="s">
        <v>37</v>
      </c>
      <c r="Q114" s="118"/>
      <c r="R114" s="111"/>
      <c r="S114" s="111"/>
      <c r="T114" s="111"/>
      <c r="U114" s="111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10"/>
      <c r="C115" s="110"/>
      <c r="D115" s="112"/>
      <c r="E115" s="112"/>
      <c r="F115" s="110"/>
      <c r="G115" s="110"/>
      <c r="H115" s="112"/>
      <c r="I115" s="112"/>
      <c r="J115" s="110"/>
      <c r="K115" s="110"/>
      <c r="L115" s="112"/>
      <c r="M115" s="112"/>
      <c r="N115" s="110"/>
      <c r="O115" s="110"/>
      <c r="P115" s="112"/>
      <c r="Q115" s="112"/>
      <c r="R115" s="110"/>
      <c r="S115" s="110"/>
      <c r="T115" s="110"/>
      <c r="U115" s="110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11">
        <v>0</v>
      </c>
      <c r="C116" s="111"/>
      <c r="D116" s="113">
        <v>1</v>
      </c>
      <c r="E116" s="113">
        <v>1</v>
      </c>
      <c r="F116" s="111">
        <v>2</v>
      </c>
      <c r="G116" s="111">
        <v>2</v>
      </c>
      <c r="H116" s="113">
        <v>3</v>
      </c>
      <c r="I116" s="113">
        <v>3</v>
      </c>
      <c r="J116" s="111">
        <v>4</v>
      </c>
      <c r="K116" s="111">
        <v>4</v>
      </c>
      <c r="L116" s="113">
        <v>5</v>
      </c>
      <c r="M116" s="113"/>
      <c r="N116" s="111">
        <v>6</v>
      </c>
      <c r="O116" s="111">
        <v>1</v>
      </c>
      <c r="P116" s="113">
        <v>7</v>
      </c>
      <c r="Q116" s="113">
        <v>2</v>
      </c>
      <c r="R116" s="111">
        <v>8</v>
      </c>
      <c r="S116" s="111">
        <v>3</v>
      </c>
      <c r="T116" s="111">
        <v>9</v>
      </c>
      <c r="U116" s="111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35"/>
      <c r="C120" s="136"/>
      <c r="D120" s="133"/>
      <c r="E120" s="134"/>
      <c r="F120" s="135"/>
      <c r="G120" s="136"/>
      <c r="H120" s="133"/>
      <c r="I120" s="134"/>
      <c r="J120" s="135"/>
      <c r="K120" s="136"/>
      <c r="L120" s="133"/>
      <c r="M120" s="134"/>
      <c r="N120" s="135"/>
      <c r="O120" s="136"/>
      <c r="P120" s="133"/>
      <c r="Q120" s="134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102"/>
      <c r="E121" s="103"/>
      <c r="F121" s="59" t="str">
        <f>IF(H120&lt;1,"","пом.")</f>
        <v/>
      </c>
      <c r="G121" s="59"/>
      <c r="H121" s="102"/>
      <c r="I121" s="103"/>
      <c r="J121" s="59" t="str">
        <f>IF(L120&lt;1,"","пом.")</f>
        <v/>
      </c>
      <c r="K121" s="59"/>
      <c r="L121" s="102"/>
      <c r="M121" s="103"/>
      <c r="N121" s="59" t="str">
        <f>IF(P120&lt;1,"","пом.")</f>
        <v/>
      </c>
      <c r="O121" s="59"/>
      <c r="P121" s="102"/>
      <c r="Q121" s="103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104" t="s">
        <v>12</v>
      </c>
      <c r="G123" s="104"/>
      <c r="H123" s="104"/>
      <c r="I123" s="132" t="s">
        <v>41</v>
      </c>
      <c r="J123" s="132"/>
      <c r="K123" s="60"/>
      <c r="L123" s="39"/>
      <c r="M123" s="39"/>
      <c r="N123" s="5"/>
      <c r="O123" s="22" t="s">
        <v>13</v>
      </c>
      <c r="P123" s="104" t="s">
        <v>14</v>
      </c>
      <c r="Q123" s="104"/>
      <c r="R123" s="104"/>
      <c r="S123" s="132" t="s">
        <v>43</v>
      </c>
      <c r="T123" s="132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104" t="s">
        <v>16</v>
      </c>
      <c r="G124" s="104"/>
      <c r="H124" s="104"/>
      <c r="I124" s="132" t="s">
        <v>42</v>
      </c>
      <c r="J124" s="132"/>
      <c r="K124" s="132"/>
      <c r="L124" s="39"/>
      <c r="M124" s="39"/>
      <c r="N124" s="5"/>
      <c r="O124" s="22" t="s">
        <v>18</v>
      </c>
      <c r="P124" s="104" t="s">
        <v>14</v>
      </c>
      <c r="Q124" s="104"/>
      <c r="R124" s="104"/>
      <c r="S124" s="128" t="s">
        <v>19</v>
      </c>
      <c r="T124" s="128"/>
      <c r="U124" s="128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N128&amp;".2"</f>
        <v>1.1.2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IF(N109="-"&amp;N86&amp;".3",IF(N110=15,"-"&amp;N86&amp;".4","-"&amp;N86&amp;".3"),N109)</f>
        <v>-1.1.3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IF(N131="-"&amp;N86&amp;".3",N110+1,IF(N109="-"&amp;N86&amp;".3",1,N110+1))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17">
        <v>1</v>
      </c>
      <c r="E135" s="118"/>
      <c r="F135" s="19"/>
      <c r="G135" s="19"/>
      <c r="H135" s="117">
        <v>2</v>
      </c>
      <c r="I135" s="118"/>
      <c r="J135" s="19"/>
      <c r="K135" s="19"/>
      <c r="L135" s="117">
        <v>3</v>
      </c>
      <c r="M135" s="118"/>
      <c r="N135" s="19"/>
      <c r="O135" s="19"/>
      <c r="P135" s="117">
        <v>4</v>
      </c>
      <c r="Q135" s="118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11" t="s">
        <v>6</v>
      </c>
      <c r="C136" s="111"/>
      <c r="D136" s="117" t="s">
        <v>37</v>
      </c>
      <c r="E136" s="118" t="s">
        <v>0</v>
      </c>
      <c r="F136" s="111" t="s">
        <v>6</v>
      </c>
      <c r="G136" s="111"/>
      <c r="H136" s="117" t="s">
        <v>37</v>
      </c>
      <c r="I136" s="118"/>
      <c r="J136" s="111" t="s">
        <v>6</v>
      </c>
      <c r="K136" s="111"/>
      <c r="L136" s="117" t="s">
        <v>37</v>
      </c>
      <c r="M136" s="118"/>
      <c r="N136" s="111" t="s">
        <v>6</v>
      </c>
      <c r="O136" s="111"/>
      <c r="P136" s="117" t="s">
        <v>37</v>
      </c>
      <c r="Q136" s="118"/>
      <c r="R136" s="111"/>
      <c r="S136" s="111"/>
      <c r="T136" s="111"/>
      <c r="U136" s="111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10"/>
      <c r="C137" s="110"/>
      <c r="D137" s="112"/>
      <c r="E137" s="112"/>
      <c r="F137" s="110"/>
      <c r="G137" s="110"/>
      <c r="H137" s="112"/>
      <c r="I137" s="112"/>
      <c r="J137" s="110"/>
      <c r="K137" s="110"/>
      <c r="L137" s="112"/>
      <c r="M137" s="112"/>
      <c r="N137" s="110"/>
      <c r="O137" s="110"/>
      <c r="P137" s="112"/>
      <c r="Q137" s="112"/>
      <c r="R137" s="110"/>
      <c r="S137" s="110"/>
      <c r="T137" s="110"/>
      <c r="U137" s="110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11">
        <v>0</v>
      </c>
      <c r="C138" s="111"/>
      <c r="D138" s="113">
        <v>1</v>
      </c>
      <c r="E138" s="113">
        <v>1</v>
      </c>
      <c r="F138" s="111">
        <v>2</v>
      </c>
      <c r="G138" s="111">
        <v>2</v>
      </c>
      <c r="H138" s="113">
        <v>3</v>
      </c>
      <c r="I138" s="113">
        <v>3</v>
      </c>
      <c r="J138" s="111">
        <v>4</v>
      </c>
      <c r="K138" s="111">
        <v>4</v>
      </c>
      <c r="L138" s="113">
        <v>5</v>
      </c>
      <c r="M138" s="113"/>
      <c r="N138" s="111">
        <v>6</v>
      </c>
      <c r="O138" s="111">
        <v>1</v>
      </c>
      <c r="P138" s="113">
        <v>7</v>
      </c>
      <c r="Q138" s="113">
        <v>2</v>
      </c>
      <c r="R138" s="111">
        <v>8</v>
      </c>
      <c r="S138" s="111">
        <v>3</v>
      </c>
      <c r="T138" s="111">
        <v>9</v>
      </c>
      <c r="U138" s="111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35"/>
      <c r="C142" s="136"/>
      <c r="D142" s="133"/>
      <c r="E142" s="134"/>
      <c r="F142" s="135"/>
      <c r="G142" s="136"/>
      <c r="H142" s="133"/>
      <c r="I142" s="134"/>
      <c r="J142" s="135"/>
      <c r="K142" s="136"/>
      <c r="L142" s="133"/>
      <c r="M142" s="134"/>
      <c r="N142" s="135"/>
      <c r="O142" s="136"/>
      <c r="P142" s="133"/>
      <c r="Q142" s="134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102"/>
      <c r="E143" s="103"/>
      <c r="F143" s="59" t="str">
        <f>IF(H142&lt;1,"","пом.")</f>
        <v/>
      </c>
      <c r="G143" s="59"/>
      <c r="H143" s="102"/>
      <c r="I143" s="103"/>
      <c r="J143" s="59" t="str">
        <f>IF(L142&lt;1,"","пом.")</f>
        <v/>
      </c>
      <c r="K143" s="59"/>
      <c r="L143" s="102"/>
      <c r="M143" s="103"/>
      <c r="N143" s="59" t="str">
        <f>IF(P142&lt;1,"","пом.")</f>
        <v/>
      </c>
      <c r="O143" s="59"/>
      <c r="P143" s="102"/>
      <c r="Q143" s="103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104" t="s">
        <v>12</v>
      </c>
      <c r="G145" s="104"/>
      <c r="H145" s="104"/>
      <c r="I145" s="132" t="s">
        <v>41</v>
      </c>
      <c r="J145" s="132"/>
      <c r="K145" s="60"/>
      <c r="L145" s="39"/>
      <c r="M145" s="39"/>
      <c r="N145" s="5"/>
      <c r="O145" s="22" t="s">
        <v>13</v>
      </c>
      <c r="P145" s="104" t="s">
        <v>14</v>
      </c>
      <c r="Q145" s="104"/>
      <c r="R145" s="104"/>
      <c r="S145" s="132" t="s">
        <v>43</v>
      </c>
      <c r="T145" s="132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104" t="s">
        <v>16</v>
      </c>
      <c r="G146" s="104"/>
      <c r="H146" s="104"/>
      <c r="I146" s="132" t="s">
        <v>42</v>
      </c>
      <c r="J146" s="132"/>
      <c r="K146" s="132"/>
      <c r="L146" s="39"/>
      <c r="M146" s="39"/>
      <c r="N146" s="5"/>
      <c r="O146" s="22" t="s">
        <v>18</v>
      </c>
      <c r="P146" s="104" t="s">
        <v>14</v>
      </c>
      <c r="Q146" s="104"/>
      <c r="R146" s="104"/>
      <c r="S146" s="128" t="s">
        <v>19</v>
      </c>
      <c r="T146" s="128"/>
      <c r="U146" s="128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1.1.2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IF(N131="-"&amp;N128&amp;".3",IF(N132=15,"-"&amp;N128&amp;".4","-"&amp;N128&amp;".3"),N131)</f>
        <v>-1.1.3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IF(N151="-"&amp;N86&amp;".3",N132+1,IF(N131="-"&amp;N86&amp;".3",1,N132+1))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17">
        <v>1</v>
      </c>
      <c r="E155" s="118"/>
      <c r="F155" s="19"/>
      <c r="G155" s="19"/>
      <c r="H155" s="117">
        <v>2</v>
      </c>
      <c r="I155" s="118"/>
      <c r="J155" s="19"/>
      <c r="K155" s="19"/>
      <c r="L155" s="117">
        <v>3</v>
      </c>
      <c r="M155" s="118"/>
      <c r="N155" s="19"/>
      <c r="O155" s="19"/>
      <c r="P155" s="117">
        <v>4</v>
      </c>
      <c r="Q155" s="118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11" t="s">
        <v>6</v>
      </c>
      <c r="C156" s="111"/>
      <c r="D156" s="117" t="s">
        <v>37</v>
      </c>
      <c r="E156" s="118" t="s">
        <v>0</v>
      </c>
      <c r="F156" s="111" t="s">
        <v>6</v>
      </c>
      <c r="G156" s="111"/>
      <c r="H156" s="117" t="s">
        <v>37</v>
      </c>
      <c r="I156" s="118"/>
      <c r="J156" s="111" t="s">
        <v>6</v>
      </c>
      <c r="K156" s="111"/>
      <c r="L156" s="117" t="s">
        <v>37</v>
      </c>
      <c r="M156" s="118"/>
      <c r="N156" s="111" t="s">
        <v>6</v>
      </c>
      <c r="O156" s="111"/>
      <c r="P156" s="117" t="s">
        <v>37</v>
      </c>
      <c r="Q156" s="118"/>
      <c r="R156" s="111"/>
      <c r="S156" s="111"/>
      <c r="T156" s="111"/>
      <c r="U156" s="111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10"/>
      <c r="C157" s="110"/>
      <c r="D157" s="112"/>
      <c r="E157" s="112"/>
      <c r="F157" s="110"/>
      <c r="G157" s="110"/>
      <c r="H157" s="112"/>
      <c r="I157" s="112"/>
      <c r="J157" s="110"/>
      <c r="K157" s="110"/>
      <c r="L157" s="112"/>
      <c r="M157" s="112"/>
      <c r="N157" s="110"/>
      <c r="O157" s="110"/>
      <c r="P157" s="112"/>
      <c r="Q157" s="112"/>
      <c r="R157" s="110"/>
      <c r="S157" s="110"/>
      <c r="T157" s="110"/>
      <c r="U157" s="110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11">
        <v>0</v>
      </c>
      <c r="C158" s="111"/>
      <c r="D158" s="113">
        <v>1</v>
      </c>
      <c r="E158" s="113">
        <v>1</v>
      </c>
      <c r="F158" s="111">
        <v>2</v>
      </c>
      <c r="G158" s="111">
        <v>2</v>
      </c>
      <c r="H158" s="113">
        <v>3</v>
      </c>
      <c r="I158" s="113">
        <v>3</v>
      </c>
      <c r="J158" s="111">
        <v>4</v>
      </c>
      <c r="K158" s="111">
        <v>4</v>
      </c>
      <c r="L158" s="113">
        <v>5</v>
      </c>
      <c r="M158" s="113"/>
      <c r="N158" s="111">
        <v>6</v>
      </c>
      <c r="O158" s="111">
        <v>1</v>
      </c>
      <c r="P158" s="113">
        <v>7</v>
      </c>
      <c r="Q158" s="113">
        <v>2</v>
      </c>
      <c r="R158" s="111">
        <v>8</v>
      </c>
      <c r="S158" s="111">
        <v>3</v>
      </c>
      <c r="T158" s="111">
        <v>9</v>
      </c>
      <c r="U158" s="111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35"/>
      <c r="C162" s="136"/>
      <c r="D162" s="133"/>
      <c r="E162" s="134"/>
      <c r="F162" s="135"/>
      <c r="G162" s="136"/>
      <c r="H162" s="133"/>
      <c r="I162" s="134"/>
      <c r="J162" s="135"/>
      <c r="K162" s="136"/>
      <c r="L162" s="133"/>
      <c r="M162" s="134"/>
      <c r="N162" s="135"/>
      <c r="O162" s="136"/>
      <c r="P162" s="133"/>
      <c r="Q162" s="134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102"/>
      <c r="E163" s="103"/>
      <c r="F163" s="59" t="str">
        <f>IF(H162&lt;1,"","пом.")</f>
        <v/>
      </c>
      <c r="G163" s="59"/>
      <c r="H163" s="102"/>
      <c r="I163" s="103"/>
      <c r="J163" s="59" t="str">
        <f>IF(L162&lt;1,"","пом.")</f>
        <v/>
      </c>
      <c r="K163" s="59"/>
      <c r="L163" s="102"/>
      <c r="M163" s="103"/>
      <c r="N163" s="59" t="str">
        <f>IF(P162&lt;1,"","пом.")</f>
        <v/>
      </c>
      <c r="O163" s="59"/>
      <c r="P163" s="102"/>
      <c r="Q163" s="103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104" t="s">
        <v>12</v>
      </c>
      <c r="G165" s="104"/>
      <c r="H165" s="104"/>
      <c r="I165" s="132" t="s">
        <v>41</v>
      </c>
      <c r="J165" s="132"/>
      <c r="K165" s="60"/>
      <c r="L165" s="39"/>
      <c r="M165" s="39"/>
      <c r="N165" s="5"/>
      <c r="O165" s="22" t="s">
        <v>13</v>
      </c>
      <c r="P165" s="104" t="s">
        <v>14</v>
      </c>
      <c r="Q165" s="104"/>
      <c r="R165" s="104"/>
      <c r="S165" s="132" t="s">
        <v>43</v>
      </c>
      <c r="T165" s="132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104" t="s">
        <v>16</v>
      </c>
      <c r="G166" s="104"/>
      <c r="H166" s="104"/>
      <c r="I166" s="132" t="s">
        <v>42</v>
      </c>
      <c r="J166" s="132"/>
      <c r="K166" s="132"/>
      <c r="L166" s="39"/>
      <c r="M166" s="39"/>
      <c r="N166" s="5"/>
      <c r="O166" s="22" t="s">
        <v>18</v>
      </c>
      <c r="P166" s="104" t="s">
        <v>14</v>
      </c>
      <c r="Q166" s="104"/>
      <c r="R166" s="104"/>
      <c r="S166" s="128" t="s">
        <v>19</v>
      </c>
      <c r="T166" s="128"/>
      <c r="U166" s="128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N170&amp;".2"</f>
        <v>1.1.2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IF(N151="-"&amp;N128&amp;".3",IF(N152=15,"-"&amp;N128&amp;".4","-"&amp;N128&amp;".3"),N151)</f>
        <v>-1.1.3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IF(N173="-"&amp;N128&amp;".3",N152+1,IF(N151="-"&amp;N128&amp;".3",1,N152+1))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17">
        <v>1</v>
      </c>
      <c r="E177" s="118"/>
      <c r="F177" s="19"/>
      <c r="G177" s="19"/>
      <c r="H177" s="117">
        <v>2</v>
      </c>
      <c r="I177" s="118"/>
      <c r="J177" s="19"/>
      <c r="K177" s="19"/>
      <c r="L177" s="117">
        <v>3</v>
      </c>
      <c r="M177" s="118"/>
      <c r="N177" s="19"/>
      <c r="O177" s="19"/>
      <c r="P177" s="117">
        <v>4</v>
      </c>
      <c r="Q177" s="118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11" t="s">
        <v>6</v>
      </c>
      <c r="C178" s="111"/>
      <c r="D178" s="117" t="s">
        <v>37</v>
      </c>
      <c r="E178" s="118" t="s">
        <v>0</v>
      </c>
      <c r="F178" s="111" t="s">
        <v>6</v>
      </c>
      <c r="G178" s="111"/>
      <c r="H178" s="117" t="s">
        <v>37</v>
      </c>
      <c r="I178" s="118"/>
      <c r="J178" s="111" t="s">
        <v>6</v>
      </c>
      <c r="K178" s="111"/>
      <c r="L178" s="117" t="s">
        <v>37</v>
      </c>
      <c r="M178" s="118"/>
      <c r="N178" s="111" t="s">
        <v>6</v>
      </c>
      <c r="O178" s="111"/>
      <c r="P178" s="117" t="s">
        <v>37</v>
      </c>
      <c r="Q178" s="118"/>
      <c r="R178" s="111"/>
      <c r="S178" s="111"/>
      <c r="T178" s="111"/>
      <c r="U178" s="111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10"/>
      <c r="C179" s="110"/>
      <c r="D179" s="112"/>
      <c r="E179" s="112"/>
      <c r="F179" s="110"/>
      <c r="G179" s="110"/>
      <c r="H179" s="112"/>
      <c r="I179" s="112"/>
      <c r="J179" s="110"/>
      <c r="K179" s="110"/>
      <c r="L179" s="112"/>
      <c r="M179" s="112"/>
      <c r="N179" s="110"/>
      <c r="O179" s="110"/>
      <c r="P179" s="112"/>
      <c r="Q179" s="112"/>
      <c r="R179" s="110"/>
      <c r="S179" s="110"/>
      <c r="T179" s="110"/>
      <c r="U179" s="110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11">
        <v>0</v>
      </c>
      <c r="C180" s="111"/>
      <c r="D180" s="113">
        <v>1</v>
      </c>
      <c r="E180" s="113">
        <v>1</v>
      </c>
      <c r="F180" s="111">
        <v>2</v>
      </c>
      <c r="G180" s="111">
        <v>2</v>
      </c>
      <c r="H180" s="113">
        <v>3</v>
      </c>
      <c r="I180" s="113">
        <v>3</v>
      </c>
      <c r="J180" s="111">
        <v>4</v>
      </c>
      <c r="K180" s="111">
        <v>4</v>
      </c>
      <c r="L180" s="113">
        <v>5</v>
      </c>
      <c r="M180" s="113"/>
      <c r="N180" s="111">
        <v>6</v>
      </c>
      <c r="O180" s="111">
        <v>1</v>
      </c>
      <c r="P180" s="113">
        <v>7</v>
      </c>
      <c r="Q180" s="113">
        <v>2</v>
      </c>
      <c r="R180" s="111">
        <v>8</v>
      </c>
      <c r="S180" s="111">
        <v>3</v>
      </c>
      <c r="T180" s="111">
        <v>9</v>
      </c>
      <c r="U180" s="111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35"/>
      <c r="C184" s="136"/>
      <c r="D184" s="133"/>
      <c r="E184" s="134"/>
      <c r="F184" s="135"/>
      <c r="G184" s="136"/>
      <c r="H184" s="133"/>
      <c r="I184" s="134"/>
      <c r="J184" s="135"/>
      <c r="K184" s="136"/>
      <c r="L184" s="133"/>
      <c r="M184" s="134"/>
      <c r="N184" s="135"/>
      <c r="O184" s="136"/>
      <c r="P184" s="133"/>
      <c r="Q184" s="134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102"/>
      <c r="E185" s="103"/>
      <c r="F185" s="59" t="str">
        <f>IF(H184&lt;1,"","пом.")</f>
        <v/>
      </c>
      <c r="G185" s="59"/>
      <c r="H185" s="102"/>
      <c r="I185" s="103"/>
      <c r="J185" s="59" t="str">
        <f>IF(L184&lt;1,"","пом.")</f>
        <v/>
      </c>
      <c r="K185" s="59"/>
      <c r="L185" s="102"/>
      <c r="M185" s="103"/>
      <c r="N185" s="59" t="str">
        <f>IF(P184&lt;1,"","пом.")</f>
        <v/>
      </c>
      <c r="O185" s="59"/>
      <c r="P185" s="102"/>
      <c r="Q185" s="103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104" t="s">
        <v>12</v>
      </c>
      <c r="G187" s="104"/>
      <c r="H187" s="104"/>
      <c r="I187" s="132" t="s">
        <v>41</v>
      </c>
      <c r="J187" s="132"/>
      <c r="K187" s="60"/>
      <c r="L187" s="39"/>
      <c r="M187" s="39"/>
      <c r="N187" s="5"/>
      <c r="O187" s="22" t="s">
        <v>13</v>
      </c>
      <c r="P187" s="104" t="s">
        <v>14</v>
      </c>
      <c r="Q187" s="104"/>
      <c r="R187" s="104"/>
      <c r="S187" s="132" t="s">
        <v>43</v>
      </c>
      <c r="T187" s="132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104" t="s">
        <v>16</v>
      </c>
      <c r="G188" s="104"/>
      <c r="H188" s="104"/>
      <c r="I188" s="132" t="s">
        <v>42</v>
      </c>
      <c r="J188" s="132"/>
      <c r="K188" s="132"/>
      <c r="L188" s="39"/>
      <c r="M188" s="39"/>
      <c r="N188" s="5"/>
      <c r="O188" s="22" t="s">
        <v>18</v>
      </c>
      <c r="P188" s="104" t="s">
        <v>14</v>
      </c>
      <c r="Q188" s="104"/>
      <c r="R188" s="104"/>
      <c r="S188" s="128" t="s">
        <v>19</v>
      </c>
      <c r="T188" s="128"/>
      <c r="U188" s="128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1.1.2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IF(N173="-"&amp;N170&amp;".3",IF(N174=15,"-"&amp;N170&amp;".4","-"&amp;N170&amp;".3"),N173)</f>
        <v>-1.1.3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IF(N193="-"&amp;N128&amp;".3",N174+1,IF(N173="-"&amp;N128&amp;".3",1,N174+1))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17">
        <v>1</v>
      </c>
      <c r="E197" s="118"/>
      <c r="F197" s="19"/>
      <c r="G197" s="19"/>
      <c r="H197" s="117">
        <v>2</v>
      </c>
      <c r="I197" s="118"/>
      <c r="J197" s="19"/>
      <c r="K197" s="19"/>
      <c r="L197" s="117">
        <v>3</v>
      </c>
      <c r="M197" s="118"/>
      <c r="N197" s="19"/>
      <c r="O197" s="19"/>
      <c r="P197" s="117">
        <v>4</v>
      </c>
      <c r="Q197" s="118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11" t="s">
        <v>6</v>
      </c>
      <c r="C198" s="111"/>
      <c r="D198" s="117" t="s">
        <v>37</v>
      </c>
      <c r="E198" s="118" t="s">
        <v>0</v>
      </c>
      <c r="F198" s="111" t="s">
        <v>6</v>
      </c>
      <c r="G198" s="111"/>
      <c r="H198" s="117" t="s">
        <v>37</v>
      </c>
      <c r="I198" s="118"/>
      <c r="J198" s="111" t="s">
        <v>6</v>
      </c>
      <c r="K198" s="111"/>
      <c r="L198" s="117" t="s">
        <v>37</v>
      </c>
      <c r="M198" s="118"/>
      <c r="N198" s="111" t="s">
        <v>6</v>
      </c>
      <c r="O198" s="111"/>
      <c r="P198" s="117" t="s">
        <v>37</v>
      </c>
      <c r="Q198" s="118"/>
      <c r="R198" s="111"/>
      <c r="S198" s="111"/>
      <c r="T198" s="111"/>
      <c r="U198" s="111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10"/>
      <c r="C199" s="110"/>
      <c r="D199" s="112"/>
      <c r="E199" s="112"/>
      <c r="F199" s="110"/>
      <c r="G199" s="110"/>
      <c r="H199" s="112"/>
      <c r="I199" s="112"/>
      <c r="J199" s="110"/>
      <c r="K199" s="110"/>
      <c r="L199" s="112"/>
      <c r="M199" s="112"/>
      <c r="N199" s="110"/>
      <c r="O199" s="110"/>
      <c r="P199" s="112"/>
      <c r="Q199" s="112"/>
      <c r="R199" s="110"/>
      <c r="S199" s="110"/>
      <c r="T199" s="110"/>
      <c r="U199" s="110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11">
        <v>0</v>
      </c>
      <c r="C200" s="111"/>
      <c r="D200" s="113">
        <v>1</v>
      </c>
      <c r="E200" s="113">
        <v>1</v>
      </c>
      <c r="F200" s="111">
        <v>2</v>
      </c>
      <c r="G200" s="111">
        <v>2</v>
      </c>
      <c r="H200" s="113">
        <v>3</v>
      </c>
      <c r="I200" s="113">
        <v>3</v>
      </c>
      <c r="J200" s="111">
        <v>4</v>
      </c>
      <c r="K200" s="111">
        <v>4</v>
      </c>
      <c r="L200" s="113">
        <v>5</v>
      </c>
      <c r="M200" s="113"/>
      <c r="N200" s="111">
        <v>6</v>
      </c>
      <c r="O200" s="111">
        <v>1</v>
      </c>
      <c r="P200" s="113">
        <v>7</v>
      </c>
      <c r="Q200" s="113">
        <v>2</v>
      </c>
      <c r="R200" s="111">
        <v>8</v>
      </c>
      <c r="S200" s="111">
        <v>3</v>
      </c>
      <c r="T200" s="111">
        <v>9</v>
      </c>
      <c r="U200" s="111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35"/>
      <c r="C204" s="136"/>
      <c r="D204" s="133"/>
      <c r="E204" s="134"/>
      <c r="F204" s="135"/>
      <c r="G204" s="136"/>
      <c r="H204" s="133"/>
      <c r="I204" s="134"/>
      <c r="J204" s="135"/>
      <c r="K204" s="136"/>
      <c r="L204" s="133"/>
      <c r="M204" s="134"/>
      <c r="N204" s="135"/>
      <c r="O204" s="136"/>
      <c r="P204" s="133"/>
      <c r="Q204" s="134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102"/>
      <c r="E205" s="103"/>
      <c r="F205" s="59" t="str">
        <f>IF(H204&lt;1,"","пом.")</f>
        <v/>
      </c>
      <c r="G205" s="59"/>
      <c r="H205" s="102"/>
      <c r="I205" s="103"/>
      <c r="J205" s="59" t="str">
        <f>IF(L204&lt;1,"","пом.")</f>
        <v/>
      </c>
      <c r="K205" s="59"/>
      <c r="L205" s="102"/>
      <c r="M205" s="103"/>
      <c r="N205" s="59" t="str">
        <f>IF(P204&lt;1,"","пом.")</f>
        <v/>
      </c>
      <c r="O205" s="59"/>
      <c r="P205" s="102"/>
      <c r="Q205" s="103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104" t="s">
        <v>12</v>
      </c>
      <c r="G207" s="104"/>
      <c r="H207" s="104"/>
      <c r="I207" s="132" t="s">
        <v>41</v>
      </c>
      <c r="J207" s="132"/>
      <c r="K207" s="60"/>
      <c r="L207" s="39"/>
      <c r="M207" s="39"/>
      <c r="N207" s="5"/>
      <c r="O207" s="22" t="s">
        <v>13</v>
      </c>
      <c r="P207" s="104" t="s">
        <v>14</v>
      </c>
      <c r="Q207" s="104"/>
      <c r="R207" s="104"/>
      <c r="S207" s="132" t="s">
        <v>43</v>
      </c>
      <c r="T207" s="132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104" t="s">
        <v>16</v>
      </c>
      <c r="G208" s="104"/>
      <c r="H208" s="104"/>
      <c r="I208" s="132" t="s">
        <v>42</v>
      </c>
      <c r="J208" s="132"/>
      <c r="K208" s="132"/>
      <c r="L208" s="39"/>
      <c r="M208" s="39"/>
      <c r="N208" s="5"/>
      <c r="O208" s="22" t="s">
        <v>18</v>
      </c>
      <c r="P208" s="104" t="s">
        <v>14</v>
      </c>
      <c r="Q208" s="104"/>
      <c r="R208" s="104"/>
      <c r="S208" s="128" t="s">
        <v>19</v>
      </c>
      <c r="T208" s="128"/>
      <c r="U208" s="128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N212&amp;".2"</f>
        <v>1.1.2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IF(N193="-"&amp;N170&amp;".3",IF(N194=15,"-"&amp;N170&amp;".4","-"&amp;N170&amp;".3"),N193)</f>
        <v>-1.1.3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IF(N215="-"&amp;N170&amp;".3",N194+1,IF(N193="-"&amp;N170&amp;".3",1,N194+1))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17">
        <v>1</v>
      </c>
      <c r="E219" s="118"/>
      <c r="F219" s="19"/>
      <c r="G219" s="19"/>
      <c r="H219" s="117">
        <v>2</v>
      </c>
      <c r="I219" s="118"/>
      <c r="J219" s="19"/>
      <c r="K219" s="19"/>
      <c r="L219" s="117">
        <v>3</v>
      </c>
      <c r="M219" s="118"/>
      <c r="N219" s="19"/>
      <c r="O219" s="19"/>
      <c r="P219" s="117">
        <v>4</v>
      </c>
      <c r="Q219" s="118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11" t="s">
        <v>6</v>
      </c>
      <c r="C220" s="111"/>
      <c r="D220" s="117" t="s">
        <v>37</v>
      </c>
      <c r="E220" s="118" t="s">
        <v>0</v>
      </c>
      <c r="F220" s="111" t="s">
        <v>6</v>
      </c>
      <c r="G220" s="111"/>
      <c r="H220" s="117" t="s">
        <v>37</v>
      </c>
      <c r="I220" s="118"/>
      <c r="J220" s="111" t="s">
        <v>6</v>
      </c>
      <c r="K220" s="111"/>
      <c r="L220" s="117" t="s">
        <v>37</v>
      </c>
      <c r="M220" s="118"/>
      <c r="N220" s="111" t="s">
        <v>6</v>
      </c>
      <c r="O220" s="111"/>
      <c r="P220" s="117" t="s">
        <v>37</v>
      </c>
      <c r="Q220" s="118"/>
      <c r="R220" s="111"/>
      <c r="S220" s="111"/>
      <c r="T220" s="111"/>
      <c r="U220" s="111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10"/>
      <c r="C221" s="110"/>
      <c r="D221" s="112"/>
      <c r="E221" s="112"/>
      <c r="F221" s="110"/>
      <c r="G221" s="110"/>
      <c r="H221" s="112"/>
      <c r="I221" s="112"/>
      <c r="J221" s="110"/>
      <c r="K221" s="110"/>
      <c r="L221" s="112"/>
      <c r="M221" s="112"/>
      <c r="N221" s="110"/>
      <c r="O221" s="110"/>
      <c r="P221" s="112"/>
      <c r="Q221" s="112"/>
      <c r="R221" s="110"/>
      <c r="S221" s="110"/>
      <c r="T221" s="110"/>
      <c r="U221" s="110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11">
        <v>0</v>
      </c>
      <c r="C222" s="111"/>
      <c r="D222" s="113">
        <v>1</v>
      </c>
      <c r="E222" s="113">
        <v>1</v>
      </c>
      <c r="F222" s="111">
        <v>2</v>
      </c>
      <c r="G222" s="111">
        <v>2</v>
      </c>
      <c r="H222" s="113">
        <v>3</v>
      </c>
      <c r="I222" s="113">
        <v>3</v>
      </c>
      <c r="J222" s="111">
        <v>4</v>
      </c>
      <c r="K222" s="111">
        <v>4</v>
      </c>
      <c r="L222" s="113">
        <v>5</v>
      </c>
      <c r="M222" s="113"/>
      <c r="N222" s="111">
        <v>6</v>
      </c>
      <c r="O222" s="111">
        <v>1</v>
      </c>
      <c r="P222" s="113">
        <v>7</v>
      </c>
      <c r="Q222" s="113">
        <v>2</v>
      </c>
      <c r="R222" s="111">
        <v>8</v>
      </c>
      <c r="S222" s="111">
        <v>3</v>
      </c>
      <c r="T222" s="111">
        <v>9</v>
      </c>
      <c r="U222" s="111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35"/>
      <c r="C226" s="136"/>
      <c r="D226" s="133"/>
      <c r="E226" s="134"/>
      <c r="F226" s="135"/>
      <c r="G226" s="136"/>
      <c r="H226" s="133"/>
      <c r="I226" s="134"/>
      <c r="J226" s="135"/>
      <c r="K226" s="136"/>
      <c r="L226" s="133"/>
      <c r="M226" s="134"/>
      <c r="N226" s="135"/>
      <c r="O226" s="136"/>
      <c r="P226" s="133"/>
      <c r="Q226" s="134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102"/>
      <c r="E227" s="103"/>
      <c r="F227" s="59" t="str">
        <f>IF(H226&lt;1,"","пом.")</f>
        <v/>
      </c>
      <c r="G227" s="59"/>
      <c r="H227" s="102"/>
      <c r="I227" s="103"/>
      <c r="J227" s="59" t="str">
        <f>IF(L226&lt;1,"","пом.")</f>
        <v/>
      </c>
      <c r="K227" s="59"/>
      <c r="L227" s="102"/>
      <c r="M227" s="103"/>
      <c r="N227" s="59" t="str">
        <f>IF(P226&lt;1,"","пом.")</f>
        <v/>
      </c>
      <c r="O227" s="59"/>
      <c r="P227" s="102"/>
      <c r="Q227" s="103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104" t="s">
        <v>12</v>
      </c>
      <c r="G229" s="104"/>
      <c r="H229" s="104"/>
      <c r="I229" s="132" t="s">
        <v>41</v>
      </c>
      <c r="J229" s="132"/>
      <c r="K229" s="60"/>
      <c r="L229" s="39"/>
      <c r="M229" s="39"/>
      <c r="N229" s="5"/>
      <c r="O229" s="22" t="s">
        <v>13</v>
      </c>
      <c r="P229" s="104" t="s">
        <v>14</v>
      </c>
      <c r="Q229" s="104"/>
      <c r="R229" s="104"/>
      <c r="S229" s="132" t="s">
        <v>43</v>
      </c>
      <c r="T229" s="132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104" t="s">
        <v>16</v>
      </c>
      <c r="G230" s="104"/>
      <c r="H230" s="104"/>
      <c r="I230" s="132" t="s">
        <v>42</v>
      </c>
      <c r="J230" s="132"/>
      <c r="K230" s="132"/>
      <c r="L230" s="39"/>
      <c r="M230" s="39"/>
      <c r="N230" s="5"/>
      <c r="O230" s="22" t="s">
        <v>18</v>
      </c>
      <c r="P230" s="104" t="s">
        <v>14</v>
      </c>
      <c r="Q230" s="104"/>
      <c r="R230" s="104"/>
      <c r="S230" s="128" t="s">
        <v>19</v>
      </c>
      <c r="T230" s="128"/>
      <c r="U230" s="128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1.1.2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IF(N215="-"&amp;N212&amp;".3",IF(N216=15,"-"&amp;N212&amp;".4","-"&amp;N212&amp;".3"),N215)</f>
        <v>-1.1.3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IF(N235="-"&amp;N170&amp;".3",N216+1,IF(N215="-"&amp;N170&amp;".3",1,N216+1))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17">
        <v>1</v>
      </c>
      <c r="E239" s="118"/>
      <c r="F239" s="19"/>
      <c r="G239" s="19"/>
      <c r="H239" s="117">
        <v>2</v>
      </c>
      <c r="I239" s="118"/>
      <c r="J239" s="19"/>
      <c r="K239" s="19"/>
      <c r="L239" s="117">
        <v>3</v>
      </c>
      <c r="M239" s="118"/>
      <c r="N239" s="19"/>
      <c r="O239" s="19"/>
      <c r="P239" s="117">
        <v>4</v>
      </c>
      <c r="Q239" s="118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11" t="s">
        <v>6</v>
      </c>
      <c r="C240" s="111"/>
      <c r="D240" s="117" t="s">
        <v>37</v>
      </c>
      <c r="E240" s="118" t="s">
        <v>0</v>
      </c>
      <c r="F240" s="111" t="s">
        <v>6</v>
      </c>
      <c r="G240" s="111"/>
      <c r="H240" s="117" t="s">
        <v>37</v>
      </c>
      <c r="I240" s="118"/>
      <c r="J240" s="111" t="s">
        <v>6</v>
      </c>
      <c r="K240" s="111"/>
      <c r="L240" s="117" t="s">
        <v>37</v>
      </c>
      <c r="M240" s="118"/>
      <c r="N240" s="111" t="s">
        <v>6</v>
      </c>
      <c r="O240" s="111"/>
      <c r="P240" s="117" t="s">
        <v>37</v>
      </c>
      <c r="Q240" s="118"/>
      <c r="R240" s="111"/>
      <c r="S240" s="111"/>
      <c r="T240" s="111"/>
      <c r="U240" s="111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10"/>
      <c r="C241" s="110"/>
      <c r="D241" s="112"/>
      <c r="E241" s="112"/>
      <c r="F241" s="110"/>
      <c r="G241" s="110"/>
      <c r="H241" s="112"/>
      <c r="I241" s="112"/>
      <c r="J241" s="110"/>
      <c r="K241" s="110"/>
      <c r="L241" s="112"/>
      <c r="M241" s="112"/>
      <c r="N241" s="110"/>
      <c r="O241" s="110"/>
      <c r="P241" s="112"/>
      <c r="Q241" s="112"/>
      <c r="R241" s="110"/>
      <c r="S241" s="110"/>
      <c r="T241" s="110"/>
      <c r="U241" s="110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11">
        <v>0</v>
      </c>
      <c r="C242" s="111"/>
      <c r="D242" s="113">
        <v>1</v>
      </c>
      <c r="E242" s="113">
        <v>1</v>
      </c>
      <c r="F242" s="111">
        <v>2</v>
      </c>
      <c r="G242" s="111">
        <v>2</v>
      </c>
      <c r="H242" s="113">
        <v>3</v>
      </c>
      <c r="I242" s="113">
        <v>3</v>
      </c>
      <c r="J242" s="111">
        <v>4</v>
      </c>
      <c r="K242" s="111">
        <v>4</v>
      </c>
      <c r="L242" s="113">
        <v>5</v>
      </c>
      <c r="M242" s="113"/>
      <c r="N242" s="111">
        <v>6</v>
      </c>
      <c r="O242" s="111">
        <v>1</v>
      </c>
      <c r="P242" s="113">
        <v>7</v>
      </c>
      <c r="Q242" s="113">
        <v>2</v>
      </c>
      <c r="R242" s="111">
        <v>8</v>
      </c>
      <c r="S242" s="111">
        <v>3</v>
      </c>
      <c r="T242" s="111">
        <v>9</v>
      </c>
      <c r="U242" s="111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35"/>
      <c r="C246" s="136"/>
      <c r="D246" s="133"/>
      <c r="E246" s="134"/>
      <c r="F246" s="135"/>
      <c r="G246" s="136"/>
      <c r="H246" s="133"/>
      <c r="I246" s="134"/>
      <c r="J246" s="135"/>
      <c r="K246" s="136"/>
      <c r="L246" s="133"/>
      <c r="M246" s="134"/>
      <c r="N246" s="135"/>
      <c r="O246" s="136"/>
      <c r="P246" s="133"/>
      <c r="Q246" s="134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102"/>
      <c r="E247" s="103"/>
      <c r="F247" s="59" t="str">
        <f>IF(H246&lt;1,"","пом.")</f>
        <v/>
      </c>
      <c r="G247" s="59"/>
      <c r="H247" s="102"/>
      <c r="I247" s="103"/>
      <c r="J247" s="59" t="str">
        <f>IF(L246&lt;1,"","пом.")</f>
        <v/>
      </c>
      <c r="K247" s="59"/>
      <c r="L247" s="102"/>
      <c r="M247" s="103"/>
      <c r="N247" s="59" t="str">
        <f>IF(P246&lt;1,"","пом.")</f>
        <v/>
      </c>
      <c r="O247" s="59"/>
      <c r="P247" s="102"/>
      <c r="Q247" s="103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104" t="s">
        <v>12</v>
      </c>
      <c r="G249" s="104"/>
      <c r="H249" s="104"/>
      <c r="I249" s="132" t="s">
        <v>41</v>
      </c>
      <c r="J249" s="132"/>
      <c r="K249" s="60"/>
      <c r="L249" s="39"/>
      <c r="M249" s="39"/>
      <c r="N249" s="5"/>
      <c r="O249" s="22" t="s">
        <v>13</v>
      </c>
      <c r="P249" s="104" t="s">
        <v>14</v>
      </c>
      <c r="Q249" s="104"/>
      <c r="R249" s="104"/>
      <c r="S249" s="132" t="s">
        <v>43</v>
      </c>
      <c r="T249" s="132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104" t="s">
        <v>16</v>
      </c>
      <c r="G250" s="104"/>
      <c r="H250" s="104"/>
      <c r="I250" s="132" t="s">
        <v>42</v>
      </c>
      <c r="J250" s="132"/>
      <c r="K250" s="132"/>
      <c r="L250" s="39"/>
      <c r="M250" s="39"/>
      <c r="N250" s="5"/>
      <c r="O250" s="22" t="s">
        <v>18</v>
      </c>
      <c r="P250" s="104" t="s">
        <v>14</v>
      </c>
      <c r="Q250" s="104"/>
      <c r="R250" s="104"/>
      <c r="S250" s="128" t="s">
        <v>19</v>
      </c>
      <c r="T250" s="128"/>
      <c r="U250" s="128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N254&amp;".2"</f>
        <v>1.1.2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IF(N235="-"&amp;N212&amp;".3",IF(N236=15,"-"&amp;N212&amp;".4","-"&amp;N212&amp;".3"),N235)</f>
        <v>-1.1.3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IF(N257="-"&amp;N212&amp;".3",N236+1,IF(N235="-"&amp;N212&amp;".3",1,N236+1))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17">
        <v>1</v>
      </c>
      <c r="E261" s="118"/>
      <c r="F261" s="19"/>
      <c r="G261" s="19"/>
      <c r="H261" s="117">
        <v>2</v>
      </c>
      <c r="I261" s="118"/>
      <c r="J261" s="19"/>
      <c r="K261" s="19"/>
      <c r="L261" s="117">
        <v>3</v>
      </c>
      <c r="M261" s="118"/>
      <c r="N261" s="19"/>
      <c r="O261" s="19"/>
      <c r="P261" s="117">
        <v>4</v>
      </c>
      <c r="Q261" s="118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11" t="s">
        <v>6</v>
      </c>
      <c r="C262" s="111"/>
      <c r="D262" s="117" t="s">
        <v>37</v>
      </c>
      <c r="E262" s="118" t="s">
        <v>0</v>
      </c>
      <c r="F262" s="111" t="s">
        <v>6</v>
      </c>
      <c r="G262" s="111"/>
      <c r="H262" s="117" t="s">
        <v>37</v>
      </c>
      <c r="I262" s="118"/>
      <c r="J262" s="111" t="s">
        <v>6</v>
      </c>
      <c r="K262" s="111"/>
      <c r="L262" s="117" t="s">
        <v>37</v>
      </c>
      <c r="M262" s="118"/>
      <c r="N262" s="111" t="s">
        <v>6</v>
      </c>
      <c r="O262" s="111"/>
      <c r="P262" s="117" t="s">
        <v>37</v>
      </c>
      <c r="Q262" s="118"/>
      <c r="R262" s="111"/>
      <c r="S262" s="111"/>
      <c r="T262" s="111"/>
      <c r="U262" s="111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10"/>
      <c r="C263" s="110"/>
      <c r="D263" s="112"/>
      <c r="E263" s="112"/>
      <c r="F263" s="110"/>
      <c r="G263" s="110"/>
      <c r="H263" s="112"/>
      <c r="I263" s="112"/>
      <c r="J263" s="110"/>
      <c r="K263" s="110"/>
      <c r="L263" s="112"/>
      <c r="M263" s="112"/>
      <c r="N263" s="110"/>
      <c r="O263" s="110"/>
      <c r="P263" s="112"/>
      <c r="Q263" s="112"/>
      <c r="R263" s="110"/>
      <c r="S263" s="110"/>
      <c r="T263" s="110"/>
      <c r="U263" s="110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11">
        <v>0</v>
      </c>
      <c r="C264" s="111"/>
      <c r="D264" s="113">
        <v>1</v>
      </c>
      <c r="E264" s="113">
        <v>1</v>
      </c>
      <c r="F264" s="111">
        <v>2</v>
      </c>
      <c r="G264" s="111">
        <v>2</v>
      </c>
      <c r="H264" s="113">
        <v>3</v>
      </c>
      <c r="I264" s="113">
        <v>3</v>
      </c>
      <c r="J264" s="111">
        <v>4</v>
      </c>
      <c r="K264" s="111">
        <v>4</v>
      </c>
      <c r="L264" s="113">
        <v>5</v>
      </c>
      <c r="M264" s="113"/>
      <c r="N264" s="111">
        <v>6</v>
      </c>
      <c r="O264" s="111">
        <v>1</v>
      </c>
      <c r="P264" s="113">
        <v>7</v>
      </c>
      <c r="Q264" s="113">
        <v>2</v>
      </c>
      <c r="R264" s="111">
        <v>8</v>
      </c>
      <c r="S264" s="111">
        <v>3</v>
      </c>
      <c r="T264" s="111">
        <v>9</v>
      </c>
      <c r="U264" s="111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35"/>
      <c r="C268" s="136"/>
      <c r="D268" s="133"/>
      <c r="E268" s="134"/>
      <c r="F268" s="135"/>
      <c r="G268" s="136"/>
      <c r="H268" s="133"/>
      <c r="I268" s="134"/>
      <c r="J268" s="135"/>
      <c r="K268" s="136"/>
      <c r="L268" s="133"/>
      <c r="M268" s="134"/>
      <c r="N268" s="135"/>
      <c r="O268" s="136"/>
      <c r="P268" s="133"/>
      <c r="Q268" s="134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102"/>
      <c r="E269" s="103"/>
      <c r="F269" s="59" t="str">
        <f>IF(H268&lt;1,"","пом.")</f>
        <v/>
      </c>
      <c r="G269" s="59"/>
      <c r="H269" s="102"/>
      <c r="I269" s="103"/>
      <c r="J269" s="59" t="str">
        <f>IF(L268&lt;1,"","пом.")</f>
        <v/>
      </c>
      <c r="K269" s="59"/>
      <c r="L269" s="102"/>
      <c r="M269" s="103"/>
      <c r="N269" s="59" t="str">
        <f>IF(P268&lt;1,"","пом.")</f>
        <v/>
      </c>
      <c r="O269" s="59"/>
      <c r="P269" s="102"/>
      <c r="Q269" s="103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104" t="s">
        <v>12</v>
      </c>
      <c r="G271" s="104"/>
      <c r="H271" s="104"/>
      <c r="I271" s="132" t="s">
        <v>41</v>
      </c>
      <c r="J271" s="132"/>
      <c r="K271" s="60"/>
      <c r="L271" s="39"/>
      <c r="M271" s="39"/>
      <c r="N271" s="5"/>
      <c r="O271" s="22" t="s">
        <v>13</v>
      </c>
      <c r="P271" s="104" t="s">
        <v>14</v>
      </c>
      <c r="Q271" s="104"/>
      <c r="R271" s="104"/>
      <c r="S271" s="132" t="s">
        <v>43</v>
      </c>
      <c r="T271" s="132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104" t="s">
        <v>16</v>
      </c>
      <c r="G272" s="104"/>
      <c r="H272" s="104"/>
      <c r="I272" s="132" t="s">
        <v>42</v>
      </c>
      <c r="J272" s="132"/>
      <c r="K272" s="132"/>
      <c r="L272" s="39"/>
      <c r="M272" s="39"/>
      <c r="N272" s="5"/>
      <c r="O272" s="22" t="s">
        <v>18</v>
      </c>
      <c r="P272" s="104" t="s">
        <v>14</v>
      </c>
      <c r="Q272" s="104"/>
      <c r="R272" s="104"/>
      <c r="S272" s="128" t="s">
        <v>19</v>
      </c>
      <c r="T272" s="128"/>
      <c r="U272" s="128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1.1.2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IF(N257="-"&amp;N254&amp;".3",IF(N258=15,"-"&amp;N254&amp;".4","-"&amp;N254&amp;".3"),N257)</f>
        <v>-1.1.3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IF(N277="-"&amp;N212&amp;".3",N258+1,IF(N257="-"&amp;N212&amp;".3",1,N258+1))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17">
        <v>1</v>
      </c>
      <c r="E281" s="118"/>
      <c r="F281" s="19"/>
      <c r="G281" s="19"/>
      <c r="H281" s="117">
        <v>2</v>
      </c>
      <c r="I281" s="118"/>
      <c r="J281" s="19"/>
      <c r="K281" s="19"/>
      <c r="L281" s="117">
        <v>3</v>
      </c>
      <c r="M281" s="118"/>
      <c r="N281" s="19"/>
      <c r="O281" s="19"/>
      <c r="P281" s="117">
        <v>4</v>
      </c>
      <c r="Q281" s="118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11" t="s">
        <v>6</v>
      </c>
      <c r="C282" s="111"/>
      <c r="D282" s="117" t="s">
        <v>37</v>
      </c>
      <c r="E282" s="118" t="s">
        <v>0</v>
      </c>
      <c r="F282" s="111" t="s">
        <v>6</v>
      </c>
      <c r="G282" s="111"/>
      <c r="H282" s="117" t="s">
        <v>37</v>
      </c>
      <c r="I282" s="118"/>
      <c r="J282" s="111" t="s">
        <v>6</v>
      </c>
      <c r="K282" s="111"/>
      <c r="L282" s="117" t="s">
        <v>37</v>
      </c>
      <c r="M282" s="118"/>
      <c r="N282" s="111" t="s">
        <v>6</v>
      </c>
      <c r="O282" s="111"/>
      <c r="P282" s="117" t="s">
        <v>37</v>
      </c>
      <c r="Q282" s="118"/>
      <c r="R282" s="111"/>
      <c r="S282" s="111"/>
      <c r="T282" s="111"/>
      <c r="U282" s="111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10"/>
      <c r="C283" s="110"/>
      <c r="D283" s="112"/>
      <c r="E283" s="112"/>
      <c r="F283" s="110"/>
      <c r="G283" s="110"/>
      <c r="H283" s="112"/>
      <c r="I283" s="112"/>
      <c r="J283" s="110"/>
      <c r="K283" s="110"/>
      <c r="L283" s="112"/>
      <c r="M283" s="112"/>
      <c r="N283" s="110"/>
      <c r="O283" s="110"/>
      <c r="P283" s="112"/>
      <c r="Q283" s="112"/>
      <c r="R283" s="110"/>
      <c r="S283" s="110"/>
      <c r="T283" s="110"/>
      <c r="U283" s="110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11">
        <v>0</v>
      </c>
      <c r="C284" s="111"/>
      <c r="D284" s="113">
        <v>1</v>
      </c>
      <c r="E284" s="113">
        <v>1</v>
      </c>
      <c r="F284" s="111">
        <v>2</v>
      </c>
      <c r="G284" s="111">
        <v>2</v>
      </c>
      <c r="H284" s="113">
        <v>3</v>
      </c>
      <c r="I284" s="113">
        <v>3</v>
      </c>
      <c r="J284" s="111">
        <v>4</v>
      </c>
      <c r="K284" s="111">
        <v>4</v>
      </c>
      <c r="L284" s="113">
        <v>5</v>
      </c>
      <c r="M284" s="113"/>
      <c r="N284" s="111">
        <v>6</v>
      </c>
      <c r="O284" s="111">
        <v>1</v>
      </c>
      <c r="P284" s="113">
        <v>7</v>
      </c>
      <c r="Q284" s="113">
        <v>2</v>
      </c>
      <c r="R284" s="111">
        <v>8</v>
      </c>
      <c r="S284" s="111">
        <v>3</v>
      </c>
      <c r="T284" s="111">
        <v>9</v>
      </c>
      <c r="U284" s="111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35"/>
      <c r="C288" s="136"/>
      <c r="D288" s="133"/>
      <c r="E288" s="134"/>
      <c r="F288" s="135"/>
      <c r="G288" s="136"/>
      <c r="H288" s="133"/>
      <c r="I288" s="134"/>
      <c r="J288" s="135"/>
      <c r="K288" s="136"/>
      <c r="L288" s="133"/>
      <c r="M288" s="134"/>
      <c r="N288" s="135"/>
      <c r="O288" s="136"/>
      <c r="P288" s="133"/>
      <c r="Q288" s="134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102"/>
      <c r="E289" s="103"/>
      <c r="F289" s="59" t="str">
        <f>IF(H288&lt;1,"","пом.")</f>
        <v/>
      </c>
      <c r="G289" s="59"/>
      <c r="H289" s="102"/>
      <c r="I289" s="103"/>
      <c r="J289" s="59" t="str">
        <f>IF(L288&lt;1,"","пом.")</f>
        <v/>
      </c>
      <c r="K289" s="59"/>
      <c r="L289" s="102"/>
      <c r="M289" s="103"/>
      <c r="N289" s="59" t="str">
        <f>IF(P288&lt;1,"","пом.")</f>
        <v/>
      </c>
      <c r="O289" s="59"/>
      <c r="P289" s="102"/>
      <c r="Q289" s="103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104" t="s">
        <v>12</v>
      </c>
      <c r="G291" s="104"/>
      <c r="H291" s="104"/>
      <c r="I291" s="132" t="s">
        <v>41</v>
      </c>
      <c r="J291" s="132"/>
      <c r="K291" s="60"/>
      <c r="L291" s="39"/>
      <c r="M291" s="39"/>
      <c r="N291" s="5"/>
      <c r="O291" s="22" t="s">
        <v>13</v>
      </c>
      <c r="P291" s="104" t="s">
        <v>14</v>
      </c>
      <c r="Q291" s="104"/>
      <c r="R291" s="104"/>
      <c r="S291" s="132" t="s">
        <v>43</v>
      </c>
      <c r="T291" s="132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104" t="s">
        <v>16</v>
      </c>
      <c r="G292" s="104"/>
      <c r="H292" s="104"/>
      <c r="I292" s="132" t="s">
        <v>42</v>
      </c>
      <c r="J292" s="132"/>
      <c r="K292" s="132"/>
      <c r="L292" s="39"/>
      <c r="M292" s="39"/>
      <c r="N292" s="5"/>
      <c r="O292" s="22" t="s">
        <v>18</v>
      </c>
      <c r="P292" s="104" t="s">
        <v>14</v>
      </c>
      <c r="Q292" s="104"/>
      <c r="R292" s="104"/>
      <c r="S292" s="128" t="s">
        <v>19</v>
      </c>
      <c r="T292" s="128"/>
      <c r="U292" s="128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N296&amp;".2"</f>
        <v>1.1.2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IF(N277="-"&amp;N254&amp;".3",IF(N278=15,"-"&amp;N254&amp;".4","-"&amp;N254&amp;".3"),N277)</f>
        <v>-1.1.3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IF(N299="-"&amp;N254&amp;".3",N278+1,IF(N277="-"&amp;N254&amp;".3",1,N278+1))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17">
        <v>1</v>
      </c>
      <c r="E303" s="118"/>
      <c r="F303" s="19"/>
      <c r="G303" s="19"/>
      <c r="H303" s="117">
        <v>2</v>
      </c>
      <c r="I303" s="118"/>
      <c r="J303" s="19"/>
      <c r="K303" s="19"/>
      <c r="L303" s="117">
        <v>3</v>
      </c>
      <c r="M303" s="118"/>
      <c r="N303" s="19"/>
      <c r="O303" s="19"/>
      <c r="P303" s="117">
        <v>4</v>
      </c>
      <c r="Q303" s="118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11" t="s">
        <v>6</v>
      </c>
      <c r="C304" s="111"/>
      <c r="D304" s="117" t="s">
        <v>37</v>
      </c>
      <c r="E304" s="118" t="s">
        <v>0</v>
      </c>
      <c r="F304" s="111" t="s">
        <v>6</v>
      </c>
      <c r="G304" s="111"/>
      <c r="H304" s="117" t="s">
        <v>37</v>
      </c>
      <c r="I304" s="118"/>
      <c r="J304" s="111" t="s">
        <v>6</v>
      </c>
      <c r="K304" s="111"/>
      <c r="L304" s="117" t="s">
        <v>37</v>
      </c>
      <c r="M304" s="118"/>
      <c r="N304" s="111" t="s">
        <v>6</v>
      </c>
      <c r="O304" s="111"/>
      <c r="P304" s="117" t="s">
        <v>37</v>
      </c>
      <c r="Q304" s="118"/>
      <c r="R304" s="111"/>
      <c r="S304" s="111"/>
      <c r="T304" s="111"/>
      <c r="U304" s="111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10"/>
      <c r="C305" s="110"/>
      <c r="D305" s="112"/>
      <c r="E305" s="112"/>
      <c r="F305" s="110"/>
      <c r="G305" s="110"/>
      <c r="H305" s="112"/>
      <c r="I305" s="112"/>
      <c r="J305" s="110"/>
      <c r="K305" s="110"/>
      <c r="L305" s="112"/>
      <c r="M305" s="112"/>
      <c r="N305" s="110"/>
      <c r="O305" s="110"/>
      <c r="P305" s="112"/>
      <c r="Q305" s="112"/>
      <c r="R305" s="110"/>
      <c r="S305" s="110"/>
      <c r="T305" s="110"/>
      <c r="U305" s="110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11">
        <v>0</v>
      </c>
      <c r="C306" s="111"/>
      <c r="D306" s="113">
        <v>1</v>
      </c>
      <c r="E306" s="113">
        <v>1</v>
      </c>
      <c r="F306" s="111">
        <v>2</v>
      </c>
      <c r="G306" s="111">
        <v>2</v>
      </c>
      <c r="H306" s="113">
        <v>3</v>
      </c>
      <c r="I306" s="113">
        <v>3</v>
      </c>
      <c r="J306" s="111">
        <v>4</v>
      </c>
      <c r="K306" s="111">
        <v>4</v>
      </c>
      <c r="L306" s="113">
        <v>5</v>
      </c>
      <c r="M306" s="113"/>
      <c r="N306" s="111">
        <v>6</v>
      </c>
      <c r="O306" s="111">
        <v>1</v>
      </c>
      <c r="P306" s="113">
        <v>7</v>
      </c>
      <c r="Q306" s="113">
        <v>2</v>
      </c>
      <c r="R306" s="111">
        <v>8</v>
      </c>
      <c r="S306" s="111">
        <v>3</v>
      </c>
      <c r="T306" s="111">
        <v>9</v>
      </c>
      <c r="U306" s="111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35"/>
      <c r="C310" s="136"/>
      <c r="D310" s="133"/>
      <c r="E310" s="134"/>
      <c r="F310" s="135"/>
      <c r="G310" s="136"/>
      <c r="H310" s="133"/>
      <c r="I310" s="134"/>
      <c r="J310" s="135"/>
      <c r="K310" s="136"/>
      <c r="L310" s="133"/>
      <c r="M310" s="134"/>
      <c r="N310" s="135"/>
      <c r="O310" s="136"/>
      <c r="P310" s="133"/>
      <c r="Q310" s="134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102"/>
      <c r="E311" s="103"/>
      <c r="F311" s="59" t="str">
        <f>IF(H310&lt;1,"","пом.")</f>
        <v/>
      </c>
      <c r="G311" s="59"/>
      <c r="H311" s="102"/>
      <c r="I311" s="103"/>
      <c r="J311" s="59" t="str">
        <f>IF(L310&lt;1,"","пом.")</f>
        <v/>
      </c>
      <c r="K311" s="59"/>
      <c r="L311" s="102"/>
      <c r="M311" s="103"/>
      <c r="N311" s="59" t="str">
        <f>IF(P310&lt;1,"","пом.")</f>
        <v/>
      </c>
      <c r="O311" s="59"/>
      <c r="P311" s="102"/>
      <c r="Q311" s="103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104" t="s">
        <v>12</v>
      </c>
      <c r="G313" s="104"/>
      <c r="H313" s="104"/>
      <c r="I313" s="132" t="s">
        <v>41</v>
      </c>
      <c r="J313" s="132"/>
      <c r="K313" s="60"/>
      <c r="L313" s="39"/>
      <c r="M313" s="39"/>
      <c r="N313" s="5"/>
      <c r="O313" s="22" t="s">
        <v>13</v>
      </c>
      <c r="P313" s="104" t="s">
        <v>14</v>
      </c>
      <c r="Q313" s="104"/>
      <c r="R313" s="104"/>
      <c r="S313" s="132" t="s">
        <v>43</v>
      </c>
      <c r="T313" s="132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104" t="s">
        <v>16</v>
      </c>
      <c r="G314" s="104"/>
      <c r="H314" s="104"/>
      <c r="I314" s="132" t="s">
        <v>42</v>
      </c>
      <c r="J314" s="132"/>
      <c r="K314" s="132"/>
      <c r="L314" s="39"/>
      <c r="M314" s="39"/>
      <c r="N314" s="5"/>
      <c r="O314" s="22" t="s">
        <v>18</v>
      </c>
      <c r="P314" s="104" t="s">
        <v>14</v>
      </c>
      <c r="Q314" s="104"/>
      <c r="R314" s="104"/>
      <c r="S314" s="128" t="s">
        <v>19</v>
      </c>
      <c r="T314" s="128"/>
      <c r="U314" s="128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1.1.2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IF(N299="-"&amp;N296&amp;".3",IF(N300=15,"-"&amp;N296&amp;".4","-"&amp;N296&amp;".3"),N299)</f>
        <v>-1.1.4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IF(N319="-"&amp;N254&amp;".3",N300+1,IF(N299="-"&amp;N254&amp;".3",1,N300+1))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17">
        <v>1</v>
      </c>
      <c r="E323" s="118"/>
      <c r="F323" s="19"/>
      <c r="G323" s="19"/>
      <c r="H323" s="117">
        <v>2</v>
      </c>
      <c r="I323" s="118"/>
      <c r="J323" s="19"/>
      <c r="K323" s="19"/>
      <c r="L323" s="117">
        <v>3</v>
      </c>
      <c r="M323" s="118"/>
      <c r="N323" s="19"/>
      <c r="O323" s="19"/>
      <c r="P323" s="117">
        <v>4</v>
      </c>
      <c r="Q323" s="118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11" t="s">
        <v>6</v>
      </c>
      <c r="C324" s="111"/>
      <c r="D324" s="117" t="s">
        <v>37</v>
      </c>
      <c r="E324" s="118" t="s">
        <v>0</v>
      </c>
      <c r="F324" s="111" t="s">
        <v>6</v>
      </c>
      <c r="G324" s="111"/>
      <c r="H324" s="117" t="s">
        <v>37</v>
      </c>
      <c r="I324" s="118"/>
      <c r="J324" s="111" t="s">
        <v>6</v>
      </c>
      <c r="K324" s="111"/>
      <c r="L324" s="117" t="s">
        <v>37</v>
      </c>
      <c r="M324" s="118"/>
      <c r="N324" s="111" t="s">
        <v>6</v>
      </c>
      <c r="O324" s="111"/>
      <c r="P324" s="117" t="s">
        <v>37</v>
      </c>
      <c r="Q324" s="118"/>
      <c r="R324" s="111"/>
      <c r="S324" s="111"/>
      <c r="T324" s="111"/>
      <c r="U324" s="111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10"/>
      <c r="C325" s="110"/>
      <c r="D325" s="112"/>
      <c r="E325" s="112"/>
      <c r="F325" s="110"/>
      <c r="G325" s="110"/>
      <c r="H325" s="112"/>
      <c r="I325" s="112"/>
      <c r="J325" s="110"/>
      <c r="K325" s="110"/>
      <c r="L325" s="112"/>
      <c r="M325" s="112"/>
      <c r="N325" s="110"/>
      <c r="O325" s="110"/>
      <c r="P325" s="112"/>
      <c r="Q325" s="112"/>
      <c r="R325" s="110"/>
      <c r="S325" s="110"/>
      <c r="T325" s="110"/>
      <c r="U325" s="110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11">
        <v>0</v>
      </c>
      <c r="C326" s="111"/>
      <c r="D326" s="113">
        <v>1</v>
      </c>
      <c r="E326" s="113">
        <v>1</v>
      </c>
      <c r="F326" s="111">
        <v>2</v>
      </c>
      <c r="G326" s="111">
        <v>2</v>
      </c>
      <c r="H326" s="113">
        <v>3</v>
      </c>
      <c r="I326" s="113">
        <v>3</v>
      </c>
      <c r="J326" s="111">
        <v>4</v>
      </c>
      <c r="K326" s="111">
        <v>4</v>
      </c>
      <c r="L326" s="113">
        <v>5</v>
      </c>
      <c r="M326" s="113"/>
      <c r="N326" s="111">
        <v>6</v>
      </c>
      <c r="O326" s="111">
        <v>1</v>
      </c>
      <c r="P326" s="113">
        <v>7</v>
      </c>
      <c r="Q326" s="113">
        <v>2</v>
      </c>
      <c r="R326" s="111">
        <v>8</v>
      </c>
      <c r="S326" s="111">
        <v>3</v>
      </c>
      <c r="T326" s="111">
        <v>9</v>
      </c>
      <c r="U326" s="111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35"/>
      <c r="C330" s="136"/>
      <c r="D330" s="133"/>
      <c r="E330" s="134"/>
      <c r="F330" s="135"/>
      <c r="G330" s="136"/>
      <c r="H330" s="133"/>
      <c r="I330" s="134"/>
      <c r="J330" s="135"/>
      <c r="K330" s="136"/>
      <c r="L330" s="133"/>
      <c r="M330" s="134"/>
      <c r="N330" s="135"/>
      <c r="O330" s="136"/>
      <c r="P330" s="133"/>
      <c r="Q330" s="134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102"/>
      <c r="E331" s="103"/>
      <c r="F331" s="59" t="str">
        <f>IF(H330&lt;1,"","пом.")</f>
        <v/>
      </c>
      <c r="G331" s="59"/>
      <c r="H331" s="102"/>
      <c r="I331" s="103"/>
      <c r="J331" s="59" t="str">
        <f>IF(L330&lt;1,"","пом.")</f>
        <v/>
      </c>
      <c r="K331" s="59"/>
      <c r="L331" s="102"/>
      <c r="M331" s="103"/>
      <c r="N331" s="59" t="str">
        <f>IF(P330&lt;1,"","пом.")</f>
        <v/>
      </c>
      <c r="O331" s="59"/>
      <c r="P331" s="102"/>
      <c r="Q331" s="103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104" t="s">
        <v>12</v>
      </c>
      <c r="G333" s="104"/>
      <c r="H333" s="104"/>
      <c r="I333" s="132" t="s">
        <v>41</v>
      </c>
      <c r="J333" s="132"/>
      <c r="K333" s="60"/>
      <c r="L333" s="39"/>
      <c r="M333" s="39"/>
      <c r="N333" s="5"/>
      <c r="O333" s="22" t="s">
        <v>13</v>
      </c>
      <c r="P333" s="104" t="s">
        <v>14</v>
      </c>
      <c r="Q333" s="104"/>
      <c r="R333" s="104"/>
      <c r="S333" s="132" t="s">
        <v>43</v>
      </c>
      <c r="T333" s="132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104" t="s">
        <v>16</v>
      </c>
      <c r="G334" s="104"/>
      <c r="H334" s="104"/>
      <c r="I334" s="132" t="s">
        <v>42</v>
      </c>
      <c r="J334" s="132"/>
      <c r="K334" s="132"/>
      <c r="L334" s="39"/>
      <c r="M334" s="39"/>
      <c r="N334" s="5"/>
      <c r="O334" s="22" t="s">
        <v>18</v>
      </c>
      <c r="P334" s="104" t="s">
        <v>14</v>
      </c>
      <c r="Q334" s="104"/>
      <c r="R334" s="104"/>
      <c r="S334" s="128" t="s">
        <v>19</v>
      </c>
      <c r="T334" s="128"/>
      <c r="U334" s="128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N338&amp;".2"</f>
        <v>1.1.2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IF(N319="-"&amp;N296&amp;".3",IF(N320=15,"-"&amp;N296&amp;".4","-"&amp;N296&amp;".3"),N319)</f>
        <v>-1.1.4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IF(N341="-"&amp;N296&amp;".3",N320+1,IF(N319="-"&amp;N296&amp;".3",1,N320+1))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17">
        <v>1</v>
      </c>
      <c r="E345" s="118"/>
      <c r="F345" s="19"/>
      <c r="G345" s="19"/>
      <c r="H345" s="117">
        <v>2</v>
      </c>
      <c r="I345" s="118"/>
      <c r="J345" s="19"/>
      <c r="K345" s="19"/>
      <c r="L345" s="117">
        <v>3</v>
      </c>
      <c r="M345" s="118"/>
      <c r="N345" s="19"/>
      <c r="O345" s="19"/>
      <c r="P345" s="117">
        <v>4</v>
      </c>
      <c r="Q345" s="118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11" t="s">
        <v>6</v>
      </c>
      <c r="C346" s="111"/>
      <c r="D346" s="117" t="s">
        <v>37</v>
      </c>
      <c r="E346" s="118" t="s">
        <v>0</v>
      </c>
      <c r="F346" s="111" t="s">
        <v>6</v>
      </c>
      <c r="G346" s="111"/>
      <c r="H346" s="117" t="s">
        <v>37</v>
      </c>
      <c r="I346" s="118"/>
      <c r="J346" s="111" t="s">
        <v>6</v>
      </c>
      <c r="K346" s="111"/>
      <c r="L346" s="117" t="s">
        <v>37</v>
      </c>
      <c r="M346" s="118"/>
      <c r="N346" s="111" t="s">
        <v>6</v>
      </c>
      <c r="O346" s="111"/>
      <c r="P346" s="117" t="s">
        <v>37</v>
      </c>
      <c r="Q346" s="118"/>
      <c r="R346" s="111"/>
      <c r="S346" s="111"/>
      <c r="T346" s="111"/>
      <c r="U346" s="111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10"/>
      <c r="C347" s="110"/>
      <c r="D347" s="112"/>
      <c r="E347" s="112"/>
      <c r="F347" s="110"/>
      <c r="G347" s="110"/>
      <c r="H347" s="112"/>
      <c r="I347" s="112"/>
      <c r="J347" s="110"/>
      <c r="K347" s="110"/>
      <c r="L347" s="112"/>
      <c r="M347" s="112"/>
      <c r="N347" s="110"/>
      <c r="O347" s="110"/>
      <c r="P347" s="112"/>
      <c r="Q347" s="112"/>
      <c r="R347" s="110"/>
      <c r="S347" s="110"/>
      <c r="T347" s="110"/>
      <c r="U347" s="110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11">
        <v>0</v>
      </c>
      <c r="C348" s="111"/>
      <c r="D348" s="113">
        <v>1</v>
      </c>
      <c r="E348" s="113">
        <v>1</v>
      </c>
      <c r="F348" s="111">
        <v>2</v>
      </c>
      <c r="G348" s="111">
        <v>2</v>
      </c>
      <c r="H348" s="113">
        <v>3</v>
      </c>
      <c r="I348" s="113">
        <v>3</v>
      </c>
      <c r="J348" s="111">
        <v>4</v>
      </c>
      <c r="K348" s="111">
        <v>4</v>
      </c>
      <c r="L348" s="113">
        <v>5</v>
      </c>
      <c r="M348" s="113"/>
      <c r="N348" s="111">
        <v>6</v>
      </c>
      <c r="O348" s="111">
        <v>1</v>
      </c>
      <c r="P348" s="113">
        <v>7</v>
      </c>
      <c r="Q348" s="113">
        <v>2</v>
      </c>
      <c r="R348" s="111">
        <v>8</v>
      </c>
      <c r="S348" s="111">
        <v>3</v>
      </c>
      <c r="T348" s="111">
        <v>9</v>
      </c>
      <c r="U348" s="111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35"/>
      <c r="C352" s="136"/>
      <c r="D352" s="133"/>
      <c r="E352" s="134"/>
      <c r="F352" s="135"/>
      <c r="G352" s="136"/>
      <c r="H352" s="133"/>
      <c r="I352" s="134"/>
      <c r="J352" s="135"/>
      <c r="K352" s="136"/>
      <c r="L352" s="133"/>
      <c r="M352" s="134"/>
      <c r="N352" s="135"/>
      <c r="O352" s="136"/>
      <c r="P352" s="133"/>
      <c r="Q352" s="134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102"/>
      <c r="E353" s="103"/>
      <c r="F353" s="59" t="str">
        <f>IF(H352&lt;1,"","пом.")</f>
        <v/>
      </c>
      <c r="G353" s="59"/>
      <c r="H353" s="102"/>
      <c r="I353" s="103"/>
      <c r="J353" s="59" t="str">
        <f>IF(L352&lt;1,"","пом.")</f>
        <v/>
      </c>
      <c r="K353" s="59"/>
      <c r="L353" s="102"/>
      <c r="M353" s="103"/>
      <c r="N353" s="59" t="str">
        <f>IF(P352&lt;1,"","пом.")</f>
        <v/>
      </c>
      <c r="O353" s="59"/>
      <c r="P353" s="102"/>
      <c r="Q353" s="103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104" t="s">
        <v>12</v>
      </c>
      <c r="G355" s="104"/>
      <c r="H355" s="104"/>
      <c r="I355" s="132" t="s">
        <v>41</v>
      </c>
      <c r="J355" s="132"/>
      <c r="K355" s="60"/>
      <c r="L355" s="39"/>
      <c r="M355" s="39"/>
      <c r="N355" s="5"/>
      <c r="O355" s="22" t="s">
        <v>13</v>
      </c>
      <c r="P355" s="104" t="s">
        <v>14</v>
      </c>
      <c r="Q355" s="104"/>
      <c r="R355" s="104"/>
      <c r="S355" s="132" t="s">
        <v>43</v>
      </c>
      <c r="T355" s="132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104" t="s">
        <v>16</v>
      </c>
      <c r="G356" s="104"/>
      <c r="H356" s="104"/>
      <c r="I356" s="132" t="s">
        <v>42</v>
      </c>
      <c r="J356" s="132"/>
      <c r="K356" s="132"/>
      <c r="L356" s="39"/>
      <c r="M356" s="39"/>
      <c r="N356" s="5"/>
      <c r="O356" s="22" t="s">
        <v>18</v>
      </c>
      <c r="P356" s="104" t="s">
        <v>14</v>
      </c>
      <c r="Q356" s="104"/>
      <c r="R356" s="104"/>
      <c r="S356" s="128" t="s">
        <v>19</v>
      </c>
      <c r="T356" s="128"/>
      <c r="U356" s="128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1.1.2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IF(N341="-"&amp;N338&amp;".3",IF(N342=15,"-"&amp;N338&amp;".4","-"&amp;N338&amp;".3"),N341)</f>
        <v>-1.1.4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IF(N361="-"&amp;N296&amp;".3",N342+1,IF(N341="-"&amp;N296&amp;".3",1,N342+1))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17">
        <v>1</v>
      </c>
      <c r="E365" s="118"/>
      <c r="F365" s="19"/>
      <c r="G365" s="19"/>
      <c r="H365" s="117">
        <v>2</v>
      </c>
      <c r="I365" s="118"/>
      <c r="J365" s="19"/>
      <c r="K365" s="19"/>
      <c r="L365" s="117">
        <v>3</v>
      </c>
      <c r="M365" s="118"/>
      <c r="N365" s="19"/>
      <c r="O365" s="19"/>
      <c r="P365" s="117">
        <v>4</v>
      </c>
      <c r="Q365" s="118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11" t="s">
        <v>6</v>
      </c>
      <c r="C366" s="111"/>
      <c r="D366" s="117" t="s">
        <v>37</v>
      </c>
      <c r="E366" s="118" t="s">
        <v>0</v>
      </c>
      <c r="F366" s="111" t="s">
        <v>6</v>
      </c>
      <c r="G366" s="111"/>
      <c r="H366" s="117" t="s">
        <v>37</v>
      </c>
      <c r="I366" s="118"/>
      <c r="J366" s="111" t="s">
        <v>6</v>
      </c>
      <c r="K366" s="111"/>
      <c r="L366" s="117" t="s">
        <v>37</v>
      </c>
      <c r="M366" s="118"/>
      <c r="N366" s="111" t="s">
        <v>6</v>
      </c>
      <c r="O366" s="111"/>
      <c r="P366" s="117" t="s">
        <v>37</v>
      </c>
      <c r="Q366" s="118"/>
      <c r="R366" s="111"/>
      <c r="S366" s="111"/>
      <c r="T366" s="111"/>
      <c r="U366" s="111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10"/>
      <c r="C367" s="110"/>
      <c r="D367" s="112"/>
      <c r="E367" s="112"/>
      <c r="F367" s="110"/>
      <c r="G367" s="110"/>
      <c r="H367" s="112"/>
      <c r="I367" s="112"/>
      <c r="J367" s="110"/>
      <c r="K367" s="110"/>
      <c r="L367" s="112"/>
      <c r="M367" s="112"/>
      <c r="N367" s="110"/>
      <c r="O367" s="110"/>
      <c r="P367" s="112"/>
      <c r="Q367" s="112"/>
      <c r="R367" s="110"/>
      <c r="S367" s="110"/>
      <c r="T367" s="110"/>
      <c r="U367" s="110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11">
        <v>0</v>
      </c>
      <c r="C368" s="111"/>
      <c r="D368" s="113">
        <v>1</v>
      </c>
      <c r="E368" s="113">
        <v>1</v>
      </c>
      <c r="F368" s="111">
        <v>2</v>
      </c>
      <c r="G368" s="111">
        <v>2</v>
      </c>
      <c r="H368" s="113">
        <v>3</v>
      </c>
      <c r="I368" s="113">
        <v>3</v>
      </c>
      <c r="J368" s="111">
        <v>4</v>
      </c>
      <c r="K368" s="111">
        <v>4</v>
      </c>
      <c r="L368" s="113">
        <v>5</v>
      </c>
      <c r="M368" s="113"/>
      <c r="N368" s="111">
        <v>6</v>
      </c>
      <c r="O368" s="111">
        <v>1</v>
      </c>
      <c r="P368" s="113">
        <v>7</v>
      </c>
      <c r="Q368" s="113">
        <v>2</v>
      </c>
      <c r="R368" s="111">
        <v>8</v>
      </c>
      <c r="S368" s="111">
        <v>3</v>
      </c>
      <c r="T368" s="111">
        <v>9</v>
      </c>
      <c r="U368" s="111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35"/>
      <c r="C372" s="136"/>
      <c r="D372" s="133"/>
      <c r="E372" s="134"/>
      <c r="F372" s="135"/>
      <c r="G372" s="136"/>
      <c r="H372" s="133"/>
      <c r="I372" s="134"/>
      <c r="J372" s="135"/>
      <c r="K372" s="136"/>
      <c r="L372" s="133"/>
      <c r="M372" s="134"/>
      <c r="N372" s="135"/>
      <c r="O372" s="136"/>
      <c r="P372" s="133"/>
      <c r="Q372" s="134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102"/>
      <c r="E373" s="103"/>
      <c r="F373" s="59" t="str">
        <f>IF(H372&lt;1,"","пом.")</f>
        <v/>
      </c>
      <c r="G373" s="59"/>
      <c r="H373" s="102"/>
      <c r="I373" s="103"/>
      <c r="J373" s="59" t="str">
        <f>IF(L372&lt;1,"","пом.")</f>
        <v/>
      </c>
      <c r="K373" s="59"/>
      <c r="L373" s="102"/>
      <c r="M373" s="103"/>
      <c r="N373" s="59" t="str">
        <f>IF(P372&lt;1,"","пом.")</f>
        <v/>
      </c>
      <c r="O373" s="59"/>
      <c r="P373" s="102"/>
      <c r="Q373" s="103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104" t="s">
        <v>12</v>
      </c>
      <c r="G375" s="104"/>
      <c r="H375" s="104"/>
      <c r="I375" s="132" t="s">
        <v>41</v>
      </c>
      <c r="J375" s="132"/>
      <c r="K375" s="60"/>
      <c r="L375" s="39"/>
      <c r="M375" s="39"/>
      <c r="N375" s="5"/>
      <c r="O375" s="22" t="s">
        <v>13</v>
      </c>
      <c r="P375" s="104" t="s">
        <v>14</v>
      </c>
      <c r="Q375" s="104"/>
      <c r="R375" s="104"/>
      <c r="S375" s="132" t="s">
        <v>43</v>
      </c>
      <c r="T375" s="132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104" t="s">
        <v>16</v>
      </c>
      <c r="G376" s="104"/>
      <c r="H376" s="104"/>
      <c r="I376" s="132" t="s">
        <v>42</v>
      </c>
      <c r="J376" s="132"/>
      <c r="K376" s="132"/>
      <c r="L376" s="39"/>
      <c r="M376" s="39"/>
      <c r="N376" s="5"/>
      <c r="O376" s="22" t="s">
        <v>18</v>
      </c>
      <c r="P376" s="104" t="s">
        <v>14</v>
      </c>
      <c r="Q376" s="104"/>
      <c r="R376" s="104"/>
      <c r="S376" s="128" t="s">
        <v>19</v>
      </c>
      <c r="T376" s="128"/>
      <c r="U376" s="128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N380&amp;".2"</f>
        <v>1.1.2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IF(N361="-"&amp;N338&amp;".3",IF(N362=15,"-"&amp;N338&amp;".4","-"&amp;N338&amp;".3"),N361)</f>
        <v>-1.1.4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IF(N383="-"&amp;N338&amp;".3",N362+1,IF(N361="-"&amp;N338&amp;".3",1,N362+1))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17">
        <v>1</v>
      </c>
      <c r="E387" s="118"/>
      <c r="F387" s="19"/>
      <c r="G387" s="19"/>
      <c r="H387" s="117">
        <v>2</v>
      </c>
      <c r="I387" s="118"/>
      <c r="J387" s="19"/>
      <c r="K387" s="19"/>
      <c r="L387" s="117">
        <v>3</v>
      </c>
      <c r="M387" s="118"/>
      <c r="N387" s="19"/>
      <c r="O387" s="19"/>
      <c r="P387" s="117">
        <v>4</v>
      </c>
      <c r="Q387" s="118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11" t="s">
        <v>6</v>
      </c>
      <c r="C388" s="111"/>
      <c r="D388" s="117" t="s">
        <v>37</v>
      </c>
      <c r="E388" s="118" t="s">
        <v>0</v>
      </c>
      <c r="F388" s="111" t="s">
        <v>6</v>
      </c>
      <c r="G388" s="111"/>
      <c r="H388" s="117" t="s">
        <v>37</v>
      </c>
      <c r="I388" s="118"/>
      <c r="J388" s="111" t="s">
        <v>6</v>
      </c>
      <c r="K388" s="111"/>
      <c r="L388" s="117" t="s">
        <v>37</v>
      </c>
      <c r="M388" s="118"/>
      <c r="N388" s="111" t="s">
        <v>6</v>
      </c>
      <c r="O388" s="111"/>
      <c r="P388" s="117" t="s">
        <v>37</v>
      </c>
      <c r="Q388" s="118"/>
      <c r="R388" s="111"/>
      <c r="S388" s="111"/>
      <c r="T388" s="111"/>
      <c r="U388" s="111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10"/>
      <c r="C389" s="110"/>
      <c r="D389" s="112"/>
      <c r="E389" s="112"/>
      <c r="F389" s="110"/>
      <c r="G389" s="110"/>
      <c r="H389" s="112"/>
      <c r="I389" s="112"/>
      <c r="J389" s="110"/>
      <c r="K389" s="110"/>
      <c r="L389" s="112"/>
      <c r="M389" s="112"/>
      <c r="N389" s="110"/>
      <c r="O389" s="110"/>
      <c r="P389" s="112"/>
      <c r="Q389" s="112"/>
      <c r="R389" s="110"/>
      <c r="S389" s="110"/>
      <c r="T389" s="110"/>
      <c r="U389" s="110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11">
        <v>0</v>
      </c>
      <c r="C390" s="111"/>
      <c r="D390" s="113">
        <v>1</v>
      </c>
      <c r="E390" s="113">
        <v>1</v>
      </c>
      <c r="F390" s="111">
        <v>2</v>
      </c>
      <c r="G390" s="111">
        <v>2</v>
      </c>
      <c r="H390" s="113">
        <v>3</v>
      </c>
      <c r="I390" s="113">
        <v>3</v>
      </c>
      <c r="J390" s="111">
        <v>4</v>
      </c>
      <c r="K390" s="111">
        <v>4</v>
      </c>
      <c r="L390" s="113">
        <v>5</v>
      </c>
      <c r="M390" s="113"/>
      <c r="N390" s="111">
        <v>6</v>
      </c>
      <c r="O390" s="111">
        <v>1</v>
      </c>
      <c r="P390" s="113">
        <v>7</v>
      </c>
      <c r="Q390" s="113">
        <v>2</v>
      </c>
      <c r="R390" s="111">
        <v>8</v>
      </c>
      <c r="S390" s="111">
        <v>3</v>
      </c>
      <c r="T390" s="111">
        <v>9</v>
      </c>
      <c r="U390" s="111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35"/>
      <c r="C394" s="136"/>
      <c r="D394" s="133"/>
      <c r="E394" s="134"/>
      <c r="F394" s="135"/>
      <c r="G394" s="136"/>
      <c r="H394" s="133"/>
      <c r="I394" s="134"/>
      <c r="J394" s="135"/>
      <c r="K394" s="136"/>
      <c r="L394" s="133"/>
      <c r="M394" s="134"/>
      <c r="N394" s="135"/>
      <c r="O394" s="136"/>
      <c r="P394" s="133"/>
      <c r="Q394" s="134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102"/>
      <c r="E395" s="103"/>
      <c r="F395" s="59" t="str">
        <f>IF(H394&lt;1,"","пом.")</f>
        <v/>
      </c>
      <c r="G395" s="59"/>
      <c r="H395" s="102"/>
      <c r="I395" s="103"/>
      <c r="J395" s="59" t="str">
        <f>IF(L394&lt;1,"","пом.")</f>
        <v/>
      </c>
      <c r="K395" s="59"/>
      <c r="L395" s="102"/>
      <c r="M395" s="103"/>
      <c r="N395" s="59" t="str">
        <f>IF(P394&lt;1,"","пом.")</f>
        <v/>
      </c>
      <c r="O395" s="59"/>
      <c r="P395" s="102"/>
      <c r="Q395" s="103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104" t="s">
        <v>12</v>
      </c>
      <c r="G397" s="104"/>
      <c r="H397" s="104"/>
      <c r="I397" s="132" t="s">
        <v>41</v>
      </c>
      <c r="J397" s="132"/>
      <c r="K397" s="60"/>
      <c r="L397" s="39"/>
      <c r="M397" s="39"/>
      <c r="N397" s="5"/>
      <c r="O397" s="22" t="s">
        <v>13</v>
      </c>
      <c r="P397" s="104" t="s">
        <v>14</v>
      </c>
      <c r="Q397" s="104"/>
      <c r="R397" s="104"/>
      <c r="S397" s="132" t="s">
        <v>43</v>
      </c>
      <c r="T397" s="132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104" t="s">
        <v>16</v>
      </c>
      <c r="G398" s="104"/>
      <c r="H398" s="104"/>
      <c r="I398" s="132" t="s">
        <v>42</v>
      </c>
      <c r="J398" s="132"/>
      <c r="K398" s="132"/>
      <c r="L398" s="39"/>
      <c r="M398" s="39"/>
      <c r="N398" s="5"/>
      <c r="O398" s="22" t="s">
        <v>18</v>
      </c>
      <c r="P398" s="104" t="s">
        <v>14</v>
      </c>
      <c r="Q398" s="104"/>
      <c r="R398" s="104"/>
      <c r="S398" s="128" t="s">
        <v>19</v>
      </c>
      <c r="T398" s="128"/>
      <c r="U398" s="128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1.1.2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IF(N383="-"&amp;N380&amp;".3",IF(N384=15,"-"&amp;N380&amp;".4","-"&amp;N380&amp;".3"),N383)</f>
        <v>-1.1.4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IF(N403="-"&amp;N338&amp;".3",N384+1,IF(N383="-"&amp;N338&amp;".3",1,N384+1))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17">
        <v>1</v>
      </c>
      <c r="E407" s="118"/>
      <c r="F407" s="19"/>
      <c r="G407" s="19"/>
      <c r="H407" s="117">
        <v>2</v>
      </c>
      <c r="I407" s="118"/>
      <c r="J407" s="19"/>
      <c r="K407" s="19"/>
      <c r="L407" s="117">
        <v>3</v>
      </c>
      <c r="M407" s="118"/>
      <c r="N407" s="19"/>
      <c r="O407" s="19"/>
      <c r="P407" s="117">
        <v>4</v>
      </c>
      <c r="Q407" s="118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11" t="s">
        <v>6</v>
      </c>
      <c r="C408" s="111"/>
      <c r="D408" s="117" t="s">
        <v>37</v>
      </c>
      <c r="E408" s="118" t="s">
        <v>0</v>
      </c>
      <c r="F408" s="111" t="s">
        <v>6</v>
      </c>
      <c r="G408" s="111"/>
      <c r="H408" s="117" t="s">
        <v>37</v>
      </c>
      <c r="I408" s="118"/>
      <c r="J408" s="111" t="s">
        <v>6</v>
      </c>
      <c r="K408" s="111"/>
      <c r="L408" s="117" t="s">
        <v>37</v>
      </c>
      <c r="M408" s="118"/>
      <c r="N408" s="111" t="s">
        <v>6</v>
      </c>
      <c r="O408" s="111"/>
      <c r="P408" s="117" t="s">
        <v>37</v>
      </c>
      <c r="Q408" s="118"/>
      <c r="R408" s="111"/>
      <c r="S408" s="111"/>
      <c r="T408" s="111"/>
      <c r="U408" s="111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10"/>
      <c r="C409" s="110"/>
      <c r="D409" s="112"/>
      <c r="E409" s="112"/>
      <c r="F409" s="110"/>
      <c r="G409" s="110"/>
      <c r="H409" s="112"/>
      <c r="I409" s="112"/>
      <c r="J409" s="110"/>
      <c r="K409" s="110"/>
      <c r="L409" s="112"/>
      <c r="M409" s="112"/>
      <c r="N409" s="110"/>
      <c r="O409" s="110"/>
      <c r="P409" s="112"/>
      <c r="Q409" s="112"/>
      <c r="R409" s="110"/>
      <c r="S409" s="110"/>
      <c r="T409" s="110"/>
      <c r="U409" s="110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11">
        <v>0</v>
      </c>
      <c r="C410" s="111"/>
      <c r="D410" s="113">
        <v>1</v>
      </c>
      <c r="E410" s="113">
        <v>1</v>
      </c>
      <c r="F410" s="111">
        <v>2</v>
      </c>
      <c r="G410" s="111">
        <v>2</v>
      </c>
      <c r="H410" s="113">
        <v>3</v>
      </c>
      <c r="I410" s="113">
        <v>3</v>
      </c>
      <c r="J410" s="111">
        <v>4</v>
      </c>
      <c r="K410" s="111">
        <v>4</v>
      </c>
      <c r="L410" s="113">
        <v>5</v>
      </c>
      <c r="M410" s="113"/>
      <c r="N410" s="111">
        <v>6</v>
      </c>
      <c r="O410" s="111">
        <v>1</v>
      </c>
      <c r="P410" s="113">
        <v>7</v>
      </c>
      <c r="Q410" s="113">
        <v>2</v>
      </c>
      <c r="R410" s="111">
        <v>8</v>
      </c>
      <c r="S410" s="111">
        <v>3</v>
      </c>
      <c r="T410" s="111">
        <v>9</v>
      </c>
      <c r="U410" s="111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35"/>
      <c r="C414" s="136"/>
      <c r="D414" s="133"/>
      <c r="E414" s="134"/>
      <c r="F414" s="135"/>
      <c r="G414" s="136"/>
      <c r="H414" s="133"/>
      <c r="I414" s="134"/>
      <c r="J414" s="135"/>
      <c r="K414" s="136"/>
      <c r="L414" s="133"/>
      <c r="M414" s="134"/>
      <c r="N414" s="135"/>
      <c r="O414" s="136"/>
      <c r="P414" s="133"/>
      <c r="Q414" s="134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100" t="str">
        <f>IF(D414&lt;1,"","пом.")</f>
        <v/>
      </c>
      <c r="C415" s="100"/>
      <c r="D415" s="102"/>
      <c r="E415" s="103"/>
      <c r="F415" s="100" t="str">
        <f>IF(H414&lt;1,"","пом.")</f>
        <v/>
      </c>
      <c r="G415" s="100"/>
      <c r="H415" s="102"/>
      <c r="I415" s="103"/>
      <c r="J415" s="100" t="str">
        <f>IF(L414&lt;1,"","пом.")</f>
        <v/>
      </c>
      <c r="K415" s="100"/>
      <c r="L415" s="102"/>
      <c r="M415" s="103"/>
      <c r="N415" s="100" t="str">
        <f>IF(P414&lt;1,"","пом.")</f>
        <v/>
      </c>
      <c r="O415" s="100"/>
      <c r="P415" s="102"/>
      <c r="Q415" s="103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104" t="s">
        <v>12</v>
      </c>
      <c r="G417" s="104"/>
      <c r="H417" s="104"/>
      <c r="I417" s="132" t="s">
        <v>41</v>
      </c>
      <c r="J417" s="132"/>
      <c r="K417" s="60"/>
      <c r="L417" s="39"/>
      <c r="M417" s="39"/>
      <c r="N417" s="5"/>
      <c r="O417" s="22" t="s">
        <v>13</v>
      </c>
      <c r="P417" s="104" t="s">
        <v>14</v>
      </c>
      <c r="Q417" s="104"/>
      <c r="R417" s="104"/>
      <c r="S417" s="132" t="s">
        <v>43</v>
      </c>
      <c r="T417" s="132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104" t="s">
        <v>16</v>
      </c>
      <c r="G418" s="104"/>
      <c r="H418" s="104"/>
      <c r="I418" s="132" t="s">
        <v>42</v>
      </c>
      <c r="J418" s="132"/>
      <c r="K418" s="132"/>
      <c r="L418" s="39"/>
      <c r="M418" s="39"/>
      <c r="N418" s="5"/>
      <c r="O418" s="22" t="s">
        <v>18</v>
      </c>
      <c r="P418" s="104" t="s">
        <v>14</v>
      </c>
      <c r="Q418" s="104"/>
      <c r="R418" s="104"/>
      <c r="S418" s="128" t="s">
        <v>19</v>
      </c>
      <c r="T418" s="128"/>
      <c r="U418" s="128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N422&amp;".2"</f>
        <v>1.1.2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IF(N403="-"&amp;N380&amp;".3",IF(N404=15,"-"&amp;N380&amp;".4","-"&amp;N380&amp;".3"),N403)</f>
        <v>-1.1.4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IF(N425="-"&amp;N380&amp;".3",N404+1,IF(N403="-"&amp;N380&amp;".3",1,N404+1))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17">
        <v>1</v>
      </c>
      <c r="E429" s="118"/>
      <c r="F429" s="19"/>
      <c r="G429" s="19"/>
      <c r="H429" s="117">
        <v>2</v>
      </c>
      <c r="I429" s="118"/>
      <c r="J429" s="19"/>
      <c r="K429" s="19"/>
      <c r="L429" s="117">
        <v>3</v>
      </c>
      <c r="M429" s="118"/>
      <c r="N429" s="19"/>
      <c r="O429" s="19"/>
      <c r="P429" s="117">
        <v>4</v>
      </c>
      <c r="Q429" s="118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11" t="s">
        <v>6</v>
      </c>
      <c r="C430" s="111"/>
      <c r="D430" s="117" t="s">
        <v>37</v>
      </c>
      <c r="E430" s="118" t="s">
        <v>0</v>
      </c>
      <c r="F430" s="111" t="s">
        <v>6</v>
      </c>
      <c r="G430" s="111"/>
      <c r="H430" s="117" t="s">
        <v>37</v>
      </c>
      <c r="I430" s="118"/>
      <c r="J430" s="111" t="s">
        <v>6</v>
      </c>
      <c r="K430" s="111"/>
      <c r="L430" s="117" t="s">
        <v>37</v>
      </c>
      <c r="M430" s="118"/>
      <c r="N430" s="111" t="s">
        <v>6</v>
      </c>
      <c r="O430" s="111"/>
      <c r="P430" s="117" t="s">
        <v>37</v>
      </c>
      <c r="Q430" s="118"/>
      <c r="R430" s="111"/>
      <c r="S430" s="111"/>
      <c r="T430" s="111"/>
      <c r="U430" s="111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10"/>
      <c r="C431" s="110"/>
      <c r="D431" s="112"/>
      <c r="E431" s="112"/>
      <c r="F431" s="110"/>
      <c r="G431" s="110"/>
      <c r="H431" s="112"/>
      <c r="I431" s="112"/>
      <c r="J431" s="110"/>
      <c r="K431" s="110"/>
      <c r="L431" s="112"/>
      <c r="M431" s="112"/>
      <c r="N431" s="110"/>
      <c r="O431" s="110"/>
      <c r="P431" s="112"/>
      <c r="Q431" s="112"/>
      <c r="R431" s="110"/>
      <c r="S431" s="110"/>
      <c r="T431" s="110"/>
      <c r="U431" s="110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11">
        <v>0</v>
      </c>
      <c r="C432" s="111"/>
      <c r="D432" s="113">
        <v>1</v>
      </c>
      <c r="E432" s="113">
        <v>1</v>
      </c>
      <c r="F432" s="111">
        <v>2</v>
      </c>
      <c r="G432" s="111">
        <v>2</v>
      </c>
      <c r="H432" s="113">
        <v>3</v>
      </c>
      <c r="I432" s="113">
        <v>3</v>
      </c>
      <c r="J432" s="111">
        <v>4</v>
      </c>
      <c r="K432" s="111">
        <v>4</v>
      </c>
      <c r="L432" s="113">
        <v>5</v>
      </c>
      <c r="M432" s="113"/>
      <c r="N432" s="111">
        <v>6</v>
      </c>
      <c r="O432" s="111">
        <v>1</v>
      </c>
      <c r="P432" s="113">
        <v>7</v>
      </c>
      <c r="Q432" s="113">
        <v>2</v>
      </c>
      <c r="R432" s="111">
        <v>8</v>
      </c>
      <c r="S432" s="111">
        <v>3</v>
      </c>
      <c r="T432" s="111">
        <v>9</v>
      </c>
      <c r="U432" s="111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35"/>
      <c r="C436" s="136"/>
      <c r="D436" s="133"/>
      <c r="E436" s="134"/>
      <c r="F436" s="135"/>
      <c r="G436" s="136"/>
      <c r="H436" s="133"/>
      <c r="I436" s="134"/>
      <c r="J436" s="135"/>
      <c r="K436" s="136"/>
      <c r="L436" s="133"/>
      <c r="M436" s="134"/>
      <c r="N436" s="135"/>
      <c r="O436" s="136"/>
      <c r="P436" s="133"/>
      <c r="Q436" s="134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100" t="str">
        <f>IF(D436&lt;1,"","пом.")</f>
        <v/>
      </c>
      <c r="C437" s="100"/>
      <c r="D437" s="102"/>
      <c r="E437" s="103"/>
      <c r="F437" s="100" t="str">
        <f>IF(H436&lt;1,"","пом.")</f>
        <v/>
      </c>
      <c r="G437" s="100"/>
      <c r="H437" s="102"/>
      <c r="I437" s="103"/>
      <c r="J437" s="100" t="str">
        <f>IF(L436&lt;1,"","пом.")</f>
        <v/>
      </c>
      <c r="K437" s="100"/>
      <c r="L437" s="102"/>
      <c r="M437" s="103"/>
      <c r="N437" s="100" t="str">
        <f>IF(P436&lt;1,"","пом.")</f>
        <v/>
      </c>
      <c r="O437" s="100"/>
      <c r="P437" s="102"/>
      <c r="Q437" s="103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104" t="s">
        <v>12</v>
      </c>
      <c r="G439" s="104"/>
      <c r="H439" s="104"/>
      <c r="I439" s="132" t="s">
        <v>41</v>
      </c>
      <c r="J439" s="132"/>
      <c r="K439" s="60"/>
      <c r="L439" s="39"/>
      <c r="M439" s="39"/>
      <c r="N439" s="5"/>
      <c r="O439" s="22" t="s">
        <v>13</v>
      </c>
      <c r="P439" s="104" t="s">
        <v>14</v>
      </c>
      <c r="Q439" s="104"/>
      <c r="R439" s="104"/>
      <c r="S439" s="132" t="s">
        <v>43</v>
      </c>
      <c r="T439" s="132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104" t="s">
        <v>16</v>
      </c>
      <c r="G440" s="104"/>
      <c r="H440" s="104"/>
      <c r="I440" s="132" t="s">
        <v>42</v>
      </c>
      <c r="J440" s="132"/>
      <c r="K440" s="132"/>
      <c r="L440" s="39"/>
      <c r="M440" s="39"/>
      <c r="N440" s="5"/>
      <c r="O440" s="22" t="s">
        <v>18</v>
      </c>
      <c r="P440" s="104" t="s">
        <v>14</v>
      </c>
      <c r="Q440" s="104"/>
      <c r="R440" s="104"/>
      <c r="S440" s="128" t="s">
        <v>19</v>
      </c>
      <c r="T440" s="128"/>
      <c r="U440" s="128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1.1.2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IF(N425="-"&amp;N422&amp;".3",IF(N426=15,"-"&amp;N422&amp;".4","-"&amp;N422&amp;".3"),N425)</f>
        <v>-1.1.4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IF(N445="-"&amp;N380&amp;".3",N426+1,IF(N425="-"&amp;N380&amp;".3",1,N426+1))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17">
        <v>1</v>
      </c>
      <c r="E449" s="118"/>
      <c r="F449" s="19"/>
      <c r="G449" s="19"/>
      <c r="H449" s="117">
        <v>2</v>
      </c>
      <c r="I449" s="118"/>
      <c r="J449" s="19"/>
      <c r="K449" s="19"/>
      <c r="L449" s="117">
        <v>3</v>
      </c>
      <c r="M449" s="118"/>
      <c r="N449" s="19"/>
      <c r="O449" s="19"/>
      <c r="P449" s="117">
        <v>4</v>
      </c>
      <c r="Q449" s="118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11" t="s">
        <v>6</v>
      </c>
      <c r="C450" s="111"/>
      <c r="D450" s="117" t="s">
        <v>37</v>
      </c>
      <c r="E450" s="118" t="s">
        <v>0</v>
      </c>
      <c r="F450" s="111" t="s">
        <v>6</v>
      </c>
      <c r="G450" s="111"/>
      <c r="H450" s="117" t="s">
        <v>37</v>
      </c>
      <c r="I450" s="118"/>
      <c r="J450" s="111" t="s">
        <v>6</v>
      </c>
      <c r="K450" s="111"/>
      <c r="L450" s="117" t="s">
        <v>37</v>
      </c>
      <c r="M450" s="118"/>
      <c r="N450" s="111" t="s">
        <v>6</v>
      </c>
      <c r="O450" s="111"/>
      <c r="P450" s="117" t="s">
        <v>37</v>
      </c>
      <c r="Q450" s="118"/>
      <c r="R450" s="111"/>
      <c r="S450" s="111"/>
      <c r="T450" s="111"/>
      <c r="U450" s="111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10"/>
      <c r="C451" s="110"/>
      <c r="D451" s="112"/>
      <c r="E451" s="112"/>
      <c r="F451" s="110"/>
      <c r="G451" s="110"/>
      <c r="H451" s="112"/>
      <c r="I451" s="112"/>
      <c r="J451" s="110"/>
      <c r="K451" s="110"/>
      <c r="L451" s="112"/>
      <c r="M451" s="112"/>
      <c r="N451" s="110"/>
      <c r="O451" s="110"/>
      <c r="P451" s="112"/>
      <c r="Q451" s="112"/>
      <c r="R451" s="110"/>
      <c r="S451" s="110"/>
      <c r="T451" s="110"/>
      <c r="U451" s="110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11">
        <v>0</v>
      </c>
      <c r="C452" s="111"/>
      <c r="D452" s="113">
        <v>1</v>
      </c>
      <c r="E452" s="113">
        <v>1</v>
      </c>
      <c r="F452" s="111">
        <v>2</v>
      </c>
      <c r="G452" s="111">
        <v>2</v>
      </c>
      <c r="H452" s="113">
        <v>3</v>
      </c>
      <c r="I452" s="113">
        <v>3</v>
      </c>
      <c r="J452" s="111">
        <v>4</v>
      </c>
      <c r="K452" s="111">
        <v>4</v>
      </c>
      <c r="L452" s="113">
        <v>5</v>
      </c>
      <c r="M452" s="113"/>
      <c r="N452" s="111">
        <v>6</v>
      </c>
      <c r="O452" s="111">
        <v>1</v>
      </c>
      <c r="P452" s="113">
        <v>7</v>
      </c>
      <c r="Q452" s="113">
        <v>2</v>
      </c>
      <c r="R452" s="111">
        <v>8</v>
      </c>
      <c r="S452" s="111">
        <v>3</v>
      </c>
      <c r="T452" s="111">
        <v>9</v>
      </c>
      <c r="U452" s="111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35"/>
      <c r="C456" s="136"/>
      <c r="D456" s="133"/>
      <c r="E456" s="134"/>
      <c r="F456" s="135"/>
      <c r="G456" s="136"/>
      <c r="H456" s="133"/>
      <c r="I456" s="134"/>
      <c r="J456" s="135"/>
      <c r="K456" s="136"/>
      <c r="L456" s="133"/>
      <c r="M456" s="134"/>
      <c r="N456" s="135"/>
      <c r="O456" s="136"/>
      <c r="P456" s="133"/>
      <c r="Q456" s="134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100" t="str">
        <f>IF(D456&lt;1,"","пом.")</f>
        <v/>
      </c>
      <c r="C457" s="100"/>
      <c r="D457" s="102"/>
      <c r="E457" s="103"/>
      <c r="F457" s="100" t="str">
        <f>IF(H456&lt;1,"","пом.")</f>
        <v/>
      </c>
      <c r="G457" s="100"/>
      <c r="H457" s="102"/>
      <c r="I457" s="103"/>
      <c r="J457" s="100" t="str">
        <f>IF(L456&lt;1,"","пом.")</f>
        <v/>
      </c>
      <c r="K457" s="100"/>
      <c r="L457" s="102"/>
      <c r="M457" s="103"/>
      <c r="N457" s="100" t="str">
        <f>IF(P456&lt;1,"","пом.")</f>
        <v/>
      </c>
      <c r="O457" s="100"/>
      <c r="P457" s="102"/>
      <c r="Q457" s="103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104" t="s">
        <v>12</v>
      </c>
      <c r="G459" s="104"/>
      <c r="H459" s="104"/>
      <c r="I459" s="132" t="s">
        <v>41</v>
      </c>
      <c r="J459" s="132"/>
      <c r="K459" s="60"/>
      <c r="L459" s="39"/>
      <c r="M459" s="39"/>
      <c r="N459" s="5"/>
      <c r="O459" s="22" t="s">
        <v>13</v>
      </c>
      <c r="P459" s="104" t="s">
        <v>14</v>
      </c>
      <c r="Q459" s="104"/>
      <c r="R459" s="104"/>
      <c r="S459" s="132" t="s">
        <v>43</v>
      </c>
      <c r="T459" s="132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104" t="s">
        <v>16</v>
      </c>
      <c r="G460" s="104"/>
      <c r="H460" s="104"/>
      <c r="I460" s="132" t="s">
        <v>42</v>
      </c>
      <c r="J460" s="132"/>
      <c r="K460" s="132"/>
      <c r="L460" s="39"/>
      <c r="M460" s="39"/>
      <c r="N460" s="5"/>
      <c r="O460" s="22" t="s">
        <v>18</v>
      </c>
      <c r="P460" s="104" t="s">
        <v>14</v>
      </c>
      <c r="Q460" s="104"/>
      <c r="R460" s="104"/>
      <c r="S460" s="128" t="s">
        <v>19</v>
      </c>
      <c r="T460" s="128"/>
      <c r="U460" s="128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N464&amp;".2"</f>
        <v>1.1.2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IF(N445="-"&amp;N422&amp;".3",IF(N446=15,"-"&amp;N422&amp;".4","-"&amp;N422&amp;".3"),N445)</f>
        <v>-1.1.4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IF(N467="-"&amp;N422&amp;".3",N446+1,IF(N445="-"&amp;N422&amp;".3",1,N446+1))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17">
        <v>1</v>
      </c>
      <c r="E471" s="118"/>
      <c r="F471" s="19"/>
      <c r="G471" s="19"/>
      <c r="H471" s="117">
        <v>2</v>
      </c>
      <c r="I471" s="118"/>
      <c r="J471" s="19"/>
      <c r="K471" s="19"/>
      <c r="L471" s="117">
        <v>3</v>
      </c>
      <c r="M471" s="118"/>
      <c r="N471" s="19"/>
      <c r="O471" s="19"/>
      <c r="P471" s="117">
        <v>4</v>
      </c>
      <c r="Q471" s="118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11" t="s">
        <v>6</v>
      </c>
      <c r="C472" s="111"/>
      <c r="D472" s="117" t="s">
        <v>37</v>
      </c>
      <c r="E472" s="118" t="s">
        <v>0</v>
      </c>
      <c r="F472" s="111" t="s">
        <v>6</v>
      </c>
      <c r="G472" s="111"/>
      <c r="H472" s="117" t="s">
        <v>37</v>
      </c>
      <c r="I472" s="118"/>
      <c r="J472" s="111" t="s">
        <v>6</v>
      </c>
      <c r="K472" s="111"/>
      <c r="L472" s="117" t="s">
        <v>37</v>
      </c>
      <c r="M472" s="118"/>
      <c r="N472" s="111" t="s">
        <v>6</v>
      </c>
      <c r="O472" s="111"/>
      <c r="P472" s="117" t="s">
        <v>37</v>
      </c>
      <c r="Q472" s="118"/>
      <c r="R472" s="111"/>
      <c r="S472" s="111"/>
      <c r="T472" s="111"/>
      <c r="U472" s="111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10"/>
      <c r="C473" s="110"/>
      <c r="D473" s="112"/>
      <c r="E473" s="112"/>
      <c r="F473" s="110"/>
      <c r="G473" s="110"/>
      <c r="H473" s="112"/>
      <c r="I473" s="112"/>
      <c r="J473" s="110"/>
      <c r="K473" s="110"/>
      <c r="L473" s="112"/>
      <c r="M473" s="112"/>
      <c r="N473" s="110"/>
      <c r="O473" s="110"/>
      <c r="P473" s="112"/>
      <c r="Q473" s="112"/>
      <c r="R473" s="110"/>
      <c r="S473" s="110"/>
      <c r="T473" s="110"/>
      <c r="U473" s="110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11">
        <v>0</v>
      </c>
      <c r="C474" s="111"/>
      <c r="D474" s="113">
        <v>1</v>
      </c>
      <c r="E474" s="113">
        <v>1</v>
      </c>
      <c r="F474" s="111">
        <v>2</v>
      </c>
      <c r="G474" s="111">
        <v>2</v>
      </c>
      <c r="H474" s="113">
        <v>3</v>
      </c>
      <c r="I474" s="113">
        <v>3</v>
      </c>
      <c r="J474" s="111">
        <v>4</v>
      </c>
      <c r="K474" s="111">
        <v>4</v>
      </c>
      <c r="L474" s="113">
        <v>5</v>
      </c>
      <c r="M474" s="113"/>
      <c r="N474" s="111">
        <v>6</v>
      </c>
      <c r="O474" s="111">
        <v>1</v>
      </c>
      <c r="P474" s="113">
        <v>7</v>
      </c>
      <c r="Q474" s="113">
        <v>2</v>
      </c>
      <c r="R474" s="111">
        <v>8</v>
      </c>
      <c r="S474" s="111">
        <v>3</v>
      </c>
      <c r="T474" s="111">
        <v>9</v>
      </c>
      <c r="U474" s="111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35"/>
      <c r="C478" s="136"/>
      <c r="D478" s="133"/>
      <c r="E478" s="134"/>
      <c r="F478" s="135"/>
      <c r="G478" s="136"/>
      <c r="H478" s="133"/>
      <c r="I478" s="134"/>
      <c r="J478" s="135"/>
      <c r="K478" s="136"/>
      <c r="L478" s="133"/>
      <c r="M478" s="134"/>
      <c r="N478" s="135"/>
      <c r="O478" s="136"/>
      <c r="P478" s="133"/>
      <c r="Q478" s="134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100" t="str">
        <f>IF(D478&lt;1,"","пом.")</f>
        <v/>
      </c>
      <c r="C479" s="100"/>
      <c r="D479" s="102"/>
      <c r="E479" s="103"/>
      <c r="F479" s="100" t="str">
        <f>IF(H478&lt;1,"","пом.")</f>
        <v/>
      </c>
      <c r="G479" s="100"/>
      <c r="H479" s="102"/>
      <c r="I479" s="103"/>
      <c r="J479" s="100" t="str">
        <f>IF(L478&lt;1,"","пом.")</f>
        <v/>
      </c>
      <c r="K479" s="100"/>
      <c r="L479" s="102"/>
      <c r="M479" s="103"/>
      <c r="N479" s="100" t="str">
        <f>IF(P478&lt;1,"","пом.")</f>
        <v/>
      </c>
      <c r="O479" s="100"/>
      <c r="P479" s="102"/>
      <c r="Q479" s="103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104" t="s">
        <v>12</v>
      </c>
      <c r="G481" s="104"/>
      <c r="H481" s="104"/>
      <c r="I481" s="132" t="s">
        <v>41</v>
      </c>
      <c r="J481" s="132"/>
      <c r="K481" s="60"/>
      <c r="L481" s="39"/>
      <c r="M481" s="39"/>
      <c r="N481" s="5"/>
      <c r="O481" s="22" t="s">
        <v>13</v>
      </c>
      <c r="P481" s="104" t="s">
        <v>14</v>
      </c>
      <c r="Q481" s="104"/>
      <c r="R481" s="104"/>
      <c r="S481" s="132" t="s">
        <v>43</v>
      </c>
      <c r="T481" s="132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104" t="s">
        <v>16</v>
      </c>
      <c r="G482" s="104"/>
      <c r="H482" s="104"/>
      <c r="I482" s="132" t="s">
        <v>42</v>
      </c>
      <c r="J482" s="132"/>
      <c r="K482" s="132"/>
      <c r="L482" s="39"/>
      <c r="M482" s="39"/>
      <c r="N482" s="5"/>
      <c r="O482" s="22" t="s">
        <v>18</v>
      </c>
      <c r="P482" s="104" t="s">
        <v>14</v>
      </c>
      <c r="Q482" s="104"/>
      <c r="R482" s="104"/>
      <c r="S482" s="128" t="s">
        <v>19</v>
      </c>
      <c r="T482" s="128"/>
      <c r="U482" s="128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1.1.2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IF(N467="-"&amp;N464&amp;".3",IF(N468=15,"-"&amp;N464&amp;".4","-"&amp;N464&amp;".3"),N467)</f>
        <v>-1.1.4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IF(N487="-"&amp;N422&amp;".3",N468+1,IF(N467="-"&amp;N422&amp;".3",1,N468+1))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17">
        <v>1</v>
      </c>
      <c r="E491" s="118"/>
      <c r="F491" s="19"/>
      <c r="G491" s="19"/>
      <c r="H491" s="117">
        <v>2</v>
      </c>
      <c r="I491" s="118"/>
      <c r="J491" s="19"/>
      <c r="K491" s="19"/>
      <c r="L491" s="117">
        <v>3</v>
      </c>
      <c r="M491" s="118"/>
      <c r="N491" s="19"/>
      <c r="O491" s="19"/>
      <c r="P491" s="117">
        <v>4</v>
      </c>
      <c r="Q491" s="118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11" t="s">
        <v>6</v>
      </c>
      <c r="C492" s="111"/>
      <c r="D492" s="117" t="s">
        <v>37</v>
      </c>
      <c r="E492" s="118" t="s">
        <v>0</v>
      </c>
      <c r="F492" s="111" t="s">
        <v>6</v>
      </c>
      <c r="G492" s="111"/>
      <c r="H492" s="117" t="s">
        <v>37</v>
      </c>
      <c r="I492" s="118"/>
      <c r="J492" s="111" t="s">
        <v>6</v>
      </c>
      <c r="K492" s="111"/>
      <c r="L492" s="117" t="s">
        <v>37</v>
      </c>
      <c r="M492" s="118"/>
      <c r="N492" s="111" t="s">
        <v>6</v>
      </c>
      <c r="O492" s="111"/>
      <c r="P492" s="117" t="s">
        <v>37</v>
      </c>
      <c r="Q492" s="118"/>
      <c r="R492" s="111"/>
      <c r="S492" s="111"/>
      <c r="T492" s="111"/>
      <c r="U492" s="111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10"/>
      <c r="C493" s="110"/>
      <c r="D493" s="112"/>
      <c r="E493" s="112"/>
      <c r="F493" s="110"/>
      <c r="G493" s="110"/>
      <c r="H493" s="112"/>
      <c r="I493" s="112"/>
      <c r="J493" s="110"/>
      <c r="K493" s="110"/>
      <c r="L493" s="112"/>
      <c r="M493" s="112"/>
      <c r="N493" s="110"/>
      <c r="O493" s="110"/>
      <c r="P493" s="112"/>
      <c r="Q493" s="112"/>
      <c r="R493" s="110"/>
      <c r="S493" s="110"/>
      <c r="T493" s="110"/>
      <c r="U493" s="110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11">
        <v>0</v>
      </c>
      <c r="C494" s="111"/>
      <c r="D494" s="113">
        <v>1</v>
      </c>
      <c r="E494" s="113">
        <v>1</v>
      </c>
      <c r="F494" s="111">
        <v>2</v>
      </c>
      <c r="G494" s="111">
        <v>2</v>
      </c>
      <c r="H494" s="113">
        <v>3</v>
      </c>
      <c r="I494" s="113">
        <v>3</v>
      </c>
      <c r="J494" s="111">
        <v>4</v>
      </c>
      <c r="K494" s="111">
        <v>4</v>
      </c>
      <c r="L494" s="113">
        <v>5</v>
      </c>
      <c r="M494" s="113"/>
      <c r="N494" s="111">
        <v>6</v>
      </c>
      <c r="O494" s="111">
        <v>1</v>
      </c>
      <c r="P494" s="113">
        <v>7</v>
      </c>
      <c r="Q494" s="113">
        <v>2</v>
      </c>
      <c r="R494" s="111">
        <v>8</v>
      </c>
      <c r="S494" s="111">
        <v>3</v>
      </c>
      <c r="T494" s="111">
        <v>9</v>
      </c>
      <c r="U494" s="111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35"/>
      <c r="C498" s="136"/>
      <c r="D498" s="133"/>
      <c r="E498" s="134"/>
      <c r="F498" s="135"/>
      <c r="G498" s="136"/>
      <c r="H498" s="133"/>
      <c r="I498" s="134"/>
      <c r="J498" s="135"/>
      <c r="K498" s="136"/>
      <c r="L498" s="133"/>
      <c r="M498" s="134"/>
      <c r="N498" s="135"/>
      <c r="O498" s="136"/>
      <c r="P498" s="133"/>
      <c r="Q498" s="134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100" t="str">
        <f>IF(D498&lt;1,"","пом.")</f>
        <v/>
      </c>
      <c r="C499" s="100"/>
      <c r="D499" s="102"/>
      <c r="E499" s="103"/>
      <c r="F499" s="100" t="str">
        <f>IF(H498&lt;1,"","пом.")</f>
        <v/>
      </c>
      <c r="G499" s="100"/>
      <c r="H499" s="102"/>
      <c r="I499" s="103"/>
      <c r="J499" s="100" t="str">
        <f>IF(L498&lt;1,"","пом.")</f>
        <v/>
      </c>
      <c r="K499" s="100"/>
      <c r="L499" s="102"/>
      <c r="M499" s="103"/>
      <c r="N499" s="100" t="str">
        <f>IF(P498&lt;1,"","пом.")</f>
        <v/>
      </c>
      <c r="O499" s="100"/>
      <c r="P499" s="102"/>
      <c r="Q499" s="103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104" t="s">
        <v>12</v>
      </c>
      <c r="G501" s="104"/>
      <c r="H501" s="104"/>
      <c r="I501" s="132" t="s">
        <v>41</v>
      </c>
      <c r="J501" s="132"/>
      <c r="K501" s="60"/>
      <c r="L501" s="39"/>
      <c r="M501" s="39"/>
      <c r="N501" s="5"/>
      <c r="O501" s="22" t="s">
        <v>13</v>
      </c>
      <c r="P501" s="104" t="s">
        <v>14</v>
      </c>
      <c r="Q501" s="104"/>
      <c r="R501" s="104"/>
      <c r="S501" s="132" t="s">
        <v>43</v>
      </c>
      <c r="T501" s="132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104" t="s">
        <v>16</v>
      </c>
      <c r="G502" s="104"/>
      <c r="H502" s="104"/>
      <c r="I502" s="132" t="s">
        <v>42</v>
      </c>
      <c r="J502" s="132"/>
      <c r="K502" s="132"/>
      <c r="L502" s="39"/>
      <c r="M502" s="39"/>
      <c r="N502" s="5"/>
      <c r="O502" s="22" t="s">
        <v>18</v>
      </c>
      <c r="P502" s="104" t="s">
        <v>14</v>
      </c>
      <c r="Q502" s="104"/>
      <c r="R502" s="104"/>
      <c r="S502" s="128" t="s">
        <v>19</v>
      </c>
      <c r="T502" s="128"/>
      <c r="U502" s="128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N506&amp;".2"</f>
        <v>1.1.2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IF(N487="-"&amp;N464&amp;".3",IF(N488=15,"-"&amp;N464&amp;".4","-"&amp;N464&amp;".3"),N487)</f>
        <v>-1.1.4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IF(N509="-"&amp;N464&amp;".3",N488+1,IF(N487="-"&amp;N464&amp;".3",1,N488+1))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17">
        <v>1</v>
      </c>
      <c r="E513" s="118"/>
      <c r="F513" s="19"/>
      <c r="G513" s="19"/>
      <c r="H513" s="117">
        <v>2</v>
      </c>
      <c r="I513" s="118"/>
      <c r="J513" s="19"/>
      <c r="K513" s="19"/>
      <c r="L513" s="117">
        <v>3</v>
      </c>
      <c r="M513" s="118"/>
      <c r="N513" s="19"/>
      <c r="O513" s="19"/>
      <c r="P513" s="117">
        <v>4</v>
      </c>
      <c r="Q513" s="118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11" t="s">
        <v>6</v>
      </c>
      <c r="C514" s="111"/>
      <c r="D514" s="117" t="s">
        <v>37</v>
      </c>
      <c r="E514" s="118" t="s">
        <v>0</v>
      </c>
      <c r="F514" s="111" t="s">
        <v>6</v>
      </c>
      <c r="G514" s="111"/>
      <c r="H514" s="117" t="s">
        <v>37</v>
      </c>
      <c r="I514" s="118"/>
      <c r="J514" s="111" t="s">
        <v>6</v>
      </c>
      <c r="K514" s="111"/>
      <c r="L514" s="117" t="s">
        <v>37</v>
      </c>
      <c r="M514" s="118"/>
      <c r="N514" s="111" t="s">
        <v>6</v>
      </c>
      <c r="O514" s="111"/>
      <c r="P514" s="117" t="s">
        <v>37</v>
      </c>
      <c r="Q514" s="118"/>
      <c r="R514" s="111"/>
      <c r="S514" s="111"/>
      <c r="T514" s="111"/>
      <c r="U514" s="111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10"/>
      <c r="C515" s="110"/>
      <c r="D515" s="112"/>
      <c r="E515" s="112"/>
      <c r="F515" s="110"/>
      <c r="G515" s="110"/>
      <c r="H515" s="112"/>
      <c r="I515" s="112"/>
      <c r="J515" s="110"/>
      <c r="K515" s="110"/>
      <c r="L515" s="112"/>
      <c r="M515" s="112"/>
      <c r="N515" s="110"/>
      <c r="O515" s="110"/>
      <c r="P515" s="112"/>
      <c r="Q515" s="112"/>
      <c r="R515" s="110"/>
      <c r="S515" s="110"/>
      <c r="T515" s="110"/>
      <c r="U515" s="110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11">
        <v>0</v>
      </c>
      <c r="C516" s="111"/>
      <c r="D516" s="113">
        <v>1</v>
      </c>
      <c r="E516" s="113">
        <v>1</v>
      </c>
      <c r="F516" s="111">
        <v>2</v>
      </c>
      <c r="G516" s="111">
        <v>2</v>
      </c>
      <c r="H516" s="113">
        <v>3</v>
      </c>
      <c r="I516" s="113">
        <v>3</v>
      </c>
      <c r="J516" s="111">
        <v>4</v>
      </c>
      <c r="K516" s="111">
        <v>4</v>
      </c>
      <c r="L516" s="113">
        <v>5</v>
      </c>
      <c r="M516" s="113"/>
      <c r="N516" s="111">
        <v>6</v>
      </c>
      <c r="O516" s="111">
        <v>1</v>
      </c>
      <c r="P516" s="113">
        <v>7</v>
      </c>
      <c r="Q516" s="113">
        <v>2</v>
      </c>
      <c r="R516" s="111">
        <v>8</v>
      </c>
      <c r="S516" s="111">
        <v>3</v>
      </c>
      <c r="T516" s="111">
        <v>9</v>
      </c>
      <c r="U516" s="111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35"/>
      <c r="C520" s="136"/>
      <c r="D520" s="133"/>
      <c r="E520" s="134"/>
      <c r="F520" s="135"/>
      <c r="G520" s="136"/>
      <c r="H520" s="133"/>
      <c r="I520" s="134"/>
      <c r="J520" s="135"/>
      <c r="K520" s="136"/>
      <c r="L520" s="133"/>
      <c r="M520" s="134"/>
      <c r="N520" s="135"/>
      <c r="O520" s="136"/>
      <c r="P520" s="133"/>
      <c r="Q520" s="134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100" t="str">
        <f>IF(D520&lt;1,"","пом.")</f>
        <v/>
      </c>
      <c r="C521" s="100"/>
      <c r="D521" s="102"/>
      <c r="E521" s="103"/>
      <c r="F521" s="100" t="str">
        <f>IF(H520&lt;1,"","пом.")</f>
        <v/>
      </c>
      <c r="G521" s="100"/>
      <c r="H521" s="102"/>
      <c r="I521" s="103"/>
      <c r="J521" s="100" t="str">
        <f>IF(L520&lt;1,"","пом.")</f>
        <v/>
      </c>
      <c r="K521" s="100"/>
      <c r="L521" s="102"/>
      <c r="M521" s="103"/>
      <c r="N521" s="100" t="str">
        <f>IF(P520&lt;1,"","пом.")</f>
        <v/>
      </c>
      <c r="O521" s="100"/>
      <c r="P521" s="102"/>
      <c r="Q521" s="103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104" t="s">
        <v>12</v>
      </c>
      <c r="G523" s="104"/>
      <c r="H523" s="104"/>
      <c r="I523" s="132" t="s">
        <v>41</v>
      </c>
      <c r="J523" s="132"/>
      <c r="K523" s="60"/>
      <c r="L523" s="39"/>
      <c r="M523" s="39"/>
      <c r="N523" s="5"/>
      <c r="O523" s="22" t="s">
        <v>13</v>
      </c>
      <c r="P523" s="104" t="s">
        <v>14</v>
      </c>
      <c r="Q523" s="104"/>
      <c r="R523" s="104"/>
      <c r="S523" s="132" t="s">
        <v>43</v>
      </c>
      <c r="T523" s="132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104" t="s">
        <v>16</v>
      </c>
      <c r="G524" s="104"/>
      <c r="H524" s="104"/>
      <c r="I524" s="132" t="s">
        <v>42</v>
      </c>
      <c r="J524" s="132"/>
      <c r="K524" s="132"/>
      <c r="L524" s="39"/>
      <c r="M524" s="39"/>
      <c r="N524" s="5"/>
      <c r="O524" s="22" t="s">
        <v>18</v>
      </c>
      <c r="P524" s="104" t="s">
        <v>14</v>
      </c>
      <c r="Q524" s="104"/>
      <c r="R524" s="104"/>
      <c r="S524" s="128" t="s">
        <v>19</v>
      </c>
      <c r="T524" s="128"/>
      <c r="U524" s="128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1.1.2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IF(N509="-"&amp;N506&amp;".3",IF(N510=15,"-"&amp;N506&amp;".4","-"&amp;N506&amp;".3"),N509)</f>
        <v>-1.1.4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IF(N529="-"&amp;N464&amp;".3",N510+1,IF(N509="-"&amp;N464&amp;".3",1,N510+1))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17">
        <v>1</v>
      </c>
      <c r="E533" s="118"/>
      <c r="F533" s="19"/>
      <c r="G533" s="19"/>
      <c r="H533" s="117">
        <v>2</v>
      </c>
      <c r="I533" s="118"/>
      <c r="J533" s="19"/>
      <c r="K533" s="19"/>
      <c r="L533" s="117">
        <v>3</v>
      </c>
      <c r="M533" s="118"/>
      <c r="N533" s="19"/>
      <c r="O533" s="19"/>
      <c r="P533" s="117">
        <v>4</v>
      </c>
      <c r="Q533" s="118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11" t="s">
        <v>6</v>
      </c>
      <c r="C534" s="111"/>
      <c r="D534" s="117" t="s">
        <v>37</v>
      </c>
      <c r="E534" s="118" t="s">
        <v>0</v>
      </c>
      <c r="F534" s="111" t="s">
        <v>6</v>
      </c>
      <c r="G534" s="111"/>
      <c r="H534" s="117" t="s">
        <v>37</v>
      </c>
      <c r="I534" s="118"/>
      <c r="J534" s="111" t="s">
        <v>6</v>
      </c>
      <c r="K534" s="111"/>
      <c r="L534" s="117" t="s">
        <v>37</v>
      </c>
      <c r="M534" s="118"/>
      <c r="N534" s="111" t="s">
        <v>6</v>
      </c>
      <c r="O534" s="111"/>
      <c r="P534" s="117" t="s">
        <v>37</v>
      </c>
      <c r="Q534" s="118"/>
      <c r="R534" s="111"/>
      <c r="S534" s="111"/>
      <c r="T534" s="111"/>
      <c r="U534" s="111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10"/>
      <c r="C535" s="110"/>
      <c r="D535" s="112"/>
      <c r="E535" s="112"/>
      <c r="F535" s="110"/>
      <c r="G535" s="110"/>
      <c r="H535" s="112"/>
      <c r="I535" s="112"/>
      <c r="J535" s="110"/>
      <c r="K535" s="110"/>
      <c r="L535" s="112"/>
      <c r="M535" s="112"/>
      <c r="N535" s="110"/>
      <c r="O535" s="110"/>
      <c r="P535" s="112"/>
      <c r="Q535" s="112"/>
      <c r="R535" s="110"/>
      <c r="S535" s="110"/>
      <c r="T535" s="110"/>
      <c r="U535" s="110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11">
        <v>0</v>
      </c>
      <c r="C536" s="111"/>
      <c r="D536" s="113">
        <v>1</v>
      </c>
      <c r="E536" s="113">
        <v>1</v>
      </c>
      <c r="F536" s="111">
        <v>2</v>
      </c>
      <c r="G536" s="111">
        <v>2</v>
      </c>
      <c r="H536" s="113">
        <v>3</v>
      </c>
      <c r="I536" s="113">
        <v>3</v>
      </c>
      <c r="J536" s="111">
        <v>4</v>
      </c>
      <c r="K536" s="111">
        <v>4</v>
      </c>
      <c r="L536" s="113">
        <v>5</v>
      </c>
      <c r="M536" s="113"/>
      <c r="N536" s="111">
        <v>6</v>
      </c>
      <c r="O536" s="111">
        <v>1</v>
      </c>
      <c r="P536" s="113">
        <v>7</v>
      </c>
      <c r="Q536" s="113">
        <v>2</v>
      </c>
      <c r="R536" s="111">
        <v>8</v>
      </c>
      <c r="S536" s="111">
        <v>3</v>
      </c>
      <c r="T536" s="111">
        <v>9</v>
      </c>
      <c r="U536" s="111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35"/>
      <c r="C540" s="136"/>
      <c r="D540" s="133"/>
      <c r="E540" s="134"/>
      <c r="F540" s="135"/>
      <c r="G540" s="136"/>
      <c r="H540" s="133"/>
      <c r="I540" s="134"/>
      <c r="J540" s="135"/>
      <c r="K540" s="136"/>
      <c r="L540" s="133"/>
      <c r="M540" s="134"/>
      <c r="N540" s="135"/>
      <c r="O540" s="136"/>
      <c r="P540" s="133"/>
      <c r="Q540" s="134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100" t="str">
        <f>IF(D540&lt;1,"","пом.")</f>
        <v/>
      </c>
      <c r="C541" s="100"/>
      <c r="D541" s="102"/>
      <c r="E541" s="103"/>
      <c r="F541" s="100" t="str">
        <f>IF(H540&lt;1,"","пом.")</f>
        <v/>
      </c>
      <c r="G541" s="100"/>
      <c r="H541" s="102"/>
      <c r="I541" s="103"/>
      <c r="J541" s="100" t="str">
        <f>IF(L540&lt;1,"","пом.")</f>
        <v/>
      </c>
      <c r="K541" s="100"/>
      <c r="L541" s="102"/>
      <c r="M541" s="103"/>
      <c r="N541" s="100" t="str">
        <f>IF(P540&lt;1,"","пом.")</f>
        <v/>
      </c>
      <c r="O541" s="100"/>
      <c r="P541" s="102"/>
      <c r="Q541" s="103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104" t="s">
        <v>12</v>
      </c>
      <c r="G543" s="104"/>
      <c r="H543" s="104"/>
      <c r="I543" s="132" t="s">
        <v>41</v>
      </c>
      <c r="J543" s="132"/>
      <c r="K543" s="60"/>
      <c r="L543" s="39"/>
      <c r="M543" s="39"/>
      <c r="N543" s="5"/>
      <c r="O543" s="22" t="s">
        <v>13</v>
      </c>
      <c r="P543" s="104" t="s">
        <v>14</v>
      </c>
      <c r="Q543" s="104"/>
      <c r="R543" s="104"/>
      <c r="S543" s="132" t="s">
        <v>43</v>
      </c>
      <c r="T543" s="132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104" t="s">
        <v>16</v>
      </c>
      <c r="G544" s="104"/>
      <c r="H544" s="104"/>
      <c r="I544" s="132" t="s">
        <v>42</v>
      </c>
      <c r="J544" s="132"/>
      <c r="K544" s="132"/>
      <c r="L544" s="39"/>
      <c r="M544" s="39"/>
      <c r="N544" s="5"/>
      <c r="O544" s="22" t="s">
        <v>18</v>
      </c>
      <c r="P544" s="104" t="s">
        <v>14</v>
      </c>
      <c r="Q544" s="104"/>
      <c r="R544" s="104"/>
      <c r="S544" s="128" t="s">
        <v>19</v>
      </c>
      <c r="T544" s="128"/>
      <c r="U544" s="128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N548&amp;".2"</f>
        <v>1.1.2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IF(N529="-"&amp;N506&amp;".3",IF(N530=15,"-"&amp;N506&amp;".4","-"&amp;N506&amp;".3"),N529)</f>
        <v>-1.1.4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IF(N551="-"&amp;N506&amp;".3",N530+1,IF(N529="-"&amp;N506&amp;".3",1,N530+1))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17">
        <v>1</v>
      </c>
      <c r="E555" s="118"/>
      <c r="F555" s="19"/>
      <c r="G555" s="19"/>
      <c r="H555" s="117">
        <v>2</v>
      </c>
      <c r="I555" s="118"/>
      <c r="J555" s="19"/>
      <c r="K555" s="19"/>
      <c r="L555" s="117">
        <v>3</v>
      </c>
      <c r="M555" s="118"/>
      <c r="N555" s="19"/>
      <c r="O555" s="19"/>
      <c r="P555" s="117">
        <v>4</v>
      </c>
      <c r="Q555" s="118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11" t="s">
        <v>6</v>
      </c>
      <c r="C556" s="111"/>
      <c r="D556" s="117" t="s">
        <v>37</v>
      </c>
      <c r="E556" s="118" t="s">
        <v>0</v>
      </c>
      <c r="F556" s="111" t="s">
        <v>6</v>
      </c>
      <c r="G556" s="111"/>
      <c r="H556" s="117" t="s">
        <v>37</v>
      </c>
      <c r="I556" s="118"/>
      <c r="J556" s="111" t="s">
        <v>6</v>
      </c>
      <c r="K556" s="111"/>
      <c r="L556" s="117" t="s">
        <v>37</v>
      </c>
      <c r="M556" s="118"/>
      <c r="N556" s="111" t="s">
        <v>6</v>
      </c>
      <c r="O556" s="111"/>
      <c r="P556" s="117" t="s">
        <v>37</v>
      </c>
      <c r="Q556" s="118"/>
      <c r="R556" s="111"/>
      <c r="S556" s="111"/>
      <c r="T556" s="111"/>
      <c r="U556" s="111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10"/>
      <c r="C557" s="110"/>
      <c r="D557" s="112"/>
      <c r="E557" s="112"/>
      <c r="F557" s="110"/>
      <c r="G557" s="110"/>
      <c r="H557" s="112"/>
      <c r="I557" s="112"/>
      <c r="J557" s="110"/>
      <c r="K557" s="110"/>
      <c r="L557" s="112"/>
      <c r="M557" s="112"/>
      <c r="N557" s="110"/>
      <c r="O557" s="110"/>
      <c r="P557" s="112"/>
      <c r="Q557" s="112"/>
      <c r="R557" s="110"/>
      <c r="S557" s="110"/>
      <c r="T557" s="110"/>
      <c r="U557" s="110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11">
        <v>0</v>
      </c>
      <c r="C558" s="111"/>
      <c r="D558" s="113">
        <v>1</v>
      </c>
      <c r="E558" s="113">
        <v>1</v>
      </c>
      <c r="F558" s="111">
        <v>2</v>
      </c>
      <c r="G558" s="111">
        <v>2</v>
      </c>
      <c r="H558" s="113">
        <v>3</v>
      </c>
      <c r="I558" s="113">
        <v>3</v>
      </c>
      <c r="J558" s="111">
        <v>4</v>
      </c>
      <c r="K558" s="111">
        <v>4</v>
      </c>
      <c r="L558" s="113">
        <v>5</v>
      </c>
      <c r="M558" s="113"/>
      <c r="N558" s="111">
        <v>6</v>
      </c>
      <c r="O558" s="111">
        <v>1</v>
      </c>
      <c r="P558" s="113">
        <v>7</v>
      </c>
      <c r="Q558" s="113">
        <v>2</v>
      </c>
      <c r="R558" s="111">
        <v>8</v>
      </c>
      <c r="S558" s="111">
        <v>3</v>
      </c>
      <c r="T558" s="111">
        <v>9</v>
      </c>
      <c r="U558" s="111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35"/>
      <c r="C562" s="136"/>
      <c r="D562" s="133"/>
      <c r="E562" s="134"/>
      <c r="F562" s="135"/>
      <c r="G562" s="136"/>
      <c r="H562" s="133"/>
      <c r="I562" s="134"/>
      <c r="J562" s="135"/>
      <c r="K562" s="136"/>
      <c r="L562" s="133"/>
      <c r="M562" s="134"/>
      <c r="N562" s="135"/>
      <c r="O562" s="136"/>
      <c r="P562" s="133"/>
      <c r="Q562" s="134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100" t="str">
        <f>IF(D562&lt;1,"","пом.")</f>
        <v/>
      </c>
      <c r="C563" s="100"/>
      <c r="D563" s="102"/>
      <c r="E563" s="103"/>
      <c r="F563" s="100" t="str">
        <f>IF(H562&lt;1,"","пом.")</f>
        <v/>
      </c>
      <c r="G563" s="100"/>
      <c r="H563" s="102"/>
      <c r="I563" s="103"/>
      <c r="J563" s="100" t="str">
        <f>IF(L562&lt;1,"","пом.")</f>
        <v/>
      </c>
      <c r="K563" s="100"/>
      <c r="L563" s="102"/>
      <c r="M563" s="103"/>
      <c r="N563" s="100" t="str">
        <f>IF(P562&lt;1,"","пом.")</f>
        <v/>
      </c>
      <c r="O563" s="100"/>
      <c r="P563" s="102"/>
      <c r="Q563" s="103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104" t="s">
        <v>12</v>
      </c>
      <c r="G565" s="104"/>
      <c r="H565" s="104"/>
      <c r="I565" s="132" t="s">
        <v>41</v>
      </c>
      <c r="J565" s="132"/>
      <c r="K565" s="60"/>
      <c r="L565" s="39"/>
      <c r="M565" s="39"/>
      <c r="N565" s="5"/>
      <c r="O565" s="22" t="s">
        <v>13</v>
      </c>
      <c r="P565" s="104" t="s">
        <v>14</v>
      </c>
      <c r="Q565" s="104"/>
      <c r="R565" s="104"/>
      <c r="S565" s="132" t="s">
        <v>43</v>
      </c>
      <c r="T565" s="132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104" t="s">
        <v>16</v>
      </c>
      <c r="G566" s="104"/>
      <c r="H566" s="104"/>
      <c r="I566" s="132" t="s">
        <v>42</v>
      </c>
      <c r="J566" s="132"/>
      <c r="K566" s="132"/>
      <c r="L566" s="39"/>
      <c r="M566" s="39"/>
      <c r="N566" s="5"/>
      <c r="O566" s="22" t="s">
        <v>18</v>
      </c>
      <c r="P566" s="104" t="s">
        <v>14</v>
      </c>
      <c r="Q566" s="104"/>
      <c r="R566" s="104"/>
      <c r="S566" s="128" t="s">
        <v>19</v>
      </c>
      <c r="T566" s="128"/>
      <c r="U566" s="128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1.1.2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IF(N551="-"&amp;N548&amp;".3",IF(N552=15,"-"&amp;N548&amp;".4","-"&amp;N548&amp;".3"),N551)</f>
        <v>-1.1.4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IF(N571="-"&amp;N506&amp;".3",N552+1,IF(N551="-"&amp;N506&amp;".3",1,N552+1))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17">
        <v>1</v>
      </c>
      <c r="E575" s="118"/>
      <c r="F575" s="19"/>
      <c r="G575" s="19"/>
      <c r="H575" s="117">
        <v>2</v>
      </c>
      <c r="I575" s="118"/>
      <c r="J575" s="19"/>
      <c r="K575" s="19"/>
      <c r="L575" s="117">
        <v>3</v>
      </c>
      <c r="M575" s="118"/>
      <c r="N575" s="19"/>
      <c r="O575" s="19"/>
      <c r="P575" s="117">
        <v>4</v>
      </c>
      <c r="Q575" s="118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11" t="s">
        <v>6</v>
      </c>
      <c r="C576" s="111"/>
      <c r="D576" s="117" t="s">
        <v>37</v>
      </c>
      <c r="E576" s="118" t="s">
        <v>0</v>
      </c>
      <c r="F576" s="111" t="s">
        <v>6</v>
      </c>
      <c r="G576" s="111"/>
      <c r="H576" s="117" t="s">
        <v>37</v>
      </c>
      <c r="I576" s="118"/>
      <c r="J576" s="111" t="s">
        <v>6</v>
      </c>
      <c r="K576" s="111"/>
      <c r="L576" s="117" t="s">
        <v>37</v>
      </c>
      <c r="M576" s="118"/>
      <c r="N576" s="111" t="s">
        <v>6</v>
      </c>
      <c r="O576" s="111"/>
      <c r="P576" s="117" t="s">
        <v>37</v>
      </c>
      <c r="Q576" s="118"/>
      <c r="R576" s="111"/>
      <c r="S576" s="111"/>
      <c r="T576" s="111"/>
      <c r="U576" s="111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10"/>
      <c r="C577" s="110"/>
      <c r="D577" s="112"/>
      <c r="E577" s="112"/>
      <c r="F577" s="110"/>
      <c r="G577" s="110"/>
      <c r="H577" s="112"/>
      <c r="I577" s="112"/>
      <c r="J577" s="110"/>
      <c r="K577" s="110"/>
      <c r="L577" s="112"/>
      <c r="M577" s="112"/>
      <c r="N577" s="110"/>
      <c r="O577" s="110"/>
      <c r="P577" s="112"/>
      <c r="Q577" s="112"/>
      <c r="R577" s="110"/>
      <c r="S577" s="110"/>
      <c r="T577" s="110"/>
      <c r="U577" s="110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11">
        <v>0</v>
      </c>
      <c r="C578" s="111"/>
      <c r="D578" s="113">
        <v>1</v>
      </c>
      <c r="E578" s="113">
        <v>1</v>
      </c>
      <c r="F578" s="111">
        <v>2</v>
      </c>
      <c r="G578" s="111">
        <v>2</v>
      </c>
      <c r="H578" s="113">
        <v>3</v>
      </c>
      <c r="I578" s="113">
        <v>3</v>
      </c>
      <c r="J578" s="111">
        <v>4</v>
      </c>
      <c r="K578" s="111">
        <v>4</v>
      </c>
      <c r="L578" s="113">
        <v>5</v>
      </c>
      <c r="M578" s="113"/>
      <c r="N578" s="111">
        <v>6</v>
      </c>
      <c r="O578" s="111">
        <v>1</v>
      </c>
      <c r="P578" s="113">
        <v>7</v>
      </c>
      <c r="Q578" s="113">
        <v>2</v>
      </c>
      <c r="R578" s="111">
        <v>8</v>
      </c>
      <c r="S578" s="111">
        <v>3</v>
      </c>
      <c r="T578" s="111">
        <v>9</v>
      </c>
      <c r="U578" s="111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35"/>
      <c r="C582" s="136"/>
      <c r="D582" s="133"/>
      <c r="E582" s="134"/>
      <c r="F582" s="135"/>
      <c r="G582" s="136"/>
      <c r="H582" s="133"/>
      <c r="I582" s="134"/>
      <c r="J582" s="135"/>
      <c r="K582" s="136"/>
      <c r="L582" s="133"/>
      <c r="M582" s="134"/>
      <c r="N582" s="135"/>
      <c r="O582" s="136"/>
      <c r="P582" s="133"/>
      <c r="Q582" s="134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100" t="str">
        <f>IF(D582&lt;1,"","пом.")</f>
        <v/>
      </c>
      <c r="C583" s="100"/>
      <c r="D583" s="102"/>
      <c r="E583" s="103"/>
      <c r="F583" s="100" t="str">
        <f>IF(H582&lt;1,"","пом.")</f>
        <v/>
      </c>
      <c r="G583" s="100"/>
      <c r="H583" s="102"/>
      <c r="I583" s="103"/>
      <c r="J583" s="100" t="str">
        <f>IF(L582&lt;1,"","пом.")</f>
        <v/>
      </c>
      <c r="K583" s="100"/>
      <c r="L583" s="102"/>
      <c r="M583" s="103"/>
      <c r="N583" s="100" t="str">
        <f>IF(P582&lt;1,"","пом.")</f>
        <v/>
      </c>
      <c r="O583" s="100"/>
      <c r="P583" s="102"/>
      <c r="Q583" s="103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104" t="s">
        <v>12</v>
      </c>
      <c r="G585" s="104"/>
      <c r="H585" s="104"/>
      <c r="I585" s="132" t="s">
        <v>41</v>
      </c>
      <c r="J585" s="132"/>
      <c r="K585" s="60"/>
      <c r="L585" s="39"/>
      <c r="M585" s="39"/>
      <c r="N585" s="5"/>
      <c r="O585" s="22" t="s">
        <v>13</v>
      </c>
      <c r="P585" s="104" t="s">
        <v>14</v>
      </c>
      <c r="Q585" s="104"/>
      <c r="R585" s="104"/>
      <c r="S585" s="132" t="s">
        <v>43</v>
      </c>
      <c r="T585" s="132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104" t="s">
        <v>16</v>
      </c>
      <c r="G586" s="104"/>
      <c r="H586" s="104"/>
      <c r="I586" s="132" t="s">
        <v>42</v>
      </c>
      <c r="J586" s="132"/>
      <c r="K586" s="132"/>
      <c r="L586" s="39"/>
      <c r="M586" s="39"/>
      <c r="N586" s="5"/>
      <c r="O586" s="22" t="s">
        <v>18</v>
      </c>
      <c r="P586" s="104" t="s">
        <v>14</v>
      </c>
      <c r="Q586" s="104"/>
      <c r="R586" s="104"/>
      <c r="S586" s="128" t="s">
        <v>19</v>
      </c>
      <c r="T586" s="128"/>
      <c r="U586" s="128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N590&amp;".2"</f>
        <v>1.1.2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IF(N571="-"&amp;N548&amp;".3",IF(N572=15,"-"&amp;N548&amp;".4","-"&amp;N548&amp;".3"),N571)</f>
        <v>-1.1.4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IF(N593="-"&amp;N548&amp;".3",N572+1,IF(N571="-"&amp;N548&amp;".3",1,N572+1))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17">
        <v>1</v>
      </c>
      <c r="E597" s="118"/>
      <c r="F597" s="19"/>
      <c r="G597" s="19"/>
      <c r="H597" s="117">
        <v>2</v>
      </c>
      <c r="I597" s="118"/>
      <c r="J597" s="19"/>
      <c r="K597" s="19"/>
      <c r="L597" s="117">
        <v>3</v>
      </c>
      <c r="M597" s="118"/>
      <c r="N597" s="19"/>
      <c r="O597" s="19"/>
      <c r="P597" s="117">
        <v>4</v>
      </c>
      <c r="Q597" s="118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11" t="s">
        <v>6</v>
      </c>
      <c r="C598" s="111"/>
      <c r="D598" s="117" t="s">
        <v>37</v>
      </c>
      <c r="E598" s="118" t="s">
        <v>0</v>
      </c>
      <c r="F598" s="111" t="s">
        <v>6</v>
      </c>
      <c r="G598" s="111"/>
      <c r="H598" s="117" t="s">
        <v>37</v>
      </c>
      <c r="I598" s="118"/>
      <c r="J598" s="111" t="s">
        <v>6</v>
      </c>
      <c r="K598" s="111"/>
      <c r="L598" s="117" t="s">
        <v>37</v>
      </c>
      <c r="M598" s="118"/>
      <c r="N598" s="111" t="s">
        <v>6</v>
      </c>
      <c r="O598" s="111"/>
      <c r="P598" s="117" t="s">
        <v>37</v>
      </c>
      <c r="Q598" s="118"/>
      <c r="R598" s="111"/>
      <c r="S598" s="111"/>
      <c r="T598" s="111"/>
      <c r="U598" s="111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10"/>
      <c r="C599" s="110"/>
      <c r="D599" s="112"/>
      <c r="E599" s="112"/>
      <c r="F599" s="110"/>
      <c r="G599" s="110"/>
      <c r="H599" s="112"/>
      <c r="I599" s="112"/>
      <c r="J599" s="110"/>
      <c r="K599" s="110"/>
      <c r="L599" s="112"/>
      <c r="M599" s="112"/>
      <c r="N599" s="110"/>
      <c r="O599" s="110"/>
      <c r="P599" s="112"/>
      <c r="Q599" s="112"/>
      <c r="R599" s="110"/>
      <c r="S599" s="110"/>
      <c r="T599" s="110"/>
      <c r="U599" s="110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11">
        <v>0</v>
      </c>
      <c r="C600" s="111"/>
      <c r="D600" s="113">
        <v>1</v>
      </c>
      <c r="E600" s="113">
        <v>1</v>
      </c>
      <c r="F600" s="111">
        <v>2</v>
      </c>
      <c r="G600" s="111">
        <v>2</v>
      </c>
      <c r="H600" s="113">
        <v>3</v>
      </c>
      <c r="I600" s="113">
        <v>3</v>
      </c>
      <c r="J600" s="111">
        <v>4</v>
      </c>
      <c r="K600" s="111">
        <v>4</v>
      </c>
      <c r="L600" s="113">
        <v>5</v>
      </c>
      <c r="M600" s="113"/>
      <c r="N600" s="111">
        <v>6</v>
      </c>
      <c r="O600" s="111">
        <v>1</v>
      </c>
      <c r="P600" s="113">
        <v>7</v>
      </c>
      <c r="Q600" s="113">
        <v>2</v>
      </c>
      <c r="R600" s="111">
        <v>8</v>
      </c>
      <c r="S600" s="111">
        <v>3</v>
      </c>
      <c r="T600" s="111">
        <v>9</v>
      </c>
      <c r="U600" s="111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35"/>
      <c r="C604" s="136"/>
      <c r="D604" s="133"/>
      <c r="E604" s="134"/>
      <c r="F604" s="135"/>
      <c r="G604" s="136"/>
      <c r="H604" s="133"/>
      <c r="I604" s="134"/>
      <c r="J604" s="135"/>
      <c r="K604" s="136"/>
      <c r="L604" s="133"/>
      <c r="M604" s="134"/>
      <c r="N604" s="135"/>
      <c r="O604" s="136"/>
      <c r="P604" s="133"/>
      <c r="Q604" s="134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100" t="str">
        <f>IF(D604&lt;1,"","пом.")</f>
        <v/>
      </c>
      <c r="C605" s="100"/>
      <c r="D605" s="102"/>
      <c r="E605" s="103"/>
      <c r="F605" s="100" t="str">
        <f>IF(H604&lt;1,"","пом.")</f>
        <v/>
      </c>
      <c r="G605" s="100"/>
      <c r="H605" s="102"/>
      <c r="I605" s="103"/>
      <c r="J605" s="100" t="str">
        <f>IF(L604&lt;1,"","пом.")</f>
        <v/>
      </c>
      <c r="K605" s="100"/>
      <c r="L605" s="102"/>
      <c r="M605" s="103"/>
      <c r="N605" s="100" t="str">
        <f>IF(P604&lt;1,"","пом.")</f>
        <v/>
      </c>
      <c r="O605" s="100"/>
      <c r="P605" s="102"/>
      <c r="Q605" s="103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104" t="s">
        <v>12</v>
      </c>
      <c r="G607" s="104"/>
      <c r="H607" s="104"/>
      <c r="I607" s="132" t="s">
        <v>41</v>
      </c>
      <c r="J607" s="132"/>
      <c r="K607" s="60"/>
      <c r="L607" s="39"/>
      <c r="M607" s="39"/>
      <c r="N607" s="5"/>
      <c r="O607" s="22" t="s">
        <v>13</v>
      </c>
      <c r="P607" s="104" t="s">
        <v>14</v>
      </c>
      <c r="Q607" s="104"/>
      <c r="R607" s="104"/>
      <c r="S607" s="132" t="s">
        <v>43</v>
      </c>
      <c r="T607" s="132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104" t="s">
        <v>16</v>
      </c>
      <c r="G608" s="104"/>
      <c r="H608" s="104"/>
      <c r="I608" s="132" t="s">
        <v>42</v>
      </c>
      <c r="J608" s="132"/>
      <c r="K608" s="132"/>
      <c r="L608" s="39"/>
      <c r="M608" s="39"/>
      <c r="N608" s="5"/>
      <c r="O608" s="22" t="s">
        <v>18</v>
      </c>
      <c r="P608" s="104" t="s">
        <v>14</v>
      </c>
      <c r="Q608" s="104"/>
      <c r="R608" s="104"/>
      <c r="S608" s="128" t="s">
        <v>19</v>
      </c>
      <c r="T608" s="128"/>
      <c r="U608" s="128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1.1.2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IF(N593="-"&amp;N590&amp;".3",IF(N594=15,"-"&amp;N590&amp;".4","-"&amp;N590&amp;".3"),N593)</f>
        <v>-1.1.4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IF(N613="-"&amp;N548&amp;".3",N594+1,IF(N593="-"&amp;N548&amp;".3",1,N594+1))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17">
        <v>1</v>
      </c>
      <c r="E617" s="118"/>
      <c r="F617" s="19"/>
      <c r="G617" s="19"/>
      <c r="H617" s="117">
        <v>2</v>
      </c>
      <c r="I617" s="118"/>
      <c r="J617" s="19"/>
      <c r="K617" s="19"/>
      <c r="L617" s="117">
        <v>3</v>
      </c>
      <c r="M617" s="118"/>
      <c r="N617" s="19"/>
      <c r="O617" s="19"/>
      <c r="P617" s="117">
        <v>4</v>
      </c>
      <c r="Q617" s="118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11" t="s">
        <v>6</v>
      </c>
      <c r="C618" s="111"/>
      <c r="D618" s="117" t="s">
        <v>37</v>
      </c>
      <c r="E618" s="118" t="s">
        <v>0</v>
      </c>
      <c r="F618" s="111" t="s">
        <v>6</v>
      </c>
      <c r="G618" s="111"/>
      <c r="H618" s="117" t="s">
        <v>37</v>
      </c>
      <c r="I618" s="118"/>
      <c r="J618" s="111" t="s">
        <v>6</v>
      </c>
      <c r="K618" s="111"/>
      <c r="L618" s="117" t="s">
        <v>37</v>
      </c>
      <c r="M618" s="118"/>
      <c r="N618" s="111" t="s">
        <v>6</v>
      </c>
      <c r="O618" s="111"/>
      <c r="P618" s="117" t="s">
        <v>37</v>
      </c>
      <c r="Q618" s="118"/>
      <c r="R618" s="111"/>
      <c r="S618" s="111"/>
      <c r="T618" s="111"/>
      <c r="U618" s="111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10"/>
      <c r="C619" s="110"/>
      <c r="D619" s="112"/>
      <c r="E619" s="112"/>
      <c r="F619" s="110"/>
      <c r="G619" s="110"/>
      <c r="H619" s="112"/>
      <c r="I619" s="112"/>
      <c r="J619" s="110"/>
      <c r="K619" s="110"/>
      <c r="L619" s="112"/>
      <c r="M619" s="112"/>
      <c r="N619" s="110"/>
      <c r="O619" s="110"/>
      <c r="P619" s="112"/>
      <c r="Q619" s="112"/>
      <c r="R619" s="110"/>
      <c r="S619" s="110"/>
      <c r="T619" s="110"/>
      <c r="U619" s="110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11">
        <v>0</v>
      </c>
      <c r="C620" s="111"/>
      <c r="D620" s="113">
        <v>1</v>
      </c>
      <c r="E620" s="113">
        <v>1</v>
      </c>
      <c r="F620" s="111">
        <v>2</v>
      </c>
      <c r="G620" s="111">
        <v>2</v>
      </c>
      <c r="H620" s="113">
        <v>3</v>
      </c>
      <c r="I620" s="113">
        <v>3</v>
      </c>
      <c r="J620" s="111">
        <v>4</v>
      </c>
      <c r="K620" s="111">
        <v>4</v>
      </c>
      <c r="L620" s="113">
        <v>5</v>
      </c>
      <c r="M620" s="113"/>
      <c r="N620" s="111">
        <v>6</v>
      </c>
      <c r="O620" s="111">
        <v>1</v>
      </c>
      <c r="P620" s="113">
        <v>7</v>
      </c>
      <c r="Q620" s="113">
        <v>2</v>
      </c>
      <c r="R620" s="111">
        <v>8</v>
      </c>
      <c r="S620" s="111">
        <v>3</v>
      </c>
      <c r="T620" s="111">
        <v>9</v>
      </c>
      <c r="U620" s="111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35"/>
      <c r="C624" s="136"/>
      <c r="D624" s="133"/>
      <c r="E624" s="134"/>
      <c r="F624" s="135"/>
      <c r="G624" s="136"/>
      <c r="H624" s="133"/>
      <c r="I624" s="134"/>
      <c r="J624" s="135"/>
      <c r="K624" s="136"/>
      <c r="L624" s="133"/>
      <c r="M624" s="134"/>
      <c r="N624" s="135"/>
      <c r="O624" s="136"/>
      <c r="P624" s="133"/>
      <c r="Q624" s="134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100" t="str">
        <f>IF(D624&lt;1,"","пом.")</f>
        <v/>
      </c>
      <c r="C625" s="100"/>
      <c r="D625" s="102"/>
      <c r="E625" s="103"/>
      <c r="F625" s="100" t="str">
        <f>IF(H624&lt;1,"","пом.")</f>
        <v/>
      </c>
      <c r="G625" s="100"/>
      <c r="H625" s="102"/>
      <c r="I625" s="103"/>
      <c r="J625" s="100" t="str">
        <f>IF(L624&lt;1,"","пом.")</f>
        <v/>
      </c>
      <c r="K625" s="100"/>
      <c r="L625" s="102"/>
      <c r="M625" s="103"/>
      <c r="N625" s="100" t="str">
        <f>IF(P624&lt;1,"","пом.")</f>
        <v/>
      </c>
      <c r="O625" s="100"/>
      <c r="P625" s="102"/>
      <c r="Q625" s="103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104" t="s">
        <v>12</v>
      </c>
      <c r="G627" s="104"/>
      <c r="H627" s="104"/>
      <c r="I627" s="132" t="s">
        <v>41</v>
      </c>
      <c r="J627" s="132"/>
      <c r="K627" s="60"/>
      <c r="L627" s="39"/>
      <c r="M627" s="39"/>
      <c r="N627" s="5"/>
      <c r="O627" s="22" t="s">
        <v>13</v>
      </c>
      <c r="P627" s="104" t="s">
        <v>14</v>
      </c>
      <c r="Q627" s="104"/>
      <c r="R627" s="104"/>
      <c r="S627" s="132" t="s">
        <v>43</v>
      </c>
      <c r="T627" s="132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104" t="s">
        <v>16</v>
      </c>
      <c r="G628" s="104"/>
      <c r="H628" s="104"/>
      <c r="I628" s="132" t="s">
        <v>42</v>
      </c>
      <c r="J628" s="132"/>
      <c r="K628" s="132"/>
      <c r="L628" s="39"/>
      <c r="M628" s="39"/>
      <c r="N628" s="5"/>
      <c r="O628" s="22" t="s">
        <v>18</v>
      </c>
      <c r="P628" s="104" t="s">
        <v>14</v>
      </c>
      <c r="Q628" s="104"/>
      <c r="R628" s="104"/>
      <c r="S628" s="128" t="s">
        <v>19</v>
      </c>
      <c r="T628" s="128"/>
      <c r="U628" s="128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N632&amp;".2"</f>
        <v>1.1.2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IF(N613="-"&amp;N590&amp;".3",IF(N614=15,"-"&amp;N590&amp;".4","-"&amp;N590&amp;".3"),N613)</f>
        <v>-1.1.4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IF(N635="-"&amp;N590&amp;".3",N614+1,IF(N613="-"&amp;N590&amp;".3",1,N614+1))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17">
        <v>1</v>
      </c>
      <c r="E639" s="118"/>
      <c r="F639" s="19"/>
      <c r="G639" s="19"/>
      <c r="H639" s="117">
        <v>2</v>
      </c>
      <c r="I639" s="118"/>
      <c r="J639" s="19"/>
      <c r="K639" s="19"/>
      <c r="L639" s="117">
        <v>3</v>
      </c>
      <c r="M639" s="118"/>
      <c r="N639" s="19"/>
      <c r="O639" s="19"/>
      <c r="P639" s="117">
        <v>4</v>
      </c>
      <c r="Q639" s="118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11" t="s">
        <v>6</v>
      </c>
      <c r="C640" s="111"/>
      <c r="D640" s="117" t="s">
        <v>37</v>
      </c>
      <c r="E640" s="118" t="s">
        <v>0</v>
      </c>
      <c r="F640" s="111" t="s">
        <v>6</v>
      </c>
      <c r="G640" s="111"/>
      <c r="H640" s="117" t="s">
        <v>37</v>
      </c>
      <c r="I640" s="118"/>
      <c r="J640" s="111" t="s">
        <v>6</v>
      </c>
      <c r="K640" s="111"/>
      <c r="L640" s="117" t="s">
        <v>37</v>
      </c>
      <c r="M640" s="118"/>
      <c r="N640" s="111" t="s">
        <v>6</v>
      </c>
      <c r="O640" s="111"/>
      <c r="P640" s="117" t="s">
        <v>37</v>
      </c>
      <c r="Q640" s="118"/>
      <c r="R640" s="111"/>
      <c r="S640" s="111"/>
      <c r="T640" s="111"/>
      <c r="U640" s="111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10"/>
      <c r="C641" s="110"/>
      <c r="D641" s="112"/>
      <c r="E641" s="112"/>
      <c r="F641" s="110"/>
      <c r="G641" s="110"/>
      <c r="H641" s="112"/>
      <c r="I641" s="112"/>
      <c r="J641" s="110"/>
      <c r="K641" s="110"/>
      <c r="L641" s="112"/>
      <c r="M641" s="112"/>
      <c r="N641" s="110"/>
      <c r="O641" s="110"/>
      <c r="P641" s="112"/>
      <c r="Q641" s="112"/>
      <c r="R641" s="110"/>
      <c r="S641" s="110"/>
      <c r="T641" s="110"/>
      <c r="U641" s="110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11">
        <v>0</v>
      </c>
      <c r="C642" s="111"/>
      <c r="D642" s="113">
        <v>1</v>
      </c>
      <c r="E642" s="113">
        <v>1</v>
      </c>
      <c r="F642" s="111">
        <v>2</v>
      </c>
      <c r="G642" s="111">
        <v>2</v>
      </c>
      <c r="H642" s="113">
        <v>3</v>
      </c>
      <c r="I642" s="113">
        <v>3</v>
      </c>
      <c r="J642" s="111">
        <v>4</v>
      </c>
      <c r="K642" s="111">
        <v>4</v>
      </c>
      <c r="L642" s="113">
        <v>5</v>
      </c>
      <c r="M642" s="113"/>
      <c r="N642" s="111">
        <v>6</v>
      </c>
      <c r="O642" s="111">
        <v>1</v>
      </c>
      <c r="P642" s="113">
        <v>7</v>
      </c>
      <c r="Q642" s="113">
        <v>2</v>
      </c>
      <c r="R642" s="111">
        <v>8</v>
      </c>
      <c r="S642" s="111">
        <v>3</v>
      </c>
      <c r="T642" s="111">
        <v>9</v>
      </c>
      <c r="U642" s="111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35"/>
      <c r="C646" s="136"/>
      <c r="D646" s="133"/>
      <c r="E646" s="134"/>
      <c r="F646" s="135"/>
      <c r="G646" s="136"/>
      <c r="H646" s="133"/>
      <c r="I646" s="134"/>
      <c r="J646" s="135"/>
      <c r="K646" s="136"/>
      <c r="L646" s="133"/>
      <c r="M646" s="134"/>
      <c r="N646" s="135"/>
      <c r="O646" s="136"/>
      <c r="P646" s="133"/>
      <c r="Q646" s="134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100" t="str">
        <f>IF(D646&lt;1,"","пом.")</f>
        <v/>
      </c>
      <c r="C647" s="100"/>
      <c r="D647" s="102"/>
      <c r="E647" s="103"/>
      <c r="F647" s="100" t="str">
        <f>IF(H646&lt;1,"","пом.")</f>
        <v/>
      </c>
      <c r="G647" s="100"/>
      <c r="H647" s="102"/>
      <c r="I647" s="103"/>
      <c r="J647" s="100" t="str">
        <f>IF(L646&lt;1,"","пом.")</f>
        <v/>
      </c>
      <c r="K647" s="100"/>
      <c r="L647" s="102"/>
      <c r="M647" s="103"/>
      <c r="N647" s="100" t="str">
        <f>IF(P646&lt;1,"","пом.")</f>
        <v/>
      </c>
      <c r="O647" s="100"/>
      <c r="P647" s="102"/>
      <c r="Q647" s="103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104" t="s">
        <v>12</v>
      </c>
      <c r="G649" s="104"/>
      <c r="H649" s="104"/>
      <c r="I649" s="132" t="s">
        <v>41</v>
      </c>
      <c r="J649" s="132"/>
      <c r="K649" s="60"/>
      <c r="L649" s="39"/>
      <c r="M649" s="39"/>
      <c r="N649" s="5"/>
      <c r="O649" s="22" t="s">
        <v>13</v>
      </c>
      <c r="P649" s="104" t="s">
        <v>14</v>
      </c>
      <c r="Q649" s="104"/>
      <c r="R649" s="104"/>
      <c r="S649" s="132" t="s">
        <v>43</v>
      </c>
      <c r="T649" s="132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104" t="s">
        <v>16</v>
      </c>
      <c r="G650" s="104"/>
      <c r="H650" s="104"/>
      <c r="I650" s="132" t="s">
        <v>42</v>
      </c>
      <c r="J650" s="132"/>
      <c r="K650" s="132"/>
      <c r="L650" s="39"/>
      <c r="M650" s="39"/>
      <c r="N650" s="5"/>
      <c r="O650" s="22" t="s">
        <v>18</v>
      </c>
      <c r="P650" s="104" t="s">
        <v>14</v>
      </c>
      <c r="Q650" s="104"/>
      <c r="R650" s="104"/>
      <c r="S650" s="128" t="s">
        <v>19</v>
      </c>
      <c r="T650" s="128"/>
      <c r="U650" s="128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1.1.2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IF(N635="-"&amp;N632&amp;".3",IF(N636=15,"-"&amp;N632&amp;".4","-"&amp;N632&amp;".3"),N635)</f>
        <v>-1.1.4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IF(N655="-"&amp;N590&amp;".3",N636+1,IF(N635="-"&amp;N590&amp;".3",1,N636+1))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17">
        <v>1</v>
      </c>
      <c r="E659" s="118"/>
      <c r="F659" s="19"/>
      <c r="G659" s="19"/>
      <c r="H659" s="117">
        <v>2</v>
      </c>
      <c r="I659" s="118"/>
      <c r="J659" s="19"/>
      <c r="K659" s="19"/>
      <c r="L659" s="117">
        <v>3</v>
      </c>
      <c r="M659" s="118"/>
      <c r="N659" s="19"/>
      <c r="O659" s="19"/>
      <c r="P659" s="117">
        <v>4</v>
      </c>
      <c r="Q659" s="118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11" t="s">
        <v>6</v>
      </c>
      <c r="C660" s="111"/>
      <c r="D660" s="117" t="s">
        <v>37</v>
      </c>
      <c r="E660" s="118" t="s">
        <v>0</v>
      </c>
      <c r="F660" s="111" t="s">
        <v>6</v>
      </c>
      <c r="G660" s="111"/>
      <c r="H660" s="117" t="s">
        <v>37</v>
      </c>
      <c r="I660" s="118"/>
      <c r="J660" s="111" t="s">
        <v>6</v>
      </c>
      <c r="K660" s="111"/>
      <c r="L660" s="117" t="s">
        <v>37</v>
      </c>
      <c r="M660" s="118"/>
      <c r="N660" s="111" t="s">
        <v>6</v>
      </c>
      <c r="O660" s="111"/>
      <c r="P660" s="117" t="s">
        <v>37</v>
      </c>
      <c r="Q660" s="118"/>
      <c r="R660" s="111"/>
      <c r="S660" s="111"/>
      <c r="T660" s="111"/>
      <c r="U660" s="111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10"/>
      <c r="C661" s="110"/>
      <c r="D661" s="112"/>
      <c r="E661" s="112"/>
      <c r="F661" s="110"/>
      <c r="G661" s="110"/>
      <c r="H661" s="112"/>
      <c r="I661" s="112"/>
      <c r="J661" s="110"/>
      <c r="K661" s="110"/>
      <c r="L661" s="112"/>
      <c r="M661" s="112"/>
      <c r="N661" s="110"/>
      <c r="O661" s="110"/>
      <c r="P661" s="112"/>
      <c r="Q661" s="112"/>
      <c r="R661" s="110"/>
      <c r="S661" s="110"/>
      <c r="T661" s="110"/>
      <c r="U661" s="110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11">
        <v>0</v>
      </c>
      <c r="C662" s="111"/>
      <c r="D662" s="113">
        <v>1</v>
      </c>
      <c r="E662" s="113">
        <v>1</v>
      </c>
      <c r="F662" s="111">
        <v>2</v>
      </c>
      <c r="G662" s="111">
        <v>2</v>
      </c>
      <c r="H662" s="113">
        <v>3</v>
      </c>
      <c r="I662" s="113">
        <v>3</v>
      </c>
      <c r="J662" s="111">
        <v>4</v>
      </c>
      <c r="K662" s="111">
        <v>4</v>
      </c>
      <c r="L662" s="113">
        <v>5</v>
      </c>
      <c r="M662" s="113"/>
      <c r="N662" s="111">
        <v>6</v>
      </c>
      <c r="O662" s="111">
        <v>1</v>
      </c>
      <c r="P662" s="113">
        <v>7</v>
      </c>
      <c r="Q662" s="113">
        <v>2</v>
      </c>
      <c r="R662" s="111">
        <v>8</v>
      </c>
      <c r="S662" s="111">
        <v>3</v>
      </c>
      <c r="T662" s="111">
        <v>9</v>
      </c>
      <c r="U662" s="111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35"/>
      <c r="C666" s="136"/>
      <c r="D666" s="133"/>
      <c r="E666" s="134"/>
      <c r="F666" s="135"/>
      <c r="G666" s="136"/>
      <c r="H666" s="133"/>
      <c r="I666" s="134"/>
      <c r="J666" s="135"/>
      <c r="K666" s="136"/>
      <c r="L666" s="133"/>
      <c r="M666" s="134"/>
      <c r="N666" s="135"/>
      <c r="O666" s="136"/>
      <c r="P666" s="133"/>
      <c r="Q666" s="134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100" t="str">
        <f>IF(D666&lt;1,"","пом.")</f>
        <v/>
      </c>
      <c r="C667" s="100"/>
      <c r="D667" s="102"/>
      <c r="E667" s="103"/>
      <c r="F667" s="100" t="str">
        <f>IF(H666&lt;1,"","пом.")</f>
        <v/>
      </c>
      <c r="G667" s="100"/>
      <c r="H667" s="102"/>
      <c r="I667" s="103"/>
      <c r="J667" s="100" t="str">
        <f>IF(L666&lt;1,"","пом.")</f>
        <v/>
      </c>
      <c r="K667" s="100"/>
      <c r="L667" s="102"/>
      <c r="M667" s="103"/>
      <c r="N667" s="100" t="str">
        <f>IF(P666&lt;1,"","пом.")</f>
        <v/>
      </c>
      <c r="O667" s="100"/>
      <c r="P667" s="102"/>
      <c r="Q667" s="103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104" t="s">
        <v>12</v>
      </c>
      <c r="G669" s="104"/>
      <c r="H669" s="104"/>
      <c r="I669" s="132" t="s">
        <v>41</v>
      </c>
      <c r="J669" s="132"/>
      <c r="K669" s="60"/>
      <c r="L669" s="39"/>
      <c r="M669" s="39"/>
      <c r="N669" s="5"/>
      <c r="O669" s="22" t="s">
        <v>13</v>
      </c>
      <c r="P669" s="104" t="s">
        <v>14</v>
      </c>
      <c r="Q669" s="104"/>
      <c r="R669" s="104"/>
      <c r="S669" s="132" t="s">
        <v>43</v>
      </c>
      <c r="T669" s="132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104" t="s">
        <v>16</v>
      </c>
      <c r="G670" s="104"/>
      <c r="H670" s="104"/>
      <c r="I670" s="132" t="s">
        <v>42</v>
      </c>
      <c r="J670" s="132"/>
      <c r="K670" s="132"/>
      <c r="L670" s="39"/>
      <c r="M670" s="39"/>
      <c r="N670" s="5"/>
      <c r="O670" s="22" t="s">
        <v>18</v>
      </c>
      <c r="P670" s="104" t="s">
        <v>14</v>
      </c>
      <c r="Q670" s="104"/>
      <c r="R670" s="104"/>
      <c r="S670" s="128" t="s">
        <v>19</v>
      </c>
      <c r="T670" s="128"/>
      <c r="U670" s="128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F608:H608"/>
    <mergeCell ref="I608:K608"/>
    <mergeCell ref="P608:R608"/>
    <mergeCell ref="R598:S598"/>
    <mergeCell ref="T598:U598"/>
    <mergeCell ref="T599:U599"/>
    <mergeCell ref="T600:U600"/>
    <mergeCell ref="S607:T607"/>
    <mergeCell ref="N620:O620"/>
    <mergeCell ref="P620:Q620"/>
    <mergeCell ref="R620:S620"/>
    <mergeCell ref="R618:S618"/>
    <mergeCell ref="T618:U618"/>
    <mergeCell ref="R642:S642"/>
    <mergeCell ref="N624:O624"/>
    <mergeCell ref="P624:Q624"/>
    <mergeCell ref="H619:I619"/>
    <mergeCell ref="J619:K619"/>
    <mergeCell ref="L619:M619"/>
    <mergeCell ref="S586:U586"/>
    <mergeCell ref="S608:U608"/>
    <mergeCell ref="F627:H627"/>
    <mergeCell ref="I627:J627"/>
    <mergeCell ref="P627:R627"/>
    <mergeCell ref="S627:T627"/>
    <mergeCell ref="F628:H628"/>
    <mergeCell ref="I628:K628"/>
    <mergeCell ref="P628:R628"/>
    <mergeCell ref="F649:H649"/>
    <mergeCell ref="I649:J649"/>
    <mergeCell ref="P649:R649"/>
    <mergeCell ref="S649:T649"/>
    <mergeCell ref="T641:U641"/>
    <mergeCell ref="T642:U642"/>
    <mergeCell ref="S565:T565"/>
    <mergeCell ref="F566:H566"/>
    <mergeCell ref="I566:K566"/>
    <mergeCell ref="P566:R566"/>
    <mergeCell ref="F585:H585"/>
    <mergeCell ref="I585:J585"/>
    <mergeCell ref="P585:R585"/>
    <mergeCell ref="S585:T585"/>
    <mergeCell ref="P583:Q583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T515:U515"/>
    <mergeCell ref="T516:U516"/>
    <mergeCell ref="F524:H524"/>
    <mergeCell ref="I524:K524"/>
    <mergeCell ref="P524:R524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S481:T48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501:H501"/>
    <mergeCell ref="I501:J501"/>
    <mergeCell ref="P501:R501"/>
    <mergeCell ref="S501:T501"/>
    <mergeCell ref="F502:H502"/>
    <mergeCell ref="I502:K502"/>
    <mergeCell ref="P502:R502"/>
    <mergeCell ref="H471:I471"/>
    <mergeCell ref="L471:M471"/>
    <mergeCell ref="P471:Q471"/>
    <mergeCell ref="R474:S474"/>
    <mergeCell ref="R473:S473"/>
    <mergeCell ref="T492:U492"/>
    <mergeCell ref="L493:M493"/>
    <mergeCell ref="N493:O493"/>
    <mergeCell ref="P493:Q493"/>
    <mergeCell ref="R493:S493"/>
    <mergeCell ref="T493:U493"/>
    <mergeCell ref="T494:U494"/>
    <mergeCell ref="T408:U408"/>
    <mergeCell ref="T409:U409"/>
    <mergeCell ref="T410:U410"/>
    <mergeCell ref="S418:U418"/>
    <mergeCell ref="F439:H439"/>
    <mergeCell ref="I439:J439"/>
    <mergeCell ref="P439:R439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J408:K408"/>
    <mergeCell ref="L408:M408"/>
    <mergeCell ref="N408:O408"/>
    <mergeCell ref="P408:Q408"/>
    <mergeCell ref="T430:U430"/>
    <mergeCell ref="L431:M431"/>
    <mergeCell ref="N431:O431"/>
    <mergeCell ref="P431:Q431"/>
    <mergeCell ref="R431:S431"/>
    <mergeCell ref="T431:U431"/>
    <mergeCell ref="T432:U432"/>
    <mergeCell ref="F397:H397"/>
    <mergeCell ref="I397:J397"/>
    <mergeCell ref="P397:R397"/>
    <mergeCell ref="S397:T397"/>
    <mergeCell ref="P395:Q395"/>
    <mergeCell ref="P394:Q394"/>
    <mergeCell ref="N394:O394"/>
    <mergeCell ref="F375:H375"/>
    <mergeCell ref="I375:J375"/>
    <mergeCell ref="T389:U389"/>
    <mergeCell ref="T390:U390"/>
    <mergeCell ref="P373:Q373"/>
    <mergeCell ref="T367:U367"/>
    <mergeCell ref="H394:I394"/>
    <mergeCell ref="J394:K394"/>
    <mergeCell ref="L394:M394"/>
    <mergeCell ref="R389:S389"/>
    <mergeCell ref="T368:U368"/>
    <mergeCell ref="F355:H355"/>
    <mergeCell ref="I355:J355"/>
    <mergeCell ref="P355:R355"/>
    <mergeCell ref="S355:T355"/>
    <mergeCell ref="N348:O348"/>
    <mergeCell ref="P348:Q348"/>
    <mergeCell ref="R348:S348"/>
    <mergeCell ref="P353:Q353"/>
    <mergeCell ref="N352:O352"/>
    <mergeCell ref="P352:Q352"/>
    <mergeCell ref="P345:Q345"/>
    <mergeCell ref="N346:O346"/>
    <mergeCell ref="P346:Q346"/>
    <mergeCell ref="R346:S346"/>
    <mergeCell ref="T346:U346"/>
    <mergeCell ref="T348:U348"/>
    <mergeCell ref="N347:O347"/>
    <mergeCell ref="P347:Q347"/>
    <mergeCell ref="L345:M345"/>
    <mergeCell ref="P289:Q289"/>
    <mergeCell ref="P281:Q281"/>
    <mergeCell ref="T282:U282"/>
    <mergeCell ref="T283:U283"/>
    <mergeCell ref="T284:U284"/>
    <mergeCell ref="L263:M263"/>
    <mergeCell ref="N263:O263"/>
    <mergeCell ref="S292:U292"/>
    <mergeCell ref="F333:H333"/>
    <mergeCell ref="I333:J333"/>
    <mergeCell ref="P333:R333"/>
    <mergeCell ref="S333:T333"/>
    <mergeCell ref="H330:I330"/>
    <mergeCell ref="P331:Q331"/>
    <mergeCell ref="N330:O330"/>
    <mergeCell ref="P330:Q330"/>
    <mergeCell ref="F313:H313"/>
    <mergeCell ref="I313:J313"/>
    <mergeCell ref="P313:R313"/>
    <mergeCell ref="T325:U325"/>
    <mergeCell ref="T326:U326"/>
    <mergeCell ref="H269:I269"/>
    <mergeCell ref="L269:M269"/>
    <mergeCell ref="L305:M305"/>
    <mergeCell ref="N305:O305"/>
    <mergeCell ref="P305:Q305"/>
    <mergeCell ref="R305:S305"/>
    <mergeCell ref="P303:Q303"/>
    <mergeCell ref="P323:Q323"/>
    <mergeCell ref="P291:R291"/>
    <mergeCell ref="S291:T291"/>
    <mergeCell ref="F292:H292"/>
    <mergeCell ref="T199:U199"/>
    <mergeCell ref="T200:U200"/>
    <mergeCell ref="F229:H229"/>
    <mergeCell ref="I229:J229"/>
    <mergeCell ref="P229:R229"/>
    <mergeCell ref="S229:T229"/>
    <mergeCell ref="P227:Q227"/>
    <mergeCell ref="P226:Q226"/>
    <mergeCell ref="P208:R208"/>
    <mergeCell ref="H227:I227"/>
    <mergeCell ref="L227:M227"/>
    <mergeCell ref="L226:M226"/>
    <mergeCell ref="N226:O226"/>
    <mergeCell ref="F208:H208"/>
    <mergeCell ref="I208:K208"/>
    <mergeCell ref="H226:I226"/>
    <mergeCell ref="J226:K226"/>
    <mergeCell ref="R220:S220"/>
    <mergeCell ref="T220:U220"/>
    <mergeCell ref="T221:U221"/>
    <mergeCell ref="T222:U222"/>
    <mergeCell ref="J199:K199"/>
    <mergeCell ref="L199:M199"/>
    <mergeCell ref="N199:O199"/>
    <mergeCell ref="P199:Q199"/>
    <mergeCell ref="R199:S199"/>
    <mergeCell ref="S207:T207"/>
    <mergeCell ref="P219:Q219"/>
    <mergeCell ref="H222:I222"/>
    <mergeCell ref="J222:K222"/>
    <mergeCell ref="L222:M222"/>
    <mergeCell ref="N222:O222"/>
    <mergeCell ref="I188:K188"/>
    <mergeCell ref="P188:R188"/>
    <mergeCell ref="L136:M136"/>
    <mergeCell ref="N136:O136"/>
    <mergeCell ref="P136:Q136"/>
    <mergeCell ref="R136:S136"/>
    <mergeCell ref="P155:Q155"/>
    <mergeCell ref="H158:I158"/>
    <mergeCell ref="J158:K158"/>
    <mergeCell ref="L158:M158"/>
    <mergeCell ref="N158:O158"/>
    <mergeCell ref="P158:Q158"/>
    <mergeCell ref="R158:S158"/>
    <mergeCell ref="T158:U158"/>
    <mergeCell ref="P163:Q163"/>
    <mergeCell ref="L155:M155"/>
    <mergeCell ref="N156:O156"/>
    <mergeCell ref="N157:O157"/>
    <mergeCell ref="P157:Q157"/>
    <mergeCell ref="R157:S157"/>
    <mergeCell ref="T157:U157"/>
    <mergeCell ref="F187:H187"/>
    <mergeCell ref="I187:J187"/>
    <mergeCell ref="P187:R187"/>
    <mergeCell ref="F82:H82"/>
    <mergeCell ref="I82:K82"/>
    <mergeCell ref="P82:R82"/>
    <mergeCell ref="F100:G100"/>
    <mergeCell ref="H100:I100"/>
    <mergeCell ref="J100:K100"/>
    <mergeCell ref="L100:M100"/>
    <mergeCell ref="S123:T123"/>
    <mergeCell ref="F103:H103"/>
    <mergeCell ref="I103:J103"/>
    <mergeCell ref="P103:R103"/>
    <mergeCell ref="S103:T103"/>
    <mergeCell ref="F104:H104"/>
    <mergeCell ref="I104:K104"/>
    <mergeCell ref="P104:R104"/>
    <mergeCell ref="P101:Q101"/>
    <mergeCell ref="P120:Q120"/>
    <mergeCell ref="P121:Q121"/>
    <mergeCell ref="N120:O120"/>
    <mergeCell ref="F123:H123"/>
    <mergeCell ref="I123:J123"/>
    <mergeCell ref="P123:R123"/>
    <mergeCell ref="R94:S94"/>
    <mergeCell ref="T94:U94"/>
    <mergeCell ref="T96:U96"/>
    <mergeCell ref="P113:Q113"/>
    <mergeCell ref="T115:U115"/>
    <mergeCell ref="N114:O114"/>
    <mergeCell ref="P114:Q114"/>
    <mergeCell ref="R114:S114"/>
    <mergeCell ref="T114:U114"/>
    <mergeCell ref="T116:U116"/>
    <mergeCell ref="B10:C10"/>
    <mergeCell ref="D10:E10"/>
    <mergeCell ref="F10:G10"/>
    <mergeCell ref="H10:I10"/>
    <mergeCell ref="J10:K10"/>
    <mergeCell ref="L10:M10"/>
    <mergeCell ref="N10:O10"/>
    <mergeCell ref="P10:Q10"/>
    <mergeCell ref="N2:O2"/>
    <mergeCell ref="AK2:AL2"/>
    <mergeCell ref="N3:O3"/>
    <mergeCell ref="AK3:AL3"/>
    <mergeCell ref="D9:E9"/>
    <mergeCell ref="H9:I9"/>
    <mergeCell ref="L9:M9"/>
    <mergeCell ref="P9:Q9"/>
    <mergeCell ref="F62:H62"/>
    <mergeCell ref="I62:K62"/>
    <mergeCell ref="P62:R62"/>
    <mergeCell ref="N11:O11"/>
    <mergeCell ref="P11:Q11"/>
    <mergeCell ref="AJ15:AM15"/>
    <mergeCell ref="X16:AA16"/>
    <mergeCell ref="AB16:AE16"/>
    <mergeCell ref="AF16:AI16"/>
    <mergeCell ref="AJ16:AM16"/>
    <mergeCell ref="N23:O23"/>
    <mergeCell ref="D29:E29"/>
    <mergeCell ref="H29:I29"/>
    <mergeCell ref="L29:M29"/>
    <mergeCell ref="P29:Q29"/>
    <mergeCell ref="F61:H61"/>
    <mergeCell ref="B11:C11"/>
    <mergeCell ref="D11:E11"/>
    <mergeCell ref="F11:G11"/>
    <mergeCell ref="H11:I11"/>
    <mergeCell ref="J11:K11"/>
    <mergeCell ref="L11:M11"/>
    <mergeCell ref="X15:AA15"/>
    <mergeCell ref="AB15:AE15"/>
    <mergeCell ref="AF15:AI15"/>
    <mergeCell ref="AP10:AQ10"/>
    <mergeCell ref="X11:AA11"/>
    <mergeCell ref="AB11:AE11"/>
    <mergeCell ref="AF11:AI11"/>
    <mergeCell ref="AJ11:AM11"/>
    <mergeCell ref="R10:S10"/>
    <mergeCell ref="T10:U10"/>
    <mergeCell ref="X9:AA9"/>
    <mergeCell ref="AB9:AE9"/>
    <mergeCell ref="AF9:AI9"/>
    <mergeCell ref="AJ9:AM9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R11:S11"/>
    <mergeCell ref="T11:U11"/>
    <mergeCell ref="AN11:AQ11"/>
    <mergeCell ref="B16:C16"/>
    <mergeCell ref="D16:E16"/>
    <mergeCell ref="F16:G16"/>
    <mergeCell ref="H16:I16"/>
    <mergeCell ref="J16:K16"/>
    <mergeCell ref="AN15:AQ15"/>
    <mergeCell ref="R12:S12"/>
    <mergeCell ref="T12:U12"/>
    <mergeCell ref="B12:C12"/>
    <mergeCell ref="D12:E12"/>
    <mergeCell ref="F12:G12"/>
    <mergeCell ref="H12:I12"/>
    <mergeCell ref="J12:K12"/>
    <mergeCell ref="L12:M12"/>
    <mergeCell ref="N12:O12"/>
    <mergeCell ref="P12:Q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AP12:AQ12"/>
    <mergeCell ref="AN16:AQ16"/>
    <mergeCell ref="X19:AQ19"/>
    <mergeCell ref="X20:AA20"/>
    <mergeCell ref="AB20:AE20"/>
    <mergeCell ref="AF20:AI20"/>
    <mergeCell ref="AJ20:AM20"/>
    <mergeCell ref="F19:H19"/>
    <mergeCell ref="F20:H20"/>
    <mergeCell ref="N22:O22"/>
    <mergeCell ref="R16:U16"/>
    <mergeCell ref="I19:J19"/>
    <mergeCell ref="AN20:AQ20"/>
    <mergeCell ref="AN21:AO21"/>
    <mergeCell ref="AP21:AQ21"/>
    <mergeCell ref="AN22:AO22"/>
    <mergeCell ref="AP22:AQ22"/>
    <mergeCell ref="D17:E17"/>
    <mergeCell ref="H17:I17"/>
    <mergeCell ref="L17:M17"/>
    <mergeCell ref="P17:Q17"/>
    <mergeCell ref="L16:M16"/>
    <mergeCell ref="N16:O16"/>
    <mergeCell ref="P16:Q16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F39:H39"/>
    <mergeCell ref="F40:H40"/>
    <mergeCell ref="R36:U36"/>
    <mergeCell ref="D37:E37"/>
    <mergeCell ref="H37:I37"/>
    <mergeCell ref="L37:M37"/>
    <mergeCell ref="P37:Q37"/>
    <mergeCell ref="I39:J39"/>
    <mergeCell ref="P39:R39"/>
    <mergeCell ref="I40:K40"/>
    <mergeCell ref="P40:R40"/>
    <mergeCell ref="P81:R81"/>
    <mergeCell ref="S81:T81"/>
    <mergeCell ref="P79:Q79"/>
    <mergeCell ref="N78:O78"/>
    <mergeCell ref="P78:Q78"/>
    <mergeCell ref="I61:J61"/>
    <mergeCell ref="P61:R61"/>
    <mergeCell ref="R73:S73"/>
    <mergeCell ref="T73:U73"/>
    <mergeCell ref="R74:S74"/>
    <mergeCell ref="T74:U74"/>
    <mergeCell ref="P73:Q73"/>
    <mergeCell ref="P74:Q74"/>
    <mergeCell ref="F81:H81"/>
    <mergeCell ref="I81:J81"/>
    <mergeCell ref="D79:E79"/>
    <mergeCell ref="H79:I79"/>
    <mergeCell ref="L79:M79"/>
    <mergeCell ref="P71:Q71"/>
    <mergeCell ref="L72:M72"/>
    <mergeCell ref="N72:O72"/>
    <mergeCell ref="F398:H398"/>
    <mergeCell ref="I398:K398"/>
    <mergeCell ref="P398:R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P375:R375"/>
    <mergeCell ref="R408:S408"/>
    <mergeCell ref="D373:E373"/>
    <mergeCell ref="H373:I373"/>
    <mergeCell ref="L373:M373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D415:E415"/>
    <mergeCell ref="H415:I415"/>
    <mergeCell ref="L415:M415"/>
    <mergeCell ref="P415:Q415"/>
    <mergeCell ref="F417:H417"/>
    <mergeCell ref="I417:J417"/>
    <mergeCell ref="P417:R417"/>
    <mergeCell ref="N432:O432"/>
    <mergeCell ref="P432:Q432"/>
    <mergeCell ref="R432:S432"/>
    <mergeCell ref="R430:S430"/>
    <mergeCell ref="B431:C431"/>
    <mergeCell ref="D431:E431"/>
    <mergeCell ref="F431:G431"/>
    <mergeCell ref="H431:I431"/>
    <mergeCell ref="J431:K431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F415:G415"/>
    <mergeCell ref="J415:K415"/>
    <mergeCell ref="N415:O415"/>
    <mergeCell ref="S417:T417"/>
    <mergeCell ref="F418:H418"/>
    <mergeCell ref="I418:K418"/>
    <mergeCell ref="P418:R418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F479:G479"/>
    <mergeCell ref="J479:K479"/>
    <mergeCell ref="N479:O479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F457:G457"/>
    <mergeCell ref="J457:K457"/>
    <mergeCell ref="N457:O457"/>
    <mergeCell ref="F460:H460"/>
    <mergeCell ref="I460:K460"/>
    <mergeCell ref="P460:R460"/>
    <mergeCell ref="D471:E471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D479:E479"/>
    <mergeCell ref="H479:I479"/>
    <mergeCell ref="L479:M479"/>
    <mergeCell ref="P479:Q479"/>
    <mergeCell ref="F481:H481"/>
    <mergeCell ref="I481:J481"/>
    <mergeCell ref="P481:R481"/>
    <mergeCell ref="N494:O494"/>
    <mergeCell ref="P494:Q494"/>
    <mergeCell ref="R494:S494"/>
    <mergeCell ref="R492:S492"/>
    <mergeCell ref="B493:C493"/>
    <mergeCell ref="D493:E493"/>
    <mergeCell ref="F493:G493"/>
    <mergeCell ref="H493:I493"/>
    <mergeCell ref="J493:K493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F523:H523"/>
    <mergeCell ref="I523:J523"/>
    <mergeCell ref="P523:R523"/>
    <mergeCell ref="D583:E583"/>
    <mergeCell ref="H583:I583"/>
    <mergeCell ref="L583:M583"/>
    <mergeCell ref="D563:E563"/>
    <mergeCell ref="H563:I563"/>
    <mergeCell ref="L563:M563"/>
    <mergeCell ref="P563:Q563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F563:G563"/>
    <mergeCell ref="J563:K563"/>
    <mergeCell ref="N563:O563"/>
    <mergeCell ref="F565:H565"/>
    <mergeCell ref="I565:J565"/>
    <mergeCell ref="P565:R565"/>
    <mergeCell ref="R578:S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F605:G605"/>
    <mergeCell ref="J605:K605"/>
    <mergeCell ref="N605:O605"/>
    <mergeCell ref="D605:E605"/>
    <mergeCell ref="H605:I605"/>
    <mergeCell ref="L605:M605"/>
    <mergeCell ref="P605:Q605"/>
    <mergeCell ref="B624:C624"/>
    <mergeCell ref="D624:E624"/>
    <mergeCell ref="F624:G624"/>
    <mergeCell ref="H624:I624"/>
    <mergeCell ref="J624:K624"/>
    <mergeCell ref="B619:C619"/>
    <mergeCell ref="D619:E619"/>
    <mergeCell ref="F619:G619"/>
    <mergeCell ref="N619:O619"/>
    <mergeCell ref="P619:Q619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D667:E667"/>
    <mergeCell ref="H667:I667"/>
    <mergeCell ref="L667:M667"/>
    <mergeCell ref="P667:Q667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B660:C660"/>
    <mergeCell ref="D660:E660"/>
    <mergeCell ref="F660:G660"/>
    <mergeCell ref="H660:I660"/>
    <mergeCell ref="J660:K660"/>
    <mergeCell ref="L660:M660"/>
    <mergeCell ref="N660:O660"/>
    <mergeCell ref="B78:C78"/>
    <mergeCell ref="D78:E78"/>
    <mergeCell ref="F78:G78"/>
    <mergeCell ref="H78:I78"/>
    <mergeCell ref="J78:K78"/>
    <mergeCell ref="L78:M78"/>
    <mergeCell ref="B73:C73"/>
    <mergeCell ref="D73:E73"/>
    <mergeCell ref="F73:G73"/>
    <mergeCell ref="H73:I73"/>
    <mergeCell ref="J73:K73"/>
    <mergeCell ref="L73:M73"/>
    <mergeCell ref="B74:C74"/>
    <mergeCell ref="D74:E74"/>
    <mergeCell ref="N58:O58"/>
    <mergeCell ref="D59:E59"/>
    <mergeCell ref="H59:I59"/>
    <mergeCell ref="L59:M59"/>
    <mergeCell ref="N73:O73"/>
    <mergeCell ref="F74:G74"/>
    <mergeCell ref="H74:I74"/>
    <mergeCell ref="J74:K74"/>
    <mergeCell ref="L74:M74"/>
    <mergeCell ref="N74:O74"/>
    <mergeCell ref="D71:E71"/>
    <mergeCell ref="H71:I71"/>
    <mergeCell ref="L71:M71"/>
    <mergeCell ref="B72:C72"/>
    <mergeCell ref="D72:E72"/>
    <mergeCell ref="F72:G72"/>
    <mergeCell ref="H72:I72"/>
    <mergeCell ref="P271:R271"/>
    <mergeCell ref="P269:Q269"/>
    <mergeCell ref="R263:S263"/>
    <mergeCell ref="S250:U250"/>
    <mergeCell ref="D261:E261"/>
    <mergeCell ref="P261:Q261"/>
    <mergeCell ref="N240:O240"/>
    <mergeCell ref="P240:Q240"/>
    <mergeCell ref="B120:C120"/>
    <mergeCell ref="D120:E120"/>
    <mergeCell ref="F120:G120"/>
    <mergeCell ref="H120:I120"/>
    <mergeCell ref="J120:K120"/>
    <mergeCell ref="D226:E226"/>
    <mergeCell ref="F226:G226"/>
    <mergeCell ref="B142:C142"/>
    <mergeCell ref="D142:E142"/>
    <mergeCell ref="F142:G142"/>
    <mergeCell ref="H142:I142"/>
    <mergeCell ref="J142:K142"/>
    <mergeCell ref="F165:H165"/>
    <mergeCell ref="I165:J165"/>
    <mergeCell ref="B162:C162"/>
    <mergeCell ref="D162:E162"/>
    <mergeCell ref="F162:G162"/>
    <mergeCell ref="H162:I162"/>
    <mergeCell ref="B136:C136"/>
    <mergeCell ref="B137:C137"/>
    <mergeCell ref="J137:K137"/>
    <mergeCell ref="F124:H124"/>
    <mergeCell ref="H204:I204"/>
    <mergeCell ref="H135:I135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D199:E199"/>
    <mergeCell ref="F199:G199"/>
    <mergeCell ref="D135:E135"/>
    <mergeCell ref="I292:K292"/>
    <mergeCell ref="P292:R292"/>
    <mergeCell ref="J288:K288"/>
    <mergeCell ref="L288:M288"/>
    <mergeCell ref="N288:O288"/>
    <mergeCell ref="P288:Q288"/>
    <mergeCell ref="D262:E262"/>
    <mergeCell ref="F262:G262"/>
    <mergeCell ref="D227:E227"/>
    <mergeCell ref="D263:E263"/>
    <mergeCell ref="F263:G263"/>
    <mergeCell ref="H263:I263"/>
    <mergeCell ref="J263:K263"/>
    <mergeCell ref="P246:Q246"/>
    <mergeCell ref="D246:E246"/>
    <mergeCell ref="F246:G246"/>
    <mergeCell ref="F230:H230"/>
    <mergeCell ref="I230:K230"/>
    <mergeCell ref="P230:R230"/>
    <mergeCell ref="P263:Q263"/>
    <mergeCell ref="I250:K250"/>
    <mergeCell ref="T263:U263"/>
    <mergeCell ref="T264:U264"/>
    <mergeCell ref="H262:I262"/>
    <mergeCell ref="J262:K262"/>
    <mergeCell ref="L262:M262"/>
    <mergeCell ref="N262:O262"/>
    <mergeCell ref="P262:Q262"/>
    <mergeCell ref="R262:S262"/>
    <mergeCell ref="T262:U262"/>
    <mergeCell ref="F250:H250"/>
    <mergeCell ref="L120:M120"/>
    <mergeCell ref="H121:I121"/>
    <mergeCell ref="L121:M121"/>
    <mergeCell ref="H163:I163"/>
    <mergeCell ref="L163:M163"/>
    <mergeCell ref="D143:E143"/>
    <mergeCell ref="H143:I143"/>
    <mergeCell ref="P156:Q156"/>
    <mergeCell ref="R137:S137"/>
    <mergeCell ref="T137:U137"/>
    <mergeCell ref="P250:R250"/>
    <mergeCell ref="D136:E136"/>
    <mergeCell ref="F136:G136"/>
    <mergeCell ref="H136:I136"/>
    <mergeCell ref="J136:K136"/>
    <mergeCell ref="F166:H166"/>
    <mergeCell ref="I166:K166"/>
    <mergeCell ref="J162:K162"/>
    <mergeCell ref="L162:M162"/>
    <mergeCell ref="N162:O162"/>
    <mergeCell ref="P162:Q162"/>
    <mergeCell ref="S187:T187"/>
    <mergeCell ref="D113:E113"/>
    <mergeCell ref="H113:I113"/>
    <mergeCell ref="L113:M113"/>
    <mergeCell ref="B263:C263"/>
    <mergeCell ref="B184:C184"/>
    <mergeCell ref="D184:E184"/>
    <mergeCell ref="F184:G184"/>
    <mergeCell ref="H184:I184"/>
    <mergeCell ref="J184:K184"/>
    <mergeCell ref="L184:M184"/>
    <mergeCell ref="B204:C204"/>
    <mergeCell ref="D204:E204"/>
    <mergeCell ref="F204:G204"/>
    <mergeCell ref="D205:E205"/>
    <mergeCell ref="B226:C226"/>
    <mergeCell ref="B246:C246"/>
    <mergeCell ref="D185:E185"/>
    <mergeCell ref="H185:I185"/>
    <mergeCell ref="L185:M185"/>
    <mergeCell ref="I124:K124"/>
    <mergeCell ref="D121:E121"/>
    <mergeCell ref="D163:E163"/>
    <mergeCell ref="H261:I261"/>
    <mergeCell ref="L261:M261"/>
    <mergeCell ref="H199:I199"/>
    <mergeCell ref="B114:C114"/>
    <mergeCell ref="D114:E114"/>
    <mergeCell ref="F114:G114"/>
    <mergeCell ref="H114:I114"/>
    <mergeCell ref="J114:K114"/>
    <mergeCell ref="L114:M114"/>
    <mergeCell ref="B220:C220"/>
    <mergeCell ref="B347:C347"/>
    <mergeCell ref="D347:E347"/>
    <mergeCell ref="F347:G347"/>
    <mergeCell ref="H347:I347"/>
    <mergeCell ref="J347:K347"/>
    <mergeCell ref="L347:M347"/>
    <mergeCell ref="B156:C156"/>
    <mergeCell ref="D156:E156"/>
    <mergeCell ref="F156:G156"/>
    <mergeCell ref="H156:I156"/>
    <mergeCell ref="J156:K156"/>
    <mergeCell ref="L156:M156"/>
    <mergeCell ref="B157:C157"/>
    <mergeCell ref="D157:E157"/>
    <mergeCell ref="F157:G157"/>
    <mergeCell ref="H157:I157"/>
    <mergeCell ref="J157:K157"/>
    <mergeCell ref="F291:H291"/>
    <mergeCell ref="I291:J291"/>
    <mergeCell ref="B199:C199"/>
    <mergeCell ref="L157:M157"/>
    <mergeCell ref="D219:E219"/>
    <mergeCell ref="H219:I219"/>
    <mergeCell ref="L219:M219"/>
    <mergeCell ref="B222:C222"/>
    <mergeCell ref="D222:E222"/>
    <mergeCell ref="F222:G222"/>
    <mergeCell ref="B262:C262"/>
    <mergeCell ref="F271:H271"/>
    <mergeCell ref="I271:J271"/>
    <mergeCell ref="B179:C179"/>
    <mergeCell ref="F188:H188"/>
    <mergeCell ref="B352:C352"/>
    <mergeCell ref="D331:E331"/>
    <mergeCell ref="H331:I331"/>
    <mergeCell ref="L331:M331"/>
    <mergeCell ref="B288:C288"/>
    <mergeCell ref="D288:E288"/>
    <mergeCell ref="F288:G288"/>
    <mergeCell ref="H288:I288"/>
    <mergeCell ref="D289:E289"/>
    <mergeCell ref="H289:I289"/>
    <mergeCell ref="L289:M289"/>
    <mergeCell ref="B330:C330"/>
    <mergeCell ref="D330:E330"/>
    <mergeCell ref="F330:G330"/>
    <mergeCell ref="J330:K330"/>
    <mergeCell ref="L330:M330"/>
    <mergeCell ref="F310:G310"/>
    <mergeCell ref="H310:I310"/>
    <mergeCell ref="J310:K310"/>
    <mergeCell ref="D303:E303"/>
    <mergeCell ref="H303:I303"/>
    <mergeCell ref="D323:E323"/>
    <mergeCell ref="H323:I323"/>
    <mergeCell ref="L323:M323"/>
    <mergeCell ref="L303:M303"/>
    <mergeCell ref="B306:C306"/>
    <mergeCell ref="D306:E306"/>
    <mergeCell ref="F306:G306"/>
    <mergeCell ref="L310:M310"/>
    <mergeCell ref="F314:H314"/>
    <mergeCell ref="I314:K314"/>
    <mergeCell ref="B305:C305"/>
    <mergeCell ref="Z23:AA23"/>
    <mergeCell ref="AB23:AC23"/>
    <mergeCell ref="AD23:AE23"/>
    <mergeCell ref="AF23:AG23"/>
    <mergeCell ref="AH23:AI23"/>
    <mergeCell ref="AJ23:AK23"/>
    <mergeCell ref="AL23:AM23"/>
    <mergeCell ref="Z21:AA21"/>
    <mergeCell ref="AB21:AC21"/>
    <mergeCell ref="AD21:AE21"/>
    <mergeCell ref="AF21:AG21"/>
    <mergeCell ref="AH21:AI21"/>
    <mergeCell ref="AJ21:AK21"/>
    <mergeCell ref="AL21:AM21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X21:Y21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P72:Q72"/>
    <mergeCell ref="R72:S72"/>
    <mergeCell ref="T72:U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8:C58"/>
    <mergeCell ref="D58:E58"/>
    <mergeCell ref="F58:G58"/>
    <mergeCell ref="H58:I58"/>
    <mergeCell ref="J58:K58"/>
    <mergeCell ref="L58:M58"/>
    <mergeCell ref="P58:Q58"/>
    <mergeCell ref="P59:Q59"/>
    <mergeCell ref="J72:K72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100:C100"/>
    <mergeCell ref="D100:E100"/>
    <mergeCell ref="N100:O100"/>
    <mergeCell ref="P100:Q100"/>
    <mergeCell ref="D101:E101"/>
    <mergeCell ref="H101:I101"/>
    <mergeCell ref="L101:M101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R138:S138"/>
    <mergeCell ref="T138:U138"/>
    <mergeCell ref="S145:T145"/>
    <mergeCell ref="R156:S156"/>
    <mergeCell ref="T156:U156"/>
    <mergeCell ref="P142:Q142"/>
    <mergeCell ref="N142:O142"/>
    <mergeCell ref="P145:R145"/>
    <mergeCell ref="P143:Q143"/>
    <mergeCell ref="L143:M143"/>
    <mergeCell ref="P146:R146"/>
    <mergeCell ref="D137:E137"/>
    <mergeCell ref="F137:G137"/>
    <mergeCell ref="H137:I137"/>
    <mergeCell ref="D155:E155"/>
    <mergeCell ref="H155:I155"/>
    <mergeCell ref="F145:H145"/>
    <mergeCell ref="I145:J145"/>
    <mergeCell ref="F146:H146"/>
    <mergeCell ref="I146:K146"/>
    <mergeCell ref="P124:R124"/>
    <mergeCell ref="L142:M142"/>
    <mergeCell ref="P135:Q135"/>
    <mergeCell ref="L135:M135"/>
    <mergeCell ref="T136:U136"/>
    <mergeCell ref="L137:M137"/>
    <mergeCell ref="N137:O137"/>
    <mergeCell ref="P137:Q137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D158:E158"/>
    <mergeCell ref="F158:G158"/>
    <mergeCell ref="B158:C158"/>
    <mergeCell ref="P165:R165"/>
    <mergeCell ref="S165:T165"/>
    <mergeCell ref="P166:R166"/>
    <mergeCell ref="T180:U180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N184:O184"/>
    <mergeCell ref="P184:Q184"/>
    <mergeCell ref="P185:Q185"/>
    <mergeCell ref="D220:E220"/>
    <mergeCell ref="F220:G220"/>
    <mergeCell ref="H220:I220"/>
    <mergeCell ref="J220:K220"/>
    <mergeCell ref="L220:M220"/>
    <mergeCell ref="N220:O220"/>
    <mergeCell ref="P220:Q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P207:R207"/>
    <mergeCell ref="F207:H207"/>
    <mergeCell ref="I207:J207"/>
    <mergeCell ref="J204:K204"/>
    <mergeCell ref="L204:M204"/>
    <mergeCell ref="N204:O204"/>
    <mergeCell ref="P204:Q204"/>
    <mergeCell ref="P205:Q205"/>
    <mergeCell ref="H205:I205"/>
    <mergeCell ref="L205:M205"/>
    <mergeCell ref="P222:Q222"/>
    <mergeCell ref="R222:S222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S230:U230"/>
    <mergeCell ref="T241:U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H246:I246"/>
    <mergeCell ref="D247:E247"/>
    <mergeCell ref="H247:I247"/>
    <mergeCell ref="L247:M247"/>
    <mergeCell ref="J246:K246"/>
    <mergeCell ref="L246:M246"/>
    <mergeCell ref="N246:O246"/>
    <mergeCell ref="S249:T249"/>
    <mergeCell ref="P247:Q247"/>
    <mergeCell ref="F249:H249"/>
    <mergeCell ref="I249:J249"/>
    <mergeCell ref="P249:R249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2:U272"/>
    <mergeCell ref="D281:E281"/>
    <mergeCell ref="H281:I281"/>
    <mergeCell ref="L281:M281"/>
    <mergeCell ref="S271:T271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9:E269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F272:H272"/>
    <mergeCell ref="I272:K272"/>
    <mergeCell ref="P272:R272"/>
    <mergeCell ref="D305:E305"/>
    <mergeCell ref="F305:G305"/>
    <mergeCell ref="N310:O310"/>
    <mergeCell ref="S313:T313"/>
    <mergeCell ref="P314:R314"/>
    <mergeCell ref="P310:Q310"/>
    <mergeCell ref="P311:Q311"/>
    <mergeCell ref="D311:E311"/>
    <mergeCell ref="H311:I311"/>
    <mergeCell ref="L311:M311"/>
    <mergeCell ref="S314:U314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P306:Q306"/>
    <mergeCell ref="R306:S306"/>
    <mergeCell ref="T306:U306"/>
    <mergeCell ref="H306:I306"/>
    <mergeCell ref="J306:K306"/>
    <mergeCell ref="L306:M306"/>
    <mergeCell ref="N306:O306"/>
    <mergeCell ref="H305:I305"/>
    <mergeCell ref="J305:K305"/>
    <mergeCell ref="B310:C310"/>
    <mergeCell ref="D310:E310"/>
    <mergeCell ref="T305:U305"/>
    <mergeCell ref="F356:H356"/>
    <mergeCell ref="I356:K356"/>
    <mergeCell ref="B348:C348"/>
    <mergeCell ref="D348:E348"/>
    <mergeCell ref="F348:G348"/>
    <mergeCell ref="H348:I348"/>
    <mergeCell ref="J348:K348"/>
    <mergeCell ref="L348:M348"/>
    <mergeCell ref="D353:E353"/>
    <mergeCell ref="H353:I353"/>
    <mergeCell ref="L353:M353"/>
    <mergeCell ref="F334:H334"/>
    <mergeCell ref="S334:U334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D352:E352"/>
    <mergeCell ref="F352:G352"/>
    <mergeCell ref="H352:I352"/>
    <mergeCell ref="J352:K352"/>
    <mergeCell ref="L352:M352"/>
    <mergeCell ref="D345:E345"/>
    <mergeCell ref="H345:I345"/>
    <mergeCell ref="B346:C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D346:E346"/>
    <mergeCell ref="F346:G346"/>
    <mergeCell ref="H346:I346"/>
    <mergeCell ref="J346:K346"/>
    <mergeCell ref="L346:M346"/>
    <mergeCell ref="P334:R334"/>
    <mergeCell ref="I334:K334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S375:T375"/>
    <mergeCell ref="F376:H376"/>
    <mergeCell ref="I376:K376"/>
    <mergeCell ref="P376:R37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395:E395"/>
    <mergeCell ref="H395:I395"/>
    <mergeCell ref="L395:M395"/>
    <mergeCell ref="B394:C394"/>
    <mergeCell ref="D394:E394"/>
    <mergeCell ref="F394:G394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52:S452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D437:E437"/>
    <mergeCell ref="H437:I437"/>
    <mergeCell ref="L437:M437"/>
    <mergeCell ref="P437:Q437"/>
    <mergeCell ref="B436:C436"/>
    <mergeCell ref="D436:E436"/>
    <mergeCell ref="F436:G436"/>
    <mergeCell ref="H436:I436"/>
    <mergeCell ref="J436:K436"/>
    <mergeCell ref="L436:M436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N436:O436"/>
    <mergeCell ref="P436:Q436"/>
    <mergeCell ref="B437:C437"/>
    <mergeCell ref="F437:G437"/>
    <mergeCell ref="J437:K437"/>
    <mergeCell ref="N437:O437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516:S516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R514:S514"/>
    <mergeCell ref="T514:U514"/>
    <mergeCell ref="S502:U502"/>
    <mergeCell ref="B494:C494"/>
    <mergeCell ref="D494:E494"/>
    <mergeCell ref="F494:G494"/>
    <mergeCell ref="H494:I494"/>
    <mergeCell ref="J494:K494"/>
    <mergeCell ref="L494:M49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S523:T523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L624:M624"/>
    <mergeCell ref="D659:E659"/>
    <mergeCell ref="H659:I659"/>
    <mergeCell ref="L659:M659"/>
    <mergeCell ref="P659:Q659"/>
    <mergeCell ref="B625:C625"/>
    <mergeCell ref="F625:G625"/>
    <mergeCell ref="J625:K625"/>
    <mergeCell ref="N625:O625"/>
    <mergeCell ref="D625:E625"/>
    <mergeCell ref="H625:I625"/>
    <mergeCell ref="L625:M625"/>
    <mergeCell ref="P625:Q625"/>
    <mergeCell ref="P660:Q660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F647:G647"/>
    <mergeCell ref="J647:K647"/>
    <mergeCell ref="N647:O647"/>
    <mergeCell ref="D647:E647"/>
    <mergeCell ref="H647:I647"/>
    <mergeCell ref="L647:M647"/>
    <mergeCell ref="P647:Q647"/>
    <mergeCell ref="F650:H650"/>
    <mergeCell ref="I650:K650"/>
    <mergeCell ref="P650:R65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S356:U356"/>
    <mergeCell ref="S376:U376"/>
    <mergeCell ref="S398:U398"/>
    <mergeCell ref="AN23:AO23"/>
    <mergeCell ref="AP23:AQ23"/>
    <mergeCell ref="S82:U82"/>
    <mergeCell ref="S104:U104"/>
    <mergeCell ref="S124:U124"/>
    <mergeCell ref="S146:U146"/>
    <mergeCell ref="S166:U166"/>
    <mergeCell ref="S188:U188"/>
    <mergeCell ref="S208:U208"/>
    <mergeCell ref="R390:S390"/>
    <mergeCell ref="R368:S368"/>
    <mergeCell ref="R366:S366"/>
    <mergeCell ref="T366:U366"/>
    <mergeCell ref="T347:U347"/>
    <mergeCell ref="R304:S304"/>
    <mergeCell ref="T304:U304"/>
    <mergeCell ref="T242:U242"/>
    <mergeCell ref="R240:S240"/>
    <mergeCell ref="T240:U240"/>
    <mergeCell ref="R200:S200"/>
    <mergeCell ref="R180:S180"/>
    <mergeCell ref="R178:S178"/>
    <mergeCell ref="T178:U178"/>
    <mergeCell ref="T54:U54"/>
    <mergeCell ref="R52:S52"/>
    <mergeCell ref="T52:U52"/>
    <mergeCell ref="R347:S347"/>
    <mergeCell ref="X23:Y23"/>
    <mergeCell ref="P356:R356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showWhiteSpace="0" view="pageLayout" zoomScale="115" zoomScaleNormal="100" zoomScalePageLayoutView="115" workbookViewId="0">
      <selection sqref="A1:XFD671"/>
    </sheetView>
  </sheetViews>
  <sheetFormatPr defaultColWidth="9.140625" defaultRowHeight="15" x14ac:dyDescent="0.25"/>
  <cols>
    <col min="1" max="3" width="3.7109375" customWidth="1"/>
    <col min="4" max="5" width="4" style="50" customWidth="1"/>
    <col min="6" max="7" width="3.7109375" customWidth="1"/>
    <col min="8" max="9" width="4" style="50" customWidth="1"/>
    <col min="10" max="11" width="3.7109375" customWidth="1"/>
    <col min="12" max="13" width="4" style="50" customWidth="1"/>
    <col min="14" max="14" width="5.140625" customWidth="1"/>
    <col min="15" max="15" width="3.7109375" customWidth="1"/>
    <col min="16" max="17" width="4" style="50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14" t="s">
        <v>25</v>
      </c>
      <c r="O2" s="115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52" t="s">
        <v>25</v>
      </c>
      <c r="AL2" s="152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6" t="str">
        <f>N2&amp;".3"</f>
        <v>1.1.3</v>
      </c>
      <c r="O3" s="116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60" t="str">
        <f>AK2&amp;".3"</f>
        <v>1.1.3</v>
      </c>
      <c r="AL3" s="160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38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"-"&amp;N2&amp;".5"</f>
        <v>-1.1.5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"-"&amp;AK2&amp;".6"</f>
        <v>-1.1.6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17">
        <v>1</v>
      </c>
      <c r="E9" s="118"/>
      <c r="F9" s="19"/>
      <c r="G9" s="19"/>
      <c r="H9" s="117">
        <v>2</v>
      </c>
      <c r="I9" s="118"/>
      <c r="J9" s="19"/>
      <c r="K9" s="19"/>
      <c r="L9" s="117">
        <v>3</v>
      </c>
      <c r="M9" s="118"/>
      <c r="N9" s="19"/>
      <c r="O9" s="19"/>
      <c r="P9" s="117">
        <v>4</v>
      </c>
      <c r="Q9" s="118"/>
      <c r="R9" s="19"/>
      <c r="S9" s="19"/>
      <c r="T9" s="19"/>
      <c r="U9" s="19"/>
      <c r="V9" s="20"/>
      <c r="W9" s="5"/>
      <c r="X9" s="157">
        <v>1</v>
      </c>
      <c r="Y9" s="158"/>
      <c r="Z9" s="158"/>
      <c r="AA9" s="159"/>
      <c r="AB9" s="157">
        <v>2</v>
      </c>
      <c r="AC9" s="158"/>
      <c r="AD9" s="158"/>
      <c r="AE9" s="159"/>
      <c r="AF9" s="157">
        <v>3</v>
      </c>
      <c r="AG9" s="158"/>
      <c r="AH9" s="158"/>
      <c r="AI9" s="159"/>
      <c r="AJ9" s="157">
        <v>4</v>
      </c>
      <c r="AK9" s="158"/>
      <c r="AL9" s="158"/>
      <c r="AM9" s="159"/>
      <c r="AN9" s="32"/>
      <c r="AO9" s="32"/>
      <c r="AP9" s="19"/>
      <c r="AQ9" s="19"/>
    </row>
    <row r="10" spans="1:44" ht="15.6" customHeight="1" x14ac:dyDescent="0.25">
      <c r="A10" s="18"/>
      <c r="B10" s="111" t="s">
        <v>6</v>
      </c>
      <c r="C10" s="111"/>
      <c r="D10" s="117" t="s">
        <v>37</v>
      </c>
      <c r="E10" s="118" t="s">
        <v>0</v>
      </c>
      <c r="F10" s="111" t="s">
        <v>6</v>
      </c>
      <c r="G10" s="111"/>
      <c r="H10" s="117" t="s">
        <v>37</v>
      </c>
      <c r="I10" s="118"/>
      <c r="J10" s="111" t="s">
        <v>6</v>
      </c>
      <c r="K10" s="111"/>
      <c r="L10" s="117" t="s">
        <v>37</v>
      </c>
      <c r="M10" s="118"/>
      <c r="N10" s="111" t="s">
        <v>6</v>
      </c>
      <c r="O10" s="111"/>
      <c r="P10" s="117" t="s">
        <v>37</v>
      </c>
      <c r="Q10" s="118"/>
      <c r="R10" s="111"/>
      <c r="S10" s="111"/>
      <c r="T10" s="111"/>
      <c r="U10" s="111"/>
      <c r="V10" s="21"/>
      <c r="W10" s="5"/>
      <c r="X10" s="143" t="s">
        <v>39</v>
      </c>
      <c r="Y10" s="143"/>
      <c r="Z10" s="157" t="s">
        <v>21</v>
      </c>
      <c r="AA10" s="159" t="s">
        <v>0</v>
      </c>
      <c r="AB10" s="145" t="s">
        <v>40</v>
      </c>
      <c r="AC10" s="145"/>
      <c r="AD10" s="157" t="s">
        <v>21</v>
      </c>
      <c r="AE10" s="159" t="s">
        <v>0</v>
      </c>
      <c r="AF10" s="143">
        <v>485</v>
      </c>
      <c r="AG10" s="143"/>
      <c r="AH10" s="157" t="s">
        <v>21</v>
      </c>
      <c r="AI10" s="159" t="s">
        <v>0</v>
      </c>
      <c r="AJ10" s="143">
        <v>485</v>
      </c>
      <c r="AK10" s="143"/>
      <c r="AL10" s="157" t="s">
        <v>21</v>
      </c>
      <c r="AM10" s="159" t="s">
        <v>0</v>
      </c>
      <c r="AN10" s="143"/>
      <c r="AO10" s="143"/>
      <c r="AP10" s="111"/>
      <c r="AQ10" s="111"/>
    </row>
    <row r="11" spans="1:44" ht="15.6" customHeight="1" x14ac:dyDescent="0.25">
      <c r="A11" s="18"/>
      <c r="B11" s="110"/>
      <c r="C11" s="110"/>
      <c r="D11" s="112"/>
      <c r="E11" s="112"/>
      <c r="F11" s="110"/>
      <c r="G11" s="110"/>
      <c r="H11" s="112"/>
      <c r="I11" s="112"/>
      <c r="J11" s="110"/>
      <c r="K11" s="110"/>
      <c r="L11" s="112"/>
      <c r="M11" s="112"/>
      <c r="N11" s="110"/>
      <c r="O11" s="110"/>
      <c r="P11" s="112"/>
      <c r="Q11" s="112"/>
      <c r="R11" s="110"/>
      <c r="S11" s="110"/>
      <c r="T11" s="110"/>
      <c r="U11" s="110"/>
      <c r="V11" s="21"/>
      <c r="W11" s="5"/>
      <c r="X11" s="157" t="s">
        <v>26</v>
      </c>
      <c r="Y11" s="158"/>
      <c r="Z11" s="158"/>
      <c r="AA11" s="159"/>
      <c r="AB11" s="157" t="s">
        <v>27</v>
      </c>
      <c r="AC11" s="158"/>
      <c r="AD11" s="158"/>
      <c r="AE11" s="159"/>
      <c r="AF11" s="157" t="s">
        <v>28</v>
      </c>
      <c r="AG11" s="158"/>
      <c r="AH11" s="158"/>
      <c r="AI11" s="159"/>
      <c r="AJ11" s="157"/>
      <c r="AK11" s="158"/>
      <c r="AL11" s="158"/>
      <c r="AM11" s="159"/>
      <c r="AN11" s="157"/>
      <c r="AO11" s="158"/>
      <c r="AP11" s="158"/>
      <c r="AQ11" s="159"/>
    </row>
    <row r="12" spans="1:44" ht="15.6" customHeight="1" x14ac:dyDescent="0.25">
      <c r="A12" s="18"/>
      <c r="B12" s="111">
        <v>0</v>
      </c>
      <c r="C12" s="111"/>
      <c r="D12" s="113">
        <v>1</v>
      </c>
      <c r="E12" s="113">
        <v>1</v>
      </c>
      <c r="F12" s="111">
        <v>2</v>
      </c>
      <c r="G12" s="111">
        <v>2</v>
      </c>
      <c r="H12" s="113">
        <v>3</v>
      </c>
      <c r="I12" s="113">
        <v>3</v>
      </c>
      <c r="J12" s="111">
        <v>4</v>
      </c>
      <c r="K12" s="111">
        <v>4</v>
      </c>
      <c r="L12" s="113">
        <v>5</v>
      </c>
      <c r="M12" s="113"/>
      <c r="N12" s="111">
        <v>6</v>
      </c>
      <c r="O12" s="111">
        <v>1</v>
      </c>
      <c r="P12" s="113">
        <v>7</v>
      </c>
      <c r="Q12" s="113">
        <v>2</v>
      </c>
      <c r="R12" s="111">
        <v>8</v>
      </c>
      <c r="S12" s="111">
        <v>3</v>
      </c>
      <c r="T12" s="111">
        <v>9</v>
      </c>
      <c r="U12" s="111">
        <v>4</v>
      </c>
      <c r="V12" s="23"/>
      <c r="W12" s="5"/>
      <c r="X12" s="143">
        <v>0</v>
      </c>
      <c r="Y12" s="143"/>
      <c r="Z12" s="143">
        <v>1</v>
      </c>
      <c r="AA12" s="143">
        <v>1</v>
      </c>
      <c r="AB12" s="143">
        <v>2</v>
      </c>
      <c r="AC12" s="143">
        <v>2</v>
      </c>
      <c r="AD12" s="143">
        <v>3</v>
      </c>
      <c r="AE12" s="143">
        <v>3</v>
      </c>
      <c r="AF12" s="143">
        <v>4</v>
      </c>
      <c r="AG12" s="143">
        <v>4</v>
      </c>
      <c r="AH12" s="143">
        <v>5</v>
      </c>
      <c r="AI12" s="143"/>
      <c r="AJ12" s="143">
        <v>6</v>
      </c>
      <c r="AK12" s="143">
        <v>1</v>
      </c>
      <c r="AL12" s="143">
        <v>7</v>
      </c>
      <c r="AM12" s="143">
        <v>2</v>
      </c>
      <c r="AN12" s="143">
        <v>8</v>
      </c>
      <c r="AO12" s="143">
        <v>3</v>
      </c>
      <c r="AP12" s="111">
        <v>9</v>
      </c>
      <c r="AQ12" s="111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53" t="s">
        <v>23</v>
      </c>
      <c r="Y15" s="154"/>
      <c r="Z15" s="154"/>
      <c r="AA15" s="154"/>
      <c r="AB15" s="153" t="s">
        <v>23</v>
      </c>
      <c r="AC15" s="154"/>
      <c r="AD15" s="154"/>
      <c r="AE15" s="154"/>
      <c r="AF15" s="153"/>
      <c r="AG15" s="154" t="s">
        <v>23</v>
      </c>
      <c r="AH15" s="154"/>
      <c r="AI15" s="154"/>
      <c r="AJ15" s="153"/>
      <c r="AK15" s="154" t="s">
        <v>23</v>
      </c>
      <c r="AL15" s="154"/>
      <c r="AM15" s="154"/>
      <c r="AN15" s="153"/>
      <c r="AO15" s="154"/>
      <c r="AP15" s="154"/>
      <c r="AQ15" s="154"/>
    </row>
    <row r="16" spans="1:44" ht="15.6" customHeight="1" thickBot="1" x14ac:dyDescent="0.3">
      <c r="A16" s="5"/>
      <c r="B16" s="135"/>
      <c r="C16" s="136"/>
      <c r="D16" s="133"/>
      <c r="E16" s="134"/>
      <c r="F16" s="135"/>
      <c r="G16" s="136"/>
      <c r="H16" s="133"/>
      <c r="I16" s="134"/>
      <c r="J16" s="135"/>
      <c r="K16" s="136"/>
      <c r="L16" s="133"/>
      <c r="M16" s="134"/>
      <c r="N16" s="135"/>
      <c r="O16" s="136"/>
      <c r="P16" s="133"/>
      <c r="Q16" s="134"/>
      <c r="R16" s="110"/>
      <c r="S16" s="110"/>
      <c r="T16" s="110"/>
      <c r="U16" s="110"/>
      <c r="V16" s="27"/>
      <c r="W16" s="35"/>
      <c r="X16" s="155" t="s">
        <v>22</v>
      </c>
      <c r="Y16" s="156"/>
      <c r="Z16" s="156"/>
      <c r="AA16" s="156"/>
      <c r="AB16" s="155" t="s">
        <v>22</v>
      </c>
      <c r="AC16" s="156"/>
      <c r="AD16" s="156"/>
      <c r="AE16" s="156"/>
      <c r="AF16" s="155"/>
      <c r="AG16" s="156"/>
      <c r="AH16" s="156"/>
      <c r="AI16" s="156"/>
      <c r="AJ16" s="155"/>
      <c r="AK16" s="156"/>
      <c r="AL16" s="156"/>
      <c r="AM16" s="156"/>
      <c r="AN16" s="155"/>
      <c r="AO16" s="156"/>
      <c r="AP16" s="156"/>
      <c r="AQ16" s="156"/>
    </row>
    <row r="17" spans="1:44" ht="15.6" customHeight="1" x14ac:dyDescent="0.25">
      <c r="A17" s="5"/>
      <c r="B17" s="59" t="str">
        <f>IF(D16&lt;1,"","пом.")</f>
        <v/>
      </c>
      <c r="C17" s="59"/>
      <c r="D17" s="102"/>
      <c r="E17" s="103"/>
      <c r="F17" s="59" t="str">
        <f>IF(H16&lt;1,"","пом.")</f>
        <v/>
      </c>
      <c r="G17" s="59"/>
      <c r="H17" s="102"/>
      <c r="I17" s="103"/>
      <c r="J17" s="59" t="str">
        <f>IF(L16&lt;1,"","пом.")</f>
        <v/>
      </c>
      <c r="K17" s="59"/>
      <c r="L17" s="102"/>
      <c r="M17" s="103"/>
      <c r="N17" s="59" t="str">
        <f>IF(P16&lt;1,"","пом.")</f>
        <v/>
      </c>
      <c r="O17" s="59"/>
      <c r="P17" s="102"/>
      <c r="Q17" s="103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104" t="s">
        <v>12</v>
      </c>
      <c r="G19" s="104"/>
      <c r="H19" s="104"/>
      <c r="I19" s="104" t="s">
        <v>41</v>
      </c>
      <c r="J19" s="104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6" t="s">
        <v>29</v>
      </c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8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104" t="s">
        <v>16</v>
      </c>
      <c r="G20" s="104"/>
      <c r="H20" s="104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5"/>
      <c r="X20" s="149" t="s">
        <v>26</v>
      </c>
      <c r="Y20" s="150"/>
      <c r="Z20" s="150"/>
      <c r="AA20" s="151"/>
      <c r="AB20" s="149" t="s">
        <v>27</v>
      </c>
      <c r="AC20" s="150"/>
      <c r="AD20" s="150"/>
      <c r="AE20" s="151"/>
      <c r="AF20" s="149" t="s">
        <v>28</v>
      </c>
      <c r="AG20" s="150"/>
      <c r="AH20" s="150"/>
      <c r="AI20" s="151"/>
      <c r="AJ20" s="149" t="s">
        <v>30</v>
      </c>
      <c r="AK20" s="150"/>
      <c r="AL20" s="150"/>
      <c r="AM20" s="151"/>
      <c r="AN20" s="149"/>
      <c r="AO20" s="150"/>
      <c r="AP20" s="150"/>
      <c r="AQ20" s="151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1" t="s">
        <v>31</v>
      </c>
      <c r="Y21" s="139"/>
      <c r="Z21" s="139" t="s">
        <v>32</v>
      </c>
      <c r="AA21" s="140"/>
      <c r="AB21" s="141" t="s">
        <v>31</v>
      </c>
      <c r="AC21" s="139"/>
      <c r="AD21" s="139" t="s">
        <v>32</v>
      </c>
      <c r="AE21" s="140"/>
      <c r="AF21" s="141" t="s">
        <v>31</v>
      </c>
      <c r="AG21" s="139"/>
      <c r="AH21" s="139" t="s">
        <v>32</v>
      </c>
      <c r="AI21" s="140"/>
      <c r="AJ21" s="141" t="s">
        <v>31</v>
      </c>
      <c r="AK21" s="139"/>
      <c r="AL21" s="139" t="s">
        <v>32</v>
      </c>
      <c r="AM21" s="140"/>
      <c r="AN21" s="141"/>
      <c r="AO21" s="139"/>
      <c r="AP21" s="139"/>
      <c r="AQ21" s="14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52" t="str">
        <f>N2</f>
        <v>1.1</v>
      </c>
      <c r="O22" s="152"/>
      <c r="P22" s="39"/>
      <c r="Q22" s="39"/>
      <c r="R22" s="5"/>
      <c r="S22" s="5"/>
      <c r="T22" s="5"/>
      <c r="U22" s="5"/>
      <c r="V22" s="5"/>
      <c r="W22" s="5"/>
      <c r="X22" s="142" t="s">
        <v>39</v>
      </c>
      <c r="Y22" s="143"/>
      <c r="Z22" s="139">
        <v>1</v>
      </c>
      <c r="AA22" s="140"/>
      <c r="AB22" s="144" t="s">
        <v>40</v>
      </c>
      <c r="AC22" s="145"/>
      <c r="AD22" s="139">
        <v>1</v>
      </c>
      <c r="AE22" s="140"/>
      <c r="AF22" s="141"/>
      <c r="AG22" s="139"/>
      <c r="AH22" s="139"/>
      <c r="AI22" s="140"/>
      <c r="AJ22" s="141"/>
      <c r="AK22" s="139"/>
      <c r="AL22" s="139"/>
      <c r="AM22" s="140"/>
      <c r="AN22" s="141"/>
      <c r="AO22" s="139"/>
      <c r="AP22" s="139"/>
      <c r="AQ22" s="14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60" t="str">
        <f>N3</f>
        <v>1.1.3</v>
      </c>
      <c r="O23" s="160"/>
      <c r="P23" s="39"/>
      <c r="Q23" s="39"/>
      <c r="R23" s="5"/>
      <c r="S23" s="5"/>
      <c r="T23" s="5"/>
      <c r="U23" s="5"/>
      <c r="V23" s="5"/>
      <c r="W23" s="5"/>
      <c r="X23" s="129"/>
      <c r="Y23" s="130"/>
      <c r="Z23" s="130"/>
      <c r="AA23" s="131"/>
      <c r="AB23" s="137" t="s">
        <v>40</v>
      </c>
      <c r="AC23" s="138"/>
      <c r="AD23" s="130">
        <v>2</v>
      </c>
      <c r="AE23" s="131"/>
      <c r="AF23" s="129"/>
      <c r="AG23" s="130"/>
      <c r="AH23" s="130"/>
      <c r="AI23" s="131"/>
      <c r="AJ23" s="129"/>
      <c r="AK23" s="130"/>
      <c r="AL23" s="130"/>
      <c r="AM23" s="131"/>
      <c r="AN23" s="129"/>
      <c r="AO23" s="130"/>
      <c r="AP23" s="130"/>
      <c r="AQ23" s="131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IF(N5="-"&amp;N2&amp;".5",IF(N6=15,"-"&amp;N2&amp;".6","-"&amp;N2&amp;".5"),N5)</f>
        <v>-1.1.5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IF(N25="-"&amp;N2&amp;".5",N6+1,1)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17">
        <v>1</v>
      </c>
      <c r="E29" s="118"/>
      <c r="F29" s="19"/>
      <c r="G29" s="19"/>
      <c r="H29" s="117">
        <v>2</v>
      </c>
      <c r="I29" s="118"/>
      <c r="J29" s="19"/>
      <c r="K29" s="19"/>
      <c r="L29" s="117">
        <v>3</v>
      </c>
      <c r="M29" s="118"/>
      <c r="N29" s="19"/>
      <c r="O29" s="19"/>
      <c r="P29" s="117">
        <v>4</v>
      </c>
      <c r="Q29" s="118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11" t="s">
        <v>6</v>
      </c>
      <c r="C30" s="111"/>
      <c r="D30" s="117" t="s">
        <v>37</v>
      </c>
      <c r="E30" s="118" t="s">
        <v>0</v>
      </c>
      <c r="F30" s="111" t="s">
        <v>6</v>
      </c>
      <c r="G30" s="111"/>
      <c r="H30" s="117" t="s">
        <v>37</v>
      </c>
      <c r="I30" s="118"/>
      <c r="J30" s="111" t="s">
        <v>6</v>
      </c>
      <c r="K30" s="111"/>
      <c r="L30" s="117" t="s">
        <v>37</v>
      </c>
      <c r="M30" s="118"/>
      <c r="N30" s="111" t="s">
        <v>6</v>
      </c>
      <c r="O30" s="111"/>
      <c r="P30" s="117" t="s">
        <v>37</v>
      </c>
      <c r="Q30" s="118"/>
      <c r="R30" s="111"/>
      <c r="S30" s="111"/>
      <c r="T30" s="111"/>
      <c r="U30" s="111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10"/>
      <c r="C31" s="110"/>
      <c r="D31" s="112"/>
      <c r="E31" s="112"/>
      <c r="F31" s="110"/>
      <c r="G31" s="110"/>
      <c r="H31" s="112"/>
      <c r="I31" s="112"/>
      <c r="J31" s="110"/>
      <c r="K31" s="110"/>
      <c r="L31" s="112"/>
      <c r="M31" s="112"/>
      <c r="N31" s="110"/>
      <c r="O31" s="110"/>
      <c r="P31" s="112"/>
      <c r="Q31" s="112"/>
      <c r="R31" s="110"/>
      <c r="S31" s="110"/>
      <c r="T31" s="110"/>
      <c r="U31" s="110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11">
        <v>0</v>
      </c>
      <c r="C32" s="111"/>
      <c r="D32" s="113">
        <v>1</v>
      </c>
      <c r="E32" s="113">
        <v>1</v>
      </c>
      <c r="F32" s="111">
        <v>2</v>
      </c>
      <c r="G32" s="111">
        <v>2</v>
      </c>
      <c r="H32" s="113">
        <v>3</v>
      </c>
      <c r="I32" s="113">
        <v>3</v>
      </c>
      <c r="J32" s="111">
        <v>4</v>
      </c>
      <c r="K32" s="111">
        <v>4</v>
      </c>
      <c r="L32" s="113">
        <v>5</v>
      </c>
      <c r="M32" s="113"/>
      <c r="N32" s="111">
        <v>6</v>
      </c>
      <c r="O32" s="111">
        <v>1</v>
      </c>
      <c r="P32" s="113">
        <v>7</v>
      </c>
      <c r="Q32" s="113">
        <v>2</v>
      </c>
      <c r="R32" s="111">
        <v>8</v>
      </c>
      <c r="S32" s="111">
        <v>3</v>
      </c>
      <c r="T32" s="111">
        <v>9</v>
      </c>
      <c r="U32" s="111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35"/>
      <c r="C36" s="136"/>
      <c r="D36" s="133"/>
      <c r="E36" s="134"/>
      <c r="F36" s="135"/>
      <c r="G36" s="136"/>
      <c r="H36" s="133"/>
      <c r="I36" s="134"/>
      <c r="J36" s="135"/>
      <c r="K36" s="136"/>
      <c r="L36" s="133"/>
      <c r="M36" s="134"/>
      <c r="N36" s="135"/>
      <c r="O36" s="136"/>
      <c r="P36" s="133"/>
      <c r="Q36" s="134"/>
      <c r="R36" s="110"/>
      <c r="S36" s="110"/>
      <c r="T36" s="110"/>
      <c r="U36" s="110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102"/>
      <c r="E37" s="103"/>
      <c r="F37" s="59" t="str">
        <f>IF(H36&lt;1,"","пом.")</f>
        <v/>
      </c>
      <c r="G37" s="59"/>
      <c r="H37" s="102"/>
      <c r="I37" s="103"/>
      <c r="J37" s="59" t="str">
        <f>IF(L36&lt;1,"","пом.")</f>
        <v/>
      </c>
      <c r="K37" s="59"/>
      <c r="L37" s="102"/>
      <c r="M37" s="103"/>
      <c r="N37" s="59" t="str">
        <f>IF(P36&lt;1,"","пом.")</f>
        <v/>
      </c>
      <c r="O37" s="59"/>
      <c r="P37" s="102"/>
      <c r="Q37" s="103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104" t="s">
        <v>12</v>
      </c>
      <c r="G39" s="104"/>
      <c r="H39" s="104"/>
      <c r="I39" s="132" t="s">
        <v>41</v>
      </c>
      <c r="J39" s="132"/>
      <c r="K39" s="60"/>
      <c r="L39" s="39"/>
      <c r="M39" s="39"/>
      <c r="N39" s="5"/>
      <c r="O39" s="22" t="s">
        <v>13</v>
      </c>
      <c r="P39" s="104" t="s">
        <v>14</v>
      </c>
      <c r="Q39" s="104"/>
      <c r="R39" s="104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104" t="s">
        <v>16</v>
      </c>
      <c r="G40" s="104"/>
      <c r="H40" s="104"/>
      <c r="I40" s="132" t="s">
        <v>42</v>
      </c>
      <c r="J40" s="132"/>
      <c r="K40" s="132"/>
      <c r="L40" s="39"/>
      <c r="M40" s="39"/>
      <c r="N40" s="5"/>
      <c r="O40" s="22" t="s">
        <v>18</v>
      </c>
      <c r="P40" s="104" t="s">
        <v>14</v>
      </c>
      <c r="Q40" s="104"/>
      <c r="R40" s="104"/>
      <c r="S40" s="5" t="s">
        <v>17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N44&amp;".3"</f>
        <v>1.1.3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IF(N25="-"&amp;N2&amp;".5",IF(N26=15,"-"&amp;N2&amp;".6","-"&amp;N2&amp;".5"),N25)</f>
        <v>-1.1.5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IF(N47="-"&amp;N2&amp;".5",N26+1,IF(N25="-"&amp;N2&amp;".5",1,N26+1))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17">
        <v>1</v>
      </c>
      <c r="E51" s="118"/>
      <c r="F51" s="19"/>
      <c r="G51" s="19"/>
      <c r="H51" s="117">
        <v>2</v>
      </c>
      <c r="I51" s="118"/>
      <c r="J51" s="19"/>
      <c r="K51" s="19"/>
      <c r="L51" s="117">
        <v>3</v>
      </c>
      <c r="M51" s="118"/>
      <c r="N51" s="19"/>
      <c r="O51" s="19"/>
      <c r="P51" s="117">
        <v>4</v>
      </c>
      <c r="Q51" s="118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11" t="s">
        <v>6</v>
      </c>
      <c r="C52" s="111"/>
      <c r="D52" s="117" t="s">
        <v>37</v>
      </c>
      <c r="E52" s="118" t="s">
        <v>0</v>
      </c>
      <c r="F52" s="111" t="s">
        <v>6</v>
      </c>
      <c r="G52" s="111"/>
      <c r="H52" s="117" t="s">
        <v>37</v>
      </c>
      <c r="I52" s="118"/>
      <c r="J52" s="111" t="s">
        <v>6</v>
      </c>
      <c r="K52" s="111"/>
      <c r="L52" s="117" t="s">
        <v>37</v>
      </c>
      <c r="M52" s="118"/>
      <c r="N52" s="111" t="s">
        <v>6</v>
      </c>
      <c r="O52" s="111"/>
      <c r="P52" s="117" t="s">
        <v>37</v>
      </c>
      <c r="Q52" s="118"/>
      <c r="R52" s="111"/>
      <c r="S52" s="111"/>
      <c r="T52" s="111"/>
      <c r="U52" s="111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10"/>
      <c r="C53" s="110"/>
      <c r="D53" s="112"/>
      <c r="E53" s="112"/>
      <c r="F53" s="110"/>
      <c r="G53" s="110"/>
      <c r="H53" s="112"/>
      <c r="I53" s="112"/>
      <c r="J53" s="110"/>
      <c r="K53" s="110"/>
      <c r="L53" s="112"/>
      <c r="M53" s="112"/>
      <c r="N53" s="110"/>
      <c r="O53" s="110"/>
      <c r="P53" s="112"/>
      <c r="Q53" s="112"/>
      <c r="R53" s="110"/>
      <c r="S53" s="110"/>
      <c r="T53" s="110"/>
      <c r="U53" s="110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11">
        <v>0</v>
      </c>
      <c r="C54" s="111"/>
      <c r="D54" s="113">
        <v>1</v>
      </c>
      <c r="E54" s="113">
        <v>1</v>
      </c>
      <c r="F54" s="111">
        <v>2</v>
      </c>
      <c r="G54" s="111">
        <v>2</v>
      </c>
      <c r="H54" s="113">
        <v>3</v>
      </c>
      <c r="I54" s="113">
        <v>3</v>
      </c>
      <c r="J54" s="111">
        <v>4</v>
      </c>
      <c r="K54" s="111">
        <v>4</v>
      </c>
      <c r="L54" s="113">
        <v>5</v>
      </c>
      <c r="M54" s="113"/>
      <c r="N54" s="111">
        <v>6</v>
      </c>
      <c r="O54" s="111">
        <v>1</v>
      </c>
      <c r="P54" s="113">
        <v>7</v>
      </c>
      <c r="Q54" s="113">
        <v>2</v>
      </c>
      <c r="R54" s="111">
        <v>8</v>
      </c>
      <c r="S54" s="111">
        <v>3</v>
      </c>
      <c r="T54" s="111">
        <v>9</v>
      </c>
      <c r="U54" s="111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35"/>
      <c r="C58" s="136"/>
      <c r="D58" s="133"/>
      <c r="E58" s="134"/>
      <c r="F58" s="135"/>
      <c r="G58" s="136"/>
      <c r="H58" s="133"/>
      <c r="I58" s="134"/>
      <c r="J58" s="135"/>
      <c r="K58" s="136"/>
      <c r="L58" s="133"/>
      <c r="M58" s="134"/>
      <c r="N58" s="135"/>
      <c r="O58" s="136"/>
      <c r="P58" s="133"/>
      <c r="Q58" s="134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102"/>
      <c r="E59" s="103"/>
      <c r="F59" s="59" t="str">
        <f>IF(H58&lt;1,"","пом.")</f>
        <v/>
      </c>
      <c r="G59" s="59"/>
      <c r="H59" s="102"/>
      <c r="I59" s="103"/>
      <c r="J59" s="59" t="str">
        <f>IF(L58&lt;1,"","пом.")</f>
        <v/>
      </c>
      <c r="K59" s="59"/>
      <c r="L59" s="102"/>
      <c r="M59" s="103"/>
      <c r="N59" s="59" t="str">
        <f>IF(P58&lt;1,"","пом.")</f>
        <v/>
      </c>
      <c r="O59" s="59"/>
      <c r="P59" s="102"/>
      <c r="Q59" s="103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104" t="s">
        <v>12</v>
      </c>
      <c r="G61" s="104"/>
      <c r="H61" s="104"/>
      <c r="I61" s="132" t="s">
        <v>41</v>
      </c>
      <c r="J61" s="132"/>
      <c r="K61" s="60"/>
      <c r="L61" s="39"/>
      <c r="M61" s="39"/>
      <c r="N61" s="5"/>
      <c r="O61" s="22" t="s">
        <v>13</v>
      </c>
      <c r="P61" s="104" t="s">
        <v>14</v>
      </c>
      <c r="Q61" s="104"/>
      <c r="R61" s="104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104" t="s">
        <v>16</v>
      </c>
      <c r="G62" s="104"/>
      <c r="H62" s="104"/>
      <c r="I62" s="132" t="s">
        <v>42</v>
      </c>
      <c r="J62" s="132"/>
      <c r="K62" s="132"/>
      <c r="L62" s="39"/>
      <c r="M62" s="39"/>
      <c r="N62" s="5"/>
      <c r="O62" s="22" t="s">
        <v>18</v>
      </c>
      <c r="P62" s="104" t="s">
        <v>14</v>
      </c>
      <c r="Q62" s="104"/>
      <c r="R62" s="104"/>
      <c r="S62" s="5" t="s">
        <v>17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1.1.3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IF(N47="-"&amp;N44&amp;".5",IF(N48=15,"-"&amp;N44&amp;".6","-"&amp;N44&amp;".5"),N47)</f>
        <v>-1.1.5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IF(N67="-"&amp;N2&amp;".5",N48+1,IF(N47="-"&amp;N2&amp;".5",1,N48+1))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17">
        <v>1</v>
      </c>
      <c r="E71" s="118"/>
      <c r="F71" s="19"/>
      <c r="G71" s="19"/>
      <c r="H71" s="117">
        <v>2</v>
      </c>
      <c r="I71" s="118"/>
      <c r="J71" s="19"/>
      <c r="K71" s="19"/>
      <c r="L71" s="117">
        <v>3</v>
      </c>
      <c r="M71" s="118"/>
      <c r="N71" s="19"/>
      <c r="O71" s="19"/>
      <c r="P71" s="117">
        <v>4</v>
      </c>
      <c r="Q71" s="118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11" t="s">
        <v>6</v>
      </c>
      <c r="C72" s="111"/>
      <c r="D72" s="117" t="s">
        <v>37</v>
      </c>
      <c r="E72" s="118" t="s">
        <v>0</v>
      </c>
      <c r="F72" s="111" t="s">
        <v>6</v>
      </c>
      <c r="G72" s="111"/>
      <c r="H72" s="117" t="s">
        <v>37</v>
      </c>
      <c r="I72" s="118"/>
      <c r="J72" s="111" t="s">
        <v>6</v>
      </c>
      <c r="K72" s="111"/>
      <c r="L72" s="117" t="s">
        <v>37</v>
      </c>
      <c r="M72" s="118"/>
      <c r="N72" s="111" t="s">
        <v>6</v>
      </c>
      <c r="O72" s="111"/>
      <c r="P72" s="117" t="s">
        <v>37</v>
      </c>
      <c r="Q72" s="118"/>
      <c r="R72" s="111"/>
      <c r="S72" s="111"/>
      <c r="T72" s="111"/>
      <c r="U72" s="111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10"/>
      <c r="C73" s="110"/>
      <c r="D73" s="112"/>
      <c r="E73" s="112"/>
      <c r="F73" s="110"/>
      <c r="G73" s="110"/>
      <c r="H73" s="112"/>
      <c r="I73" s="112"/>
      <c r="J73" s="110"/>
      <c r="K73" s="110"/>
      <c r="L73" s="112"/>
      <c r="M73" s="112"/>
      <c r="N73" s="110"/>
      <c r="O73" s="110"/>
      <c r="P73" s="112"/>
      <c r="Q73" s="112"/>
      <c r="R73" s="110"/>
      <c r="S73" s="110"/>
      <c r="T73" s="110"/>
      <c r="U73" s="110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11">
        <v>0</v>
      </c>
      <c r="C74" s="111"/>
      <c r="D74" s="113">
        <v>1</v>
      </c>
      <c r="E74" s="113">
        <v>1</v>
      </c>
      <c r="F74" s="111">
        <v>2</v>
      </c>
      <c r="G74" s="111">
        <v>2</v>
      </c>
      <c r="H74" s="113">
        <v>3</v>
      </c>
      <c r="I74" s="113">
        <v>3</v>
      </c>
      <c r="J74" s="111">
        <v>4</v>
      </c>
      <c r="K74" s="111">
        <v>4</v>
      </c>
      <c r="L74" s="113">
        <v>5</v>
      </c>
      <c r="M74" s="113"/>
      <c r="N74" s="111">
        <v>6</v>
      </c>
      <c r="O74" s="111">
        <v>1</v>
      </c>
      <c r="P74" s="113">
        <v>7</v>
      </c>
      <c r="Q74" s="113">
        <v>2</v>
      </c>
      <c r="R74" s="111">
        <v>8</v>
      </c>
      <c r="S74" s="111">
        <v>3</v>
      </c>
      <c r="T74" s="111">
        <v>9</v>
      </c>
      <c r="U74" s="111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35"/>
      <c r="C78" s="136"/>
      <c r="D78" s="133"/>
      <c r="E78" s="134"/>
      <c r="F78" s="135"/>
      <c r="G78" s="136"/>
      <c r="H78" s="133"/>
      <c r="I78" s="134"/>
      <c r="J78" s="135"/>
      <c r="K78" s="136"/>
      <c r="L78" s="133"/>
      <c r="M78" s="134"/>
      <c r="N78" s="135"/>
      <c r="O78" s="136"/>
      <c r="P78" s="133"/>
      <c r="Q78" s="134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102"/>
      <c r="E79" s="103"/>
      <c r="F79" s="59" t="str">
        <f>IF(H78&lt;1,"","пом.")</f>
        <v/>
      </c>
      <c r="G79" s="59"/>
      <c r="H79" s="102"/>
      <c r="I79" s="103"/>
      <c r="J79" s="59" t="str">
        <f>IF(L78&lt;1,"","пом.")</f>
        <v/>
      </c>
      <c r="K79" s="59"/>
      <c r="L79" s="102"/>
      <c r="M79" s="103"/>
      <c r="N79" s="59" t="str">
        <f>IF(P78&lt;1,"","пом.")</f>
        <v/>
      </c>
      <c r="O79" s="59"/>
      <c r="P79" s="102"/>
      <c r="Q79" s="103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104" t="s">
        <v>12</v>
      </c>
      <c r="G81" s="104"/>
      <c r="H81" s="104"/>
      <c r="I81" s="132" t="s">
        <v>41</v>
      </c>
      <c r="J81" s="132"/>
      <c r="K81" s="60"/>
      <c r="L81" s="39"/>
      <c r="M81" s="39"/>
      <c r="N81" s="5"/>
      <c r="O81" s="22" t="s">
        <v>13</v>
      </c>
      <c r="P81" s="104" t="s">
        <v>14</v>
      </c>
      <c r="Q81" s="104"/>
      <c r="R81" s="104"/>
      <c r="S81" s="132" t="s">
        <v>43</v>
      </c>
      <c r="T81" s="132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104" t="s">
        <v>16</v>
      </c>
      <c r="G82" s="104"/>
      <c r="H82" s="104"/>
      <c r="I82" s="132" t="s">
        <v>42</v>
      </c>
      <c r="J82" s="132"/>
      <c r="K82" s="132"/>
      <c r="L82" s="39"/>
      <c r="M82" s="39"/>
      <c r="N82" s="5"/>
      <c r="O82" s="22" t="s">
        <v>18</v>
      </c>
      <c r="P82" s="104" t="s">
        <v>14</v>
      </c>
      <c r="Q82" s="104"/>
      <c r="R82" s="104"/>
      <c r="S82" s="128" t="s">
        <v>17</v>
      </c>
      <c r="T82" s="128"/>
      <c r="U82" s="128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N86&amp;".3"</f>
        <v>1.1.3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IF(N67="-"&amp;N44&amp;".5",IF(N68=15,"-"&amp;N44&amp;".6","-"&amp;N44&amp;".5"),N67)</f>
        <v>-1.1.5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IF(N89="-"&amp;N44&amp;".5",N68+1,IF(N67="-"&amp;N44&amp;".5",1,N68+1))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17">
        <v>1</v>
      </c>
      <c r="E93" s="118"/>
      <c r="F93" s="19"/>
      <c r="G93" s="19"/>
      <c r="H93" s="117">
        <v>2</v>
      </c>
      <c r="I93" s="118"/>
      <c r="J93" s="19"/>
      <c r="K93" s="19"/>
      <c r="L93" s="117">
        <v>3</v>
      </c>
      <c r="M93" s="118"/>
      <c r="N93" s="19"/>
      <c r="O93" s="19"/>
      <c r="P93" s="117">
        <v>4</v>
      </c>
      <c r="Q93" s="118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11" t="s">
        <v>6</v>
      </c>
      <c r="C94" s="111"/>
      <c r="D94" s="117" t="s">
        <v>37</v>
      </c>
      <c r="E94" s="118" t="s">
        <v>0</v>
      </c>
      <c r="F94" s="111" t="s">
        <v>6</v>
      </c>
      <c r="G94" s="111"/>
      <c r="H94" s="117" t="s">
        <v>37</v>
      </c>
      <c r="I94" s="118"/>
      <c r="J94" s="111" t="s">
        <v>6</v>
      </c>
      <c r="K94" s="111"/>
      <c r="L94" s="117" t="s">
        <v>37</v>
      </c>
      <c r="M94" s="118"/>
      <c r="N94" s="111" t="s">
        <v>6</v>
      </c>
      <c r="O94" s="111"/>
      <c r="P94" s="117" t="s">
        <v>37</v>
      </c>
      <c r="Q94" s="118"/>
      <c r="R94" s="111"/>
      <c r="S94" s="111"/>
      <c r="T94" s="111"/>
      <c r="U94" s="111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10"/>
      <c r="C95" s="110"/>
      <c r="D95" s="112"/>
      <c r="E95" s="112"/>
      <c r="F95" s="110"/>
      <c r="G95" s="110"/>
      <c r="H95" s="112"/>
      <c r="I95" s="112"/>
      <c r="J95" s="110"/>
      <c r="K95" s="110"/>
      <c r="L95" s="112"/>
      <c r="M95" s="112"/>
      <c r="N95" s="110"/>
      <c r="O95" s="110"/>
      <c r="P95" s="112"/>
      <c r="Q95" s="112"/>
      <c r="R95" s="110"/>
      <c r="S95" s="110"/>
      <c r="T95" s="110"/>
      <c r="U95" s="110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11">
        <v>0</v>
      </c>
      <c r="C96" s="111"/>
      <c r="D96" s="113">
        <v>1</v>
      </c>
      <c r="E96" s="113">
        <v>1</v>
      </c>
      <c r="F96" s="111">
        <v>2</v>
      </c>
      <c r="G96" s="111">
        <v>2</v>
      </c>
      <c r="H96" s="113">
        <v>3</v>
      </c>
      <c r="I96" s="113">
        <v>3</v>
      </c>
      <c r="J96" s="111">
        <v>4</v>
      </c>
      <c r="K96" s="111">
        <v>4</v>
      </c>
      <c r="L96" s="113">
        <v>5</v>
      </c>
      <c r="M96" s="113"/>
      <c r="N96" s="111">
        <v>6</v>
      </c>
      <c r="O96" s="111">
        <v>1</v>
      </c>
      <c r="P96" s="113">
        <v>7</v>
      </c>
      <c r="Q96" s="113">
        <v>2</v>
      </c>
      <c r="R96" s="111">
        <v>8</v>
      </c>
      <c r="S96" s="111">
        <v>3</v>
      </c>
      <c r="T96" s="111">
        <v>9</v>
      </c>
      <c r="U96" s="111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35"/>
      <c r="C100" s="136"/>
      <c r="D100" s="133"/>
      <c r="E100" s="134"/>
      <c r="F100" s="135"/>
      <c r="G100" s="136"/>
      <c r="H100" s="133"/>
      <c r="I100" s="134"/>
      <c r="J100" s="135"/>
      <c r="K100" s="136"/>
      <c r="L100" s="133"/>
      <c r="M100" s="134"/>
      <c r="N100" s="135"/>
      <c r="O100" s="136"/>
      <c r="P100" s="133"/>
      <c r="Q100" s="134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102"/>
      <c r="E101" s="103"/>
      <c r="F101" s="59" t="str">
        <f>IF(H100&lt;1,"","пом.")</f>
        <v/>
      </c>
      <c r="G101" s="59"/>
      <c r="H101" s="102"/>
      <c r="I101" s="103"/>
      <c r="J101" s="59" t="str">
        <f>IF(L100&lt;1,"","пом.")</f>
        <v/>
      </c>
      <c r="K101" s="59"/>
      <c r="L101" s="102"/>
      <c r="M101" s="103"/>
      <c r="N101" s="59" t="str">
        <f>IF(P100&lt;1,"","пом.")</f>
        <v/>
      </c>
      <c r="O101" s="59"/>
      <c r="P101" s="102"/>
      <c r="Q101" s="103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104" t="s">
        <v>12</v>
      </c>
      <c r="G103" s="104"/>
      <c r="H103" s="104"/>
      <c r="I103" s="132" t="s">
        <v>41</v>
      </c>
      <c r="J103" s="132"/>
      <c r="K103" s="60"/>
      <c r="L103" s="39"/>
      <c r="M103" s="39"/>
      <c r="N103" s="5"/>
      <c r="O103" s="22" t="s">
        <v>13</v>
      </c>
      <c r="P103" s="104" t="s">
        <v>14</v>
      </c>
      <c r="Q103" s="104"/>
      <c r="R103" s="104"/>
      <c r="S103" s="132" t="s">
        <v>43</v>
      </c>
      <c r="T103" s="132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104" t="s">
        <v>16</v>
      </c>
      <c r="G104" s="104"/>
      <c r="H104" s="104"/>
      <c r="I104" s="132" t="s">
        <v>42</v>
      </c>
      <c r="J104" s="132"/>
      <c r="K104" s="132"/>
      <c r="L104" s="39"/>
      <c r="M104" s="39"/>
      <c r="N104" s="5"/>
      <c r="O104" s="22" t="s">
        <v>18</v>
      </c>
      <c r="P104" s="104" t="s">
        <v>14</v>
      </c>
      <c r="Q104" s="104"/>
      <c r="R104" s="104"/>
      <c r="S104" s="128" t="s">
        <v>17</v>
      </c>
      <c r="T104" s="128"/>
      <c r="U104" s="128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1.1.3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IF(N89="-"&amp;N86&amp;".5",IF(N90=15,"-"&amp;N86&amp;".6","-"&amp;N86&amp;".5"),N89)</f>
        <v>-1.1.5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IF(N109="-"&amp;N44&amp;".5",N90+1,IF(N89="-"&amp;N44&amp;".5",1,N90+1))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17">
        <v>1</v>
      </c>
      <c r="E113" s="118"/>
      <c r="F113" s="19"/>
      <c r="G113" s="19"/>
      <c r="H113" s="117">
        <v>2</v>
      </c>
      <c r="I113" s="118"/>
      <c r="J113" s="19"/>
      <c r="K113" s="19"/>
      <c r="L113" s="117">
        <v>3</v>
      </c>
      <c r="M113" s="118"/>
      <c r="N113" s="19"/>
      <c r="O113" s="19"/>
      <c r="P113" s="117">
        <v>4</v>
      </c>
      <c r="Q113" s="118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11" t="s">
        <v>6</v>
      </c>
      <c r="C114" s="111"/>
      <c r="D114" s="117" t="s">
        <v>37</v>
      </c>
      <c r="E114" s="118" t="s">
        <v>0</v>
      </c>
      <c r="F114" s="111" t="s">
        <v>6</v>
      </c>
      <c r="G114" s="111"/>
      <c r="H114" s="117" t="s">
        <v>37</v>
      </c>
      <c r="I114" s="118"/>
      <c r="J114" s="111" t="s">
        <v>6</v>
      </c>
      <c r="K114" s="111"/>
      <c r="L114" s="117" t="s">
        <v>37</v>
      </c>
      <c r="M114" s="118"/>
      <c r="N114" s="111" t="s">
        <v>6</v>
      </c>
      <c r="O114" s="111"/>
      <c r="P114" s="117" t="s">
        <v>37</v>
      </c>
      <c r="Q114" s="118"/>
      <c r="R114" s="111"/>
      <c r="S114" s="111"/>
      <c r="T114" s="111"/>
      <c r="U114" s="111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10"/>
      <c r="C115" s="110"/>
      <c r="D115" s="112"/>
      <c r="E115" s="112"/>
      <c r="F115" s="110"/>
      <c r="G115" s="110"/>
      <c r="H115" s="112"/>
      <c r="I115" s="112"/>
      <c r="J115" s="110"/>
      <c r="K115" s="110"/>
      <c r="L115" s="112"/>
      <c r="M115" s="112"/>
      <c r="N115" s="110"/>
      <c r="O115" s="110"/>
      <c r="P115" s="112"/>
      <c r="Q115" s="112"/>
      <c r="R115" s="110"/>
      <c r="S115" s="110"/>
      <c r="T115" s="110"/>
      <c r="U115" s="110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11">
        <v>0</v>
      </c>
      <c r="C116" s="111"/>
      <c r="D116" s="113">
        <v>1</v>
      </c>
      <c r="E116" s="113">
        <v>1</v>
      </c>
      <c r="F116" s="111">
        <v>2</v>
      </c>
      <c r="G116" s="111">
        <v>2</v>
      </c>
      <c r="H116" s="113">
        <v>3</v>
      </c>
      <c r="I116" s="113">
        <v>3</v>
      </c>
      <c r="J116" s="111">
        <v>4</v>
      </c>
      <c r="K116" s="111">
        <v>4</v>
      </c>
      <c r="L116" s="113">
        <v>5</v>
      </c>
      <c r="M116" s="113"/>
      <c r="N116" s="111">
        <v>6</v>
      </c>
      <c r="O116" s="111">
        <v>1</v>
      </c>
      <c r="P116" s="113">
        <v>7</v>
      </c>
      <c r="Q116" s="113">
        <v>2</v>
      </c>
      <c r="R116" s="111">
        <v>8</v>
      </c>
      <c r="S116" s="111">
        <v>3</v>
      </c>
      <c r="T116" s="111">
        <v>9</v>
      </c>
      <c r="U116" s="111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35"/>
      <c r="C120" s="136"/>
      <c r="D120" s="133"/>
      <c r="E120" s="134"/>
      <c r="F120" s="135"/>
      <c r="G120" s="136"/>
      <c r="H120" s="133"/>
      <c r="I120" s="134"/>
      <c r="J120" s="135"/>
      <c r="K120" s="136"/>
      <c r="L120" s="133"/>
      <c r="M120" s="134"/>
      <c r="N120" s="135"/>
      <c r="O120" s="136"/>
      <c r="P120" s="133"/>
      <c r="Q120" s="134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102"/>
      <c r="E121" s="103"/>
      <c r="F121" s="59" t="str">
        <f>IF(H120&lt;1,"","пом.")</f>
        <v/>
      </c>
      <c r="G121" s="59"/>
      <c r="H121" s="102"/>
      <c r="I121" s="103"/>
      <c r="J121" s="59" t="str">
        <f>IF(L120&lt;1,"","пом.")</f>
        <v/>
      </c>
      <c r="K121" s="59"/>
      <c r="L121" s="102"/>
      <c r="M121" s="103"/>
      <c r="N121" s="59" t="str">
        <f>IF(P120&lt;1,"","пом.")</f>
        <v/>
      </c>
      <c r="O121" s="59"/>
      <c r="P121" s="102"/>
      <c r="Q121" s="103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104" t="s">
        <v>12</v>
      </c>
      <c r="G123" s="104"/>
      <c r="H123" s="104"/>
      <c r="I123" s="132" t="s">
        <v>41</v>
      </c>
      <c r="J123" s="132"/>
      <c r="K123" s="60"/>
      <c r="L123" s="39"/>
      <c r="M123" s="39"/>
      <c r="N123" s="5"/>
      <c r="O123" s="22" t="s">
        <v>13</v>
      </c>
      <c r="P123" s="104" t="s">
        <v>14</v>
      </c>
      <c r="Q123" s="104"/>
      <c r="R123" s="104"/>
      <c r="S123" s="132" t="s">
        <v>43</v>
      </c>
      <c r="T123" s="132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104" t="s">
        <v>16</v>
      </c>
      <c r="G124" s="104"/>
      <c r="H124" s="104"/>
      <c r="I124" s="132" t="s">
        <v>42</v>
      </c>
      <c r="J124" s="132"/>
      <c r="K124" s="132"/>
      <c r="L124" s="39"/>
      <c r="M124" s="39"/>
      <c r="N124" s="5"/>
      <c r="O124" s="22" t="s">
        <v>18</v>
      </c>
      <c r="P124" s="104" t="s">
        <v>14</v>
      </c>
      <c r="Q124" s="104"/>
      <c r="R124" s="104"/>
      <c r="S124" s="128" t="s">
        <v>17</v>
      </c>
      <c r="T124" s="128"/>
      <c r="U124" s="128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N128&amp;".3"</f>
        <v>1.1.3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IF(N109="-"&amp;N86&amp;".5",IF(N110=15,"-"&amp;N86&amp;".6","-"&amp;N86&amp;".5"),N109)</f>
        <v>-1.1.5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IF(N131="-"&amp;N86&amp;".5",N110+1,IF(N109="-"&amp;N86&amp;".5",1,N110+1))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17">
        <v>1</v>
      </c>
      <c r="E135" s="118"/>
      <c r="F135" s="19"/>
      <c r="G135" s="19"/>
      <c r="H135" s="117">
        <v>2</v>
      </c>
      <c r="I135" s="118"/>
      <c r="J135" s="19"/>
      <c r="K135" s="19"/>
      <c r="L135" s="117">
        <v>3</v>
      </c>
      <c r="M135" s="118"/>
      <c r="N135" s="19"/>
      <c r="O135" s="19"/>
      <c r="P135" s="117">
        <v>4</v>
      </c>
      <c r="Q135" s="118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11" t="s">
        <v>6</v>
      </c>
      <c r="C136" s="111"/>
      <c r="D136" s="117" t="s">
        <v>37</v>
      </c>
      <c r="E136" s="118" t="s">
        <v>0</v>
      </c>
      <c r="F136" s="111" t="s">
        <v>6</v>
      </c>
      <c r="G136" s="111"/>
      <c r="H136" s="117" t="s">
        <v>37</v>
      </c>
      <c r="I136" s="118"/>
      <c r="J136" s="111" t="s">
        <v>6</v>
      </c>
      <c r="K136" s="111"/>
      <c r="L136" s="117" t="s">
        <v>37</v>
      </c>
      <c r="M136" s="118"/>
      <c r="N136" s="111" t="s">
        <v>6</v>
      </c>
      <c r="O136" s="111"/>
      <c r="P136" s="117" t="s">
        <v>37</v>
      </c>
      <c r="Q136" s="118"/>
      <c r="R136" s="111"/>
      <c r="S136" s="111"/>
      <c r="T136" s="111"/>
      <c r="U136" s="111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10"/>
      <c r="C137" s="110"/>
      <c r="D137" s="112"/>
      <c r="E137" s="112"/>
      <c r="F137" s="110"/>
      <c r="G137" s="110"/>
      <c r="H137" s="112"/>
      <c r="I137" s="112"/>
      <c r="J137" s="110"/>
      <c r="K137" s="110"/>
      <c r="L137" s="112"/>
      <c r="M137" s="112"/>
      <c r="N137" s="110"/>
      <c r="O137" s="110"/>
      <c r="P137" s="112"/>
      <c r="Q137" s="112"/>
      <c r="R137" s="110"/>
      <c r="S137" s="110"/>
      <c r="T137" s="110"/>
      <c r="U137" s="110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11">
        <v>0</v>
      </c>
      <c r="C138" s="111"/>
      <c r="D138" s="113">
        <v>1</v>
      </c>
      <c r="E138" s="113">
        <v>1</v>
      </c>
      <c r="F138" s="111">
        <v>2</v>
      </c>
      <c r="G138" s="111">
        <v>2</v>
      </c>
      <c r="H138" s="113">
        <v>3</v>
      </c>
      <c r="I138" s="113">
        <v>3</v>
      </c>
      <c r="J138" s="111">
        <v>4</v>
      </c>
      <c r="K138" s="111">
        <v>4</v>
      </c>
      <c r="L138" s="113">
        <v>5</v>
      </c>
      <c r="M138" s="113"/>
      <c r="N138" s="111">
        <v>6</v>
      </c>
      <c r="O138" s="111">
        <v>1</v>
      </c>
      <c r="P138" s="113">
        <v>7</v>
      </c>
      <c r="Q138" s="113">
        <v>2</v>
      </c>
      <c r="R138" s="111">
        <v>8</v>
      </c>
      <c r="S138" s="111">
        <v>3</v>
      </c>
      <c r="T138" s="111">
        <v>9</v>
      </c>
      <c r="U138" s="111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35"/>
      <c r="C142" s="136"/>
      <c r="D142" s="133"/>
      <c r="E142" s="134"/>
      <c r="F142" s="135"/>
      <c r="G142" s="136"/>
      <c r="H142" s="133"/>
      <c r="I142" s="134"/>
      <c r="J142" s="135"/>
      <c r="K142" s="136"/>
      <c r="L142" s="133"/>
      <c r="M142" s="134"/>
      <c r="N142" s="135"/>
      <c r="O142" s="136"/>
      <c r="P142" s="133"/>
      <c r="Q142" s="134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102"/>
      <c r="E143" s="103"/>
      <c r="F143" s="59" t="str">
        <f>IF(H142&lt;1,"","пом.")</f>
        <v/>
      </c>
      <c r="G143" s="59"/>
      <c r="H143" s="102"/>
      <c r="I143" s="103"/>
      <c r="J143" s="59" t="str">
        <f>IF(L142&lt;1,"","пом.")</f>
        <v/>
      </c>
      <c r="K143" s="59"/>
      <c r="L143" s="102"/>
      <c r="M143" s="103"/>
      <c r="N143" s="59" t="str">
        <f>IF(P142&lt;1,"","пом.")</f>
        <v/>
      </c>
      <c r="O143" s="59"/>
      <c r="P143" s="102"/>
      <c r="Q143" s="103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104" t="s">
        <v>12</v>
      </c>
      <c r="G145" s="104"/>
      <c r="H145" s="104"/>
      <c r="I145" s="132" t="s">
        <v>41</v>
      </c>
      <c r="J145" s="132"/>
      <c r="K145" s="60"/>
      <c r="L145" s="39"/>
      <c r="M145" s="39"/>
      <c r="N145" s="5"/>
      <c r="O145" s="22" t="s">
        <v>13</v>
      </c>
      <c r="P145" s="104" t="s">
        <v>14</v>
      </c>
      <c r="Q145" s="104"/>
      <c r="R145" s="104"/>
      <c r="S145" s="132" t="s">
        <v>43</v>
      </c>
      <c r="T145" s="132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104" t="s">
        <v>16</v>
      </c>
      <c r="G146" s="104"/>
      <c r="H146" s="104"/>
      <c r="I146" s="132" t="s">
        <v>42</v>
      </c>
      <c r="J146" s="132"/>
      <c r="K146" s="132"/>
      <c r="L146" s="39"/>
      <c r="M146" s="39"/>
      <c r="N146" s="5"/>
      <c r="O146" s="22" t="s">
        <v>18</v>
      </c>
      <c r="P146" s="104" t="s">
        <v>14</v>
      </c>
      <c r="Q146" s="104"/>
      <c r="R146" s="104"/>
      <c r="S146" s="128" t="s">
        <v>17</v>
      </c>
      <c r="T146" s="128"/>
      <c r="U146" s="128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1.1.3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IF(N131="-"&amp;N128&amp;".5",IF(N132=15,"-"&amp;N128&amp;".6","-"&amp;N128&amp;".5"),N131)</f>
        <v>-1.1.5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IF(N151="-"&amp;N86&amp;".5",N132+1,IF(N131="-"&amp;N86&amp;".5",1,N132+1))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17">
        <v>1</v>
      </c>
      <c r="E155" s="118"/>
      <c r="F155" s="19"/>
      <c r="G155" s="19"/>
      <c r="H155" s="117">
        <v>2</v>
      </c>
      <c r="I155" s="118"/>
      <c r="J155" s="19"/>
      <c r="K155" s="19"/>
      <c r="L155" s="117">
        <v>3</v>
      </c>
      <c r="M155" s="118"/>
      <c r="N155" s="19"/>
      <c r="O155" s="19"/>
      <c r="P155" s="117">
        <v>4</v>
      </c>
      <c r="Q155" s="118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11" t="s">
        <v>6</v>
      </c>
      <c r="C156" s="111"/>
      <c r="D156" s="117" t="s">
        <v>37</v>
      </c>
      <c r="E156" s="118" t="s">
        <v>0</v>
      </c>
      <c r="F156" s="111" t="s">
        <v>6</v>
      </c>
      <c r="G156" s="111"/>
      <c r="H156" s="117" t="s">
        <v>37</v>
      </c>
      <c r="I156" s="118"/>
      <c r="J156" s="111" t="s">
        <v>6</v>
      </c>
      <c r="K156" s="111"/>
      <c r="L156" s="117" t="s">
        <v>37</v>
      </c>
      <c r="M156" s="118"/>
      <c r="N156" s="111" t="s">
        <v>6</v>
      </c>
      <c r="O156" s="111"/>
      <c r="P156" s="117" t="s">
        <v>37</v>
      </c>
      <c r="Q156" s="118"/>
      <c r="R156" s="111"/>
      <c r="S156" s="111"/>
      <c r="T156" s="111"/>
      <c r="U156" s="111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10"/>
      <c r="C157" s="110"/>
      <c r="D157" s="112"/>
      <c r="E157" s="112"/>
      <c r="F157" s="110"/>
      <c r="G157" s="110"/>
      <c r="H157" s="112"/>
      <c r="I157" s="112"/>
      <c r="J157" s="110"/>
      <c r="K157" s="110"/>
      <c r="L157" s="112"/>
      <c r="M157" s="112"/>
      <c r="N157" s="110"/>
      <c r="O157" s="110"/>
      <c r="P157" s="112"/>
      <c r="Q157" s="112"/>
      <c r="R157" s="110"/>
      <c r="S157" s="110"/>
      <c r="T157" s="110"/>
      <c r="U157" s="110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11">
        <v>0</v>
      </c>
      <c r="C158" s="111"/>
      <c r="D158" s="113">
        <v>1</v>
      </c>
      <c r="E158" s="113">
        <v>1</v>
      </c>
      <c r="F158" s="111">
        <v>2</v>
      </c>
      <c r="G158" s="111">
        <v>2</v>
      </c>
      <c r="H158" s="113">
        <v>3</v>
      </c>
      <c r="I158" s="113">
        <v>3</v>
      </c>
      <c r="J158" s="111">
        <v>4</v>
      </c>
      <c r="K158" s="111">
        <v>4</v>
      </c>
      <c r="L158" s="113">
        <v>5</v>
      </c>
      <c r="M158" s="113"/>
      <c r="N158" s="111">
        <v>6</v>
      </c>
      <c r="O158" s="111">
        <v>1</v>
      </c>
      <c r="P158" s="113">
        <v>7</v>
      </c>
      <c r="Q158" s="113">
        <v>2</v>
      </c>
      <c r="R158" s="111">
        <v>8</v>
      </c>
      <c r="S158" s="111">
        <v>3</v>
      </c>
      <c r="T158" s="111">
        <v>9</v>
      </c>
      <c r="U158" s="111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35"/>
      <c r="C162" s="136"/>
      <c r="D162" s="133"/>
      <c r="E162" s="134"/>
      <c r="F162" s="135"/>
      <c r="G162" s="136"/>
      <c r="H162" s="133"/>
      <c r="I162" s="134"/>
      <c r="J162" s="135"/>
      <c r="K162" s="136"/>
      <c r="L162" s="133"/>
      <c r="M162" s="134"/>
      <c r="N162" s="135"/>
      <c r="O162" s="136"/>
      <c r="P162" s="133"/>
      <c r="Q162" s="134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102"/>
      <c r="E163" s="103"/>
      <c r="F163" s="59" t="str">
        <f>IF(H162&lt;1,"","пом.")</f>
        <v/>
      </c>
      <c r="G163" s="59"/>
      <c r="H163" s="102"/>
      <c r="I163" s="103"/>
      <c r="J163" s="59" t="str">
        <f>IF(L162&lt;1,"","пом.")</f>
        <v/>
      </c>
      <c r="K163" s="59"/>
      <c r="L163" s="102"/>
      <c r="M163" s="103"/>
      <c r="N163" s="59" t="str">
        <f>IF(P162&lt;1,"","пом.")</f>
        <v/>
      </c>
      <c r="O163" s="59"/>
      <c r="P163" s="102"/>
      <c r="Q163" s="103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104" t="s">
        <v>12</v>
      </c>
      <c r="G165" s="104"/>
      <c r="H165" s="104"/>
      <c r="I165" s="132" t="s">
        <v>41</v>
      </c>
      <c r="J165" s="132"/>
      <c r="K165" s="60"/>
      <c r="L165" s="39"/>
      <c r="M165" s="39"/>
      <c r="N165" s="5"/>
      <c r="O165" s="22" t="s">
        <v>13</v>
      </c>
      <c r="P165" s="104" t="s">
        <v>14</v>
      </c>
      <c r="Q165" s="104"/>
      <c r="R165" s="104"/>
      <c r="S165" s="132" t="s">
        <v>43</v>
      </c>
      <c r="T165" s="132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104" t="s">
        <v>16</v>
      </c>
      <c r="G166" s="104"/>
      <c r="H166" s="104"/>
      <c r="I166" s="132" t="s">
        <v>42</v>
      </c>
      <c r="J166" s="132"/>
      <c r="K166" s="132"/>
      <c r="L166" s="39"/>
      <c r="M166" s="39"/>
      <c r="N166" s="5"/>
      <c r="O166" s="22" t="s">
        <v>18</v>
      </c>
      <c r="P166" s="104" t="s">
        <v>14</v>
      </c>
      <c r="Q166" s="104"/>
      <c r="R166" s="104"/>
      <c r="S166" s="128" t="s">
        <v>17</v>
      </c>
      <c r="T166" s="128"/>
      <c r="U166" s="128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N170&amp;".3"</f>
        <v>1.1.3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IF(N151="-"&amp;N128&amp;".5",IF(N152=15,"-"&amp;N128&amp;".6","-"&amp;N128&amp;".5"),N151)</f>
        <v>-1.1.5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IF(N173="-"&amp;N128&amp;".5",N152+1,IF(N151="-"&amp;N128&amp;".5",1,N152+1))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17">
        <v>1</v>
      </c>
      <c r="E177" s="118"/>
      <c r="F177" s="19"/>
      <c r="G177" s="19"/>
      <c r="H177" s="117">
        <v>2</v>
      </c>
      <c r="I177" s="118"/>
      <c r="J177" s="19"/>
      <c r="K177" s="19"/>
      <c r="L177" s="117">
        <v>3</v>
      </c>
      <c r="M177" s="118"/>
      <c r="N177" s="19"/>
      <c r="O177" s="19"/>
      <c r="P177" s="117">
        <v>4</v>
      </c>
      <c r="Q177" s="118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11" t="s">
        <v>6</v>
      </c>
      <c r="C178" s="111"/>
      <c r="D178" s="117" t="s">
        <v>37</v>
      </c>
      <c r="E178" s="118" t="s">
        <v>0</v>
      </c>
      <c r="F178" s="111" t="s">
        <v>6</v>
      </c>
      <c r="G178" s="111"/>
      <c r="H178" s="117" t="s">
        <v>37</v>
      </c>
      <c r="I178" s="118"/>
      <c r="J178" s="111" t="s">
        <v>6</v>
      </c>
      <c r="K178" s="111"/>
      <c r="L178" s="117" t="s">
        <v>37</v>
      </c>
      <c r="M178" s="118"/>
      <c r="N178" s="111" t="s">
        <v>6</v>
      </c>
      <c r="O178" s="111"/>
      <c r="P178" s="117" t="s">
        <v>37</v>
      </c>
      <c r="Q178" s="118"/>
      <c r="R178" s="111"/>
      <c r="S178" s="111"/>
      <c r="T178" s="111"/>
      <c r="U178" s="111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10"/>
      <c r="C179" s="110"/>
      <c r="D179" s="112"/>
      <c r="E179" s="112"/>
      <c r="F179" s="110"/>
      <c r="G179" s="110"/>
      <c r="H179" s="112"/>
      <c r="I179" s="112"/>
      <c r="J179" s="110"/>
      <c r="K179" s="110"/>
      <c r="L179" s="112"/>
      <c r="M179" s="112"/>
      <c r="N179" s="110"/>
      <c r="O179" s="110"/>
      <c r="P179" s="112"/>
      <c r="Q179" s="112"/>
      <c r="R179" s="110"/>
      <c r="S179" s="110"/>
      <c r="T179" s="110"/>
      <c r="U179" s="110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11">
        <v>0</v>
      </c>
      <c r="C180" s="111"/>
      <c r="D180" s="113">
        <v>1</v>
      </c>
      <c r="E180" s="113">
        <v>1</v>
      </c>
      <c r="F180" s="111">
        <v>2</v>
      </c>
      <c r="G180" s="111">
        <v>2</v>
      </c>
      <c r="H180" s="113">
        <v>3</v>
      </c>
      <c r="I180" s="113">
        <v>3</v>
      </c>
      <c r="J180" s="111">
        <v>4</v>
      </c>
      <c r="K180" s="111">
        <v>4</v>
      </c>
      <c r="L180" s="113">
        <v>5</v>
      </c>
      <c r="M180" s="113"/>
      <c r="N180" s="111">
        <v>6</v>
      </c>
      <c r="O180" s="111">
        <v>1</v>
      </c>
      <c r="P180" s="113">
        <v>7</v>
      </c>
      <c r="Q180" s="113">
        <v>2</v>
      </c>
      <c r="R180" s="111">
        <v>8</v>
      </c>
      <c r="S180" s="111">
        <v>3</v>
      </c>
      <c r="T180" s="111">
        <v>9</v>
      </c>
      <c r="U180" s="111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35"/>
      <c r="C184" s="136"/>
      <c r="D184" s="133"/>
      <c r="E184" s="134"/>
      <c r="F184" s="135"/>
      <c r="G184" s="136"/>
      <c r="H184" s="133"/>
      <c r="I184" s="134"/>
      <c r="J184" s="135"/>
      <c r="K184" s="136"/>
      <c r="L184" s="133"/>
      <c r="M184" s="134"/>
      <c r="N184" s="135"/>
      <c r="O184" s="136"/>
      <c r="P184" s="133"/>
      <c r="Q184" s="134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102"/>
      <c r="E185" s="103"/>
      <c r="F185" s="59" t="str">
        <f>IF(H184&lt;1,"","пом.")</f>
        <v/>
      </c>
      <c r="G185" s="59"/>
      <c r="H185" s="102"/>
      <c r="I185" s="103"/>
      <c r="J185" s="59" t="str">
        <f>IF(L184&lt;1,"","пом.")</f>
        <v/>
      </c>
      <c r="K185" s="59"/>
      <c r="L185" s="102"/>
      <c r="M185" s="103"/>
      <c r="N185" s="59" t="str">
        <f>IF(P184&lt;1,"","пом.")</f>
        <v/>
      </c>
      <c r="O185" s="59"/>
      <c r="P185" s="102"/>
      <c r="Q185" s="103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104" t="s">
        <v>12</v>
      </c>
      <c r="G187" s="104"/>
      <c r="H187" s="104"/>
      <c r="I187" s="132" t="s">
        <v>41</v>
      </c>
      <c r="J187" s="132"/>
      <c r="K187" s="60"/>
      <c r="L187" s="39"/>
      <c r="M187" s="39"/>
      <c r="N187" s="5"/>
      <c r="O187" s="22" t="s">
        <v>13</v>
      </c>
      <c r="P187" s="104" t="s">
        <v>14</v>
      </c>
      <c r="Q187" s="104"/>
      <c r="R187" s="104"/>
      <c r="S187" s="132" t="s">
        <v>43</v>
      </c>
      <c r="T187" s="132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104" t="s">
        <v>16</v>
      </c>
      <c r="G188" s="104"/>
      <c r="H188" s="104"/>
      <c r="I188" s="132" t="s">
        <v>42</v>
      </c>
      <c r="J188" s="132"/>
      <c r="K188" s="132"/>
      <c r="L188" s="39"/>
      <c r="M188" s="39"/>
      <c r="N188" s="5"/>
      <c r="O188" s="22" t="s">
        <v>18</v>
      </c>
      <c r="P188" s="104" t="s">
        <v>14</v>
      </c>
      <c r="Q188" s="104"/>
      <c r="R188" s="104"/>
      <c r="S188" s="128" t="s">
        <v>17</v>
      </c>
      <c r="T188" s="128"/>
      <c r="U188" s="128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1.1.3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IF(N173="-"&amp;N170&amp;".5",IF(N174=15,"-"&amp;N170&amp;".6","-"&amp;N170&amp;".5"),N173)</f>
        <v>-1.1.5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IF(N193="-"&amp;N128&amp;".5",N174+1,IF(N173="-"&amp;N128&amp;".5",1,N174+1))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17">
        <v>1</v>
      </c>
      <c r="E197" s="118"/>
      <c r="F197" s="19"/>
      <c r="G197" s="19"/>
      <c r="H197" s="117">
        <v>2</v>
      </c>
      <c r="I197" s="118"/>
      <c r="J197" s="19"/>
      <c r="K197" s="19"/>
      <c r="L197" s="117">
        <v>3</v>
      </c>
      <c r="M197" s="118"/>
      <c r="N197" s="19"/>
      <c r="O197" s="19"/>
      <c r="P197" s="117">
        <v>4</v>
      </c>
      <c r="Q197" s="118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11" t="s">
        <v>6</v>
      </c>
      <c r="C198" s="111"/>
      <c r="D198" s="117" t="s">
        <v>37</v>
      </c>
      <c r="E198" s="118" t="s">
        <v>0</v>
      </c>
      <c r="F198" s="111" t="s">
        <v>6</v>
      </c>
      <c r="G198" s="111"/>
      <c r="H198" s="117" t="s">
        <v>37</v>
      </c>
      <c r="I198" s="118"/>
      <c r="J198" s="111" t="s">
        <v>6</v>
      </c>
      <c r="K198" s="111"/>
      <c r="L198" s="117" t="s">
        <v>37</v>
      </c>
      <c r="M198" s="118"/>
      <c r="N198" s="111" t="s">
        <v>6</v>
      </c>
      <c r="O198" s="111"/>
      <c r="P198" s="117" t="s">
        <v>37</v>
      </c>
      <c r="Q198" s="118"/>
      <c r="R198" s="111"/>
      <c r="S198" s="111"/>
      <c r="T198" s="111"/>
      <c r="U198" s="111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10"/>
      <c r="C199" s="110"/>
      <c r="D199" s="112"/>
      <c r="E199" s="112"/>
      <c r="F199" s="110"/>
      <c r="G199" s="110"/>
      <c r="H199" s="112"/>
      <c r="I199" s="112"/>
      <c r="J199" s="110"/>
      <c r="K199" s="110"/>
      <c r="L199" s="112"/>
      <c r="M199" s="112"/>
      <c r="N199" s="110"/>
      <c r="O199" s="110"/>
      <c r="P199" s="112"/>
      <c r="Q199" s="112"/>
      <c r="R199" s="110"/>
      <c r="S199" s="110"/>
      <c r="T199" s="110"/>
      <c r="U199" s="110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11">
        <v>0</v>
      </c>
      <c r="C200" s="111"/>
      <c r="D200" s="113">
        <v>1</v>
      </c>
      <c r="E200" s="113">
        <v>1</v>
      </c>
      <c r="F200" s="111">
        <v>2</v>
      </c>
      <c r="G200" s="111">
        <v>2</v>
      </c>
      <c r="H200" s="113">
        <v>3</v>
      </c>
      <c r="I200" s="113">
        <v>3</v>
      </c>
      <c r="J200" s="111">
        <v>4</v>
      </c>
      <c r="K200" s="111">
        <v>4</v>
      </c>
      <c r="L200" s="113">
        <v>5</v>
      </c>
      <c r="M200" s="113"/>
      <c r="N200" s="111">
        <v>6</v>
      </c>
      <c r="O200" s="111">
        <v>1</v>
      </c>
      <c r="P200" s="113">
        <v>7</v>
      </c>
      <c r="Q200" s="113">
        <v>2</v>
      </c>
      <c r="R200" s="111">
        <v>8</v>
      </c>
      <c r="S200" s="111">
        <v>3</v>
      </c>
      <c r="T200" s="111">
        <v>9</v>
      </c>
      <c r="U200" s="111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35"/>
      <c r="C204" s="136"/>
      <c r="D204" s="133"/>
      <c r="E204" s="134"/>
      <c r="F204" s="135"/>
      <c r="G204" s="136"/>
      <c r="H204" s="133"/>
      <c r="I204" s="134"/>
      <c r="J204" s="135"/>
      <c r="K204" s="136"/>
      <c r="L204" s="133"/>
      <c r="M204" s="134"/>
      <c r="N204" s="135"/>
      <c r="O204" s="136"/>
      <c r="P204" s="133"/>
      <c r="Q204" s="134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102"/>
      <c r="E205" s="103"/>
      <c r="F205" s="59" t="str">
        <f>IF(H204&lt;1,"","пом.")</f>
        <v/>
      </c>
      <c r="G205" s="59"/>
      <c r="H205" s="102"/>
      <c r="I205" s="103"/>
      <c r="J205" s="59" t="str">
        <f>IF(L204&lt;1,"","пом.")</f>
        <v/>
      </c>
      <c r="K205" s="59"/>
      <c r="L205" s="102"/>
      <c r="M205" s="103"/>
      <c r="N205" s="59" t="str">
        <f>IF(P204&lt;1,"","пом.")</f>
        <v/>
      </c>
      <c r="O205" s="59"/>
      <c r="P205" s="102"/>
      <c r="Q205" s="103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104" t="s">
        <v>12</v>
      </c>
      <c r="G207" s="104"/>
      <c r="H207" s="104"/>
      <c r="I207" s="132" t="s">
        <v>41</v>
      </c>
      <c r="J207" s="132"/>
      <c r="K207" s="60"/>
      <c r="L207" s="39"/>
      <c r="M207" s="39"/>
      <c r="N207" s="5"/>
      <c r="O207" s="22" t="s">
        <v>13</v>
      </c>
      <c r="P207" s="104" t="s">
        <v>14</v>
      </c>
      <c r="Q207" s="104"/>
      <c r="R207" s="104"/>
      <c r="S207" s="132" t="s">
        <v>43</v>
      </c>
      <c r="T207" s="132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104" t="s">
        <v>16</v>
      </c>
      <c r="G208" s="104"/>
      <c r="H208" s="104"/>
      <c r="I208" s="132" t="s">
        <v>42</v>
      </c>
      <c r="J208" s="132"/>
      <c r="K208" s="132"/>
      <c r="L208" s="39"/>
      <c r="M208" s="39"/>
      <c r="N208" s="5"/>
      <c r="O208" s="22" t="s">
        <v>18</v>
      </c>
      <c r="P208" s="104" t="s">
        <v>14</v>
      </c>
      <c r="Q208" s="104"/>
      <c r="R208" s="104"/>
      <c r="S208" s="128" t="s">
        <v>17</v>
      </c>
      <c r="T208" s="128"/>
      <c r="U208" s="128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N212&amp;".3"</f>
        <v>1.1.3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IF(N193="-"&amp;N170&amp;".5",IF(N194=15,"-"&amp;N170&amp;".6","-"&amp;N170&amp;".5"),N193)</f>
        <v>-1.1.5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IF(N215="-"&amp;N170&amp;".5",N194+1,IF(N193="-"&amp;N170&amp;".5",1,N194+1))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17">
        <v>1</v>
      </c>
      <c r="E219" s="118"/>
      <c r="F219" s="19"/>
      <c r="G219" s="19"/>
      <c r="H219" s="117">
        <v>2</v>
      </c>
      <c r="I219" s="118"/>
      <c r="J219" s="19"/>
      <c r="K219" s="19"/>
      <c r="L219" s="117">
        <v>3</v>
      </c>
      <c r="M219" s="118"/>
      <c r="N219" s="19"/>
      <c r="O219" s="19"/>
      <c r="P219" s="117">
        <v>4</v>
      </c>
      <c r="Q219" s="118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11" t="s">
        <v>6</v>
      </c>
      <c r="C220" s="111"/>
      <c r="D220" s="117" t="s">
        <v>37</v>
      </c>
      <c r="E220" s="118" t="s">
        <v>0</v>
      </c>
      <c r="F220" s="111" t="s">
        <v>6</v>
      </c>
      <c r="G220" s="111"/>
      <c r="H220" s="117" t="s">
        <v>37</v>
      </c>
      <c r="I220" s="118"/>
      <c r="J220" s="111" t="s">
        <v>6</v>
      </c>
      <c r="K220" s="111"/>
      <c r="L220" s="117" t="s">
        <v>37</v>
      </c>
      <c r="M220" s="118"/>
      <c r="N220" s="111" t="s">
        <v>6</v>
      </c>
      <c r="O220" s="111"/>
      <c r="P220" s="117" t="s">
        <v>37</v>
      </c>
      <c r="Q220" s="118"/>
      <c r="R220" s="111"/>
      <c r="S220" s="111"/>
      <c r="T220" s="111"/>
      <c r="U220" s="111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10"/>
      <c r="C221" s="110"/>
      <c r="D221" s="112"/>
      <c r="E221" s="112"/>
      <c r="F221" s="110"/>
      <c r="G221" s="110"/>
      <c r="H221" s="112"/>
      <c r="I221" s="112"/>
      <c r="J221" s="110"/>
      <c r="K221" s="110"/>
      <c r="L221" s="112"/>
      <c r="M221" s="112"/>
      <c r="N221" s="110"/>
      <c r="O221" s="110"/>
      <c r="P221" s="112"/>
      <c r="Q221" s="112"/>
      <c r="R221" s="110"/>
      <c r="S221" s="110"/>
      <c r="T221" s="110"/>
      <c r="U221" s="110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11">
        <v>0</v>
      </c>
      <c r="C222" s="111"/>
      <c r="D222" s="113">
        <v>1</v>
      </c>
      <c r="E222" s="113">
        <v>1</v>
      </c>
      <c r="F222" s="111">
        <v>2</v>
      </c>
      <c r="G222" s="111">
        <v>2</v>
      </c>
      <c r="H222" s="113">
        <v>3</v>
      </c>
      <c r="I222" s="113">
        <v>3</v>
      </c>
      <c r="J222" s="111">
        <v>4</v>
      </c>
      <c r="K222" s="111">
        <v>4</v>
      </c>
      <c r="L222" s="113">
        <v>5</v>
      </c>
      <c r="M222" s="113"/>
      <c r="N222" s="111">
        <v>6</v>
      </c>
      <c r="O222" s="111">
        <v>1</v>
      </c>
      <c r="P222" s="113">
        <v>7</v>
      </c>
      <c r="Q222" s="113">
        <v>2</v>
      </c>
      <c r="R222" s="111">
        <v>8</v>
      </c>
      <c r="S222" s="111">
        <v>3</v>
      </c>
      <c r="T222" s="111">
        <v>9</v>
      </c>
      <c r="U222" s="111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35"/>
      <c r="C226" s="136"/>
      <c r="D226" s="133"/>
      <c r="E226" s="134"/>
      <c r="F226" s="135"/>
      <c r="G226" s="136"/>
      <c r="H226" s="133"/>
      <c r="I226" s="134"/>
      <c r="J226" s="135"/>
      <c r="K226" s="136"/>
      <c r="L226" s="133"/>
      <c r="M226" s="134"/>
      <c r="N226" s="135"/>
      <c r="O226" s="136"/>
      <c r="P226" s="133"/>
      <c r="Q226" s="134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102"/>
      <c r="E227" s="103"/>
      <c r="F227" s="59" t="str">
        <f>IF(H226&lt;1,"","пом.")</f>
        <v/>
      </c>
      <c r="G227" s="59"/>
      <c r="H227" s="102"/>
      <c r="I227" s="103"/>
      <c r="J227" s="59" t="str">
        <f>IF(L226&lt;1,"","пом.")</f>
        <v/>
      </c>
      <c r="K227" s="59"/>
      <c r="L227" s="102"/>
      <c r="M227" s="103"/>
      <c r="N227" s="59" t="str">
        <f>IF(P226&lt;1,"","пом.")</f>
        <v/>
      </c>
      <c r="O227" s="59"/>
      <c r="P227" s="102"/>
      <c r="Q227" s="103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104" t="s">
        <v>12</v>
      </c>
      <c r="G229" s="104"/>
      <c r="H229" s="104"/>
      <c r="I229" s="132" t="s">
        <v>41</v>
      </c>
      <c r="J229" s="132"/>
      <c r="K229" s="60"/>
      <c r="L229" s="39"/>
      <c r="M229" s="39"/>
      <c r="N229" s="5"/>
      <c r="O229" s="22" t="s">
        <v>13</v>
      </c>
      <c r="P229" s="104" t="s">
        <v>14</v>
      </c>
      <c r="Q229" s="104"/>
      <c r="R229" s="104"/>
      <c r="S229" s="132" t="s">
        <v>43</v>
      </c>
      <c r="T229" s="132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104" t="s">
        <v>16</v>
      </c>
      <c r="G230" s="104"/>
      <c r="H230" s="104"/>
      <c r="I230" s="132" t="s">
        <v>42</v>
      </c>
      <c r="J230" s="132"/>
      <c r="K230" s="132"/>
      <c r="L230" s="39"/>
      <c r="M230" s="39"/>
      <c r="N230" s="5"/>
      <c r="O230" s="22" t="s">
        <v>18</v>
      </c>
      <c r="P230" s="104" t="s">
        <v>14</v>
      </c>
      <c r="Q230" s="104"/>
      <c r="R230" s="104"/>
      <c r="S230" s="128" t="s">
        <v>17</v>
      </c>
      <c r="T230" s="128"/>
      <c r="U230" s="128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1.1.3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IF(N215="-"&amp;N212&amp;".5",IF(N216=15,"-"&amp;N212&amp;".6","-"&amp;N212&amp;".5"),N215)</f>
        <v>-1.1.5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IF(N235="-"&amp;N170&amp;".5",N216+1,IF(N215="-"&amp;N170&amp;".5",1,N216+1))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17">
        <v>1</v>
      </c>
      <c r="E239" s="118"/>
      <c r="F239" s="19"/>
      <c r="G239" s="19"/>
      <c r="H239" s="117">
        <v>2</v>
      </c>
      <c r="I239" s="118"/>
      <c r="J239" s="19"/>
      <c r="K239" s="19"/>
      <c r="L239" s="117">
        <v>3</v>
      </c>
      <c r="M239" s="118"/>
      <c r="N239" s="19"/>
      <c r="O239" s="19"/>
      <c r="P239" s="117">
        <v>4</v>
      </c>
      <c r="Q239" s="118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11" t="s">
        <v>6</v>
      </c>
      <c r="C240" s="111"/>
      <c r="D240" s="117" t="s">
        <v>37</v>
      </c>
      <c r="E240" s="118" t="s">
        <v>0</v>
      </c>
      <c r="F240" s="111" t="s">
        <v>6</v>
      </c>
      <c r="G240" s="111"/>
      <c r="H240" s="117" t="s">
        <v>37</v>
      </c>
      <c r="I240" s="118"/>
      <c r="J240" s="111" t="s">
        <v>6</v>
      </c>
      <c r="K240" s="111"/>
      <c r="L240" s="117" t="s">
        <v>37</v>
      </c>
      <c r="M240" s="118"/>
      <c r="N240" s="111" t="s">
        <v>6</v>
      </c>
      <c r="O240" s="111"/>
      <c r="P240" s="117" t="s">
        <v>37</v>
      </c>
      <c r="Q240" s="118"/>
      <c r="R240" s="111"/>
      <c r="S240" s="111"/>
      <c r="T240" s="111"/>
      <c r="U240" s="111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10"/>
      <c r="C241" s="110"/>
      <c r="D241" s="112"/>
      <c r="E241" s="112"/>
      <c r="F241" s="110"/>
      <c r="G241" s="110"/>
      <c r="H241" s="112"/>
      <c r="I241" s="112"/>
      <c r="J241" s="110"/>
      <c r="K241" s="110"/>
      <c r="L241" s="112"/>
      <c r="M241" s="112"/>
      <c r="N241" s="110"/>
      <c r="O241" s="110"/>
      <c r="P241" s="112"/>
      <c r="Q241" s="112"/>
      <c r="R241" s="110"/>
      <c r="S241" s="110"/>
      <c r="T241" s="110"/>
      <c r="U241" s="110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11">
        <v>0</v>
      </c>
      <c r="C242" s="111"/>
      <c r="D242" s="113">
        <v>1</v>
      </c>
      <c r="E242" s="113">
        <v>1</v>
      </c>
      <c r="F242" s="111">
        <v>2</v>
      </c>
      <c r="G242" s="111">
        <v>2</v>
      </c>
      <c r="H242" s="113">
        <v>3</v>
      </c>
      <c r="I242" s="113">
        <v>3</v>
      </c>
      <c r="J242" s="111">
        <v>4</v>
      </c>
      <c r="K242" s="111">
        <v>4</v>
      </c>
      <c r="L242" s="113">
        <v>5</v>
      </c>
      <c r="M242" s="113"/>
      <c r="N242" s="111">
        <v>6</v>
      </c>
      <c r="O242" s="111">
        <v>1</v>
      </c>
      <c r="P242" s="113">
        <v>7</v>
      </c>
      <c r="Q242" s="113">
        <v>2</v>
      </c>
      <c r="R242" s="111">
        <v>8</v>
      </c>
      <c r="S242" s="111">
        <v>3</v>
      </c>
      <c r="T242" s="111">
        <v>9</v>
      </c>
      <c r="U242" s="111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35"/>
      <c r="C246" s="136"/>
      <c r="D246" s="133"/>
      <c r="E246" s="134"/>
      <c r="F246" s="135"/>
      <c r="G246" s="136"/>
      <c r="H246" s="133"/>
      <c r="I246" s="134"/>
      <c r="J246" s="135"/>
      <c r="K246" s="136"/>
      <c r="L246" s="133"/>
      <c r="M246" s="134"/>
      <c r="N246" s="135"/>
      <c r="O246" s="136"/>
      <c r="P246" s="133"/>
      <c r="Q246" s="134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102"/>
      <c r="E247" s="103"/>
      <c r="F247" s="59" t="str">
        <f>IF(H246&lt;1,"","пом.")</f>
        <v/>
      </c>
      <c r="G247" s="59"/>
      <c r="H247" s="102"/>
      <c r="I247" s="103"/>
      <c r="J247" s="59" t="str">
        <f>IF(L246&lt;1,"","пом.")</f>
        <v/>
      </c>
      <c r="K247" s="59"/>
      <c r="L247" s="102"/>
      <c r="M247" s="103"/>
      <c r="N247" s="59" t="str">
        <f>IF(P246&lt;1,"","пом.")</f>
        <v/>
      </c>
      <c r="O247" s="59"/>
      <c r="P247" s="102"/>
      <c r="Q247" s="103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104" t="s">
        <v>12</v>
      </c>
      <c r="G249" s="104"/>
      <c r="H249" s="104"/>
      <c r="I249" s="132" t="s">
        <v>41</v>
      </c>
      <c r="J249" s="132"/>
      <c r="K249" s="60"/>
      <c r="L249" s="39"/>
      <c r="M249" s="39"/>
      <c r="N249" s="5"/>
      <c r="O249" s="22" t="s">
        <v>13</v>
      </c>
      <c r="P249" s="104" t="s">
        <v>14</v>
      </c>
      <c r="Q249" s="104"/>
      <c r="R249" s="104"/>
      <c r="S249" s="132" t="s">
        <v>43</v>
      </c>
      <c r="T249" s="132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104" t="s">
        <v>16</v>
      </c>
      <c r="G250" s="104"/>
      <c r="H250" s="104"/>
      <c r="I250" s="132" t="s">
        <v>42</v>
      </c>
      <c r="J250" s="132"/>
      <c r="K250" s="132"/>
      <c r="L250" s="39"/>
      <c r="M250" s="39"/>
      <c r="N250" s="5"/>
      <c r="O250" s="22" t="s">
        <v>18</v>
      </c>
      <c r="P250" s="104" t="s">
        <v>14</v>
      </c>
      <c r="Q250" s="104"/>
      <c r="R250" s="104"/>
      <c r="S250" s="128" t="s">
        <v>17</v>
      </c>
      <c r="T250" s="128"/>
      <c r="U250" s="128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N254&amp;".3"</f>
        <v>1.1.3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IF(N235="-"&amp;N212&amp;".5",IF(N236=15,"-"&amp;N212&amp;".6","-"&amp;N212&amp;".5"),N235)</f>
        <v>-1.1.5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IF(N257="-"&amp;N212&amp;".5",N236+1,IF(N235="-"&amp;N212&amp;".5",1,N236+1))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17">
        <v>1</v>
      </c>
      <c r="E261" s="118"/>
      <c r="F261" s="19"/>
      <c r="G261" s="19"/>
      <c r="H261" s="117">
        <v>2</v>
      </c>
      <c r="I261" s="118"/>
      <c r="J261" s="19"/>
      <c r="K261" s="19"/>
      <c r="L261" s="117">
        <v>3</v>
      </c>
      <c r="M261" s="118"/>
      <c r="N261" s="19"/>
      <c r="O261" s="19"/>
      <c r="P261" s="117">
        <v>4</v>
      </c>
      <c r="Q261" s="118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11" t="s">
        <v>6</v>
      </c>
      <c r="C262" s="111"/>
      <c r="D262" s="117" t="s">
        <v>37</v>
      </c>
      <c r="E262" s="118" t="s">
        <v>0</v>
      </c>
      <c r="F262" s="111" t="s">
        <v>6</v>
      </c>
      <c r="G262" s="111"/>
      <c r="H262" s="117" t="s">
        <v>37</v>
      </c>
      <c r="I262" s="118"/>
      <c r="J262" s="111" t="s">
        <v>6</v>
      </c>
      <c r="K262" s="111"/>
      <c r="L262" s="117" t="s">
        <v>37</v>
      </c>
      <c r="M262" s="118"/>
      <c r="N262" s="111" t="s">
        <v>6</v>
      </c>
      <c r="O262" s="111"/>
      <c r="P262" s="117" t="s">
        <v>37</v>
      </c>
      <c r="Q262" s="118"/>
      <c r="R262" s="111"/>
      <c r="S262" s="111"/>
      <c r="T262" s="111"/>
      <c r="U262" s="111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10"/>
      <c r="C263" s="110"/>
      <c r="D263" s="112"/>
      <c r="E263" s="112"/>
      <c r="F263" s="110"/>
      <c r="G263" s="110"/>
      <c r="H263" s="112"/>
      <c r="I263" s="112"/>
      <c r="J263" s="110"/>
      <c r="K263" s="110"/>
      <c r="L263" s="112"/>
      <c r="M263" s="112"/>
      <c r="N263" s="110"/>
      <c r="O263" s="110"/>
      <c r="P263" s="112"/>
      <c r="Q263" s="112"/>
      <c r="R263" s="110"/>
      <c r="S263" s="110"/>
      <c r="T263" s="110"/>
      <c r="U263" s="110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11">
        <v>0</v>
      </c>
      <c r="C264" s="111"/>
      <c r="D264" s="113">
        <v>1</v>
      </c>
      <c r="E264" s="113">
        <v>1</v>
      </c>
      <c r="F264" s="111">
        <v>2</v>
      </c>
      <c r="G264" s="111">
        <v>2</v>
      </c>
      <c r="H264" s="113">
        <v>3</v>
      </c>
      <c r="I264" s="113">
        <v>3</v>
      </c>
      <c r="J264" s="111">
        <v>4</v>
      </c>
      <c r="K264" s="111">
        <v>4</v>
      </c>
      <c r="L264" s="113">
        <v>5</v>
      </c>
      <c r="M264" s="113"/>
      <c r="N264" s="111">
        <v>6</v>
      </c>
      <c r="O264" s="111">
        <v>1</v>
      </c>
      <c r="P264" s="113">
        <v>7</v>
      </c>
      <c r="Q264" s="113">
        <v>2</v>
      </c>
      <c r="R264" s="111">
        <v>8</v>
      </c>
      <c r="S264" s="111">
        <v>3</v>
      </c>
      <c r="T264" s="111">
        <v>9</v>
      </c>
      <c r="U264" s="111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35"/>
      <c r="C268" s="136"/>
      <c r="D268" s="133"/>
      <c r="E268" s="134"/>
      <c r="F268" s="135"/>
      <c r="G268" s="136"/>
      <c r="H268" s="133"/>
      <c r="I268" s="134"/>
      <c r="J268" s="135"/>
      <c r="K268" s="136"/>
      <c r="L268" s="133"/>
      <c r="M268" s="134"/>
      <c r="N268" s="135"/>
      <c r="O268" s="136"/>
      <c r="P268" s="133"/>
      <c r="Q268" s="134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102"/>
      <c r="E269" s="103"/>
      <c r="F269" s="59" t="str">
        <f>IF(H268&lt;1,"","пом.")</f>
        <v/>
      </c>
      <c r="G269" s="59"/>
      <c r="H269" s="102"/>
      <c r="I269" s="103"/>
      <c r="J269" s="59" t="str">
        <f>IF(L268&lt;1,"","пом.")</f>
        <v/>
      </c>
      <c r="K269" s="59"/>
      <c r="L269" s="102"/>
      <c r="M269" s="103"/>
      <c r="N269" s="59" t="str">
        <f>IF(P268&lt;1,"","пом.")</f>
        <v/>
      </c>
      <c r="O269" s="59"/>
      <c r="P269" s="102"/>
      <c r="Q269" s="103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104" t="s">
        <v>12</v>
      </c>
      <c r="G271" s="104"/>
      <c r="H271" s="104"/>
      <c r="I271" s="132" t="s">
        <v>41</v>
      </c>
      <c r="J271" s="132"/>
      <c r="K271" s="60"/>
      <c r="L271" s="39"/>
      <c r="M271" s="39"/>
      <c r="N271" s="5"/>
      <c r="O271" s="22" t="s">
        <v>13</v>
      </c>
      <c r="P271" s="104" t="s">
        <v>14</v>
      </c>
      <c r="Q271" s="104"/>
      <c r="R271" s="104"/>
      <c r="S271" s="132" t="s">
        <v>43</v>
      </c>
      <c r="T271" s="132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104" t="s">
        <v>16</v>
      </c>
      <c r="G272" s="104"/>
      <c r="H272" s="104"/>
      <c r="I272" s="132" t="s">
        <v>42</v>
      </c>
      <c r="J272" s="132"/>
      <c r="K272" s="132"/>
      <c r="L272" s="39"/>
      <c r="M272" s="39"/>
      <c r="N272" s="5"/>
      <c r="O272" s="22" t="s">
        <v>18</v>
      </c>
      <c r="P272" s="104" t="s">
        <v>14</v>
      </c>
      <c r="Q272" s="104"/>
      <c r="R272" s="104"/>
      <c r="S272" s="128" t="s">
        <v>17</v>
      </c>
      <c r="T272" s="128"/>
      <c r="U272" s="128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1.1.3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IF(N257="-"&amp;N254&amp;".5",IF(N258=15,"-"&amp;N254&amp;".6","-"&amp;N254&amp;".5"),N257)</f>
        <v>-1.1.5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IF(N277="-"&amp;N212&amp;".5",N258+1,IF(N257="-"&amp;N212&amp;".5",1,N258+1))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17">
        <v>1</v>
      </c>
      <c r="E281" s="118"/>
      <c r="F281" s="19"/>
      <c r="G281" s="19"/>
      <c r="H281" s="117">
        <v>2</v>
      </c>
      <c r="I281" s="118"/>
      <c r="J281" s="19"/>
      <c r="K281" s="19"/>
      <c r="L281" s="117">
        <v>3</v>
      </c>
      <c r="M281" s="118"/>
      <c r="N281" s="19"/>
      <c r="O281" s="19"/>
      <c r="P281" s="117">
        <v>4</v>
      </c>
      <c r="Q281" s="118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11" t="s">
        <v>6</v>
      </c>
      <c r="C282" s="111"/>
      <c r="D282" s="117" t="s">
        <v>37</v>
      </c>
      <c r="E282" s="118" t="s">
        <v>0</v>
      </c>
      <c r="F282" s="111" t="s">
        <v>6</v>
      </c>
      <c r="G282" s="111"/>
      <c r="H282" s="117" t="s">
        <v>37</v>
      </c>
      <c r="I282" s="118"/>
      <c r="J282" s="111" t="s">
        <v>6</v>
      </c>
      <c r="K282" s="111"/>
      <c r="L282" s="117" t="s">
        <v>37</v>
      </c>
      <c r="M282" s="118"/>
      <c r="N282" s="111" t="s">
        <v>6</v>
      </c>
      <c r="O282" s="111"/>
      <c r="P282" s="117" t="s">
        <v>37</v>
      </c>
      <c r="Q282" s="118"/>
      <c r="R282" s="111"/>
      <c r="S282" s="111"/>
      <c r="T282" s="111"/>
      <c r="U282" s="111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10"/>
      <c r="C283" s="110"/>
      <c r="D283" s="112"/>
      <c r="E283" s="112"/>
      <c r="F283" s="110"/>
      <c r="G283" s="110"/>
      <c r="H283" s="112"/>
      <c r="I283" s="112"/>
      <c r="J283" s="110"/>
      <c r="K283" s="110"/>
      <c r="L283" s="112"/>
      <c r="M283" s="112"/>
      <c r="N283" s="110"/>
      <c r="O283" s="110"/>
      <c r="P283" s="112"/>
      <c r="Q283" s="112"/>
      <c r="R283" s="110"/>
      <c r="S283" s="110"/>
      <c r="T283" s="110"/>
      <c r="U283" s="110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11">
        <v>0</v>
      </c>
      <c r="C284" s="111"/>
      <c r="D284" s="113">
        <v>1</v>
      </c>
      <c r="E284" s="113">
        <v>1</v>
      </c>
      <c r="F284" s="111">
        <v>2</v>
      </c>
      <c r="G284" s="111">
        <v>2</v>
      </c>
      <c r="H284" s="113">
        <v>3</v>
      </c>
      <c r="I284" s="113">
        <v>3</v>
      </c>
      <c r="J284" s="111">
        <v>4</v>
      </c>
      <c r="K284" s="111">
        <v>4</v>
      </c>
      <c r="L284" s="113">
        <v>5</v>
      </c>
      <c r="M284" s="113"/>
      <c r="N284" s="111">
        <v>6</v>
      </c>
      <c r="O284" s="111">
        <v>1</v>
      </c>
      <c r="P284" s="113">
        <v>7</v>
      </c>
      <c r="Q284" s="113">
        <v>2</v>
      </c>
      <c r="R284" s="111">
        <v>8</v>
      </c>
      <c r="S284" s="111">
        <v>3</v>
      </c>
      <c r="T284" s="111">
        <v>9</v>
      </c>
      <c r="U284" s="111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35"/>
      <c r="C288" s="136"/>
      <c r="D288" s="133"/>
      <c r="E288" s="134"/>
      <c r="F288" s="135"/>
      <c r="G288" s="136"/>
      <c r="H288" s="133"/>
      <c r="I288" s="134"/>
      <c r="J288" s="135"/>
      <c r="K288" s="136"/>
      <c r="L288" s="133"/>
      <c r="M288" s="134"/>
      <c r="N288" s="135"/>
      <c r="O288" s="136"/>
      <c r="P288" s="133"/>
      <c r="Q288" s="134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102"/>
      <c r="E289" s="103"/>
      <c r="F289" s="59" t="str">
        <f>IF(H288&lt;1,"","пом.")</f>
        <v/>
      </c>
      <c r="G289" s="59"/>
      <c r="H289" s="102"/>
      <c r="I289" s="103"/>
      <c r="J289" s="59" t="str">
        <f>IF(L288&lt;1,"","пом.")</f>
        <v/>
      </c>
      <c r="K289" s="59"/>
      <c r="L289" s="102"/>
      <c r="M289" s="103"/>
      <c r="N289" s="59" t="str">
        <f>IF(P288&lt;1,"","пом.")</f>
        <v/>
      </c>
      <c r="O289" s="59"/>
      <c r="P289" s="102"/>
      <c r="Q289" s="103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104" t="s">
        <v>12</v>
      </c>
      <c r="G291" s="104"/>
      <c r="H291" s="104"/>
      <c r="I291" s="132" t="s">
        <v>41</v>
      </c>
      <c r="J291" s="132"/>
      <c r="K291" s="60"/>
      <c r="L291" s="39"/>
      <c r="M291" s="39"/>
      <c r="N291" s="5"/>
      <c r="O291" s="22" t="s">
        <v>13</v>
      </c>
      <c r="P291" s="104" t="s">
        <v>14</v>
      </c>
      <c r="Q291" s="104"/>
      <c r="R291" s="104"/>
      <c r="S291" s="132" t="s">
        <v>43</v>
      </c>
      <c r="T291" s="132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104" t="s">
        <v>16</v>
      </c>
      <c r="G292" s="104"/>
      <c r="H292" s="104"/>
      <c r="I292" s="132" t="s">
        <v>42</v>
      </c>
      <c r="J292" s="132"/>
      <c r="K292" s="132"/>
      <c r="L292" s="39"/>
      <c r="M292" s="39"/>
      <c r="N292" s="5"/>
      <c r="O292" s="22" t="s">
        <v>18</v>
      </c>
      <c r="P292" s="104" t="s">
        <v>14</v>
      </c>
      <c r="Q292" s="104"/>
      <c r="R292" s="104"/>
      <c r="S292" s="128" t="s">
        <v>17</v>
      </c>
      <c r="T292" s="128"/>
      <c r="U292" s="128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N296&amp;".3"</f>
        <v>1.1.3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IF(N277="-"&amp;N254&amp;".5",IF(N278=15,"-"&amp;N254&amp;".6","-"&amp;N254&amp;".5"),N277)</f>
        <v>-1.1.5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IF(N299="-"&amp;N254&amp;".5",N278+1,IF(N277="-"&amp;N254&amp;".5",1,N278+1))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17">
        <v>1</v>
      </c>
      <c r="E303" s="118"/>
      <c r="F303" s="19"/>
      <c r="G303" s="19"/>
      <c r="H303" s="117">
        <v>2</v>
      </c>
      <c r="I303" s="118"/>
      <c r="J303" s="19"/>
      <c r="K303" s="19"/>
      <c r="L303" s="117">
        <v>3</v>
      </c>
      <c r="M303" s="118"/>
      <c r="N303" s="19"/>
      <c r="O303" s="19"/>
      <c r="P303" s="117">
        <v>4</v>
      </c>
      <c r="Q303" s="118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11" t="s">
        <v>6</v>
      </c>
      <c r="C304" s="111"/>
      <c r="D304" s="117" t="s">
        <v>37</v>
      </c>
      <c r="E304" s="118" t="s">
        <v>0</v>
      </c>
      <c r="F304" s="111" t="s">
        <v>6</v>
      </c>
      <c r="G304" s="111"/>
      <c r="H304" s="117" t="s">
        <v>37</v>
      </c>
      <c r="I304" s="118"/>
      <c r="J304" s="111" t="s">
        <v>6</v>
      </c>
      <c r="K304" s="111"/>
      <c r="L304" s="117" t="s">
        <v>37</v>
      </c>
      <c r="M304" s="118"/>
      <c r="N304" s="111" t="s">
        <v>6</v>
      </c>
      <c r="O304" s="111"/>
      <c r="P304" s="117" t="s">
        <v>37</v>
      </c>
      <c r="Q304" s="118"/>
      <c r="R304" s="111"/>
      <c r="S304" s="111"/>
      <c r="T304" s="111"/>
      <c r="U304" s="111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10"/>
      <c r="C305" s="110"/>
      <c r="D305" s="112"/>
      <c r="E305" s="112"/>
      <c r="F305" s="110"/>
      <c r="G305" s="110"/>
      <c r="H305" s="112"/>
      <c r="I305" s="112"/>
      <c r="J305" s="110"/>
      <c r="K305" s="110"/>
      <c r="L305" s="112"/>
      <c r="M305" s="112"/>
      <c r="N305" s="110"/>
      <c r="O305" s="110"/>
      <c r="P305" s="112"/>
      <c r="Q305" s="112"/>
      <c r="R305" s="110"/>
      <c r="S305" s="110"/>
      <c r="T305" s="110"/>
      <c r="U305" s="110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11">
        <v>0</v>
      </c>
      <c r="C306" s="111"/>
      <c r="D306" s="113">
        <v>1</v>
      </c>
      <c r="E306" s="113">
        <v>1</v>
      </c>
      <c r="F306" s="111">
        <v>2</v>
      </c>
      <c r="G306" s="111">
        <v>2</v>
      </c>
      <c r="H306" s="113">
        <v>3</v>
      </c>
      <c r="I306" s="113">
        <v>3</v>
      </c>
      <c r="J306" s="111">
        <v>4</v>
      </c>
      <c r="K306" s="111">
        <v>4</v>
      </c>
      <c r="L306" s="113">
        <v>5</v>
      </c>
      <c r="M306" s="113"/>
      <c r="N306" s="111">
        <v>6</v>
      </c>
      <c r="O306" s="111">
        <v>1</v>
      </c>
      <c r="P306" s="113">
        <v>7</v>
      </c>
      <c r="Q306" s="113">
        <v>2</v>
      </c>
      <c r="R306" s="111">
        <v>8</v>
      </c>
      <c r="S306" s="111">
        <v>3</v>
      </c>
      <c r="T306" s="111">
        <v>9</v>
      </c>
      <c r="U306" s="111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35"/>
      <c r="C310" s="136"/>
      <c r="D310" s="133"/>
      <c r="E310" s="134"/>
      <c r="F310" s="135"/>
      <c r="G310" s="136"/>
      <c r="H310" s="133"/>
      <c r="I310" s="134"/>
      <c r="J310" s="135"/>
      <c r="K310" s="136"/>
      <c r="L310" s="133"/>
      <c r="M310" s="134"/>
      <c r="N310" s="135"/>
      <c r="O310" s="136"/>
      <c r="P310" s="133"/>
      <c r="Q310" s="134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102"/>
      <c r="E311" s="103"/>
      <c r="F311" s="59" t="str">
        <f>IF(H310&lt;1,"","пом.")</f>
        <v/>
      </c>
      <c r="G311" s="59"/>
      <c r="H311" s="102"/>
      <c r="I311" s="103"/>
      <c r="J311" s="59" t="str">
        <f>IF(L310&lt;1,"","пом.")</f>
        <v/>
      </c>
      <c r="K311" s="59"/>
      <c r="L311" s="102"/>
      <c r="M311" s="103"/>
      <c r="N311" s="59" t="str">
        <f>IF(P310&lt;1,"","пом.")</f>
        <v/>
      </c>
      <c r="O311" s="59"/>
      <c r="P311" s="102"/>
      <c r="Q311" s="103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104" t="s">
        <v>12</v>
      </c>
      <c r="G313" s="104"/>
      <c r="H313" s="104"/>
      <c r="I313" s="132" t="s">
        <v>41</v>
      </c>
      <c r="J313" s="132"/>
      <c r="K313" s="60"/>
      <c r="L313" s="39"/>
      <c r="M313" s="39"/>
      <c r="N313" s="5"/>
      <c r="O313" s="22" t="s">
        <v>13</v>
      </c>
      <c r="P313" s="104" t="s">
        <v>14</v>
      </c>
      <c r="Q313" s="104"/>
      <c r="R313" s="104"/>
      <c r="S313" s="132" t="s">
        <v>43</v>
      </c>
      <c r="T313" s="132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104" t="s">
        <v>16</v>
      </c>
      <c r="G314" s="104"/>
      <c r="H314" s="104"/>
      <c r="I314" s="132" t="s">
        <v>42</v>
      </c>
      <c r="J314" s="132"/>
      <c r="K314" s="132"/>
      <c r="L314" s="39"/>
      <c r="M314" s="39"/>
      <c r="N314" s="5"/>
      <c r="O314" s="22" t="s">
        <v>18</v>
      </c>
      <c r="P314" s="104" t="s">
        <v>14</v>
      </c>
      <c r="Q314" s="104"/>
      <c r="R314" s="104"/>
      <c r="S314" s="128" t="s">
        <v>17</v>
      </c>
      <c r="T314" s="128"/>
      <c r="U314" s="128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1.1.3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IF(N299="-"&amp;N296&amp;".5",IF(N300=15,"-"&amp;N296&amp;".6","-"&amp;N296&amp;".5"),N299)</f>
        <v>-1.1.6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IF(N319="-"&amp;N254&amp;".5",N300+1,IF(N299="-"&amp;N254&amp;".5",1,N300+1))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17">
        <v>1</v>
      </c>
      <c r="E323" s="118"/>
      <c r="F323" s="19"/>
      <c r="G323" s="19"/>
      <c r="H323" s="117">
        <v>2</v>
      </c>
      <c r="I323" s="118"/>
      <c r="J323" s="19"/>
      <c r="K323" s="19"/>
      <c r="L323" s="117">
        <v>3</v>
      </c>
      <c r="M323" s="118"/>
      <c r="N323" s="19"/>
      <c r="O323" s="19"/>
      <c r="P323" s="117">
        <v>4</v>
      </c>
      <c r="Q323" s="118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11" t="s">
        <v>6</v>
      </c>
      <c r="C324" s="111"/>
      <c r="D324" s="117" t="s">
        <v>37</v>
      </c>
      <c r="E324" s="118" t="s">
        <v>0</v>
      </c>
      <c r="F324" s="111" t="s">
        <v>6</v>
      </c>
      <c r="G324" s="111"/>
      <c r="H324" s="117" t="s">
        <v>37</v>
      </c>
      <c r="I324" s="118"/>
      <c r="J324" s="111" t="s">
        <v>6</v>
      </c>
      <c r="K324" s="111"/>
      <c r="L324" s="117" t="s">
        <v>37</v>
      </c>
      <c r="M324" s="118"/>
      <c r="N324" s="111" t="s">
        <v>6</v>
      </c>
      <c r="O324" s="111"/>
      <c r="P324" s="117" t="s">
        <v>37</v>
      </c>
      <c r="Q324" s="118"/>
      <c r="R324" s="111"/>
      <c r="S324" s="111"/>
      <c r="T324" s="111"/>
      <c r="U324" s="111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10"/>
      <c r="C325" s="110"/>
      <c r="D325" s="112"/>
      <c r="E325" s="112"/>
      <c r="F325" s="110"/>
      <c r="G325" s="110"/>
      <c r="H325" s="112"/>
      <c r="I325" s="112"/>
      <c r="J325" s="110"/>
      <c r="K325" s="110"/>
      <c r="L325" s="112"/>
      <c r="M325" s="112"/>
      <c r="N325" s="110"/>
      <c r="O325" s="110"/>
      <c r="P325" s="112"/>
      <c r="Q325" s="112"/>
      <c r="R325" s="110"/>
      <c r="S325" s="110"/>
      <c r="T325" s="110"/>
      <c r="U325" s="110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11">
        <v>0</v>
      </c>
      <c r="C326" s="111"/>
      <c r="D326" s="113">
        <v>1</v>
      </c>
      <c r="E326" s="113">
        <v>1</v>
      </c>
      <c r="F326" s="111">
        <v>2</v>
      </c>
      <c r="G326" s="111">
        <v>2</v>
      </c>
      <c r="H326" s="113">
        <v>3</v>
      </c>
      <c r="I326" s="113">
        <v>3</v>
      </c>
      <c r="J326" s="111">
        <v>4</v>
      </c>
      <c r="K326" s="111">
        <v>4</v>
      </c>
      <c r="L326" s="113">
        <v>5</v>
      </c>
      <c r="M326" s="113"/>
      <c r="N326" s="111">
        <v>6</v>
      </c>
      <c r="O326" s="111">
        <v>1</v>
      </c>
      <c r="P326" s="113">
        <v>7</v>
      </c>
      <c r="Q326" s="113">
        <v>2</v>
      </c>
      <c r="R326" s="111">
        <v>8</v>
      </c>
      <c r="S326" s="111">
        <v>3</v>
      </c>
      <c r="T326" s="111">
        <v>9</v>
      </c>
      <c r="U326" s="111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35"/>
      <c r="C330" s="136"/>
      <c r="D330" s="133"/>
      <c r="E330" s="134"/>
      <c r="F330" s="135"/>
      <c r="G330" s="136"/>
      <c r="H330" s="133"/>
      <c r="I330" s="134"/>
      <c r="J330" s="135"/>
      <c r="K330" s="136"/>
      <c r="L330" s="133"/>
      <c r="M330" s="134"/>
      <c r="N330" s="135"/>
      <c r="O330" s="136"/>
      <c r="P330" s="133"/>
      <c r="Q330" s="134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102"/>
      <c r="E331" s="103"/>
      <c r="F331" s="59" t="str">
        <f>IF(H330&lt;1,"","пом.")</f>
        <v/>
      </c>
      <c r="G331" s="59"/>
      <c r="H331" s="102"/>
      <c r="I331" s="103"/>
      <c r="J331" s="59" t="str">
        <f>IF(L330&lt;1,"","пом.")</f>
        <v/>
      </c>
      <c r="K331" s="59"/>
      <c r="L331" s="102"/>
      <c r="M331" s="103"/>
      <c r="N331" s="59" t="str">
        <f>IF(P330&lt;1,"","пом.")</f>
        <v/>
      </c>
      <c r="O331" s="59"/>
      <c r="P331" s="102"/>
      <c r="Q331" s="103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104" t="s">
        <v>12</v>
      </c>
      <c r="G333" s="104"/>
      <c r="H333" s="104"/>
      <c r="I333" s="132" t="s">
        <v>41</v>
      </c>
      <c r="J333" s="132"/>
      <c r="K333" s="60"/>
      <c r="L333" s="39"/>
      <c r="M333" s="39"/>
      <c r="N333" s="5"/>
      <c r="O333" s="22" t="s">
        <v>13</v>
      </c>
      <c r="P333" s="104" t="s">
        <v>14</v>
      </c>
      <c r="Q333" s="104"/>
      <c r="R333" s="104"/>
      <c r="S333" s="132" t="s">
        <v>43</v>
      </c>
      <c r="T333" s="132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104" t="s">
        <v>16</v>
      </c>
      <c r="G334" s="104"/>
      <c r="H334" s="104"/>
      <c r="I334" s="132" t="s">
        <v>42</v>
      </c>
      <c r="J334" s="132"/>
      <c r="K334" s="132"/>
      <c r="L334" s="39"/>
      <c r="M334" s="39"/>
      <c r="N334" s="5"/>
      <c r="O334" s="22" t="s">
        <v>18</v>
      </c>
      <c r="P334" s="104" t="s">
        <v>14</v>
      </c>
      <c r="Q334" s="104"/>
      <c r="R334" s="104"/>
      <c r="S334" s="128" t="s">
        <v>17</v>
      </c>
      <c r="T334" s="128"/>
      <c r="U334" s="128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N338&amp;".3"</f>
        <v>1.1.3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IF(N319="-"&amp;N296&amp;".5",IF(N320=15,"-"&amp;N296&amp;".6","-"&amp;N296&amp;".5"),N319)</f>
        <v>-1.1.6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IF(N341="-"&amp;N296&amp;".5",N320+1,IF(N319="-"&amp;N296&amp;".5",1,N320+1))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17">
        <v>1</v>
      </c>
      <c r="E345" s="118"/>
      <c r="F345" s="19"/>
      <c r="G345" s="19"/>
      <c r="H345" s="117">
        <v>2</v>
      </c>
      <c r="I345" s="118"/>
      <c r="J345" s="19"/>
      <c r="K345" s="19"/>
      <c r="L345" s="117">
        <v>3</v>
      </c>
      <c r="M345" s="118"/>
      <c r="N345" s="19"/>
      <c r="O345" s="19"/>
      <c r="P345" s="117">
        <v>4</v>
      </c>
      <c r="Q345" s="118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11" t="s">
        <v>6</v>
      </c>
      <c r="C346" s="111"/>
      <c r="D346" s="117" t="s">
        <v>37</v>
      </c>
      <c r="E346" s="118" t="s">
        <v>0</v>
      </c>
      <c r="F346" s="111" t="s">
        <v>6</v>
      </c>
      <c r="G346" s="111"/>
      <c r="H346" s="117" t="s">
        <v>37</v>
      </c>
      <c r="I346" s="118"/>
      <c r="J346" s="111" t="s">
        <v>6</v>
      </c>
      <c r="K346" s="111"/>
      <c r="L346" s="117" t="s">
        <v>37</v>
      </c>
      <c r="M346" s="118"/>
      <c r="N346" s="111" t="s">
        <v>6</v>
      </c>
      <c r="O346" s="111"/>
      <c r="P346" s="117" t="s">
        <v>37</v>
      </c>
      <c r="Q346" s="118"/>
      <c r="R346" s="111"/>
      <c r="S346" s="111"/>
      <c r="T346" s="111"/>
      <c r="U346" s="111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10"/>
      <c r="C347" s="110"/>
      <c r="D347" s="112"/>
      <c r="E347" s="112"/>
      <c r="F347" s="110"/>
      <c r="G347" s="110"/>
      <c r="H347" s="112"/>
      <c r="I347" s="112"/>
      <c r="J347" s="110"/>
      <c r="K347" s="110"/>
      <c r="L347" s="112"/>
      <c r="M347" s="112"/>
      <c r="N347" s="110"/>
      <c r="O347" s="110"/>
      <c r="P347" s="112"/>
      <c r="Q347" s="112"/>
      <c r="R347" s="110"/>
      <c r="S347" s="110"/>
      <c r="T347" s="110"/>
      <c r="U347" s="110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11">
        <v>0</v>
      </c>
      <c r="C348" s="111"/>
      <c r="D348" s="113">
        <v>1</v>
      </c>
      <c r="E348" s="113">
        <v>1</v>
      </c>
      <c r="F348" s="111">
        <v>2</v>
      </c>
      <c r="G348" s="111">
        <v>2</v>
      </c>
      <c r="H348" s="113">
        <v>3</v>
      </c>
      <c r="I348" s="113">
        <v>3</v>
      </c>
      <c r="J348" s="111">
        <v>4</v>
      </c>
      <c r="K348" s="111">
        <v>4</v>
      </c>
      <c r="L348" s="113">
        <v>5</v>
      </c>
      <c r="M348" s="113"/>
      <c r="N348" s="111">
        <v>6</v>
      </c>
      <c r="O348" s="111">
        <v>1</v>
      </c>
      <c r="P348" s="113">
        <v>7</v>
      </c>
      <c r="Q348" s="113">
        <v>2</v>
      </c>
      <c r="R348" s="111">
        <v>8</v>
      </c>
      <c r="S348" s="111">
        <v>3</v>
      </c>
      <c r="T348" s="111">
        <v>9</v>
      </c>
      <c r="U348" s="111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35"/>
      <c r="C352" s="136"/>
      <c r="D352" s="133"/>
      <c r="E352" s="134"/>
      <c r="F352" s="135"/>
      <c r="G352" s="136"/>
      <c r="H352" s="133"/>
      <c r="I352" s="134"/>
      <c r="J352" s="135"/>
      <c r="K352" s="136"/>
      <c r="L352" s="133"/>
      <c r="M352" s="134"/>
      <c r="N352" s="135"/>
      <c r="O352" s="136"/>
      <c r="P352" s="133"/>
      <c r="Q352" s="134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102"/>
      <c r="E353" s="103"/>
      <c r="F353" s="59" t="str">
        <f>IF(H352&lt;1,"","пом.")</f>
        <v/>
      </c>
      <c r="G353" s="59"/>
      <c r="H353" s="102"/>
      <c r="I353" s="103"/>
      <c r="J353" s="59" t="str">
        <f>IF(L352&lt;1,"","пом.")</f>
        <v/>
      </c>
      <c r="K353" s="59"/>
      <c r="L353" s="102"/>
      <c r="M353" s="103"/>
      <c r="N353" s="59" t="str">
        <f>IF(P352&lt;1,"","пом.")</f>
        <v/>
      </c>
      <c r="O353" s="59"/>
      <c r="P353" s="102"/>
      <c r="Q353" s="103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104" t="s">
        <v>12</v>
      </c>
      <c r="G355" s="104"/>
      <c r="H355" s="104"/>
      <c r="I355" s="132" t="s">
        <v>41</v>
      </c>
      <c r="J355" s="132"/>
      <c r="K355" s="60"/>
      <c r="L355" s="39"/>
      <c r="M355" s="39"/>
      <c r="N355" s="5"/>
      <c r="O355" s="22" t="s">
        <v>13</v>
      </c>
      <c r="P355" s="104" t="s">
        <v>14</v>
      </c>
      <c r="Q355" s="104"/>
      <c r="R355" s="104"/>
      <c r="S355" s="132" t="s">
        <v>43</v>
      </c>
      <c r="T355" s="132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104" t="s">
        <v>16</v>
      </c>
      <c r="G356" s="104"/>
      <c r="H356" s="104"/>
      <c r="I356" s="132" t="s">
        <v>42</v>
      </c>
      <c r="J356" s="132"/>
      <c r="K356" s="132"/>
      <c r="L356" s="39"/>
      <c r="M356" s="39"/>
      <c r="N356" s="5"/>
      <c r="O356" s="22" t="s">
        <v>18</v>
      </c>
      <c r="P356" s="104" t="s">
        <v>14</v>
      </c>
      <c r="Q356" s="104"/>
      <c r="R356" s="104"/>
      <c r="S356" s="128" t="s">
        <v>17</v>
      </c>
      <c r="T356" s="128"/>
      <c r="U356" s="128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1.1.3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IF(N341="-"&amp;N338&amp;".5",IF(N342=15,"-"&amp;N338&amp;".6","-"&amp;N338&amp;".5"),N341)</f>
        <v>-1.1.6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IF(N361="-"&amp;N296&amp;".5",N342+1,IF(N341="-"&amp;N296&amp;".5",1,N342+1))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17">
        <v>1</v>
      </c>
      <c r="E365" s="118"/>
      <c r="F365" s="19"/>
      <c r="G365" s="19"/>
      <c r="H365" s="117">
        <v>2</v>
      </c>
      <c r="I365" s="118"/>
      <c r="J365" s="19"/>
      <c r="K365" s="19"/>
      <c r="L365" s="117">
        <v>3</v>
      </c>
      <c r="M365" s="118"/>
      <c r="N365" s="19"/>
      <c r="O365" s="19"/>
      <c r="P365" s="117">
        <v>4</v>
      </c>
      <c r="Q365" s="118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11" t="s">
        <v>6</v>
      </c>
      <c r="C366" s="111"/>
      <c r="D366" s="117" t="s">
        <v>37</v>
      </c>
      <c r="E366" s="118" t="s">
        <v>0</v>
      </c>
      <c r="F366" s="111" t="s">
        <v>6</v>
      </c>
      <c r="G366" s="111"/>
      <c r="H366" s="117" t="s">
        <v>37</v>
      </c>
      <c r="I366" s="118"/>
      <c r="J366" s="111" t="s">
        <v>6</v>
      </c>
      <c r="K366" s="111"/>
      <c r="L366" s="117" t="s">
        <v>37</v>
      </c>
      <c r="M366" s="118"/>
      <c r="N366" s="111" t="s">
        <v>6</v>
      </c>
      <c r="O366" s="111"/>
      <c r="P366" s="117" t="s">
        <v>37</v>
      </c>
      <c r="Q366" s="118"/>
      <c r="R366" s="111"/>
      <c r="S366" s="111"/>
      <c r="T366" s="111"/>
      <c r="U366" s="111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10"/>
      <c r="C367" s="110"/>
      <c r="D367" s="112"/>
      <c r="E367" s="112"/>
      <c r="F367" s="110"/>
      <c r="G367" s="110"/>
      <c r="H367" s="112"/>
      <c r="I367" s="112"/>
      <c r="J367" s="110"/>
      <c r="K367" s="110"/>
      <c r="L367" s="112"/>
      <c r="M367" s="112"/>
      <c r="N367" s="110"/>
      <c r="O367" s="110"/>
      <c r="P367" s="112"/>
      <c r="Q367" s="112"/>
      <c r="R367" s="110"/>
      <c r="S367" s="110"/>
      <c r="T367" s="110"/>
      <c r="U367" s="110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11">
        <v>0</v>
      </c>
      <c r="C368" s="111"/>
      <c r="D368" s="113">
        <v>1</v>
      </c>
      <c r="E368" s="113">
        <v>1</v>
      </c>
      <c r="F368" s="111">
        <v>2</v>
      </c>
      <c r="G368" s="111">
        <v>2</v>
      </c>
      <c r="H368" s="113">
        <v>3</v>
      </c>
      <c r="I368" s="113">
        <v>3</v>
      </c>
      <c r="J368" s="111">
        <v>4</v>
      </c>
      <c r="K368" s="111">
        <v>4</v>
      </c>
      <c r="L368" s="113">
        <v>5</v>
      </c>
      <c r="M368" s="113"/>
      <c r="N368" s="111">
        <v>6</v>
      </c>
      <c r="O368" s="111">
        <v>1</v>
      </c>
      <c r="P368" s="113">
        <v>7</v>
      </c>
      <c r="Q368" s="113">
        <v>2</v>
      </c>
      <c r="R368" s="111">
        <v>8</v>
      </c>
      <c r="S368" s="111">
        <v>3</v>
      </c>
      <c r="T368" s="111">
        <v>9</v>
      </c>
      <c r="U368" s="111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35"/>
      <c r="C372" s="136"/>
      <c r="D372" s="133"/>
      <c r="E372" s="134"/>
      <c r="F372" s="135"/>
      <c r="G372" s="136"/>
      <c r="H372" s="133"/>
      <c r="I372" s="134"/>
      <c r="J372" s="135"/>
      <c r="K372" s="136"/>
      <c r="L372" s="133"/>
      <c r="M372" s="134"/>
      <c r="N372" s="135"/>
      <c r="O372" s="136"/>
      <c r="P372" s="133"/>
      <c r="Q372" s="134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102"/>
      <c r="E373" s="103"/>
      <c r="F373" s="59" t="str">
        <f>IF(H372&lt;1,"","пом.")</f>
        <v/>
      </c>
      <c r="G373" s="59"/>
      <c r="H373" s="102"/>
      <c r="I373" s="103"/>
      <c r="J373" s="59" t="str">
        <f>IF(L372&lt;1,"","пом.")</f>
        <v/>
      </c>
      <c r="K373" s="59"/>
      <c r="L373" s="102"/>
      <c r="M373" s="103"/>
      <c r="N373" s="59" t="str">
        <f>IF(P372&lt;1,"","пом.")</f>
        <v/>
      </c>
      <c r="O373" s="59"/>
      <c r="P373" s="102"/>
      <c r="Q373" s="103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104" t="s">
        <v>12</v>
      </c>
      <c r="G375" s="104"/>
      <c r="H375" s="104"/>
      <c r="I375" s="132" t="s">
        <v>41</v>
      </c>
      <c r="J375" s="132"/>
      <c r="K375" s="60"/>
      <c r="L375" s="39"/>
      <c r="M375" s="39"/>
      <c r="N375" s="5"/>
      <c r="O375" s="22" t="s">
        <v>13</v>
      </c>
      <c r="P375" s="104" t="s">
        <v>14</v>
      </c>
      <c r="Q375" s="104"/>
      <c r="R375" s="104"/>
      <c r="S375" s="132" t="s">
        <v>43</v>
      </c>
      <c r="T375" s="132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104" t="s">
        <v>16</v>
      </c>
      <c r="G376" s="104"/>
      <c r="H376" s="104"/>
      <c r="I376" s="132" t="s">
        <v>42</v>
      </c>
      <c r="J376" s="132"/>
      <c r="K376" s="132"/>
      <c r="L376" s="39"/>
      <c r="M376" s="39"/>
      <c r="N376" s="5"/>
      <c r="O376" s="22" t="s">
        <v>18</v>
      </c>
      <c r="P376" s="104" t="s">
        <v>14</v>
      </c>
      <c r="Q376" s="104"/>
      <c r="R376" s="104"/>
      <c r="S376" s="128" t="s">
        <v>17</v>
      </c>
      <c r="T376" s="128"/>
      <c r="U376" s="128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N380&amp;".3"</f>
        <v>1.1.3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IF(N361="-"&amp;N338&amp;".5",IF(N362=15,"-"&amp;N338&amp;".6","-"&amp;N338&amp;".5"),N361)</f>
        <v>-1.1.6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IF(N383="-"&amp;N338&amp;".5",N362+1,IF(N361="-"&amp;N338&amp;".5",1,N362+1))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17">
        <v>1</v>
      </c>
      <c r="E387" s="118"/>
      <c r="F387" s="19"/>
      <c r="G387" s="19"/>
      <c r="H387" s="117">
        <v>2</v>
      </c>
      <c r="I387" s="118"/>
      <c r="J387" s="19"/>
      <c r="K387" s="19"/>
      <c r="L387" s="117">
        <v>3</v>
      </c>
      <c r="M387" s="118"/>
      <c r="N387" s="19"/>
      <c r="O387" s="19"/>
      <c r="P387" s="117">
        <v>4</v>
      </c>
      <c r="Q387" s="118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11" t="s">
        <v>6</v>
      </c>
      <c r="C388" s="111"/>
      <c r="D388" s="117" t="s">
        <v>37</v>
      </c>
      <c r="E388" s="118" t="s">
        <v>0</v>
      </c>
      <c r="F388" s="111" t="s">
        <v>6</v>
      </c>
      <c r="G388" s="111"/>
      <c r="H388" s="117" t="s">
        <v>37</v>
      </c>
      <c r="I388" s="118"/>
      <c r="J388" s="111" t="s">
        <v>6</v>
      </c>
      <c r="K388" s="111"/>
      <c r="L388" s="117" t="s">
        <v>37</v>
      </c>
      <c r="M388" s="118"/>
      <c r="N388" s="111" t="s">
        <v>6</v>
      </c>
      <c r="O388" s="111"/>
      <c r="P388" s="117" t="s">
        <v>37</v>
      </c>
      <c r="Q388" s="118"/>
      <c r="R388" s="111"/>
      <c r="S388" s="111"/>
      <c r="T388" s="111"/>
      <c r="U388" s="111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10"/>
      <c r="C389" s="110"/>
      <c r="D389" s="112"/>
      <c r="E389" s="112"/>
      <c r="F389" s="110"/>
      <c r="G389" s="110"/>
      <c r="H389" s="112"/>
      <c r="I389" s="112"/>
      <c r="J389" s="110"/>
      <c r="K389" s="110"/>
      <c r="L389" s="112"/>
      <c r="M389" s="112"/>
      <c r="N389" s="110"/>
      <c r="O389" s="110"/>
      <c r="P389" s="112"/>
      <c r="Q389" s="112"/>
      <c r="R389" s="110"/>
      <c r="S389" s="110"/>
      <c r="T389" s="110"/>
      <c r="U389" s="110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11">
        <v>0</v>
      </c>
      <c r="C390" s="111"/>
      <c r="D390" s="113">
        <v>1</v>
      </c>
      <c r="E390" s="113">
        <v>1</v>
      </c>
      <c r="F390" s="111">
        <v>2</v>
      </c>
      <c r="G390" s="111">
        <v>2</v>
      </c>
      <c r="H390" s="113">
        <v>3</v>
      </c>
      <c r="I390" s="113">
        <v>3</v>
      </c>
      <c r="J390" s="111">
        <v>4</v>
      </c>
      <c r="K390" s="111">
        <v>4</v>
      </c>
      <c r="L390" s="113">
        <v>5</v>
      </c>
      <c r="M390" s="113"/>
      <c r="N390" s="111">
        <v>6</v>
      </c>
      <c r="O390" s="111">
        <v>1</v>
      </c>
      <c r="P390" s="113">
        <v>7</v>
      </c>
      <c r="Q390" s="113">
        <v>2</v>
      </c>
      <c r="R390" s="111">
        <v>8</v>
      </c>
      <c r="S390" s="111">
        <v>3</v>
      </c>
      <c r="T390" s="111">
        <v>9</v>
      </c>
      <c r="U390" s="111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35"/>
      <c r="C394" s="136"/>
      <c r="D394" s="133"/>
      <c r="E394" s="134"/>
      <c r="F394" s="135"/>
      <c r="G394" s="136"/>
      <c r="H394" s="133"/>
      <c r="I394" s="134"/>
      <c r="J394" s="135"/>
      <c r="K394" s="136"/>
      <c r="L394" s="133"/>
      <c r="M394" s="134"/>
      <c r="N394" s="135"/>
      <c r="O394" s="136"/>
      <c r="P394" s="133"/>
      <c r="Q394" s="134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102"/>
      <c r="E395" s="103"/>
      <c r="F395" s="59" t="str">
        <f>IF(H394&lt;1,"","пом.")</f>
        <v/>
      </c>
      <c r="G395" s="59"/>
      <c r="H395" s="102"/>
      <c r="I395" s="103"/>
      <c r="J395" s="59" t="str">
        <f>IF(L394&lt;1,"","пом.")</f>
        <v/>
      </c>
      <c r="K395" s="59"/>
      <c r="L395" s="102"/>
      <c r="M395" s="103"/>
      <c r="N395" s="59" t="str">
        <f>IF(P394&lt;1,"","пом.")</f>
        <v/>
      </c>
      <c r="O395" s="59"/>
      <c r="P395" s="102"/>
      <c r="Q395" s="103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104" t="s">
        <v>12</v>
      </c>
      <c r="G397" s="104"/>
      <c r="H397" s="104"/>
      <c r="I397" s="132" t="s">
        <v>41</v>
      </c>
      <c r="J397" s="132"/>
      <c r="K397" s="60"/>
      <c r="L397" s="39"/>
      <c r="M397" s="39"/>
      <c r="N397" s="5"/>
      <c r="O397" s="22" t="s">
        <v>13</v>
      </c>
      <c r="P397" s="104" t="s">
        <v>14</v>
      </c>
      <c r="Q397" s="104"/>
      <c r="R397" s="104"/>
      <c r="S397" s="132" t="s">
        <v>43</v>
      </c>
      <c r="T397" s="132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104" t="s">
        <v>16</v>
      </c>
      <c r="G398" s="104"/>
      <c r="H398" s="104"/>
      <c r="I398" s="132" t="s">
        <v>42</v>
      </c>
      <c r="J398" s="132"/>
      <c r="K398" s="132"/>
      <c r="L398" s="39"/>
      <c r="M398" s="39"/>
      <c r="N398" s="5"/>
      <c r="O398" s="22" t="s">
        <v>18</v>
      </c>
      <c r="P398" s="104" t="s">
        <v>14</v>
      </c>
      <c r="Q398" s="104"/>
      <c r="R398" s="104"/>
      <c r="S398" s="128" t="s">
        <v>17</v>
      </c>
      <c r="T398" s="128"/>
      <c r="U398" s="128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1.1.3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IF(N383="-"&amp;N380&amp;".5",IF(N384=15,"-"&amp;N380&amp;".6","-"&amp;N380&amp;".5"),N383)</f>
        <v>-1.1.6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IF(N403="-"&amp;N338&amp;".5",N384+1,IF(N383="-"&amp;N338&amp;".5",1,N384+1))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17">
        <v>1</v>
      </c>
      <c r="E407" s="118"/>
      <c r="F407" s="19"/>
      <c r="G407" s="19"/>
      <c r="H407" s="117">
        <v>2</v>
      </c>
      <c r="I407" s="118"/>
      <c r="J407" s="19"/>
      <c r="K407" s="19"/>
      <c r="L407" s="117">
        <v>3</v>
      </c>
      <c r="M407" s="118"/>
      <c r="N407" s="19"/>
      <c r="O407" s="19"/>
      <c r="P407" s="117">
        <v>4</v>
      </c>
      <c r="Q407" s="118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11" t="s">
        <v>6</v>
      </c>
      <c r="C408" s="111"/>
      <c r="D408" s="117" t="s">
        <v>37</v>
      </c>
      <c r="E408" s="118" t="s">
        <v>0</v>
      </c>
      <c r="F408" s="111" t="s">
        <v>6</v>
      </c>
      <c r="G408" s="111"/>
      <c r="H408" s="117" t="s">
        <v>37</v>
      </c>
      <c r="I408" s="118"/>
      <c r="J408" s="111" t="s">
        <v>6</v>
      </c>
      <c r="K408" s="111"/>
      <c r="L408" s="117" t="s">
        <v>37</v>
      </c>
      <c r="M408" s="118"/>
      <c r="N408" s="111" t="s">
        <v>6</v>
      </c>
      <c r="O408" s="111"/>
      <c r="P408" s="117" t="s">
        <v>37</v>
      </c>
      <c r="Q408" s="118"/>
      <c r="R408" s="111"/>
      <c r="S408" s="111"/>
      <c r="T408" s="111"/>
      <c r="U408" s="111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10"/>
      <c r="C409" s="110"/>
      <c r="D409" s="112"/>
      <c r="E409" s="112"/>
      <c r="F409" s="110"/>
      <c r="G409" s="110"/>
      <c r="H409" s="112"/>
      <c r="I409" s="112"/>
      <c r="J409" s="110"/>
      <c r="K409" s="110"/>
      <c r="L409" s="112"/>
      <c r="M409" s="112"/>
      <c r="N409" s="110"/>
      <c r="O409" s="110"/>
      <c r="P409" s="112"/>
      <c r="Q409" s="112"/>
      <c r="R409" s="110"/>
      <c r="S409" s="110"/>
      <c r="T409" s="110"/>
      <c r="U409" s="110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11">
        <v>0</v>
      </c>
      <c r="C410" s="111"/>
      <c r="D410" s="113">
        <v>1</v>
      </c>
      <c r="E410" s="113">
        <v>1</v>
      </c>
      <c r="F410" s="111">
        <v>2</v>
      </c>
      <c r="G410" s="111">
        <v>2</v>
      </c>
      <c r="H410" s="113">
        <v>3</v>
      </c>
      <c r="I410" s="113">
        <v>3</v>
      </c>
      <c r="J410" s="111">
        <v>4</v>
      </c>
      <c r="K410" s="111">
        <v>4</v>
      </c>
      <c r="L410" s="113">
        <v>5</v>
      </c>
      <c r="M410" s="113"/>
      <c r="N410" s="111">
        <v>6</v>
      </c>
      <c r="O410" s="111">
        <v>1</v>
      </c>
      <c r="P410" s="113">
        <v>7</v>
      </c>
      <c r="Q410" s="113">
        <v>2</v>
      </c>
      <c r="R410" s="111">
        <v>8</v>
      </c>
      <c r="S410" s="111">
        <v>3</v>
      </c>
      <c r="T410" s="111">
        <v>9</v>
      </c>
      <c r="U410" s="111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35"/>
      <c r="C414" s="136"/>
      <c r="D414" s="133"/>
      <c r="E414" s="134"/>
      <c r="F414" s="135"/>
      <c r="G414" s="136"/>
      <c r="H414" s="133"/>
      <c r="I414" s="134"/>
      <c r="J414" s="135"/>
      <c r="K414" s="136"/>
      <c r="L414" s="133"/>
      <c r="M414" s="134"/>
      <c r="N414" s="135"/>
      <c r="O414" s="136"/>
      <c r="P414" s="133"/>
      <c r="Q414" s="134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100" t="str">
        <f>IF(D414&lt;1,"","пом.")</f>
        <v/>
      </c>
      <c r="C415" s="100"/>
      <c r="D415" s="102"/>
      <c r="E415" s="103"/>
      <c r="F415" s="100" t="str">
        <f>IF(H414&lt;1,"","пом.")</f>
        <v/>
      </c>
      <c r="G415" s="100"/>
      <c r="H415" s="102"/>
      <c r="I415" s="103"/>
      <c r="J415" s="100" t="str">
        <f>IF(L414&lt;1,"","пом.")</f>
        <v/>
      </c>
      <c r="K415" s="100"/>
      <c r="L415" s="102"/>
      <c r="M415" s="103"/>
      <c r="N415" s="100" t="str">
        <f>IF(P414&lt;1,"","пом.")</f>
        <v/>
      </c>
      <c r="O415" s="100"/>
      <c r="P415" s="102"/>
      <c r="Q415" s="103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104" t="s">
        <v>12</v>
      </c>
      <c r="G417" s="104"/>
      <c r="H417" s="104"/>
      <c r="I417" s="132" t="s">
        <v>41</v>
      </c>
      <c r="J417" s="132"/>
      <c r="K417" s="60"/>
      <c r="L417" s="39"/>
      <c r="M417" s="39"/>
      <c r="N417" s="5"/>
      <c r="O417" s="22" t="s">
        <v>13</v>
      </c>
      <c r="P417" s="104" t="s">
        <v>14</v>
      </c>
      <c r="Q417" s="104"/>
      <c r="R417" s="104"/>
      <c r="S417" s="132" t="s">
        <v>43</v>
      </c>
      <c r="T417" s="132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104" t="s">
        <v>16</v>
      </c>
      <c r="G418" s="104"/>
      <c r="H418" s="104"/>
      <c r="I418" s="132" t="s">
        <v>42</v>
      </c>
      <c r="J418" s="132"/>
      <c r="K418" s="132"/>
      <c r="L418" s="39"/>
      <c r="M418" s="39"/>
      <c r="N418" s="5"/>
      <c r="O418" s="22" t="s">
        <v>18</v>
      </c>
      <c r="P418" s="104" t="s">
        <v>14</v>
      </c>
      <c r="Q418" s="104"/>
      <c r="R418" s="104"/>
      <c r="S418" s="128" t="s">
        <v>17</v>
      </c>
      <c r="T418" s="128"/>
      <c r="U418" s="128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N422&amp;".3"</f>
        <v>1.1.3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IF(N403="-"&amp;N380&amp;".5",IF(N404=15,"-"&amp;N380&amp;".6","-"&amp;N380&amp;".5"),N403)</f>
        <v>-1.1.6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IF(N425="-"&amp;N380&amp;".5",N404+1,IF(N403="-"&amp;N380&amp;".5",1,N404+1))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17">
        <v>1</v>
      </c>
      <c r="E429" s="118"/>
      <c r="F429" s="19"/>
      <c r="G429" s="19"/>
      <c r="H429" s="117">
        <v>2</v>
      </c>
      <c r="I429" s="118"/>
      <c r="J429" s="19"/>
      <c r="K429" s="19"/>
      <c r="L429" s="117">
        <v>3</v>
      </c>
      <c r="M429" s="118"/>
      <c r="N429" s="19"/>
      <c r="O429" s="19"/>
      <c r="P429" s="117">
        <v>4</v>
      </c>
      <c r="Q429" s="118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11" t="s">
        <v>6</v>
      </c>
      <c r="C430" s="111"/>
      <c r="D430" s="117" t="s">
        <v>37</v>
      </c>
      <c r="E430" s="118" t="s">
        <v>0</v>
      </c>
      <c r="F430" s="111" t="s">
        <v>6</v>
      </c>
      <c r="G430" s="111"/>
      <c r="H430" s="117" t="s">
        <v>37</v>
      </c>
      <c r="I430" s="118"/>
      <c r="J430" s="111" t="s">
        <v>6</v>
      </c>
      <c r="K430" s="111"/>
      <c r="L430" s="117" t="s">
        <v>37</v>
      </c>
      <c r="M430" s="118"/>
      <c r="N430" s="111" t="s">
        <v>6</v>
      </c>
      <c r="O430" s="111"/>
      <c r="P430" s="117" t="s">
        <v>37</v>
      </c>
      <c r="Q430" s="118"/>
      <c r="R430" s="111"/>
      <c r="S430" s="111"/>
      <c r="T430" s="111"/>
      <c r="U430" s="111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10"/>
      <c r="C431" s="110"/>
      <c r="D431" s="112"/>
      <c r="E431" s="112"/>
      <c r="F431" s="110"/>
      <c r="G431" s="110"/>
      <c r="H431" s="112"/>
      <c r="I431" s="112"/>
      <c r="J431" s="110"/>
      <c r="K431" s="110"/>
      <c r="L431" s="112"/>
      <c r="M431" s="112"/>
      <c r="N431" s="110"/>
      <c r="O431" s="110"/>
      <c r="P431" s="112"/>
      <c r="Q431" s="112"/>
      <c r="R431" s="110"/>
      <c r="S431" s="110"/>
      <c r="T431" s="110"/>
      <c r="U431" s="110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11">
        <v>0</v>
      </c>
      <c r="C432" s="111"/>
      <c r="D432" s="113">
        <v>1</v>
      </c>
      <c r="E432" s="113">
        <v>1</v>
      </c>
      <c r="F432" s="111">
        <v>2</v>
      </c>
      <c r="G432" s="111">
        <v>2</v>
      </c>
      <c r="H432" s="113">
        <v>3</v>
      </c>
      <c r="I432" s="113">
        <v>3</v>
      </c>
      <c r="J432" s="111">
        <v>4</v>
      </c>
      <c r="K432" s="111">
        <v>4</v>
      </c>
      <c r="L432" s="113">
        <v>5</v>
      </c>
      <c r="M432" s="113"/>
      <c r="N432" s="111">
        <v>6</v>
      </c>
      <c r="O432" s="111">
        <v>1</v>
      </c>
      <c r="P432" s="113">
        <v>7</v>
      </c>
      <c r="Q432" s="113">
        <v>2</v>
      </c>
      <c r="R432" s="111">
        <v>8</v>
      </c>
      <c r="S432" s="111">
        <v>3</v>
      </c>
      <c r="T432" s="111">
        <v>9</v>
      </c>
      <c r="U432" s="111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35"/>
      <c r="C436" s="136"/>
      <c r="D436" s="133"/>
      <c r="E436" s="134"/>
      <c r="F436" s="135"/>
      <c r="G436" s="136"/>
      <c r="H436" s="133"/>
      <c r="I436" s="134"/>
      <c r="J436" s="135"/>
      <c r="K436" s="136"/>
      <c r="L436" s="133"/>
      <c r="M436" s="134"/>
      <c r="N436" s="135"/>
      <c r="O436" s="136"/>
      <c r="P436" s="133"/>
      <c r="Q436" s="134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100" t="str">
        <f>IF(D436&lt;1,"","пом.")</f>
        <v/>
      </c>
      <c r="C437" s="100"/>
      <c r="D437" s="102"/>
      <c r="E437" s="103"/>
      <c r="F437" s="100" t="str">
        <f>IF(H436&lt;1,"","пом.")</f>
        <v/>
      </c>
      <c r="G437" s="100"/>
      <c r="H437" s="102"/>
      <c r="I437" s="103"/>
      <c r="J437" s="100" t="str">
        <f>IF(L436&lt;1,"","пом.")</f>
        <v/>
      </c>
      <c r="K437" s="100"/>
      <c r="L437" s="102"/>
      <c r="M437" s="103"/>
      <c r="N437" s="100" t="str">
        <f>IF(P436&lt;1,"","пом.")</f>
        <v/>
      </c>
      <c r="O437" s="100"/>
      <c r="P437" s="102"/>
      <c r="Q437" s="103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104" t="s">
        <v>12</v>
      </c>
      <c r="G439" s="104"/>
      <c r="H439" s="104"/>
      <c r="I439" s="132" t="s">
        <v>41</v>
      </c>
      <c r="J439" s="132"/>
      <c r="K439" s="60"/>
      <c r="L439" s="39"/>
      <c r="M439" s="39"/>
      <c r="N439" s="5"/>
      <c r="O439" s="22" t="s">
        <v>13</v>
      </c>
      <c r="P439" s="104" t="s">
        <v>14</v>
      </c>
      <c r="Q439" s="104"/>
      <c r="R439" s="104"/>
      <c r="S439" s="132" t="s">
        <v>43</v>
      </c>
      <c r="T439" s="132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104" t="s">
        <v>16</v>
      </c>
      <c r="G440" s="104"/>
      <c r="H440" s="104"/>
      <c r="I440" s="132" t="s">
        <v>42</v>
      </c>
      <c r="J440" s="132"/>
      <c r="K440" s="132"/>
      <c r="L440" s="39"/>
      <c r="M440" s="39"/>
      <c r="N440" s="5"/>
      <c r="O440" s="22" t="s">
        <v>18</v>
      </c>
      <c r="P440" s="104" t="s">
        <v>14</v>
      </c>
      <c r="Q440" s="104"/>
      <c r="R440" s="104"/>
      <c r="S440" s="128" t="s">
        <v>17</v>
      </c>
      <c r="T440" s="128"/>
      <c r="U440" s="128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1.1.3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IF(N425="-"&amp;N422&amp;".5",IF(N426=15,"-"&amp;N422&amp;".6","-"&amp;N422&amp;".5"),N425)</f>
        <v>-1.1.6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IF(N445="-"&amp;N380&amp;".5",N426+1,IF(N425="-"&amp;N380&amp;".5",1,N426+1))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17">
        <v>1</v>
      </c>
      <c r="E449" s="118"/>
      <c r="F449" s="19"/>
      <c r="G449" s="19"/>
      <c r="H449" s="117">
        <v>2</v>
      </c>
      <c r="I449" s="118"/>
      <c r="J449" s="19"/>
      <c r="K449" s="19"/>
      <c r="L449" s="117">
        <v>3</v>
      </c>
      <c r="M449" s="118"/>
      <c r="N449" s="19"/>
      <c r="O449" s="19"/>
      <c r="P449" s="117">
        <v>4</v>
      </c>
      <c r="Q449" s="118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11" t="s">
        <v>6</v>
      </c>
      <c r="C450" s="111"/>
      <c r="D450" s="117" t="s">
        <v>37</v>
      </c>
      <c r="E450" s="118" t="s">
        <v>0</v>
      </c>
      <c r="F450" s="111" t="s">
        <v>6</v>
      </c>
      <c r="G450" s="111"/>
      <c r="H450" s="117" t="s">
        <v>37</v>
      </c>
      <c r="I450" s="118"/>
      <c r="J450" s="111" t="s">
        <v>6</v>
      </c>
      <c r="K450" s="111"/>
      <c r="L450" s="117" t="s">
        <v>37</v>
      </c>
      <c r="M450" s="118"/>
      <c r="N450" s="111" t="s">
        <v>6</v>
      </c>
      <c r="O450" s="111"/>
      <c r="P450" s="117" t="s">
        <v>37</v>
      </c>
      <c r="Q450" s="118"/>
      <c r="R450" s="111"/>
      <c r="S450" s="111"/>
      <c r="T450" s="111"/>
      <c r="U450" s="111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10"/>
      <c r="C451" s="110"/>
      <c r="D451" s="112"/>
      <c r="E451" s="112"/>
      <c r="F451" s="110"/>
      <c r="G451" s="110"/>
      <c r="H451" s="112"/>
      <c r="I451" s="112"/>
      <c r="J451" s="110"/>
      <c r="K451" s="110"/>
      <c r="L451" s="112"/>
      <c r="M451" s="112"/>
      <c r="N451" s="110"/>
      <c r="O451" s="110"/>
      <c r="P451" s="112"/>
      <c r="Q451" s="112"/>
      <c r="R451" s="110"/>
      <c r="S451" s="110"/>
      <c r="T451" s="110"/>
      <c r="U451" s="110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11">
        <v>0</v>
      </c>
      <c r="C452" s="111"/>
      <c r="D452" s="113">
        <v>1</v>
      </c>
      <c r="E452" s="113">
        <v>1</v>
      </c>
      <c r="F452" s="111">
        <v>2</v>
      </c>
      <c r="G452" s="111">
        <v>2</v>
      </c>
      <c r="H452" s="113">
        <v>3</v>
      </c>
      <c r="I452" s="113">
        <v>3</v>
      </c>
      <c r="J452" s="111">
        <v>4</v>
      </c>
      <c r="K452" s="111">
        <v>4</v>
      </c>
      <c r="L452" s="113">
        <v>5</v>
      </c>
      <c r="M452" s="113"/>
      <c r="N452" s="111">
        <v>6</v>
      </c>
      <c r="O452" s="111">
        <v>1</v>
      </c>
      <c r="P452" s="113">
        <v>7</v>
      </c>
      <c r="Q452" s="113">
        <v>2</v>
      </c>
      <c r="R452" s="111">
        <v>8</v>
      </c>
      <c r="S452" s="111">
        <v>3</v>
      </c>
      <c r="T452" s="111">
        <v>9</v>
      </c>
      <c r="U452" s="111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35"/>
      <c r="C456" s="136"/>
      <c r="D456" s="133"/>
      <c r="E456" s="134"/>
      <c r="F456" s="135"/>
      <c r="G456" s="136"/>
      <c r="H456" s="133"/>
      <c r="I456" s="134"/>
      <c r="J456" s="135"/>
      <c r="K456" s="136"/>
      <c r="L456" s="133"/>
      <c r="M456" s="134"/>
      <c r="N456" s="135"/>
      <c r="O456" s="136"/>
      <c r="P456" s="133"/>
      <c r="Q456" s="134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100" t="str">
        <f>IF(D456&lt;1,"","пом.")</f>
        <v/>
      </c>
      <c r="C457" s="100"/>
      <c r="D457" s="102"/>
      <c r="E457" s="103"/>
      <c r="F457" s="100" t="str">
        <f>IF(H456&lt;1,"","пом.")</f>
        <v/>
      </c>
      <c r="G457" s="100"/>
      <c r="H457" s="102"/>
      <c r="I457" s="103"/>
      <c r="J457" s="100" t="str">
        <f>IF(L456&lt;1,"","пом.")</f>
        <v/>
      </c>
      <c r="K457" s="100"/>
      <c r="L457" s="102"/>
      <c r="M457" s="103"/>
      <c r="N457" s="100" t="str">
        <f>IF(P456&lt;1,"","пом.")</f>
        <v/>
      </c>
      <c r="O457" s="100"/>
      <c r="P457" s="102"/>
      <c r="Q457" s="103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104" t="s">
        <v>12</v>
      </c>
      <c r="G459" s="104"/>
      <c r="H459" s="104"/>
      <c r="I459" s="132" t="s">
        <v>41</v>
      </c>
      <c r="J459" s="132"/>
      <c r="K459" s="60"/>
      <c r="L459" s="39"/>
      <c r="M459" s="39"/>
      <c r="N459" s="5"/>
      <c r="O459" s="22" t="s">
        <v>13</v>
      </c>
      <c r="P459" s="104" t="s">
        <v>14</v>
      </c>
      <c r="Q459" s="104"/>
      <c r="R459" s="104"/>
      <c r="S459" s="132" t="s">
        <v>43</v>
      </c>
      <c r="T459" s="132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104" t="s">
        <v>16</v>
      </c>
      <c r="G460" s="104"/>
      <c r="H460" s="104"/>
      <c r="I460" s="132" t="s">
        <v>42</v>
      </c>
      <c r="J460" s="132"/>
      <c r="K460" s="132"/>
      <c r="L460" s="39"/>
      <c r="M460" s="39"/>
      <c r="N460" s="5"/>
      <c r="O460" s="22" t="s">
        <v>18</v>
      </c>
      <c r="P460" s="104" t="s">
        <v>14</v>
      </c>
      <c r="Q460" s="104"/>
      <c r="R460" s="104"/>
      <c r="S460" s="128" t="s">
        <v>17</v>
      </c>
      <c r="T460" s="128"/>
      <c r="U460" s="128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N464&amp;".3"</f>
        <v>1.1.3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IF(N445="-"&amp;N422&amp;".5",IF(N446=15,"-"&amp;N422&amp;".6","-"&amp;N422&amp;".5"),N445)</f>
        <v>-1.1.6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IF(N467="-"&amp;N422&amp;".5",N446+1,IF(N445="-"&amp;N422&amp;".5",1,N446+1))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17">
        <v>1</v>
      </c>
      <c r="E471" s="118"/>
      <c r="F471" s="19"/>
      <c r="G471" s="19"/>
      <c r="H471" s="117">
        <v>2</v>
      </c>
      <c r="I471" s="118"/>
      <c r="J471" s="19"/>
      <c r="K471" s="19"/>
      <c r="L471" s="117">
        <v>3</v>
      </c>
      <c r="M471" s="118"/>
      <c r="N471" s="19"/>
      <c r="O471" s="19"/>
      <c r="P471" s="117">
        <v>4</v>
      </c>
      <c r="Q471" s="118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11" t="s">
        <v>6</v>
      </c>
      <c r="C472" s="111"/>
      <c r="D472" s="117" t="s">
        <v>37</v>
      </c>
      <c r="E472" s="118" t="s">
        <v>0</v>
      </c>
      <c r="F472" s="111" t="s">
        <v>6</v>
      </c>
      <c r="G472" s="111"/>
      <c r="H472" s="117" t="s">
        <v>37</v>
      </c>
      <c r="I472" s="118"/>
      <c r="J472" s="111" t="s">
        <v>6</v>
      </c>
      <c r="K472" s="111"/>
      <c r="L472" s="117" t="s">
        <v>37</v>
      </c>
      <c r="M472" s="118"/>
      <c r="N472" s="111" t="s">
        <v>6</v>
      </c>
      <c r="O472" s="111"/>
      <c r="P472" s="117" t="s">
        <v>37</v>
      </c>
      <c r="Q472" s="118"/>
      <c r="R472" s="111"/>
      <c r="S472" s="111"/>
      <c r="T472" s="111"/>
      <c r="U472" s="111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10"/>
      <c r="C473" s="110"/>
      <c r="D473" s="112"/>
      <c r="E473" s="112"/>
      <c r="F473" s="110"/>
      <c r="G473" s="110"/>
      <c r="H473" s="112"/>
      <c r="I473" s="112"/>
      <c r="J473" s="110"/>
      <c r="K473" s="110"/>
      <c r="L473" s="112"/>
      <c r="M473" s="112"/>
      <c r="N473" s="110"/>
      <c r="O473" s="110"/>
      <c r="P473" s="112"/>
      <c r="Q473" s="112"/>
      <c r="R473" s="110"/>
      <c r="S473" s="110"/>
      <c r="T473" s="110"/>
      <c r="U473" s="110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11">
        <v>0</v>
      </c>
      <c r="C474" s="111"/>
      <c r="D474" s="113">
        <v>1</v>
      </c>
      <c r="E474" s="113">
        <v>1</v>
      </c>
      <c r="F474" s="111">
        <v>2</v>
      </c>
      <c r="G474" s="111">
        <v>2</v>
      </c>
      <c r="H474" s="113">
        <v>3</v>
      </c>
      <c r="I474" s="113">
        <v>3</v>
      </c>
      <c r="J474" s="111">
        <v>4</v>
      </c>
      <c r="K474" s="111">
        <v>4</v>
      </c>
      <c r="L474" s="113">
        <v>5</v>
      </c>
      <c r="M474" s="113"/>
      <c r="N474" s="111">
        <v>6</v>
      </c>
      <c r="O474" s="111">
        <v>1</v>
      </c>
      <c r="P474" s="113">
        <v>7</v>
      </c>
      <c r="Q474" s="113">
        <v>2</v>
      </c>
      <c r="R474" s="111">
        <v>8</v>
      </c>
      <c r="S474" s="111">
        <v>3</v>
      </c>
      <c r="T474" s="111">
        <v>9</v>
      </c>
      <c r="U474" s="111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35"/>
      <c r="C478" s="136"/>
      <c r="D478" s="133"/>
      <c r="E478" s="134"/>
      <c r="F478" s="135"/>
      <c r="G478" s="136"/>
      <c r="H478" s="133"/>
      <c r="I478" s="134"/>
      <c r="J478" s="135"/>
      <c r="K478" s="136"/>
      <c r="L478" s="133"/>
      <c r="M478" s="134"/>
      <c r="N478" s="135"/>
      <c r="O478" s="136"/>
      <c r="P478" s="133"/>
      <c r="Q478" s="134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100" t="str">
        <f>IF(D478&lt;1,"","пом.")</f>
        <v/>
      </c>
      <c r="C479" s="100"/>
      <c r="D479" s="102"/>
      <c r="E479" s="103"/>
      <c r="F479" s="100" t="str">
        <f>IF(H478&lt;1,"","пом.")</f>
        <v/>
      </c>
      <c r="G479" s="100"/>
      <c r="H479" s="102"/>
      <c r="I479" s="103"/>
      <c r="J479" s="100" t="str">
        <f>IF(L478&lt;1,"","пом.")</f>
        <v/>
      </c>
      <c r="K479" s="100"/>
      <c r="L479" s="102"/>
      <c r="M479" s="103"/>
      <c r="N479" s="100" t="str">
        <f>IF(P478&lt;1,"","пом.")</f>
        <v/>
      </c>
      <c r="O479" s="100"/>
      <c r="P479" s="102"/>
      <c r="Q479" s="103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104" t="s">
        <v>12</v>
      </c>
      <c r="G481" s="104"/>
      <c r="H481" s="104"/>
      <c r="I481" s="132" t="s">
        <v>41</v>
      </c>
      <c r="J481" s="132"/>
      <c r="K481" s="60"/>
      <c r="L481" s="39"/>
      <c r="M481" s="39"/>
      <c r="N481" s="5"/>
      <c r="O481" s="22" t="s">
        <v>13</v>
      </c>
      <c r="P481" s="104" t="s">
        <v>14</v>
      </c>
      <c r="Q481" s="104"/>
      <c r="R481" s="104"/>
      <c r="S481" s="132" t="s">
        <v>43</v>
      </c>
      <c r="T481" s="132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104" t="s">
        <v>16</v>
      </c>
      <c r="G482" s="104"/>
      <c r="H482" s="104"/>
      <c r="I482" s="132" t="s">
        <v>42</v>
      </c>
      <c r="J482" s="132"/>
      <c r="K482" s="132"/>
      <c r="L482" s="39"/>
      <c r="M482" s="39"/>
      <c r="N482" s="5"/>
      <c r="O482" s="22" t="s">
        <v>18</v>
      </c>
      <c r="P482" s="104" t="s">
        <v>14</v>
      </c>
      <c r="Q482" s="104"/>
      <c r="R482" s="104"/>
      <c r="S482" s="128" t="s">
        <v>17</v>
      </c>
      <c r="T482" s="128"/>
      <c r="U482" s="128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1.1.3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IF(N467="-"&amp;N464&amp;".5",IF(N468=15,"-"&amp;N464&amp;".6","-"&amp;N464&amp;".5"),N467)</f>
        <v>-1.1.6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IF(N487="-"&amp;N422&amp;".5",N468+1,IF(N467="-"&amp;N422&amp;".5",1,N468+1))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17">
        <v>1</v>
      </c>
      <c r="E491" s="118"/>
      <c r="F491" s="19"/>
      <c r="G491" s="19"/>
      <c r="H491" s="117">
        <v>2</v>
      </c>
      <c r="I491" s="118"/>
      <c r="J491" s="19"/>
      <c r="K491" s="19"/>
      <c r="L491" s="117">
        <v>3</v>
      </c>
      <c r="M491" s="118"/>
      <c r="N491" s="19"/>
      <c r="O491" s="19"/>
      <c r="P491" s="117">
        <v>4</v>
      </c>
      <c r="Q491" s="118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11" t="s">
        <v>6</v>
      </c>
      <c r="C492" s="111"/>
      <c r="D492" s="117" t="s">
        <v>37</v>
      </c>
      <c r="E492" s="118" t="s">
        <v>0</v>
      </c>
      <c r="F492" s="111" t="s">
        <v>6</v>
      </c>
      <c r="G492" s="111"/>
      <c r="H492" s="117" t="s">
        <v>37</v>
      </c>
      <c r="I492" s="118"/>
      <c r="J492" s="111" t="s">
        <v>6</v>
      </c>
      <c r="K492" s="111"/>
      <c r="L492" s="117" t="s">
        <v>37</v>
      </c>
      <c r="M492" s="118"/>
      <c r="N492" s="111" t="s">
        <v>6</v>
      </c>
      <c r="O492" s="111"/>
      <c r="P492" s="117" t="s">
        <v>37</v>
      </c>
      <c r="Q492" s="118"/>
      <c r="R492" s="111"/>
      <c r="S492" s="111"/>
      <c r="T492" s="111"/>
      <c r="U492" s="111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10"/>
      <c r="C493" s="110"/>
      <c r="D493" s="112"/>
      <c r="E493" s="112"/>
      <c r="F493" s="110"/>
      <c r="G493" s="110"/>
      <c r="H493" s="112"/>
      <c r="I493" s="112"/>
      <c r="J493" s="110"/>
      <c r="K493" s="110"/>
      <c r="L493" s="112"/>
      <c r="M493" s="112"/>
      <c r="N493" s="110"/>
      <c r="O493" s="110"/>
      <c r="P493" s="112"/>
      <c r="Q493" s="112"/>
      <c r="R493" s="110"/>
      <c r="S493" s="110"/>
      <c r="T493" s="110"/>
      <c r="U493" s="110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11">
        <v>0</v>
      </c>
      <c r="C494" s="111"/>
      <c r="D494" s="113">
        <v>1</v>
      </c>
      <c r="E494" s="113">
        <v>1</v>
      </c>
      <c r="F494" s="111">
        <v>2</v>
      </c>
      <c r="G494" s="111">
        <v>2</v>
      </c>
      <c r="H494" s="113">
        <v>3</v>
      </c>
      <c r="I494" s="113">
        <v>3</v>
      </c>
      <c r="J494" s="111">
        <v>4</v>
      </c>
      <c r="K494" s="111">
        <v>4</v>
      </c>
      <c r="L494" s="113">
        <v>5</v>
      </c>
      <c r="M494" s="113"/>
      <c r="N494" s="111">
        <v>6</v>
      </c>
      <c r="O494" s="111">
        <v>1</v>
      </c>
      <c r="P494" s="113">
        <v>7</v>
      </c>
      <c r="Q494" s="113">
        <v>2</v>
      </c>
      <c r="R494" s="111">
        <v>8</v>
      </c>
      <c r="S494" s="111">
        <v>3</v>
      </c>
      <c r="T494" s="111">
        <v>9</v>
      </c>
      <c r="U494" s="111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35"/>
      <c r="C498" s="136"/>
      <c r="D498" s="133"/>
      <c r="E498" s="134"/>
      <c r="F498" s="135"/>
      <c r="G498" s="136"/>
      <c r="H498" s="133"/>
      <c r="I498" s="134"/>
      <c r="J498" s="135"/>
      <c r="K498" s="136"/>
      <c r="L498" s="133"/>
      <c r="M498" s="134"/>
      <c r="N498" s="135"/>
      <c r="O498" s="136"/>
      <c r="P498" s="133"/>
      <c r="Q498" s="134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100" t="str">
        <f>IF(D498&lt;1,"","пом.")</f>
        <v/>
      </c>
      <c r="C499" s="100"/>
      <c r="D499" s="102"/>
      <c r="E499" s="103"/>
      <c r="F499" s="100" t="str">
        <f>IF(H498&lt;1,"","пом.")</f>
        <v/>
      </c>
      <c r="G499" s="100"/>
      <c r="H499" s="102"/>
      <c r="I499" s="103"/>
      <c r="J499" s="100" t="str">
        <f>IF(L498&lt;1,"","пом.")</f>
        <v/>
      </c>
      <c r="K499" s="100"/>
      <c r="L499" s="102"/>
      <c r="M499" s="103"/>
      <c r="N499" s="100" t="str">
        <f>IF(P498&lt;1,"","пом.")</f>
        <v/>
      </c>
      <c r="O499" s="100"/>
      <c r="P499" s="102"/>
      <c r="Q499" s="103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104" t="s">
        <v>12</v>
      </c>
      <c r="G501" s="104"/>
      <c r="H501" s="104"/>
      <c r="I501" s="132" t="s">
        <v>41</v>
      </c>
      <c r="J501" s="132"/>
      <c r="K501" s="60"/>
      <c r="L501" s="39"/>
      <c r="M501" s="39"/>
      <c r="N501" s="5"/>
      <c r="O501" s="22" t="s">
        <v>13</v>
      </c>
      <c r="P501" s="104" t="s">
        <v>14</v>
      </c>
      <c r="Q501" s="104"/>
      <c r="R501" s="104"/>
      <c r="S501" s="132" t="s">
        <v>43</v>
      </c>
      <c r="T501" s="132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104" t="s">
        <v>16</v>
      </c>
      <c r="G502" s="104"/>
      <c r="H502" s="104"/>
      <c r="I502" s="132" t="s">
        <v>42</v>
      </c>
      <c r="J502" s="132"/>
      <c r="K502" s="132"/>
      <c r="L502" s="39"/>
      <c r="M502" s="39"/>
      <c r="N502" s="5"/>
      <c r="O502" s="22" t="s">
        <v>18</v>
      </c>
      <c r="P502" s="104" t="s">
        <v>14</v>
      </c>
      <c r="Q502" s="104"/>
      <c r="R502" s="104"/>
      <c r="S502" s="128" t="s">
        <v>17</v>
      </c>
      <c r="T502" s="128"/>
      <c r="U502" s="128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N506&amp;".3"</f>
        <v>1.1.3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IF(N487="-"&amp;N464&amp;".5",IF(N488=15,"-"&amp;N464&amp;".6","-"&amp;N464&amp;".5"),N487)</f>
        <v>-1.1.6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IF(N509="-"&amp;N464&amp;".5",N488+1,IF(N487="-"&amp;N464&amp;".5",1,N488+1))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17">
        <v>1</v>
      </c>
      <c r="E513" s="118"/>
      <c r="F513" s="19"/>
      <c r="G513" s="19"/>
      <c r="H513" s="117">
        <v>2</v>
      </c>
      <c r="I513" s="118"/>
      <c r="J513" s="19"/>
      <c r="K513" s="19"/>
      <c r="L513" s="117">
        <v>3</v>
      </c>
      <c r="M513" s="118"/>
      <c r="N513" s="19"/>
      <c r="O513" s="19"/>
      <c r="P513" s="117">
        <v>4</v>
      </c>
      <c r="Q513" s="118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11" t="s">
        <v>6</v>
      </c>
      <c r="C514" s="111"/>
      <c r="D514" s="117" t="s">
        <v>37</v>
      </c>
      <c r="E514" s="118" t="s">
        <v>0</v>
      </c>
      <c r="F514" s="111" t="s">
        <v>6</v>
      </c>
      <c r="G514" s="111"/>
      <c r="H514" s="117" t="s">
        <v>37</v>
      </c>
      <c r="I514" s="118"/>
      <c r="J514" s="111" t="s">
        <v>6</v>
      </c>
      <c r="K514" s="111"/>
      <c r="L514" s="117" t="s">
        <v>37</v>
      </c>
      <c r="M514" s="118"/>
      <c r="N514" s="111" t="s">
        <v>6</v>
      </c>
      <c r="O514" s="111"/>
      <c r="P514" s="117" t="s">
        <v>37</v>
      </c>
      <c r="Q514" s="118"/>
      <c r="R514" s="111"/>
      <c r="S514" s="111"/>
      <c r="T514" s="111"/>
      <c r="U514" s="111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10"/>
      <c r="C515" s="110"/>
      <c r="D515" s="112"/>
      <c r="E515" s="112"/>
      <c r="F515" s="110"/>
      <c r="G515" s="110"/>
      <c r="H515" s="112"/>
      <c r="I515" s="112"/>
      <c r="J515" s="110"/>
      <c r="K515" s="110"/>
      <c r="L515" s="112"/>
      <c r="M515" s="112"/>
      <c r="N515" s="110"/>
      <c r="O515" s="110"/>
      <c r="P515" s="112"/>
      <c r="Q515" s="112"/>
      <c r="R515" s="110"/>
      <c r="S515" s="110"/>
      <c r="T515" s="110"/>
      <c r="U515" s="110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11">
        <v>0</v>
      </c>
      <c r="C516" s="111"/>
      <c r="D516" s="113">
        <v>1</v>
      </c>
      <c r="E516" s="113">
        <v>1</v>
      </c>
      <c r="F516" s="111">
        <v>2</v>
      </c>
      <c r="G516" s="111">
        <v>2</v>
      </c>
      <c r="H516" s="113">
        <v>3</v>
      </c>
      <c r="I516" s="113">
        <v>3</v>
      </c>
      <c r="J516" s="111">
        <v>4</v>
      </c>
      <c r="K516" s="111">
        <v>4</v>
      </c>
      <c r="L516" s="113">
        <v>5</v>
      </c>
      <c r="M516" s="113"/>
      <c r="N516" s="111">
        <v>6</v>
      </c>
      <c r="O516" s="111">
        <v>1</v>
      </c>
      <c r="P516" s="113">
        <v>7</v>
      </c>
      <c r="Q516" s="113">
        <v>2</v>
      </c>
      <c r="R516" s="111">
        <v>8</v>
      </c>
      <c r="S516" s="111">
        <v>3</v>
      </c>
      <c r="T516" s="111">
        <v>9</v>
      </c>
      <c r="U516" s="111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35"/>
      <c r="C520" s="136"/>
      <c r="D520" s="133"/>
      <c r="E520" s="134"/>
      <c r="F520" s="135"/>
      <c r="G520" s="136"/>
      <c r="H520" s="133"/>
      <c r="I520" s="134"/>
      <c r="J520" s="135"/>
      <c r="K520" s="136"/>
      <c r="L520" s="133"/>
      <c r="M520" s="134"/>
      <c r="N520" s="135"/>
      <c r="O520" s="136"/>
      <c r="P520" s="133"/>
      <c r="Q520" s="134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100" t="str">
        <f>IF(D520&lt;1,"","пом.")</f>
        <v/>
      </c>
      <c r="C521" s="100"/>
      <c r="D521" s="102"/>
      <c r="E521" s="103"/>
      <c r="F521" s="100" t="str">
        <f>IF(H520&lt;1,"","пом.")</f>
        <v/>
      </c>
      <c r="G521" s="100"/>
      <c r="H521" s="102"/>
      <c r="I521" s="103"/>
      <c r="J521" s="100" t="str">
        <f>IF(L520&lt;1,"","пом.")</f>
        <v/>
      </c>
      <c r="K521" s="100"/>
      <c r="L521" s="102"/>
      <c r="M521" s="103"/>
      <c r="N521" s="100" t="str">
        <f>IF(P520&lt;1,"","пом.")</f>
        <v/>
      </c>
      <c r="O521" s="100"/>
      <c r="P521" s="102"/>
      <c r="Q521" s="103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104" t="s">
        <v>12</v>
      </c>
      <c r="G523" s="104"/>
      <c r="H523" s="104"/>
      <c r="I523" s="132" t="s">
        <v>41</v>
      </c>
      <c r="J523" s="132"/>
      <c r="K523" s="60"/>
      <c r="L523" s="39"/>
      <c r="M523" s="39"/>
      <c r="N523" s="5"/>
      <c r="O523" s="22" t="s">
        <v>13</v>
      </c>
      <c r="P523" s="104" t="s">
        <v>14</v>
      </c>
      <c r="Q523" s="104"/>
      <c r="R523" s="104"/>
      <c r="S523" s="132" t="s">
        <v>43</v>
      </c>
      <c r="T523" s="132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104" t="s">
        <v>16</v>
      </c>
      <c r="G524" s="104"/>
      <c r="H524" s="104"/>
      <c r="I524" s="132" t="s">
        <v>42</v>
      </c>
      <c r="J524" s="132"/>
      <c r="K524" s="132"/>
      <c r="L524" s="39"/>
      <c r="M524" s="39"/>
      <c r="N524" s="5"/>
      <c r="O524" s="22" t="s">
        <v>18</v>
      </c>
      <c r="P524" s="104" t="s">
        <v>14</v>
      </c>
      <c r="Q524" s="104"/>
      <c r="R524" s="104"/>
      <c r="S524" s="128" t="s">
        <v>17</v>
      </c>
      <c r="T524" s="128"/>
      <c r="U524" s="128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1.1.3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IF(N509="-"&amp;N506&amp;".5",IF(N510=15,"-"&amp;N506&amp;".6","-"&amp;N506&amp;".5"),N509)</f>
        <v>-1.1.6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IF(N529="-"&amp;N464&amp;".5",N510+1,IF(N509="-"&amp;N464&amp;".5",1,N510+1))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17">
        <v>1</v>
      </c>
      <c r="E533" s="118"/>
      <c r="F533" s="19"/>
      <c r="G533" s="19"/>
      <c r="H533" s="117">
        <v>2</v>
      </c>
      <c r="I533" s="118"/>
      <c r="J533" s="19"/>
      <c r="K533" s="19"/>
      <c r="L533" s="117">
        <v>3</v>
      </c>
      <c r="M533" s="118"/>
      <c r="N533" s="19"/>
      <c r="O533" s="19"/>
      <c r="P533" s="117">
        <v>4</v>
      </c>
      <c r="Q533" s="118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11" t="s">
        <v>6</v>
      </c>
      <c r="C534" s="111"/>
      <c r="D534" s="117" t="s">
        <v>37</v>
      </c>
      <c r="E534" s="118" t="s">
        <v>0</v>
      </c>
      <c r="F534" s="111" t="s">
        <v>6</v>
      </c>
      <c r="G534" s="111"/>
      <c r="H534" s="117" t="s">
        <v>37</v>
      </c>
      <c r="I534" s="118"/>
      <c r="J534" s="111" t="s">
        <v>6</v>
      </c>
      <c r="K534" s="111"/>
      <c r="L534" s="117" t="s">
        <v>37</v>
      </c>
      <c r="M534" s="118"/>
      <c r="N534" s="111" t="s">
        <v>6</v>
      </c>
      <c r="O534" s="111"/>
      <c r="P534" s="117" t="s">
        <v>37</v>
      </c>
      <c r="Q534" s="118"/>
      <c r="R534" s="111"/>
      <c r="S534" s="111"/>
      <c r="T534" s="111"/>
      <c r="U534" s="111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10"/>
      <c r="C535" s="110"/>
      <c r="D535" s="112"/>
      <c r="E535" s="112"/>
      <c r="F535" s="110"/>
      <c r="G535" s="110"/>
      <c r="H535" s="112"/>
      <c r="I535" s="112"/>
      <c r="J535" s="110"/>
      <c r="K535" s="110"/>
      <c r="L535" s="112"/>
      <c r="M535" s="112"/>
      <c r="N535" s="110"/>
      <c r="O535" s="110"/>
      <c r="P535" s="112"/>
      <c r="Q535" s="112"/>
      <c r="R535" s="110"/>
      <c r="S535" s="110"/>
      <c r="T535" s="110"/>
      <c r="U535" s="110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11">
        <v>0</v>
      </c>
      <c r="C536" s="111"/>
      <c r="D536" s="113">
        <v>1</v>
      </c>
      <c r="E536" s="113">
        <v>1</v>
      </c>
      <c r="F536" s="111">
        <v>2</v>
      </c>
      <c r="G536" s="111">
        <v>2</v>
      </c>
      <c r="H536" s="113">
        <v>3</v>
      </c>
      <c r="I536" s="113">
        <v>3</v>
      </c>
      <c r="J536" s="111">
        <v>4</v>
      </c>
      <c r="K536" s="111">
        <v>4</v>
      </c>
      <c r="L536" s="113">
        <v>5</v>
      </c>
      <c r="M536" s="113"/>
      <c r="N536" s="111">
        <v>6</v>
      </c>
      <c r="O536" s="111">
        <v>1</v>
      </c>
      <c r="P536" s="113">
        <v>7</v>
      </c>
      <c r="Q536" s="113">
        <v>2</v>
      </c>
      <c r="R536" s="111">
        <v>8</v>
      </c>
      <c r="S536" s="111">
        <v>3</v>
      </c>
      <c r="T536" s="111">
        <v>9</v>
      </c>
      <c r="U536" s="111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35"/>
      <c r="C540" s="136"/>
      <c r="D540" s="133"/>
      <c r="E540" s="134"/>
      <c r="F540" s="135"/>
      <c r="G540" s="136"/>
      <c r="H540" s="133"/>
      <c r="I540" s="134"/>
      <c r="J540" s="135"/>
      <c r="K540" s="136"/>
      <c r="L540" s="133"/>
      <c r="M540" s="134"/>
      <c r="N540" s="135"/>
      <c r="O540" s="136"/>
      <c r="P540" s="133"/>
      <c r="Q540" s="134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100" t="str">
        <f>IF(D540&lt;1,"","пом.")</f>
        <v/>
      </c>
      <c r="C541" s="100"/>
      <c r="D541" s="102"/>
      <c r="E541" s="103"/>
      <c r="F541" s="100" t="str">
        <f>IF(H540&lt;1,"","пом.")</f>
        <v/>
      </c>
      <c r="G541" s="100"/>
      <c r="H541" s="102"/>
      <c r="I541" s="103"/>
      <c r="J541" s="100" t="str">
        <f>IF(L540&lt;1,"","пом.")</f>
        <v/>
      </c>
      <c r="K541" s="100"/>
      <c r="L541" s="102"/>
      <c r="M541" s="103"/>
      <c r="N541" s="100" t="str">
        <f>IF(P540&lt;1,"","пом.")</f>
        <v/>
      </c>
      <c r="O541" s="100"/>
      <c r="P541" s="102"/>
      <c r="Q541" s="103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104" t="s">
        <v>12</v>
      </c>
      <c r="G543" s="104"/>
      <c r="H543" s="104"/>
      <c r="I543" s="132" t="s">
        <v>41</v>
      </c>
      <c r="J543" s="132"/>
      <c r="K543" s="60"/>
      <c r="L543" s="39"/>
      <c r="M543" s="39"/>
      <c r="N543" s="5"/>
      <c r="O543" s="22" t="s">
        <v>13</v>
      </c>
      <c r="P543" s="104" t="s">
        <v>14</v>
      </c>
      <c r="Q543" s="104"/>
      <c r="R543" s="104"/>
      <c r="S543" s="132" t="s">
        <v>43</v>
      </c>
      <c r="T543" s="132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104" t="s">
        <v>16</v>
      </c>
      <c r="G544" s="104"/>
      <c r="H544" s="104"/>
      <c r="I544" s="132" t="s">
        <v>42</v>
      </c>
      <c r="J544" s="132"/>
      <c r="K544" s="132"/>
      <c r="L544" s="39"/>
      <c r="M544" s="39"/>
      <c r="N544" s="5"/>
      <c r="O544" s="22" t="s">
        <v>18</v>
      </c>
      <c r="P544" s="104" t="s">
        <v>14</v>
      </c>
      <c r="Q544" s="104"/>
      <c r="R544" s="104"/>
      <c r="S544" s="128" t="s">
        <v>17</v>
      </c>
      <c r="T544" s="128"/>
      <c r="U544" s="128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N548&amp;".3"</f>
        <v>1.1.3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IF(N529="-"&amp;N506&amp;".5",IF(N530=15,"-"&amp;N506&amp;".6","-"&amp;N506&amp;".5"),N529)</f>
        <v>-1.1.6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IF(N551="-"&amp;N506&amp;".5",N530+1,IF(N529="-"&amp;N506&amp;".5",1,N530+1))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17">
        <v>1</v>
      </c>
      <c r="E555" s="118"/>
      <c r="F555" s="19"/>
      <c r="G555" s="19"/>
      <c r="H555" s="117">
        <v>2</v>
      </c>
      <c r="I555" s="118"/>
      <c r="J555" s="19"/>
      <c r="K555" s="19"/>
      <c r="L555" s="117">
        <v>3</v>
      </c>
      <c r="M555" s="118"/>
      <c r="N555" s="19"/>
      <c r="O555" s="19"/>
      <c r="P555" s="117">
        <v>4</v>
      </c>
      <c r="Q555" s="118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11" t="s">
        <v>6</v>
      </c>
      <c r="C556" s="111"/>
      <c r="D556" s="117" t="s">
        <v>37</v>
      </c>
      <c r="E556" s="118" t="s">
        <v>0</v>
      </c>
      <c r="F556" s="111" t="s">
        <v>6</v>
      </c>
      <c r="G556" s="111"/>
      <c r="H556" s="117" t="s">
        <v>37</v>
      </c>
      <c r="I556" s="118"/>
      <c r="J556" s="111" t="s">
        <v>6</v>
      </c>
      <c r="K556" s="111"/>
      <c r="L556" s="117" t="s">
        <v>37</v>
      </c>
      <c r="M556" s="118"/>
      <c r="N556" s="111" t="s">
        <v>6</v>
      </c>
      <c r="O556" s="111"/>
      <c r="P556" s="117" t="s">
        <v>37</v>
      </c>
      <c r="Q556" s="118"/>
      <c r="R556" s="111"/>
      <c r="S556" s="111"/>
      <c r="T556" s="111"/>
      <c r="U556" s="111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10"/>
      <c r="C557" s="110"/>
      <c r="D557" s="112"/>
      <c r="E557" s="112"/>
      <c r="F557" s="110"/>
      <c r="G557" s="110"/>
      <c r="H557" s="112"/>
      <c r="I557" s="112"/>
      <c r="J557" s="110"/>
      <c r="K557" s="110"/>
      <c r="L557" s="112"/>
      <c r="M557" s="112"/>
      <c r="N557" s="110"/>
      <c r="O557" s="110"/>
      <c r="P557" s="112"/>
      <c r="Q557" s="112"/>
      <c r="R557" s="110"/>
      <c r="S557" s="110"/>
      <c r="T557" s="110"/>
      <c r="U557" s="110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11">
        <v>0</v>
      </c>
      <c r="C558" s="111"/>
      <c r="D558" s="113">
        <v>1</v>
      </c>
      <c r="E558" s="113">
        <v>1</v>
      </c>
      <c r="F558" s="111">
        <v>2</v>
      </c>
      <c r="G558" s="111">
        <v>2</v>
      </c>
      <c r="H558" s="113">
        <v>3</v>
      </c>
      <c r="I558" s="113">
        <v>3</v>
      </c>
      <c r="J558" s="111">
        <v>4</v>
      </c>
      <c r="K558" s="111">
        <v>4</v>
      </c>
      <c r="L558" s="113">
        <v>5</v>
      </c>
      <c r="M558" s="113"/>
      <c r="N558" s="111">
        <v>6</v>
      </c>
      <c r="O558" s="111">
        <v>1</v>
      </c>
      <c r="P558" s="113">
        <v>7</v>
      </c>
      <c r="Q558" s="113">
        <v>2</v>
      </c>
      <c r="R558" s="111">
        <v>8</v>
      </c>
      <c r="S558" s="111">
        <v>3</v>
      </c>
      <c r="T558" s="111">
        <v>9</v>
      </c>
      <c r="U558" s="111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35"/>
      <c r="C562" s="136"/>
      <c r="D562" s="133"/>
      <c r="E562" s="134"/>
      <c r="F562" s="135"/>
      <c r="G562" s="136"/>
      <c r="H562" s="133"/>
      <c r="I562" s="134"/>
      <c r="J562" s="135"/>
      <c r="K562" s="136"/>
      <c r="L562" s="133"/>
      <c r="M562" s="134"/>
      <c r="N562" s="135"/>
      <c r="O562" s="136"/>
      <c r="P562" s="133"/>
      <c r="Q562" s="134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100" t="str">
        <f>IF(D562&lt;1,"","пом.")</f>
        <v/>
      </c>
      <c r="C563" s="100"/>
      <c r="D563" s="102"/>
      <c r="E563" s="103"/>
      <c r="F563" s="100" t="str">
        <f>IF(H562&lt;1,"","пом.")</f>
        <v/>
      </c>
      <c r="G563" s="100"/>
      <c r="H563" s="102"/>
      <c r="I563" s="103"/>
      <c r="J563" s="100" t="str">
        <f>IF(L562&lt;1,"","пом.")</f>
        <v/>
      </c>
      <c r="K563" s="100"/>
      <c r="L563" s="102"/>
      <c r="M563" s="103"/>
      <c r="N563" s="100" t="str">
        <f>IF(P562&lt;1,"","пом.")</f>
        <v/>
      </c>
      <c r="O563" s="100"/>
      <c r="P563" s="102"/>
      <c r="Q563" s="103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104" t="s">
        <v>12</v>
      </c>
      <c r="G565" s="104"/>
      <c r="H565" s="104"/>
      <c r="I565" s="132" t="s">
        <v>41</v>
      </c>
      <c r="J565" s="132"/>
      <c r="K565" s="60"/>
      <c r="L565" s="39"/>
      <c r="M565" s="39"/>
      <c r="N565" s="5"/>
      <c r="O565" s="22" t="s">
        <v>13</v>
      </c>
      <c r="P565" s="104" t="s">
        <v>14</v>
      </c>
      <c r="Q565" s="104"/>
      <c r="R565" s="104"/>
      <c r="S565" s="132" t="s">
        <v>43</v>
      </c>
      <c r="T565" s="132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104" t="s">
        <v>16</v>
      </c>
      <c r="G566" s="104"/>
      <c r="H566" s="104"/>
      <c r="I566" s="132" t="s">
        <v>42</v>
      </c>
      <c r="J566" s="132"/>
      <c r="K566" s="132"/>
      <c r="L566" s="39"/>
      <c r="M566" s="39"/>
      <c r="N566" s="5"/>
      <c r="O566" s="22" t="s">
        <v>18</v>
      </c>
      <c r="P566" s="104" t="s">
        <v>14</v>
      </c>
      <c r="Q566" s="104"/>
      <c r="R566" s="104"/>
      <c r="S566" s="128" t="s">
        <v>17</v>
      </c>
      <c r="T566" s="128"/>
      <c r="U566" s="128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1.1.3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IF(N551="-"&amp;N548&amp;".5",IF(N552=15,"-"&amp;N548&amp;".6","-"&amp;N548&amp;".5"),N551)</f>
        <v>-1.1.6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IF(N571="-"&amp;N506&amp;".5",N552+1,IF(N551="-"&amp;N506&amp;".5",1,N552+1))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17">
        <v>1</v>
      </c>
      <c r="E575" s="118"/>
      <c r="F575" s="19"/>
      <c r="G575" s="19"/>
      <c r="H575" s="117">
        <v>2</v>
      </c>
      <c r="I575" s="118"/>
      <c r="J575" s="19"/>
      <c r="K575" s="19"/>
      <c r="L575" s="117">
        <v>3</v>
      </c>
      <c r="M575" s="118"/>
      <c r="N575" s="19"/>
      <c r="O575" s="19"/>
      <c r="P575" s="117">
        <v>4</v>
      </c>
      <c r="Q575" s="118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11" t="s">
        <v>6</v>
      </c>
      <c r="C576" s="111"/>
      <c r="D576" s="117" t="s">
        <v>37</v>
      </c>
      <c r="E576" s="118" t="s">
        <v>0</v>
      </c>
      <c r="F576" s="111" t="s">
        <v>6</v>
      </c>
      <c r="G576" s="111"/>
      <c r="H576" s="117" t="s">
        <v>37</v>
      </c>
      <c r="I576" s="118"/>
      <c r="J576" s="111" t="s">
        <v>6</v>
      </c>
      <c r="K576" s="111"/>
      <c r="L576" s="117" t="s">
        <v>37</v>
      </c>
      <c r="M576" s="118"/>
      <c r="N576" s="111" t="s">
        <v>6</v>
      </c>
      <c r="O576" s="111"/>
      <c r="P576" s="117" t="s">
        <v>37</v>
      </c>
      <c r="Q576" s="118"/>
      <c r="R576" s="111"/>
      <c r="S576" s="111"/>
      <c r="T576" s="111"/>
      <c r="U576" s="111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10"/>
      <c r="C577" s="110"/>
      <c r="D577" s="112"/>
      <c r="E577" s="112"/>
      <c r="F577" s="110"/>
      <c r="G577" s="110"/>
      <c r="H577" s="112"/>
      <c r="I577" s="112"/>
      <c r="J577" s="110"/>
      <c r="K577" s="110"/>
      <c r="L577" s="112"/>
      <c r="M577" s="112"/>
      <c r="N577" s="110"/>
      <c r="O577" s="110"/>
      <c r="P577" s="112"/>
      <c r="Q577" s="112"/>
      <c r="R577" s="110"/>
      <c r="S577" s="110"/>
      <c r="T577" s="110"/>
      <c r="U577" s="110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11">
        <v>0</v>
      </c>
      <c r="C578" s="111"/>
      <c r="D578" s="113">
        <v>1</v>
      </c>
      <c r="E578" s="113">
        <v>1</v>
      </c>
      <c r="F578" s="111">
        <v>2</v>
      </c>
      <c r="G578" s="111">
        <v>2</v>
      </c>
      <c r="H578" s="113">
        <v>3</v>
      </c>
      <c r="I578" s="113">
        <v>3</v>
      </c>
      <c r="J578" s="111">
        <v>4</v>
      </c>
      <c r="K578" s="111">
        <v>4</v>
      </c>
      <c r="L578" s="113">
        <v>5</v>
      </c>
      <c r="M578" s="113"/>
      <c r="N578" s="111">
        <v>6</v>
      </c>
      <c r="O578" s="111">
        <v>1</v>
      </c>
      <c r="P578" s="113">
        <v>7</v>
      </c>
      <c r="Q578" s="113">
        <v>2</v>
      </c>
      <c r="R578" s="111">
        <v>8</v>
      </c>
      <c r="S578" s="111">
        <v>3</v>
      </c>
      <c r="T578" s="111">
        <v>9</v>
      </c>
      <c r="U578" s="111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35"/>
      <c r="C582" s="136"/>
      <c r="D582" s="133"/>
      <c r="E582" s="134"/>
      <c r="F582" s="135"/>
      <c r="G582" s="136"/>
      <c r="H582" s="133"/>
      <c r="I582" s="134"/>
      <c r="J582" s="135"/>
      <c r="K582" s="136"/>
      <c r="L582" s="133"/>
      <c r="M582" s="134"/>
      <c r="N582" s="135"/>
      <c r="O582" s="136"/>
      <c r="P582" s="133"/>
      <c r="Q582" s="134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100" t="str">
        <f>IF(D582&lt;1,"","пом.")</f>
        <v/>
      </c>
      <c r="C583" s="100"/>
      <c r="D583" s="102"/>
      <c r="E583" s="103"/>
      <c r="F583" s="100" t="str">
        <f>IF(H582&lt;1,"","пом.")</f>
        <v/>
      </c>
      <c r="G583" s="100"/>
      <c r="H583" s="102"/>
      <c r="I583" s="103"/>
      <c r="J583" s="100" t="str">
        <f>IF(L582&lt;1,"","пом.")</f>
        <v/>
      </c>
      <c r="K583" s="100"/>
      <c r="L583" s="102"/>
      <c r="M583" s="103"/>
      <c r="N583" s="100" t="str">
        <f>IF(P582&lt;1,"","пом.")</f>
        <v/>
      </c>
      <c r="O583" s="100"/>
      <c r="P583" s="102"/>
      <c r="Q583" s="103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104" t="s">
        <v>12</v>
      </c>
      <c r="G585" s="104"/>
      <c r="H585" s="104"/>
      <c r="I585" s="132" t="s">
        <v>41</v>
      </c>
      <c r="J585" s="132"/>
      <c r="K585" s="60"/>
      <c r="L585" s="39"/>
      <c r="M585" s="39"/>
      <c r="N585" s="5"/>
      <c r="O585" s="22" t="s">
        <v>13</v>
      </c>
      <c r="P585" s="104" t="s">
        <v>14</v>
      </c>
      <c r="Q585" s="104"/>
      <c r="R585" s="104"/>
      <c r="S585" s="132" t="s">
        <v>43</v>
      </c>
      <c r="T585" s="132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104" t="s">
        <v>16</v>
      </c>
      <c r="G586" s="104"/>
      <c r="H586" s="104"/>
      <c r="I586" s="132" t="s">
        <v>42</v>
      </c>
      <c r="J586" s="132"/>
      <c r="K586" s="132"/>
      <c r="L586" s="39"/>
      <c r="M586" s="39"/>
      <c r="N586" s="5"/>
      <c r="O586" s="22" t="s">
        <v>18</v>
      </c>
      <c r="P586" s="104" t="s">
        <v>14</v>
      </c>
      <c r="Q586" s="104"/>
      <c r="R586" s="104"/>
      <c r="S586" s="128" t="s">
        <v>17</v>
      </c>
      <c r="T586" s="128"/>
      <c r="U586" s="128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N590&amp;".3"</f>
        <v>1.1.3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IF(N571="-"&amp;N548&amp;".5",IF(N572=15,"-"&amp;N548&amp;".6","-"&amp;N548&amp;".5"),N571)</f>
        <v>-1.1.6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IF(N593="-"&amp;N548&amp;".5",N572+1,IF(N571="-"&amp;N548&amp;".5",1,N572+1))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17">
        <v>1</v>
      </c>
      <c r="E597" s="118"/>
      <c r="F597" s="19"/>
      <c r="G597" s="19"/>
      <c r="H597" s="117">
        <v>2</v>
      </c>
      <c r="I597" s="118"/>
      <c r="J597" s="19"/>
      <c r="K597" s="19"/>
      <c r="L597" s="117">
        <v>3</v>
      </c>
      <c r="M597" s="118"/>
      <c r="N597" s="19"/>
      <c r="O597" s="19"/>
      <c r="P597" s="117">
        <v>4</v>
      </c>
      <c r="Q597" s="118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11" t="s">
        <v>6</v>
      </c>
      <c r="C598" s="111"/>
      <c r="D598" s="117" t="s">
        <v>37</v>
      </c>
      <c r="E598" s="118" t="s">
        <v>0</v>
      </c>
      <c r="F598" s="111" t="s">
        <v>6</v>
      </c>
      <c r="G598" s="111"/>
      <c r="H598" s="117" t="s">
        <v>37</v>
      </c>
      <c r="I598" s="118"/>
      <c r="J598" s="111" t="s">
        <v>6</v>
      </c>
      <c r="K598" s="111"/>
      <c r="L598" s="117" t="s">
        <v>37</v>
      </c>
      <c r="M598" s="118"/>
      <c r="N598" s="111" t="s">
        <v>6</v>
      </c>
      <c r="O598" s="111"/>
      <c r="P598" s="117" t="s">
        <v>37</v>
      </c>
      <c r="Q598" s="118"/>
      <c r="R598" s="111"/>
      <c r="S598" s="111"/>
      <c r="T598" s="111"/>
      <c r="U598" s="111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10"/>
      <c r="C599" s="110"/>
      <c r="D599" s="112"/>
      <c r="E599" s="112"/>
      <c r="F599" s="110"/>
      <c r="G599" s="110"/>
      <c r="H599" s="112"/>
      <c r="I599" s="112"/>
      <c r="J599" s="110"/>
      <c r="K599" s="110"/>
      <c r="L599" s="112"/>
      <c r="M599" s="112"/>
      <c r="N599" s="110"/>
      <c r="O599" s="110"/>
      <c r="P599" s="112"/>
      <c r="Q599" s="112"/>
      <c r="R599" s="110"/>
      <c r="S599" s="110"/>
      <c r="T599" s="110"/>
      <c r="U599" s="110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11">
        <v>0</v>
      </c>
      <c r="C600" s="111"/>
      <c r="D600" s="113">
        <v>1</v>
      </c>
      <c r="E600" s="113">
        <v>1</v>
      </c>
      <c r="F600" s="111">
        <v>2</v>
      </c>
      <c r="G600" s="111">
        <v>2</v>
      </c>
      <c r="H600" s="113">
        <v>3</v>
      </c>
      <c r="I600" s="113">
        <v>3</v>
      </c>
      <c r="J600" s="111">
        <v>4</v>
      </c>
      <c r="K600" s="111">
        <v>4</v>
      </c>
      <c r="L600" s="113">
        <v>5</v>
      </c>
      <c r="M600" s="113"/>
      <c r="N600" s="111">
        <v>6</v>
      </c>
      <c r="O600" s="111">
        <v>1</v>
      </c>
      <c r="P600" s="113">
        <v>7</v>
      </c>
      <c r="Q600" s="113">
        <v>2</v>
      </c>
      <c r="R600" s="111">
        <v>8</v>
      </c>
      <c r="S600" s="111">
        <v>3</v>
      </c>
      <c r="T600" s="111">
        <v>9</v>
      </c>
      <c r="U600" s="111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35"/>
      <c r="C604" s="136"/>
      <c r="D604" s="133"/>
      <c r="E604" s="134"/>
      <c r="F604" s="135"/>
      <c r="G604" s="136"/>
      <c r="H604" s="133"/>
      <c r="I604" s="134"/>
      <c r="J604" s="135"/>
      <c r="K604" s="136"/>
      <c r="L604" s="133"/>
      <c r="M604" s="134"/>
      <c r="N604" s="135"/>
      <c r="O604" s="136"/>
      <c r="P604" s="133"/>
      <c r="Q604" s="134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100" t="str">
        <f>IF(D604&lt;1,"","пом.")</f>
        <v/>
      </c>
      <c r="C605" s="100"/>
      <c r="D605" s="102"/>
      <c r="E605" s="103"/>
      <c r="F605" s="100" t="str">
        <f>IF(H604&lt;1,"","пом.")</f>
        <v/>
      </c>
      <c r="G605" s="100"/>
      <c r="H605" s="102"/>
      <c r="I605" s="103"/>
      <c r="J605" s="100" t="str">
        <f>IF(L604&lt;1,"","пом.")</f>
        <v/>
      </c>
      <c r="K605" s="100"/>
      <c r="L605" s="102"/>
      <c r="M605" s="103"/>
      <c r="N605" s="100" t="str">
        <f>IF(P604&lt;1,"","пом.")</f>
        <v/>
      </c>
      <c r="O605" s="100"/>
      <c r="P605" s="102"/>
      <c r="Q605" s="103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104" t="s">
        <v>12</v>
      </c>
      <c r="G607" s="104"/>
      <c r="H607" s="104"/>
      <c r="I607" s="132" t="s">
        <v>41</v>
      </c>
      <c r="J607" s="132"/>
      <c r="K607" s="60"/>
      <c r="L607" s="39"/>
      <c r="M607" s="39"/>
      <c r="N607" s="5"/>
      <c r="O607" s="22" t="s">
        <v>13</v>
      </c>
      <c r="P607" s="104" t="s">
        <v>14</v>
      </c>
      <c r="Q607" s="104"/>
      <c r="R607" s="104"/>
      <c r="S607" s="132" t="s">
        <v>43</v>
      </c>
      <c r="T607" s="132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104" t="s">
        <v>16</v>
      </c>
      <c r="G608" s="104"/>
      <c r="H608" s="104"/>
      <c r="I608" s="132" t="s">
        <v>42</v>
      </c>
      <c r="J608" s="132"/>
      <c r="K608" s="132"/>
      <c r="L608" s="39"/>
      <c r="M608" s="39"/>
      <c r="N608" s="5"/>
      <c r="O608" s="22" t="s">
        <v>18</v>
      </c>
      <c r="P608" s="104" t="s">
        <v>14</v>
      </c>
      <c r="Q608" s="104"/>
      <c r="R608" s="104"/>
      <c r="S608" s="128" t="s">
        <v>17</v>
      </c>
      <c r="T608" s="128"/>
      <c r="U608" s="128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1.1.3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IF(N593="-"&amp;N590&amp;".5",IF(N594=15,"-"&amp;N590&amp;".6","-"&amp;N590&amp;".5"),N593)</f>
        <v>-1.1.6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IF(N613="-"&amp;N548&amp;".5",N594+1,IF(N593="-"&amp;N548&amp;".5",1,N594+1))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17">
        <v>1</v>
      </c>
      <c r="E617" s="118"/>
      <c r="F617" s="19"/>
      <c r="G617" s="19"/>
      <c r="H617" s="117">
        <v>2</v>
      </c>
      <c r="I617" s="118"/>
      <c r="J617" s="19"/>
      <c r="K617" s="19"/>
      <c r="L617" s="117">
        <v>3</v>
      </c>
      <c r="M617" s="118"/>
      <c r="N617" s="19"/>
      <c r="O617" s="19"/>
      <c r="P617" s="117">
        <v>4</v>
      </c>
      <c r="Q617" s="118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11" t="s">
        <v>6</v>
      </c>
      <c r="C618" s="111"/>
      <c r="D618" s="117" t="s">
        <v>37</v>
      </c>
      <c r="E618" s="118" t="s">
        <v>0</v>
      </c>
      <c r="F618" s="111" t="s">
        <v>6</v>
      </c>
      <c r="G618" s="111"/>
      <c r="H618" s="117" t="s">
        <v>37</v>
      </c>
      <c r="I618" s="118"/>
      <c r="J618" s="111" t="s">
        <v>6</v>
      </c>
      <c r="K618" s="111"/>
      <c r="L618" s="117" t="s">
        <v>37</v>
      </c>
      <c r="M618" s="118"/>
      <c r="N618" s="111" t="s">
        <v>6</v>
      </c>
      <c r="O618" s="111"/>
      <c r="P618" s="117" t="s">
        <v>37</v>
      </c>
      <c r="Q618" s="118"/>
      <c r="R618" s="111"/>
      <c r="S618" s="111"/>
      <c r="T618" s="111"/>
      <c r="U618" s="111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10"/>
      <c r="C619" s="110"/>
      <c r="D619" s="112"/>
      <c r="E619" s="112"/>
      <c r="F619" s="110"/>
      <c r="G619" s="110"/>
      <c r="H619" s="112"/>
      <c r="I619" s="112"/>
      <c r="J619" s="110"/>
      <c r="K619" s="110"/>
      <c r="L619" s="112"/>
      <c r="M619" s="112"/>
      <c r="N619" s="110"/>
      <c r="O619" s="110"/>
      <c r="P619" s="112"/>
      <c r="Q619" s="112"/>
      <c r="R619" s="110"/>
      <c r="S619" s="110"/>
      <c r="T619" s="110"/>
      <c r="U619" s="110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11">
        <v>0</v>
      </c>
      <c r="C620" s="111"/>
      <c r="D620" s="113">
        <v>1</v>
      </c>
      <c r="E620" s="113">
        <v>1</v>
      </c>
      <c r="F620" s="111">
        <v>2</v>
      </c>
      <c r="G620" s="111">
        <v>2</v>
      </c>
      <c r="H620" s="113">
        <v>3</v>
      </c>
      <c r="I620" s="113">
        <v>3</v>
      </c>
      <c r="J620" s="111">
        <v>4</v>
      </c>
      <c r="K620" s="111">
        <v>4</v>
      </c>
      <c r="L620" s="113">
        <v>5</v>
      </c>
      <c r="M620" s="113"/>
      <c r="N620" s="111">
        <v>6</v>
      </c>
      <c r="O620" s="111">
        <v>1</v>
      </c>
      <c r="P620" s="113">
        <v>7</v>
      </c>
      <c r="Q620" s="113">
        <v>2</v>
      </c>
      <c r="R620" s="111">
        <v>8</v>
      </c>
      <c r="S620" s="111">
        <v>3</v>
      </c>
      <c r="T620" s="111">
        <v>9</v>
      </c>
      <c r="U620" s="111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35"/>
      <c r="C624" s="136"/>
      <c r="D624" s="133"/>
      <c r="E624" s="134"/>
      <c r="F624" s="135"/>
      <c r="G624" s="136"/>
      <c r="H624" s="133"/>
      <c r="I624" s="134"/>
      <c r="J624" s="135"/>
      <c r="K624" s="136"/>
      <c r="L624" s="133"/>
      <c r="M624" s="134"/>
      <c r="N624" s="135"/>
      <c r="O624" s="136"/>
      <c r="P624" s="133"/>
      <c r="Q624" s="134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100" t="str">
        <f>IF(D624&lt;1,"","пом.")</f>
        <v/>
      </c>
      <c r="C625" s="100"/>
      <c r="D625" s="102"/>
      <c r="E625" s="103"/>
      <c r="F625" s="100" t="str">
        <f>IF(H624&lt;1,"","пом.")</f>
        <v/>
      </c>
      <c r="G625" s="100"/>
      <c r="H625" s="102"/>
      <c r="I625" s="103"/>
      <c r="J625" s="100" t="str">
        <f>IF(L624&lt;1,"","пом.")</f>
        <v/>
      </c>
      <c r="K625" s="100"/>
      <c r="L625" s="102"/>
      <c r="M625" s="103"/>
      <c r="N625" s="100" t="str">
        <f>IF(P624&lt;1,"","пом.")</f>
        <v/>
      </c>
      <c r="O625" s="100"/>
      <c r="P625" s="102"/>
      <c r="Q625" s="103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104" t="s">
        <v>12</v>
      </c>
      <c r="G627" s="104"/>
      <c r="H627" s="104"/>
      <c r="I627" s="132" t="s">
        <v>41</v>
      </c>
      <c r="J627" s="132"/>
      <c r="K627" s="60"/>
      <c r="L627" s="39"/>
      <c r="M627" s="39"/>
      <c r="N627" s="5"/>
      <c r="O627" s="22" t="s">
        <v>13</v>
      </c>
      <c r="P627" s="104" t="s">
        <v>14</v>
      </c>
      <c r="Q627" s="104"/>
      <c r="R627" s="104"/>
      <c r="S627" s="132" t="s">
        <v>43</v>
      </c>
      <c r="T627" s="132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104" t="s">
        <v>16</v>
      </c>
      <c r="G628" s="104"/>
      <c r="H628" s="104"/>
      <c r="I628" s="132" t="s">
        <v>42</v>
      </c>
      <c r="J628" s="132"/>
      <c r="K628" s="132"/>
      <c r="L628" s="39"/>
      <c r="M628" s="39"/>
      <c r="N628" s="5"/>
      <c r="O628" s="22" t="s">
        <v>18</v>
      </c>
      <c r="P628" s="104" t="s">
        <v>14</v>
      </c>
      <c r="Q628" s="104"/>
      <c r="R628" s="104"/>
      <c r="S628" s="128" t="s">
        <v>17</v>
      </c>
      <c r="T628" s="128"/>
      <c r="U628" s="128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N632&amp;".3"</f>
        <v>1.1.3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IF(N613="-"&amp;N590&amp;".5",IF(N614=15,"-"&amp;N590&amp;".6","-"&amp;N590&amp;".5"),N613)</f>
        <v>-1.1.6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IF(N635="-"&amp;N590&amp;".5",N614+1,IF(N613="-"&amp;N590&amp;".5",1,N614+1))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17">
        <v>1</v>
      </c>
      <c r="E639" s="118"/>
      <c r="F639" s="19"/>
      <c r="G639" s="19"/>
      <c r="H639" s="117">
        <v>2</v>
      </c>
      <c r="I639" s="118"/>
      <c r="J639" s="19"/>
      <c r="K639" s="19"/>
      <c r="L639" s="117">
        <v>3</v>
      </c>
      <c r="M639" s="118"/>
      <c r="N639" s="19"/>
      <c r="O639" s="19"/>
      <c r="P639" s="117">
        <v>4</v>
      </c>
      <c r="Q639" s="118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11" t="s">
        <v>6</v>
      </c>
      <c r="C640" s="111"/>
      <c r="D640" s="117" t="s">
        <v>37</v>
      </c>
      <c r="E640" s="118" t="s">
        <v>0</v>
      </c>
      <c r="F640" s="111" t="s">
        <v>6</v>
      </c>
      <c r="G640" s="111"/>
      <c r="H640" s="117" t="s">
        <v>37</v>
      </c>
      <c r="I640" s="118"/>
      <c r="J640" s="111" t="s">
        <v>6</v>
      </c>
      <c r="K640" s="111"/>
      <c r="L640" s="117" t="s">
        <v>37</v>
      </c>
      <c r="M640" s="118"/>
      <c r="N640" s="111" t="s">
        <v>6</v>
      </c>
      <c r="O640" s="111"/>
      <c r="P640" s="117" t="s">
        <v>37</v>
      </c>
      <c r="Q640" s="118"/>
      <c r="R640" s="111"/>
      <c r="S640" s="111"/>
      <c r="T640" s="111"/>
      <c r="U640" s="111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10"/>
      <c r="C641" s="110"/>
      <c r="D641" s="112"/>
      <c r="E641" s="112"/>
      <c r="F641" s="110"/>
      <c r="G641" s="110"/>
      <c r="H641" s="112"/>
      <c r="I641" s="112"/>
      <c r="J641" s="110"/>
      <c r="K641" s="110"/>
      <c r="L641" s="112"/>
      <c r="M641" s="112"/>
      <c r="N641" s="110"/>
      <c r="O641" s="110"/>
      <c r="P641" s="112"/>
      <c r="Q641" s="112"/>
      <c r="R641" s="110"/>
      <c r="S641" s="110"/>
      <c r="T641" s="110"/>
      <c r="U641" s="110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11">
        <v>0</v>
      </c>
      <c r="C642" s="111"/>
      <c r="D642" s="113">
        <v>1</v>
      </c>
      <c r="E642" s="113">
        <v>1</v>
      </c>
      <c r="F642" s="111">
        <v>2</v>
      </c>
      <c r="G642" s="111">
        <v>2</v>
      </c>
      <c r="H642" s="113">
        <v>3</v>
      </c>
      <c r="I642" s="113">
        <v>3</v>
      </c>
      <c r="J642" s="111">
        <v>4</v>
      </c>
      <c r="K642" s="111">
        <v>4</v>
      </c>
      <c r="L642" s="113">
        <v>5</v>
      </c>
      <c r="M642" s="113"/>
      <c r="N642" s="111">
        <v>6</v>
      </c>
      <c r="O642" s="111">
        <v>1</v>
      </c>
      <c r="P642" s="113">
        <v>7</v>
      </c>
      <c r="Q642" s="113">
        <v>2</v>
      </c>
      <c r="R642" s="111">
        <v>8</v>
      </c>
      <c r="S642" s="111">
        <v>3</v>
      </c>
      <c r="T642" s="111">
        <v>9</v>
      </c>
      <c r="U642" s="111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35"/>
      <c r="C646" s="136"/>
      <c r="D646" s="133"/>
      <c r="E646" s="134"/>
      <c r="F646" s="135"/>
      <c r="G646" s="136"/>
      <c r="H646" s="133"/>
      <c r="I646" s="134"/>
      <c r="J646" s="135"/>
      <c r="K646" s="136"/>
      <c r="L646" s="133"/>
      <c r="M646" s="134"/>
      <c r="N646" s="135"/>
      <c r="O646" s="136"/>
      <c r="P646" s="133"/>
      <c r="Q646" s="134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100" t="str">
        <f>IF(D646&lt;1,"","пом.")</f>
        <v/>
      </c>
      <c r="C647" s="100"/>
      <c r="D647" s="102"/>
      <c r="E647" s="103"/>
      <c r="F647" s="100" t="str">
        <f>IF(H646&lt;1,"","пом.")</f>
        <v/>
      </c>
      <c r="G647" s="100"/>
      <c r="H647" s="102"/>
      <c r="I647" s="103"/>
      <c r="J647" s="100" t="str">
        <f>IF(L646&lt;1,"","пом.")</f>
        <v/>
      </c>
      <c r="K647" s="100"/>
      <c r="L647" s="102"/>
      <c r="M647" s="103"/>
      <c r="N647" s="100" t="str">
        <f>IF(P646&lt;1,"","пом.")</f>
        <v/>
      </c>
      <c r="O647" s="100"/>
      <c r="P647" s="102"/>
      <c r="Q647" s="103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104" t="s">
        <v>12</v>
      </c>
      <c r="G649" s="104"/>
      <c r="H649" s="104"/>
      <c r="I649" s="132" t="s">
        <v>41</v>
      </c>
      <c r="J649" s="132"/>
      <c r="K649" s="60"/>
      <c r="L649" s="39"/>
      <c r="M649" s="39"/>
      <c r="N649" s="5"/>
      <c r="O649" s="22" t="s">
        <v>13</v>
      </c>
      <c r="P649" s="104" t="s">
        <v>14</v>
      </c>
      <c r="Q649" s="104"/>
      <c r="R649" s="104"/>
      <c r="S649" s="132" t="s">
        <v>43</v>
      </c>
      <c r="T649" s="132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104" t="s">
        <v>16</v>
      </c>
      <c r="G650" s="104"/>
      <c r="H650" s="104"/>
      <c r="I650" s="132" t="s">
        <v>42</v>
      </c>
      <c r="J650" s="132"/>
      <c r="K650" s="132"/>
      <c r="L650" s="39"/>
      <c r="M650" s="39"/>
      <c r="N650" s="5"/>
      <c r="O650" s="22" t="s">
        <v>18</v>
      </c>
      <c r="P650" s="104" t="s">
        <v>14</v>
      </c>
      <c r="Q650" s="104"/>
      <c r="R650" s="104"/>
      <c r="S650" s="128" t="s">
        <v>17</v>
      </c>
      <c r="T650" s="128"/>
      <c r="U650" s="128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1.1.3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IF(N635="-"&amp;N632&amp;".5",IF(N636=15,"-"&amp;N632&amp;".6","-"&amp;N632&amp;".5"),N635)</f>
        <v>-1.1.6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IF(N655="-"&amp;N590&amp;".5",N636+1,IF(N635="-"&amp;N590&amp;".5",1,N636+1))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17">
        <v>1</v>
      </c>
      <c r="E659" s="118"/>
      <c r="F659" s="19"/>
      <c r="G659" s="19"/>
      <c r="H659" s="117">
        <v>2</v>
      </c>
      <c r="I659" s="118"/>
      <c r="J659" s="19"/>
      <c r="K659" s="19"/>
      <c r="L659" s="117">
        <v>3</v>
      </c>
      <c r="M659" s="118"/>
      <c r="N659" s="19"/>
      <c r="O659" s="19"/>
      <c r="P659" s="117">
        <v>4</v>
      </c>
      <c r="Q659" s="118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11" t="s">
        <v>6</v>
      </c>
      <c r="C660" s="111"/>
      <c r="D660" s="117" t="s">
        <v>37</v>
      </c>
      <c r="E660" s="118" t="s">
        <v>0</v>
      </c>
      <c r="F660" s="111" t="s">
        <v>6</v>
      </c>
      <c r="G660" s="111"/>
      <c r="H660" s="117" t="s">
        <v>37</v>
      </c>
      <c r="I660" s="118"/>
      <c r="J660" s="111" t="s">
        <v>6</v>
      </c>
      <c r="K660" s="111"/>
      <c r="L660" s="117" t="s">
        <v>37</v>
      </c>
      <c r="M660" s="118"/>
      <c r="N660" s="111" t="s">
        <v>6</v>
      </c>
      <c r="O660" s="111"/>
      <c r="P660" s="117" t="s">
        <v>37</v>
      </c>
      <c r="Q660" s="118"/>
      <c r="R660" s="111"/>
      <c r="S660" s="111"/>
      <c r="T660" s="111"/>
      <c r="U660" s="111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10"/>
      <c r="C661" s="110"/>
      <c r="D661" s="112"/>
      <c r="E661" s="112"/>
      <c r="F661" s="110"/>
      <c r="G661" s="110"/>
      <c r="H661" s="112"/>
      <c r="I661" s="112"/>
      <c r="J661" s="110"/>
      <c r="K661" s="110"/>
      <c r="L661" s="112"/>
      <c r="M661" s="112"/>
      <c r="N661" s="110"/>
      <c r="O661" s="110"/>
      <c r="P661" s="112"/>
      <c r="Q661" s="112"/>
      <c r="R661" s="110"/>
      <c r="S661" s="110"/>
      <c r="T661" s="110"/>
      <c r="U661" s="110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11">
        <v>0</v>
      </c>
      <c r="C662" s="111"/>
      <c r="D662" s="113">
        <v>1</v>
      </c>
      <c r="E662" s="113">
        <v>1</v>
      </c>
      <c r="F662" s="111">
        <v>2</v>
      </c>
      <c r="G662" s="111">
        <v>2</v>
      </c>
      <c r="H662" s="113">
        <v>3</v>
      </c>
      <c r="I662" s="113">
        <v>3</v>
      </c>
      <c r="J662" s="111">
        <v>4</v>
      </c>
      <c r="K662" s="111">
        <v>4</v>
      </c>
      <c r="L662" s="113">
        <v>5</v>
      </c>
      <c r="M662" s="113"/>
      <c r="N662" s="111">
        <v>6</v>
      </c>
      <c r="O662" s="111">
        <v>1</v>
      </c>
      <c r="P662" s="113">
        <v>7</v>
      </c>
      <c r="Q662" s="113">
        <v>2</v>
      </c>
      <c r="R662" s="111">
        <v>8</v>
      </c>
      <c r="S662" s="111">
        <v>3</v>
      </c>
      <c r="T662" s="111">
        <v>9</v>
      </c>
      <c r="U662" s="111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35"/>
      <c r="C666" s="136"/>
      <c r="D666" s="133"/>
      <c r="E666" s="134"/>
      <c r="F666" s="135"/>
      <c r="G666" s="136"/>
      <c r="H666" s="133"/>
      <c r="I666" s="134"/>
      <c r="J666" s="135"/>
      <c r="K666" s="136"/>
      <c r="L666" s="133"/>
      <c r="M666" s="134"/>
      <c r="N666" s="135"/>
      <c r="O666" s="136"/>
      <c r="P666" s="133"/>
      <c r="Q666" s="134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100" t="str">
        <f>IF(D666&lt;1,"","пом.")</f>
        <v/>
      </c>
      <c r="C667" s="100"/>
      <c r="D667" s="102"/>
      <c r="E667" s="103"/>
      <c r="F667" s="100" t="str">
        <f>IF(H666&lt;1,"","пом.")</f>
        <v/>
      </c>
      <c r="G667" s="100"/>
      <c r="H667" s="102"/>
      <c r="I667" s="103"/>
      <c r="J667" s="100" t="str">
        <f>IF(L666&lt;1,"","пом.")</f>
        <v/>
      </c>
      <c r="K667" s="100"/>
      <c r="L667" s="102"/>
      <c r="M667" s="103"/>
      <c r="N667" s="100" t="str">
        <f>IF(P666&lt;1,"","пом.")</f>
        <v/>
      </c>
      <c r="O667" s="100"/>
      <c r="P667" s="102"/>
      <c r="Q667" s="103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104" t="s">
        <v>12</v>
      </c>
      <c r="G669" s="104"/>
      <c r="H669" s="104"/>
      <c r="I669" s="132" t="s">
        <v>41</v>
      </c>
      <c r="J669" s="132"/>
      <c r="K669" s="60"/>
      <c r="L669" s="39"/>
      <c r="M669" s="39"/>
      <c r="N669" s="5"/>
      <c r="O669" s="22" t="s">
        <v>13</v>
      </c>
      <c r="P669" s="104" t="s">
        <v>14</v>
      </c>
      <c r="Q669" s="104"/>
      <c r="R669" s="104"/>
      <c r="S669" s="132" t="s">
        <v>43</v>
      </c>
      <c r="T669" s="132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104" t="s">
        <v>16</v>
      </c>
      <c r="G670" s="104"/>
      <c r="H670" s="104"/>
      <c r="I670" s="132" t="s">
        <v>42</v>
      </c>
      <c r="J670" s="132"/>
      <c r="K670" s="132"/>
      <c r="L670" s="39"/>
      <c r="M670" s="39"/>
      <c r="N670" s="5"/>
      <c r="O670" s="22" t="s">
        <v>18</v>
      </c>
      <c r="P670" s="104" t="s">
        <v>14</v>
      </c>
      <c r="Q670" s="104"/>
      <c r="R670" s="104"/>
      <c r="S670" s="128" t="s">
        <v>17</v>
      </c>
      <c r="T670" s="128"/>
      <c r="U670" s="128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649:T649"/>
    <mergeCell ref="T641:U641"/>
    <mergeCell ref="T642:U642"/>
    <mergeCell ref="F650:H650"/>
    <mergeCell ref="I650:K650"/>
    <mergeCell ref="P650:R650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P646:Q646"/>
    <mergeCell ref="N660:O660"/>
    <mergeCell ref="P660:Q660"/>
    <mergeCell ref="P661:Q661"/>
    <mergeCell ref="R661:S661"/>
    <mergeCell ref="N647:O647"/>
    <mergeCell ref="R662:S662"/>
    <mergeCell ref="J646:K646"/>
    <mergeCell ref="L646:M646"/>
    <mergeCell ref="N646:O646"/>
    <mergeCell ref="F585:H585"/>
    <mergeCell ref="I585:J585"/>
    <mergeCell ref="P585:R585"/>
    <mergeCell ref="S585:T585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S607:T607"/>
    <mergeCell ref="F608:H608"/>
    <mergeCell ref="I608:K608"/>
    <mergeCell ref="P608:R608"/>
    <mergeCell ref="R598:S598"/>
    <mergeCell ref="T598:U598"/>
    <mergeCell ref="T599:U599"/>
    <mergeCell ref="T600:U600"/>
    <mergeCell ref="S586:U586"/>
    <mergeCell ref="S608:U608"/>
    <mergeCell ref="R578:S578"/>
    <mergeCell ref="R600:S600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F565:H565"/>
    <mergeCell ref="I565:J565"/>
    <mergeCell ref="P565:R565"/>
    <mergeCell ref="S565:T565"/>
    <mergeCell ref="L534:M534"/>
    <mergeCell ref="N534:O534"/>
    <mergeCell ref="P534:Q534"/>
    <mergeCell ref="N558:O558"/>
    <mergeCell ref="P558:Q558"/>
    <mergeCell ref="R558:S558"/>
    <mergeCell ref="R556:S556"/>
    <mergeCell ref="T556:U556"/>
    <mergeCell ref="L563:M563"/>
    <mergeCell ref="P563:Q563"/>
    <mergeCell ref="T558:U558"/>
    <mergeCell ref="S501:T501"/>
    <mergeCell ref="F502:H502"/>
    <mergeCell ref="I502:K502"/>
    <mergeCell ref="P502:R502"/>
    <mergeCell ref="F523:H523"/>
    <mergeCell ref="I523:J523"/>
    <mergeCell ref="P523:R523"/>
    <mergeCell ref="S523:T523"/>
    <mergeCell ref="T515:U515"/>
    <mergeCell ref="T516:U516"/>
    <mergeCell ref="N494:O494"/>
    <mergeCell ref="P494:Q494"/>
    <mergeCell ref="R494:S494"/>
    <mergeCell ref="R492:S492"/>
    <mergeCell ref="T492:U492"/>
    <mergeCell ref="R516:S516"/>
    <mergeCell ref="R493:S493"/>
    <mergeCell ref="T493:U493"/>
    <mergeCell ref="R515:S515"/>
    <mergeCell ref="T494:U494"/>
    <mergeCell ref="R514:S514"/>
    <mergeCell ref="T514:U514"/>
    <mergeCell ref="S502:U502"/>
    <mergeCell ref="P460:R460"/>
    <mergeCell ref="F481:H481"/>
    <mergeCell ref="I481:J481"/>
    <mergeCell ref="P481:R481"/>
    <mergeCell ref="S481:T481"/>
    <mergeCell ref="J451:K451"/>
    <mergeCell ref="L451:M451"/>
    <mergeCell ref="N451:O451"/>
    <mergeCell ref="P451:Q451"/>
    <mergeCell ref="R451:S45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397:H397"/>
    <mergeCell ref="I397:J397"/>
    <mergeCell ref="P397:R397"/>
    <mergeCell ref="S397:T397"/>
    <mergeCell ref="P395:Q395"/>
    <mergeCell ref="N394:O394"/>
    <mergeCell ref="P394:Q394"/>
    <mergeCell ref="F375:H375"/>
    <mergeCell ref="I375:J375"/>
    <mergeCell ref="P375:R375"/>
    <mergeCell ref="L394:M394"/>
    <mergeCell ref="T389:U389"/>
    <mergeCell ref="T390:U390"/>
    <mergeCell ref="F417:H417"/>
    <mergeCell ref="I417:J417"/>
    <mergeCell ref="P417:R417"/>
    <mergeCell ref="S417:T417"/>
    <mergeCell ref="F398:H398"/>
    <mergeCell ref="I398:K398"/>
    <mergeCell ref="P398:R398"/>
    <mergeCell ref="R408:S408"/>
    <mergeCell ref="T408:U408"/>
    <mergeCell ref="T409:U409"/>
    <mergeCell ref="T410:U410"/>
    <mergeCell ref="S398:U398"/>
    <mergeCell ref="S333:T333"/>
    <mergeCell ref="L331:M331"/>
    <mergeCell ref="T325:U325"/>
    <mergeCell ref="T326:U326"/>
    <mergeCell ref="F355:H355"/>
    <mergeCell ref="I355:J355"/>
    <mergeCell ref="P355:R355"/>
    <mergeCell ref="S355:T355"/>
    <mergeCell ref="F356:H356"/>
    <mergeCell ref="I356:K356"/>
    <mergeCell ref="P356:R356"/>
    <mergeCell ref="N352:O352"/>
    <mergeCell ref="P352:Q352"/>
    <mergeCell ref="P353:Q353"/>
    <mergeCell ref="P334:R334"/>
    <mergeCell ref="R346:S346"/>
    <mergeCell ref="T346:U346"/>
    <mergeCell ref="T347:U347"/>
    <mergeCell ref="T348:U348"/>
    <mergeCell ref="S334:U334"/>
    <mergeCell ref="S356:U356"/>
    <mergeCell ref="F352:G352"/>
    <mergeCell ref="H352:I352"/>
    <mergeCell ref="J352:K352"/>
    <mergeCell ref="L352:M352"/>
    <mergeCell ref="P331:Q331"/>
    <mergeCell ref="P330:Q330"/>
    <mergeCell ref="R326:S326"/>
    <mergeCell ref="F325:G325"/>
    <mergeCell ref="H325:I325"/>
    <mergeCell ref="J325:K325"/>
    <mergeCell ref="L325:M325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P272:R272"/>
    <mergeCell ref="R283:S283"/>
    <mergeCell ref="T283:U283"/>
    <mergeCell ref="N284:O284"/>
    <mergeCell ref="P284:Q284"/>
    <mergeCell ref="R284:S284"/>
    <mergeCell ref="T284:U284"/>
    <mergeCell ref="S313:T313"/>
    <mergeCell ref="F314:H314"/>
    <mergeCell ref="I314:K314"/>
    <mergeCell ref="P314:R314"/>
    <mergeCell ref="P306:Q306"/>
    <mergeCell ref="R306:S306"/>
    <mergeCell ref="R304:S304"/>
    <mergeCell ref="T304:U304"/>
    <mergeCell ref="P305:Q305"/>
    <mergeCell ref="R305:S305"/>
    <mergeCell ref="T305:U305"/>
    <mergeCell ref="P303:Q303"/>
    <mergeCell ref="P304:Q304"/>
    <mergeCell ref="T200:U200"/>
    <mergeCell ref="S229:T229"/>
    <mergeCell ref="F230:H230"/>
    <mergeCell ref="I230:K230"/>
    <mergeCell ref="P230:R230"/>
    <mergeCell ref="P227:Q227"/>
    <mergeCell ref="P249:R249"/>
    <mergeCell ref="S249:T249"/>
    <mergeCell ref="F250:H250"/>
    <mergeCell ref="I250:K250"/>
    <mergeCell ref="P250:R250"/>
    <mergeCell ref="P246:Q246"/>
    <mergeCell ref="P247:Q247"/>
    <mergeCell ref="F229:H229"/>
    <mergeCell ref="I229:J229"/>
    <mergeCell ref="P229:R229"/>
    <mergeCell ref="H247:I247"/>
    <mergeCell ref="L247:M247"/>
    <mergeCell ref="J246:K246"/>
    <mergeCell ref="L246:M246"/>
    <mergeCell ref="N246:O246"/>
    <mergeCell ref="I249:J249"/>
    <mergeCell ref="L226:M226"/>
    <mergeCell ref="N226:O226"/>
    <mergeCell ref="P200:Q200"/>
    <mergeCell ref="R200:S200"/>
    <mergeCell ref="T222:U222"/>
    <mergeCell ref="T241:U241"/>
    <mergeCell ref="H246:I246"/>
    <mergeCell ref="S187:T187"/>
    <mergeCell ref="P163:Q163"/>
    <mergeCell ref="P184:Q184"/>
    <mergeCell ref="H163:I163"/>
    <mergeCell ref="L163:M163"/>
    <mergeCell ref="J162:K162"/>
    <mergeCell ref="L162:M162"/>
    <mergeCell ref="F184:G184"/>
    <mergeCell ref="H184:I184"/>
    <mergeCell ref="L184:M184"/>
    <mergeCell ref="L185:M185"/>
    <mergeCell ref="P166:R166"/>
    <mergeCell ref="N162:O162"/>
    <mergeCell ref="R156:S156"/>
    <mergeCell ref="F207:H207"/>
    <mergeCell ref="I207:J207"/>
    <mergeCell ref="P207:R207"/>
    <mergeCell ref="S207:T207"/>
    <mergeCell ref="P204:Q204"/>
    <mergeCell ref="P185:Q185"/>
    <mergeCell ref="P188:R188"/>
    <mergeCell ref="J204:K204"/>
    <mergeCell ref="L204:M204"/>
    <mergeCell ref="N204:O204"/>
    <mergeCell ref="F188:H188"/>
    <mergeCell ref="I188:K188"/>
    <mergeCell ref="L205:M205"/>
    <mergeCell ref="P205:Q205"/>
    <mergeCell ref="H205:I205"/>
    <mergeCell ref="R198:S198"/>
    <mergeCell ref="T198:U198"/>
    <mergeCell ref="T199:U199"/>
    <mergeCell ref="S104:U104"/>
    <mergeCell ref="S123:T123"/>
    <mergeCell ref="F124:H124"/>
    <mergeCell ref="I124:K124"/>
    <mergeCell ref="P124:R124"/>
    <mergeCell ref="F145:H145"/>
    <mergeCell ref="I145:J145"/>
    <mergeCell ref="P145:R145"/>
    <mergeCell ref="S145:T145"/>
    <mergeCell ref="P143:Q143"/>
    <mergeCell ref="J142:K142"/>
    <mergeCell ref="L142:M142"/>
    <mergeCell ref="N142:O142"/>
    <mergeCell ref="P142:Q142"/>
    <mergeCell ref="T137:U137"/>
    <mergeCell ref="T138:U138"/>
    <mergeCell ref="F165:H165"/>
    <mergeCell ref="I165:J165"/>
    <mergeCell ref="P165:R165"/>
    <mergeCell ref="S165:T165"/>
    <mergeCell ref="F123:H123"/>
    <mergeCell ref="I123:J123"/>
    <mergeCell ref="F146:H146"/>
    <mergeCell ref="I146:K146"/>
    <mergeCell ref="R114:S114"/>
    <mergeCell ref="T114:U114"/>
    <mergeCell ref="T116:U116"/>
    <mergeCell ref="T156:U156"/>
    <mergeCell ref="T158:U158"/>
    <mergeCell ref="S146:U146"/>
    <mergeCell ref="F62:H62"/>
    <mergeCell ref="I62:K62"/>
    <mergeCell ref="P62:R62"/>
    <mergeCell ref="F39:H39"/>
    <mergeCell ref="F40:H40"/>
    <mergeCell ref="R36:U36"/>
    <mergeCell ref="I39:J39"/>
    <mergeCell ref="P39:R39"/>
    <mergeCell ref="I40:K40"/>
    <mergeCell ref="P40:R40"/>
    <mergeCell ref="P59:Q59"/>
    <mergeCell ref="L32:M32"/>
    <mergeCell ref="N32:O32"/>
    <mergeCell ref="P32:Q32"/>
    <mergeCell ref="S81:T81"/>
    <mergeCell ref="P82:R82"/>
    <mergeCell ref="F103:H103"/>
    <mergeCell ref="I103:J103"/>
    <mergeCell ref="P103:R103"/>
    <mergeCell ref="S103:T103"/>
    <mergeCell ref="L101:M101"/>
    <mergeCell ref="P101:Q101"/>
    <mergeCell ref="T95:U95"/>
    <mergeCell ref="T96:U96"/>
    <mergeCell ref="N100:O100"/>
    <mergeCell ref="P100:Q100"/>
    <mergeCell ref="F82:H82"/>
    <mergeCell ref="I82:K82"/>
    <mergeCell ref="F58:G58"/>
    <mergeCell ref="P58:Q58"/>
    <mergeCell ref="P37:Q37"/>
    <mergeCell ref="P36:Q36"/>
    <mergeCell ref="D667:E667"/>
    <mergeCell ref="H667:I667"/>
    <mergeCell ref="L667:M667"/>
    <mergeCell ref="P667:Q667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F649:H649"/>
    <mergeCell ref="I649:J649"/>
    <mergeCell ref="P649:R649"/>
    <mergeCell ref="D660:E660"/>
    <mergeCell ref="F660:G660"/>
    <mergeCell ref="H660:I660"/>
    <mergeCell ref="J660:K660"/>
    <mergeCell ref="L660:M66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B625:C625"/>
    <mergeCell ref="F625:G625"/>
    <mergeCell ref="J625:K625"/>
    <mergeCell ref="N625:O625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D583:E583"/>
    <mergeCell ref="H583:I583"/>
    <mergeCell ref="L583:M583"/>
    <mergeCell ref="P583:Q583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F566:H566"/>
    <mergeCell ref="I566:K566"/>
    <mergeCell ref="P566:R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F524:H524"/>
    <mergeCell ref="I524:K524"/>
    <mergeCell ref="P524:R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D479:E479"/>
    <mergeCell ref="H479:I479"/>
    <mergeCell ref="L479:M479"/>
    <mergeCell ref="P479:Q479"/>
    <mergeCell ref="B479:C479"/>
    <mergeCell ref="F479:G479"/>
    <mergeCell ref="J479:K479"/>
    <mergeCell ref="N479:O479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B457:C457"/>
    <mergeCell ref="F457:G457"/>
    <mergeCell ref="J457:K457"/>
    <mergeCell ref="N457:O457"/>
    <mergeCell ref="F439:H439"/>
    <mergeCell ref="I439:J439"/>
    <mergeCell ref="P439:R439"/>
    <mergeCell ref="R452:S452"/>
    <mergeCell ref="B451:C451"/>
    <mergeCell ref="D451:E451"/>
    <mergeCell ref="F451:G451"/>
    <mergeCell ref="H451:I451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F460:H460"/>
    <mergeCell ref="I460:K460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F418:H418"/>
    <mergeCell ref="I418:K418"/>
    <mergeCell ref="P418:R418"/>
    <mergeCell ref="N432:O432"/>
    <mergeCell ref="P432:Q432"/>
    <mergeCell ref="R432:S432"/>
    <mergeCell ref="R430:S430"/>
    <mergeCell ref="D437:E437"/>
    <mergeCell ref="H437:I437"/>
    <mergeCell ref="L437:M437"/>
    <mergeCell ref="P437:Q437"/>
    <mergeCell ref="B437:C437"/>
    <mergeCell ref="F437:G437"/>
    <mergeCell ref="J437:K437"/>
    <mergeCell ref="N437:O437"/>
    <mergeCell ref="D101:E101"/>
    <mergeCell ref="H101:I101"/>
    <mergeCell ref="P121:Q121"/>
    <mergeCell ref="F81:H81"/>
    <mergeCell ref="I81:J81"/>
    <mergeCell ref="P81:R81"/>
    <mergeCell ref="P123:R123"/>
    <mergeCell ref="P146:R146"/>
    <mergeCell ref="D163:E163"/>
    <mergeCell ref="P372:Q372"/>
    <mergeCell ref="N120:O12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F104:H104"/>
    <mergeCell ref="I104:K104"/>
    <mergeCell ref="P104:R104"/>
    <mergeCell ref="P187:R187"/>
    <mergeCell ref="F291:H291"/>
    <mergeCell ref="I291:J291"/>
    <mergeCell ref="P291:R291"/>
    <mergeCell ref="F333:H333"/>
    <mergeCell ref="I333:J333"/>
    <mergeCell ref="P333:R333"/>
    <mergeCell ref="F376:H376"/>
    <mergeCell ref="B352:C352"/>
    <mergeCell ref="D352:E352"/>
    <mergeCell ref="F187:H187"/>
    <mergeCell ref="I187:J187"/>
    <mergeCell ref="F208:H208"/>
    <mergeCell ref="I208:K208"/>
    <mergeCell ref="F249:H249"/>
    <mergeCell ref="B100:C100"/>
    <mergeCell ref="D184:E184"/>
    <mergeCell ref="D100:E100"/>
    <mergeCell ref="F100:G100"/>
    <mergeCell ref="H100:I100"/>
    <mergeCell ref="J100:K100"/>
    <mergeCell ref="L100:M100"/>
    <mergeCell ref="D16:E16"/>
    <mergeCell ref="H16:I16"/>
    <mergeCell ref="J16:K16"/>
    <mergeCell ref="R12:S12"/>
    <mergeCell ref="T12:U12"/>
    <mergeCell ref="F30:G30"/>
    <mergeCell ref="B12:C12"/>
    <mergeCell ref="D12:E12"/>
    <mergeCell ref="F12:G12"/>
    <mergeCell ref="D17:E17"/>
    <mergeCell ref="B16:C16"/>
    <mergeCell ref="F19:H19"/>
    <mergeCell ref="R16:U16"/>
    <mergeCell ref="F16:G16"/>
    <mergeCell ref="P29:Q29"/>
    <mergeCell ref="P12:Q12"/>
    <mergeCell ref="P17:Q17"/>
    <mergeCell ref="P16:Q16"/>
    <mergeCell ref="B58:C58"/>
    <mergeCell ref="D58:E58"/>
    <mergeCell ref="I19:J19"/>
    <mergeCell ref="AN12:AO12"/>
    <mergeCell ref="AP12:AQ12"/>
    <mergeCell ref="X15:AA15"/>
    <mergeCell ref="AB15:AE15"/>
    <mergeCell ref="AF15:AI15"/>
    <mergeCell ref="AJ15:AM15"/>
    <mergeCell ref="AN15:AQ15"/>
    <mergeCell ref="AB12:AC12"/>
    <mergeCell ref="AD12:AE12"/>
    <mergeCell ref="AN10:AO10"/>
    <mergeCell ref="AP10:AQ10"/>
    <mergeCell ref="AF11:AI11"/>
    <mergeCell ref="AJ11:AM11"/>
    <mergeCell ref="AN11:AQ11"/>
    <mergeCell ref="R10:S10"/>
    <mergeCell ref="T10:U10"/>
    <mergeCell ref="H12:I12"/>
    <mergeCell ref="J12:K12"/>
    <mergeCell ref="L12:M12"/>
    <mergeCell ref="N12:O12"/>
    <mergeCell ref="H17:I17"/>
    <mergeCell ref="L17:M17"/>
    <mergeCell ref="L16:M16"/>
    <mergeCell ref="N16:O16"/>
    <mergeCell ref="AF10:AG10"/>
    <mergeCell ref="AH10:AI10"/>
    <mergeCell ref="AJ10:AK10"/>
    <mergeCell ref="AL10:AM10"/>
    <mergeCell ref="AF16:AI16"/>
    <mergeCell ref="AJ16:AM16"/>
    <mergeCell ref="AF12:AG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1:C11"/>
    <mergeCell ref="D11:E11"/>
    <mergeCell ref="F11:G11"/>
    <mergeCell ref="H11:I11"/>
    <mergeCell ref="J11:K11"/>
    <mergeCell ref="L11:M11"/>
    <mergeCell ref="X11:AA11"/>
    <mergeCell ref="AB11:AE11"/>
    <mergeCell ref="B10:C10"/>
    <mergeCell ref="D10:E10"/>
    <mergeCell ref="F10:G10"/>
    <mergeCell ref="H10:I10"/>
    <mergeCell ref="J10:K10"/>
    <mergeCell ref="L10:M10"/>
    <mergeCell ref="N10:O10"/>
    <mergeCell ref="P10:Q10"/>
    <mergeCell ref="R11:S11"/>
    <mergeCell ref="N11:O11"/>
    <mergeCell ref="P11:Q11"/>
    <mergeCell ref="X10:Y10"/>
    <mergeCell ref="AH12:AI12"/>
    <mergeCell ref="AJ12:AK12"/>
    <mergeCell ref="AL12:AM12"/>
    <mergeCell ref="Z10:AA10"/>
    <mergeCell ref="AB10:AC10"/>
    <mergeCell ref="AD10:AE10"/>
    <mergeCell ref="T11:U11"/>
    <mergeCell ref="L29:M29"/>
    <mergeCell ref="T30:U30"/>
    <mergeCell ref="P31:Q31"/>
    <mergeCell ref="R31:S31"/>
    <mergeCell ref="T31:U31"/>
    <mergeCell ref="X12:Y12"/>
    <mergeCell ref="X16:AA16"/>
    <mergeCell ref="X22:Y22"/>
    <mergeCell ref="AH22:AI22"/>
    <mergeCell ref="AJ22:AK22"/>
    <mergeCell ref="AL22:AM22"/>
    <mergeCell ref="Z12:AA12"/>
    <mergeCell ref="B52:C52"/>
    <mergeCell ref="B32:C32"/>
    <mergeCell ref="D32:E32"/>
    <mergeCell ref="F32:G32"/>
    <mergeCell ref="H32:I32"/>
    <mergeCell ref="J32:K32"/>
    <mergeCell ref="B30:C30"/>
    <mergeCell ref="D30:E30"/>
    <mergeCell ref="N23:O23"/>
    <mergeCell ref="D29:E29"/>
    <mergeCell ref="B31:C31"/>
    <mergeCell ref="D31:E31"/>
    <mergeCell ref="H31:I31"/>
    <mergeCell ref="H30:I30"/>
    <mergeCell ref="H37:I37"/>
    <mergeCell ref="L37:M37"/>
    <mergeCell ref="H58:I58"/>
    <mergeCell ref="J58:K58"/>
    <mergeCell ref="L58:M58"/>
    <mergeCell ref="N58:O58"/>
    <mergeCell ref="B36:C36"/>
    <mergeCell ref="D36:E36"/>
    <mergeCell ref="F36:G36"/>
    <mergeCell ref="H36:I36"/>
    <mergeCell ref="J36:K36"/>
    <mergeCell ref="L36:M36"/>
    <mergeCell ref="N36:O36"/>
    <mergeCell ref="D37:E37"/>
    <mergeCell ref="D52:E52"/>
    <mergeCell ref="F52:G52"/>
    <mergeCell ref="H52:I52"/>
    <mergeCell ref="J52:K52"/>
    <mergeCell ref="D59:E59"/>
    <mergeCell ref="H59:I59"/>
    <mergeCell ref="L59:M59"/>
    <mergeCell ref="D79:E79"/>
    <mergeCell ref="H79:I79"/>
    <mergeCell ref="L79:M79"/>
    <mergeCell ref="F61:H61"/>
    <mergeCell ref="I61:J61"/>
    <mergeCell ref="P61:R61"/>
    <mergeCell ref="D204:E204"/>
    <mergeCell ref="F204:G204"/>
    <mergeCell ref="H204:I204"/>
    <mergeCell ref="F166:H166"/>
    <mergeCell ref="I166:K166"/>
    <mergeCell ref="J184:K184"/>
    <mergeCell ref="D185:E185"/>
    <mergeCell ref="H185:I185"/>
    <mergeCell ref="D162:E162"/>
    <mergeCell ref="F162:G162"/>
    <mergeCell ref="H162:I162"/>
    <mergeCell ref="D121:E121"/>
    <mergeCell ref="H121:I121"/>
    <mergeCell ref="L121:M121"/>
    <mergeCell ref="D143:E143"/>
    <mergeCell ref="H143:I143"/>
    <mergeCell ref="L143:M143"/>
    <mergeCell ref="D142:E142"/>
    <mergeCell ref="F142:G142"/>
    <mergeCell ref="H142:I142"/>
    <mergeCell ref="F120:G120"/>
    <mergeCell ref="F78:G78"/>
    <mergeCell ref="H78:I78"/>
    <mergeCell ref="D247:E247"/>
    <mergeCell ref="N184:O184"/>
    <mergeCell ref="B162:C162"/>
    <mergeCell ref="B142:C142"/>
    <mergeCell ref="B204:C204"/>
    <mergeCell ref="D269:E269"/>
    <mergeCell ref="H269:I269"/>
    <mergeCell ref="L269:M269"/>
    <mergeCell ref="N330:O330"/>
    <mergeCell ref="F272:H272"/>
    <mergeCell ref="D330:E330"/>
    <mergeCell ref="F330:G330"/>
    <mergeCell ref="H330:I330"/>
    <mergeCell ref="D331:E331"/>
    <mergeCell ref="H331:I331"/>
    <mergeCell ref="P283:Q283"/>
    <mergeCell ref="J226:K226"/>
    <mergeCell ref="I313:J313"/>
    <mergeCell ref="P313:R313"/>
    <mergeCell ref="P311:Q311"/>
    <mergeCell ref="F313:H313"/>
    <mergeCell ref="H311:I311"/>
    <mergeCell ref="L311:M311"/>
    <mergeCell ref="D311:E311"/>
    <mergeCell ref="P268:Q268"/>
    <mergeCell ref="D289:E289"/>
    <mergeCell ref="H289:I289"/>
    <mergeCell ref="L289:M289"/>
    <mergeCell ref="P289:Q289"/>
    <mergeCell ref="P269:Q269"/>
    <mergeCell ref="P271:R271"/>
    <mergeCell ref="L197:M197"/>
    <mergeCell ref="B200:C200"/>
    <mergeCell ref="D200:E200"/>
    <mergeCell ref="F200:G200"/>
    <mergeCell ref="H200:I200"/>
    <mergeCell ref="J200:K200"/>
    <mergeCell ref="L200:M200"/>
    <mergeCell ref="N200:O200"/>
    <mergeCell ref="B199:C199"/>
    <mergeCell ref="D199:E199"/>
    <mergeCell ref="F199:G199"/>
    <mergeCell ref="B78:C78"/>
    <mergeCell ref="D78:E78"/>
    <mergeCell ref="N78:O78"/>
    <mergeCell ref="B310:C310"/>
    <mergeCell ref="D310:E310"/>
    <mergeCell ref="F310:G310"/>
    <mergeCell ref="H310:I310"/>
    <mergeCell ref="J310:K310"/>
    <mergeCell ref="L310:M310"/>
    <mergeCell ref="N310:O310"/>
    <mergeCell ref="B226:C226"/>
    <mergeCell ref="D226:E226"/>
    <mergeCell ref="F226:G226"/>
    <mergeCell ref="H226:I226"/>
    <mergeCell ref="D120:E120"/>
    <mergeCell ref="H120:I120"/>
    <mergeCell ref="J120:K120"/>
    <mergeCell ref="L120:M120"/>
    <mergeCell ref="B246:C246"/>
    <mergeCell ref="D246:E246"/>
    <mergeCell ref="F246:G246"/>
    <mergeCell ref="H288:I288"/>
    <mergeCell ref="F271:H271"/>
    <mergeCell ref="I271:J271"/>
    <mergeCell ref="I272:K272"/>
    <mergeCell ref="B283:C283"/>
    <mergeCell ref="D283:E283"/>
    <mergeCell ref="F283:G283"/>
    <mergeCell ref="H283:I283"/>
    <mergeCell ref="J283:K283"/>
    <mergeCell ref="L283:M283"/>
    <mergeCell ref="N283:O283"/>
    <mergeCell ref="B284:C284"/>
    <mergeCell ref="D284:E284"/>
    <mergeCell ref="F284:G284"/>
    <mergeCell ref="H284:I284"/>
    <mergeCell ref="J284:K284"/>
    <mergeCell ref="L284:M284"/>
    <mergeCell ref="D395:E395"/>
    <mergeCell ref="H395:I395"/>
    <mergeCell ref="L395:M395"/>
    <mergeCell ref="B394:C394"/>
    <mergeCell ref="D394:E394"/>
    <mergeCell ref="F394:G394"/>
    <mergeCell ref="H394:I394"/>
    <mergeCell ref="J394:K394"/>
    <mergeCell ref="N305:O305"/>
    <mergeCell ref="F304:G304"/>
    <mergeCell ref="H304:I304"/>
    <mergeCell ref="J304:K304"/>
    <mergeCell ref="L304:M304"/>
    <mergeCell ref="N304:O304"/>
    <mergeCell ref="B325:C325"/>
    <mergeCell ref="D325:E325"/>
    <mergeCell ref="D353:E353"/>
    <mergeCell ref="H353:I353"/>
    <mergeCell ref="L353:M353"/>
    <mergeCell ref="B372:C372"/>
    <mergeCell ref="J372:K372"/>
    <mergeCell ref="L372:M372"/>
    <mergeCell ref="F334:H334"/>
    <mergeCell ref="I334:K334"/>
    <mergeCell ref="D373:E373"/>
    <mergeCell ref="H373:I373"/>
    <mergeCell ref="L373:M373"/>
    <mergeCell ref="B288:C288"/>
    <mergeCell ref="D288:E288"/>
    <mergeCell ref="F288:G288"/>
    <mergeCell ref="B305:C305"/>
    <mergeCell ref="D305:E305"/>
    <mergeCell ref="F305:G305"/>
    <mergeCell ref="H305:I305"/>
    <mergeCell ref="J305:K305"/>
    <mergeCell ref="L305:M305"/>
    <mergeCell ref="D303:E303"/>
    <mergeCell ref="H303:I303"/>
    <mergeCell ref="L303:M303"/>
    <mergeCell ref="B304:C304"/>
    <mergeCell ref="D304:E304"/>
    <mergeCell ref="D345:E345"/>
    <mergeCell ref="H345:I345"/>
    <mergeCell ref="L345:M345"/>
    <mergeCell ref="B348:C348"/>
    <mergeCell ref="D348:E348"/>
    <mergeCell ref="F348:G348"/>
    <mergeCell ref="H348:I348"/>
    <mergeCell ref="AN16:AQ16"/>
    <mergeCell ref="X19:AQ19"/>
    <mergeCell ref="X20:AA20"/>
    <mergeCell ref="AB20:AE20"/>
    <mergeCell ref="AF20:AI20"/>
    <mergeCell ref="AJ20:AM20"/>
    <mergeCell ref="Z23:AA23"/>
    <mergeCell ref="AB23:AC23"/>
    <mergeCell ref="AD23:AE23"/>
    <mergeCell ref="AF23:AG23"/>
    <mergeCell ref="AH23:AI23"/>
    <mergeCell ref="AJ23:AK23"/>
    <mergeCell ref="AL23:AM23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F22:AG22"/>
    <mergeCell ref="AB16:AE16"/>
    <mergeCell ref="AB22:AC22"/>
    <mergeCell ref="AD22:AE22"/>
    <mergeCell ref="Z22:AA22"/>
    <mergeCell ref="X23:Y23"/>
    <mergeCell ref="L52:M52"/>
    <mergeCell ref="N52:O52"/>
    <mergeCell ref="P52:Q52"/>
    <mergeCell ref="R52:S52"/>
    <mergeCell ref="T52:U52"/>
    <mergeCell ref="AN20:AQ20"/>
    <mergeCell ref="AN21:AO21"/>
    <mergeCell ref="AP21:AQ21"/>
    <mergeCell ref="AN22:AO22"/>
    <mergeCell ref="AP22:AQ22"/>
    <mergeCell ref="AN23:AO23"/>
    <mergeCell ref="AP23:AQ23"/>
    <mergeCell ref="D51:E51"/>
    <mergeCell ref="H51:I51"/>
    <mergeCell ref="L51:M51"/>
    <mergeCell ref="P51:Q51"/>
    <mergeCell ref="F31:G31"/>
    <mergeCell ref="R32:S32"/>
    <mergeCell ref="T32:U32"/>
    <mergeCell ref="H29:I29"/>
    <mergeCell ref="F20:H20"/>
    <mergeCell ref="N22:O22"/>
    <mergeCell ref="J31:K31"/>
    <mergeCell ref="L31:M31"/>
    <mergeCell ref="N31:O31"/>
    <mergeCell ref="R30:S30"/>
    <mergeCell ref="J30:K30"/>
    <mergeCell ref="L30:M30"/>
    <mergeCell ref="N30:O30"/>
    <mergeCell ref="P30:Q30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T74:U74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S82:U82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P79:Q79"/>
    <mergeCell ref="P78:Q78"/>
    <mergeCell ref="J78:K78"/>
    <mergeCell ref="L78:M78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S124:U124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P120:Q120"/>
    <mergeCell ref="B120:C120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P162:Q162"/>
    <mergeCell ref="S166:U166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B184:C184"/>
    <mergeCell ref="D197:E197"/>
    <mergeCell ref="H197:I197"/>
    <mergeCell ref="H199:I199"/>
    <mergeCell ref="J199:K199"/>
    <mergeCell ref="L199:M199"/>
    <mergeCell ref="N199:O199"/>
    <mergeCell ref="P199:Q199"/>
    <mergeCell ref="R199:S199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D205:E205"/>
    <mergeCell ref="P208:R208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D227:E227"/>
    <mergeCell ref="H227:I227"/>
    <mergeCell ref="L227:M227"/>
    <mergeCell ref="P226:Q226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T264:U264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1:T271"/>
    <mergeCell ref="J268:K268"/>
    <mergeCell ref="L268:M268"/>
    <mergeCell ref="N268:O268"/>
    <mergeCell ref="B268:C268"/>
    <mergeCell ref="D268:E268"/>
    <mergeCell ref="F268:G268"/>
    <mergeCell ref="H268:I268"/>
    <mergeCell ref="N325:O325"/>
    <mergeCell ref="P325:Q325"/>
    <mergeCell ref="R325:S325"/>
    <mergeCell ref="T306:U306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10:Q310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B330:C330"/>
    <mergeCell ref="J330:K330"/>
    <mergeCell ref="L330:M330"/>
    <mergeCell ref="J348:K348"/>
    <mergeCell ref="L348:M348"/>
    <mergeCell ref="N348:O348"/>
    <mergeCell ref="P348:Q348"/>
    <mergeCell ref="R348:S348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T368:U368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S376:U376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N372:O372"/>
    <mergeCell ref="P373:Q373"/>
    <mergeCell ref="D372:E372"/>
    <mergeCell ref="F372:G372"/>
    <mergeCell ref="H372:I372"/>
    <mergeCell ref="S375:T375"/>
    <mergeCell ref="I376:K37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P376:R376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15:C415"/>
    <mergeCell ref="F415:G415"/>
    <mergeCell ref="J415:K415"/>
    <mergeCell ref="N415:O415"/>
    <mergeCell ref="S418:U418"/>
    <mergeCell ref="D415:E415"/>
    <mergeCell ref="H415:I415"/>
    <mergeCell ref="L415:M415"/>
    <mergeCell ref="P415:Q415"/>
    <mergeCell ref="D429:E429"/>
    <mergeCell ref="H429:I429"/>
    <mergeCell ref="L429:M429"/>
    <mergeCell ref="T432:U432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B494:C494"/>
    <mergeCell ref="D494:E494"/>
    <mergeCell ref="F494:G494"/>
    <mergeCell ref="H494:I494"/>
    <mergeCell ref="J494:K494"/>
    <mergeCell ref="L494:M494"/>
    <mergeCell ref="F501:H501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I501:J501"/>
    <mergeCell ref="P501:R50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D563:E563"/>
    <mergeCell ref="H563:I563"/>
    <mergeCell ref="B563:C563"/>
    <mergeCell ref="F563:G563"/>
    <mergeCell ref="J563:K563"/>
    <mergeCell ref="N563:O563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D605:E605"/>
    <mergeCell ref="H605:I605"/>
    <mergeCell ref="L605:M605"/>
    <mergeCell ref="P605:Q605"/>
    <mergeCell ref="B605:C605"/>
    <mergeCell ref="F605:G605"/>
    <mergeCell ref="J605:K605"/>
    <mergeCell ref="N605:O605"/>
    <mergeCell ref="R620:S620"/>
    <mergeCell ref="F627:H627"/>
    <mergeCell ref="I627:J627"/>
    <mergeCell ref="P627:R627"/>
    <mergeCell ref="S627:T627"/>
    <mergeCell ref="F628:H628"/>
    <mergeCell ref="I628:K628"/>
    <mergeCell ref="P628:R62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D625:E625"/>
    <mergeCell ref="H625:I625"/>
    <mergeCell ref="L625:M625"/>
    <mergeCell ref="P625:Q625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61:C661"/>
    <mergeCell ref="D661:E661"/>
    <mergeCell ref="F661:G661"/>
    <mergeCell ref="H661:I661"/>
    <mergeCell ref="J661:K661"/>
    <mergeCell ref="L661:M661"/>
    <mergeCell ref="N661:O66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D647:E647"/>
    <mergeCell ref="H647:I647"/>
    <mergeCell ref="L647:M647"/>
    <mergeCell ref="P647:Q647"/>
    <mergeCell ref="B647:C647"/>
    <mergeCell ref="F647:G647"/>
    <mergeCell ref="J647:K647"/>
    <mergeCell ref="D659:E659"/>
    <mergeCell ref="H659:I659"/>
    <mergeCell ref="L659:M659"/>
    <mergeCell ref="P659:Q659"/>
    <mergeCell ref="B660:C660"/>
    <mergeCell ref="B646:C646"/>
    <mergeCell ref="D646:E646"/>
    <mergeCell ref="F646:G646"/>
    <mergeCell ref="H646:I646"/>
    <mergeCell ref="S188:U188"/>
    <mergeCell ref="S208:U208"/>
    <mergeCell ref="S230:U230"/>
    <mergeCell ref="S250:U250"/>
    <mergeCell ref="S272:U272"/>
    <mergeCell ref="S292:U292"/>
    <mergeCell ref="S314:U314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topLeftCell="A98"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2">
        <f>'SV777-1 (SV004)'!B17</f>
        <v>0</v>
      </c>
      <c r="D4" s="1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2">
        <f>'SV777-1 (SV004)'!F17</f>
        <v>0</v>
      </c>
      <c r="D5" s="1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2">
        <f>'SV777-1 (SV004)'!J17</f>
        <v>0</v>
      </c>
      <c r="D6" s="1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2">
        <f>'SV777-1 (SV004)'!N17</f>
        <v>0</v>
      </c>
      <c r="D7" s="1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2" t="e">
        <f>'SV777-1 (SV004)'!#REF!</f>
        <v>#REF!</v>
      </c>
      <c r="D8" s="1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2" t="e">
        <f>'SV777-1 (SV004)'!#REF!</f>
        <v>#REF!</v>
      </c>
      <c r="D9" s="1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2" t="e">
        <f>'SV777-1 (SV004)'!#REF!</f>
        <v>#REF!</v>
      </c>
      <c r="D10" s="1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2" t="e">
        <f>'SV777-1 (SV004)'!#REF!</f>
        <v>#REF!</v>
      </c>
      <c r="D11" s="1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2" t="e">
        <f>'SV777-1 (SV004)'!#REF!</f>
        <v>#REF!</v>
      </c>
      <c r="D13" s="1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2" t="e">
        <f>'SV777-1 (SV004)'!#REF!</f>
        <v>#REF!</v>
      </c>
      <c r="D14" s="1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2" t="e">
        <f>'SV777-1 (SV004)'!#REF!</f>
        <v>#REF!</v>
      </c>
      <c r="D15" s="1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2" t="e">
        <f>'SV777-1 (SV004)'!#REF!</f>
        <v>#REF!</v>
      </c>
      <c r="D16" s="1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2" t="e">
        <f>'SV777-1 (SV004)'!#REF!</f>
        <v>#REF!</v>
      </c>
      <c r="D17" s="1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2" t="e">
        <f>'SV777-1 (SV004)'!#REF!</f>
        <v>#REF!</v>
      </c>
      <c r="D18" s="1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2" t="e">
        <f>'SV777-1 (SV004)'!#REF!</f>
        <v>#REF!</v>
      </c>
      <c r="D19" s="1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2" t="e">
        <f>'SV777-1 (SV004)'!#REF!</f>
        <v>#REF!</v>
      </c>
      <c r="D20" s="1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e">
        <f>IF('SV777-1 (SV004)'!#REF!&lt;1,"резерв",'SV777-1 (SV004)'!#REF!)</f>
        <v>#REF!</v>
      </c>
      <c r="C22" s="2" t="e">
        <f>'SV777-1 (SV004)'!#REF!</f>
        <v>#REF!</v>
      </c>
      <c r="D22" s="1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2" t="e">
        <f>'SV777-1 (SV004)'!#REF!</f>
        <v>#REF!</v>
      </c>
      <c r="D23" s="1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2" t="e">
        <f>'SV777-1 (SV004)'!#REF!</f>
        <v>#REF!</v>
      </c>
      <c r="D24" s="1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2" t="e">
        <f>'SV777-1 (SV004)'!#REF!</f>
        <v>#REF!</v>
      </c>
      <c r="D25" s="1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2" t="e">
        <f>'SV777-1 (SV004)'!#REF!</f>
        <v>#REF!</v>
      </c>
      <c r="D26" s="1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2" t="e">
        <f>'SV777-1 (SV004)'!#REF!</f>
        <v>#REF!</v>
      </c>
      <c r="D27" s="1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2" t="e">
        <f>'SV777-1 (SV004)'!#REF!</f>
        <v>#REF!</v>
      </c>
      <c r="D28" s="1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2" t="e">
        <f>'SV777-1 (SV004)'!#REF!</f>
        <v>#REF!</v>
      </c>
      <c r="D29" s="1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e">
        <f>IF('SV777-1 (SV004)'!#REF!&lt;1,"резерв",'SV777-1 (SV004)'!#REF!)</f>
        <v>#REF!</v>
      </c>
      <c r="C31" s="2" t="e">
        <f>'SV777-1 (SV004)'!#REF!</f>
        <v>#REF!</v>
      </c>
      <c r="D31" s="1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2" t="e">
        <f>'SV777-1 (SV004)'!#REF!</f>
        <v>#REF!</v>
      </c>
      <c r="D32" s="1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2" t="e">
        <f>'SV777-1 (SV004)'!#REF!</f>
        <v>#REF!</v>
      </c>
      <c r="D33" s="1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2" t="e">
        <f>'SV777-1 (SV004)'!#REF!</f>
        <v>#REF!</v>
      </c>
      <c r="D34" s="1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2" t="e">
        <f>'SV777-1 (SV004)'!#REF!</f>
        <v>#REF!</v>
      </c>
      <c r="D35" s="1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2" t="e">
        <f>'SV777-1 (SV004)'!#REF!</f>
        <v>#REF!</v>
      </c>
      <c r="D36" s="1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2" t="e">
        <f>'SV777-1 (SV004)'!#REF!</f>
        <v>#REF!</v>
      </c>
      <c r="D37" s="1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2" t="e">
        <f>'SV777-1 (SV004)'!#REF!</f>
        <v>#REF!</v>
      </c>
      <c r="D38" s="1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e">
        <f>IF('SV777-1 (SV004)'!#REF!&lt;1,"резерв",'SV777-1 (SV004)'!#REF!)</f>
        <v>#REF!</v>
      </c>
      <c r="C40" s="2" t="e">
        <f>'SV777-1 (SV004)'!#REF!</f>
        <v>#REF!</v>
      </c>
      <c r="D40" s="1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2" t="e">
        <f>'SV777-1 (SV004)'!#REF!</f>
        <v>#REF!</v>
      </c>
      <c r="D41" s="1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2" t="e">
        <f>'SV777-1 (SV004)'!#REF!</f>
        <v>#REF!</v>
      </c>
      <c r="D42" s="1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2" t="e">
        <f>'SV777-1 (SV004)'!#REF!</f>
        <v>#REF!</v>
      </c>
      <c r="D43" s="1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2" t="e">
        <f>'SV777-1 (SV004)'!#REF!</f>
        <v>#REF!</v>
      </c>
      <c r="D44" s="1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2" t="e">
        <f>'SV777-1 (SV004)'!#REF!</f>
        <v>#REF!</v>
      </c>
      <c r="D45" s="1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2" t="e">
        <f>'SV777-1 (SV004)'!#REF!</f>
        <v>#REF!</v>
      </c>
      <c r="D46" s="1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2" t="e">
        <f>'SV777-1 (SV004)'!#REF!</f>
        <v>#REF!</v>
      </c>
      <c r="D47" s="1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2" t="e">
        <f>'SV777-1 (SV004)'!#REF!</f>
        <v>#REF!</v>
      </c>
      <c r="D49" s="1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2" t="e">
        <f>'SV777-1 (SV004)'!#REF!</f>
        <v>#REF!</v>
      </c>
      <c r="D50" s="1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2" t="e">
        <f>'SV777-1 (SV004)'!#REF!</f>
        <v>#REF!</v>
      </c>
      <c r="D51" s="1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2" t="e">
        <f>'SV777-1 (SV004)'!#REF!</f>
        <v>#REF!</v>
      </c>
      <c r="D52" s="1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2" t="e">
        <f>'SV777-1 (SV004)'!#REF!</f>
        <v>#REF!</v>
      </c>
      <c r="D53" s="1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2" t="e">
        <f>'SV777-1 (SV004)'!#REF!</f>
        <v>#REF!</v>
      </c>
      <c r="D54" s="1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2" t="e">
        <f>'SV777-1 (SV004)'!#REF!</f>
        <v>#REF!</v>
      </c>
      <c r="D55" s="1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2" t="e">
        <f>'SV777-1 (SV004)'!#REF!</f>
        <v>#REF!</v>
      </c>
      <c r="D56" s="1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2" t="e">
        <f>'SV777-1 (SV004)'!#REF!</f>
        <v>#REF!</v>
      </c>
      <c r="D58" s="1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2" t="e">
        <f>'SV777-1 (SV004)'!#REF!</f>
        <v>#REF!</v>
      </c>
      <c r="D59" s="1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2" t="e">
        <f>'SV777-1 (SV004)'!#REF!</f>
        <v>#REF!</v>
      </c>
      <c r="D60" s="1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2" t="e">
        <f>'SV777-1 (SV004)'!#REF!</f>
        <v>#REF!</v>
      </c>
      <c r="D61" s="1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2" t="e">
        <f>'SV777-1 (SV004)'!#REF!</f>
        <v>#REF!</v>
      </c>
      <c r="D62" s="1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2" t="e">
        <f>'SV777-1 (SV004)'!#REF!</f>
        <v>#REF!</v>
      </c>
      <c r="D63" s="1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2" t="e">
        <f>'SV777-1 (SV004)'!#REF!</f>
        <v>#REF!</v>
      </c>
      <c r="D64" s="1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2" t="e">
        <f>'SV777-1 (SV004)'!#REF!</f>
        <v>#REF!</v>
      </c>
      <c r="D65" s="1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2" t="e">
        <f>'SV777-1 (SV004)'!#REF!</f>
        <v>#REF!</v>
      </c>
      <c r="D67" s="1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2" t="e">
        <f>'SV777-1 (SV004)'!#REF!</f>
        <v>#REF!</v>
      </c>
      <c r="D68" s="1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2" t="e">
        <f>'SV777-1 (SV004)'!#REF!</f>
        <v>#REF!</v>
      </c>
      <c r="D69" s="1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2" t="e">
        <f>'SV777-1 (SV004)'!#REF!</f>
        <v>#REF!</v>
      </c>
      <c r="D70" s="1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2" t="e">
        <f>'SV777-1 (SV004)'!#REF!</f>
        <v>#REF!</v>
      </c>
      <c r="D71" s="1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2" t="e">
        <f>'SV777-1 (SV004)'!#REF!</f>
        <v>#REF!</v>
      </c>
      <c r="D72" s="1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2" t="e">
        <f>'SV777-1 (SV004)'!#REF!</f>
        <v>#REF!</v>
      </c>
      <c r="D73" s="1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2" t="e">
        <f>'SV777-1 (SV004)'!#REF!</f>
        <v>#REF!</v>
      </c>
      <c r="D74" s="1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2" t="e">
        <f>'SV777-1 (SV004)'!#REF!</f>
        <v>#REF!</v>
      </c>
      <c r="D76" s="1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2" t="e">
        <f>'SV777-1 (SV004)'!#REF!</f>
        <v>#REF!</v>
      </c>
      <c r="D77" s="1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2" t="e">
        <f>'SV777-1 (SV004)'!#REF!</f>
        <v>#REF!</v>
      </c>
      <c r="D78" s="1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2" t="e">
        <f>'SV777-1 (SV004)'!#REF!</f>
        <v>#REF!</v>
      </c>
      <c r="D79" s="1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2" t="e">
        <f>'SV777-1 (SV004)'!#REF!</f>
        <v>#REF!</v>
      </c>
      <c r="D80" s="1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2" t="e">
        <f>'SV777-1 (SV004)'!#REF!</f>
        <v>#REF!</v>
      </c>
      <c r="D81" s="1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2" t="e">
        <f>'SV777-1 (SV004)'!#REF!</f>
        <v>#REF!</v>
      </c>
      <c r="D82" s="1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2" t="e">
        <f>'SV777-1 (SV004)'!#REF!</f>
        <v>#REF!</v>
      </c>
      <c r="D83" s="1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2" t="e">
        <f>'SV777-1 (SV004)'!#REF!</f>
        <v>#REF!</v>
      </c>
      <c r="D85" s="1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2" t="e">
        <f>'SV777-1 (SV004)'!#REF!</f>
        <v>#REF!</v>
      </c>
      <c r="D86" s="1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2" t="e">
        <f>'SV777-1 (SV004)'!#REF!</f>
        <v>#REF!</v>
      </c>
      <c r="D87" s="1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2" t="e">
        <f>'SV777-1 (SV004)'!#REF!</f>
        <v>#REF!</v>
      </c>
      <c r="D88" s="1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2" t="e">
        <f>'SV777-1 (SV004)'!#REF!</f>
        <v>#REF!</v>
      </c>
      <c r="D89" s="1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2" t="e">
        <f>'SV777-1 (SV004)'!#REF!</f>
        <v>#REF!</v>
      </c>
      <c r="D90" s="1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2" t="e">
        <f>'SV777-1 (SV004)'!#REF!</f>
        <v>#REF!</v>
      </c>
      <c r="D91" s="1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2" t="e">
        <f>'SV777-1 (SV004)'!#REF!</f>
        <v>#REF!</v>
      </c>
      <c r="D92" s="1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2" t="e">
        <f>'SV777-1 (SV004)'!#REF!</f>
        <v>#REF!</v>
      </c>
      <c r="D94" s="1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2" t="e">
        <f>'SV777-1 (SV004)'!#REF!</f>
        <v>#REF!</v>
      </c>
      <c r="D95" s="1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2" t="e">
        <f>'SV777-1 (SV004)'!#REF!</f>
        <v>#REF!</v>
      </c>
      <c r="D96" s="1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2" t="e">
        <f>'SV777-1 (SV004)'!#REF!</f>
        <v>#REF!</v>
      </c>
      <c r="D97" s="1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2" t="e">
        <f>'SV777-1 (SV004)'!#REF!</f>
        <v>#REF!</v>
      </c>
      <c r="D98" s="1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2" t="e">
        <f>'SV777-1 (SV004)'!#REF!</f>
        <v>#REF!</v>
      </c>
      <c r="D99" s="1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2" t="e">
        <f>'SV777-1 (SV004)'!#REF!</f>
        <v>#REF!</v>
      </c>
      <c r="D100" s="1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2" t="e">
        <f>'SV777-1 (SV004)'!#REF!</f>
        <v>#REF!</v>
      </c>
      <c r="D101" s="1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2" t="e">
        <f>'SV777-1 (SV004)'!#REF!</f>
        <v>#REF!</v>
      </c>
      <c r="D103" s="1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2" t="e">
        <f>'SV777-1 (SV004)'!#REF!</f>
        <v>#REF!</v>
      </c>
      <c r="D104" s="1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2" t="e">
        <f>'SV777-1 (SV004)'!#REF!</f>
        <v>#REF!</v>
      </c>
      <c r="D105" s="1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2" t="e">
        <f>'SV777-1 (SV004)'!#REF!</f>
        <v>#REF!</v>
      </c>
      <c r="D106" s="1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2" t="e">
        <f>'SV777-1 (SV004)'!#REF!</f>
        <v>#REF!</v>
      </c>
      <c r="D107" s="1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2" t="e">
        <f>'SV777-1 (SV004)'!#REF!</f>
        <v>#REF!</v>
      </c>
      <c r="D108" s="1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2" t="e">
        <f>'SV777-1 (SV004)'!#REF!</f>
        <v>#REF!</v>
      </c>
      <c r="D109" s="1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2" t="e">
        <f>'SV777-1 (SV004)'!#REF!</f>
        <v>#REF!</v>
      </c>
      <c r="D110" s="1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2" t="e">
        <f>'SV777-1 (SV004)'!#REF!</f>
        <v>#REF!</v>
      </c>
      <c r="D112" s="1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2" t="e">
        <f>'SV777-1 (SV004)'!#REF!</f>
        <v>#REF!</v>
      </c>
      <c r="D113" s="1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2" t="e">
        <f>'SV777-1 (SV004)'!#REF!</f>
        <v>#REF!</v>
      </c>
      <c r="D114" s="1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2" t="e">
        <f>'SV777-1 (SV004)'!#REF!</f>
        <v>#REF!</v>
      </c>
      <c r="D115" s="1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2" t="e">
        <f>'SV777-1 (SV004)'!#REF!</f>
        <v>#REF!</v>
      </c>
      <c r="D116" s="1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2" t="e">
        <f>'SV777-1 (SV004)'!#REF!</f>
        <v>#REF!</v>
      </c>
      <c r="D117" s="1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2" t="e">
        <f>'SV777-1 (SV004)'!#REF!</f>
        <v>#REF!</v>
      </c>
      <c r="D118" s="1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2" t="e">
        <f>'SV777-1 (SV004)'!#REF!</f>
        <v>#REF!</v>
      </c>
      <c r="D119" s="1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2" t="e">
        <f>'SV777-1 (SV004)'!#REF!</f>
        <v>#REF!</v>
      </c>
      <c r="D121" s="1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2" t="e">
        <f>'SV777-1 (SV004)'!#REF!</f>
        <v>#REF!</v>
      </c>
      <c r="D122" s="1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2" t="e">
        <f>'SV777-1 (SV004)'!#REF!</f>
        <v>#REF!</v>
      </c>
      <c r="D123" s="1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2" t="e">
        <f>'SV777-1 (SV004)'!#REF!</f>
        <v>#REF!</v>
      </c>
      <c r="D124" s="1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2" t="e">
        <f>'SV777-1 (SV004)'!#REF!</f>
        <v>#REF!</v>
      </c>
      <c r="D125" s="1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2" t="e">
        <f>'SV777-1 (SV004)'!#REF!</f>
        <v>#REF!</v>
      </c>
      <c r="D126" s="1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2" t="e">
        <f>'SV777-1 (SV004)'!#REF!</f>
        <v>#REF!</v>
      </c>
      <c r="D127" s="1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2" t="e">
        <f>'SV777-1 (SV004)'!#REF!</f>
        <v>#REF!</v>
      </c>
      <c r="D128" s="1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2" t="e">
        <f>'SV777-1 (SV004)'!#REF!</f>
        <v>#REF!</v>
      </c>
      <c r="D130" s="1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2" t="e">
        <f>'SV777-1 (SV004)'!#REF!</f>
        <v>#REF!</v>
      </c>
      <c r="D131" s="1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2" t="e">
        <f>'SV777-1 (SV004)'!#REF!</f>
        <v>#REF!</v>
      </c>
      <c r="D132" s="1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2" t="e">
        <f>'SV777-1 (SV004)'!#REF!</f>
        <v>#REF!</v>
      </c>
      <c r="D133" s="1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2" t="e">
        <f>'SV777-1 (SV004)'!#REF!</f>
        <v>#REF!</v>
      </c>
      <c r="D134" s="1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2" t="e">
        <f>'SV777-1 (SV004)'!#REF!</f>
        <v>#REF!</v>
      </c>
      <c r="D135" s="1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2" t="e">
        <f>'SV777-1 (SV004)'!#REF!</f>
        <v>#REF!</v>
      </c>
      <c r="D136" s="1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2" t="e">
        <f>'SV777-1 (SV004)'!#REF!</f>
        <v>#REF!</v>
      </c>
      <c r="D137" s="1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2" t="e">
        <f>'SV777-1 (SV004)'!#REF!</f>
        <v>#REF!</v>
      </c>
      <c r="D139" s="1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2" t="e">
        <f>'SV777-1 (SV004)'!#REF!</f>
        <v>#REF!</v>
      </c>
      <c r="D140" s="1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2" t="e">
        <f>'SV777-1 (SV004)'!#REF!</f>
        <v>#REF!</v>
      </c>
      <c r="D141" s="1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2" t="e">
        <f>'SV777-1 (SV004)'!#REF!</f>
        <v>#REF!</v>
      </c>
      <c r="D142" s="1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2" t="e">
        <f>'SV777-1 (SV004)'!#REF!</f>
        <v>#REF!</v>
      </c>
      <c r="D143" s="1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2" t="e">
        <f>'SV777-1 (SV004)'!#REF!</f>
        <v>#REF!</v>
      </c>
      <c r="D144" s="1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2" t="e">
        <f>'SV777-1 (SV004)'!#REF!</f>
        <v>#REF!</v>
      </c>
      <c r="D145" s="1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2" t="e">
        <f>'SV777-1 (SV004)'!#REF!</f>
        <v>#REF!</v>
      </c>
      <c r="D146" s="1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2"/>
      <c r="D147" s="1"/>
    </row>
    <row r="148" spans="1:5" hidden="1" x14ac:dyDescent="0.25">
      <c r="C148" s="2"/>
      <c r="D148" s="1"/>
    </row>
    <row r="149" spans="1:5" hidden="1" x14ac:dyDescent="0.25">
      <c r="C149" s="2"/>
      <c r="D149" s="1"/>
    </row>
    <row r="150" spans="1:5" hidden="1" x14ac:dyDescent="0.25">
      <c r="C150" s="2"/>
      <c r="D150" s="1"/>
    </row>
    <row r="151" spans="1:5" hidden="1" x14ac:dyDescent="0.25">
      <c r="C151" s="2"/>
      <c r="D151" s="1"/>
    </row>
    <row r="152" spans="1:5" x14ac:dyDescent="0.25">
      <c r="C152" s="2"/>
      <c r="D152" s="1"/>
    </row>
    <row r="153" spans="1:5" x14ac:dyDescent="0.25">
      <c r="C153" s="2"/>
      <c r="D153" s="1"/>
    </row>
    <row r="154" spans="1:5" x14ac:dyDescent="0.25">
      <c r="C154" s="2"/>
      <c r="D154" s="1"/>
    </row>
    <row r="180" spans="3:5" x14ac:dyDescent="0.25">
      <c r="C180" s="2"/>
      <c r="D180" s="1"/>
      <c r="E180" t="str">
        <f>IF('SV777-1 (SV004)'!D30&lt;1,"","ШЛ."&amp;'SV777-1 (SV004)'!D30)</f>
        <v>ШЛ.к SV 004*</v>
      </c>
    </row>
    <row r="181" spans="3:5" x14ac:dyDescent="0.25">
      <c r="C181" s="2"/>
      <c r="D181" s="1"/>
      <c r="E181" t="str">
        <f>IF('SV777-1 (SV004)'!H30&lt;1,"","ШЛ."&amp;'SV777-1 (SV004)'!H30)</f>
        <v>ШЛ.к SV 004*</v>
      </c>
    </row>
    <row r="182" spans="3:5" x14ac:dyDescent="0.25">
      <c r="C182" s="2"/>
      <c r="D182" s="1"/>
      <c r="E182" t="str">
        <f>IF('SV777-1 (SV004)'!L30&lt;1,"","ШЛ."&amp;'SV777-1 (SV004)'!L30)</f>
        <v>ШЛ.к SV 004*</v>
      </c>
    </row>
    <row r="183" spans="3:5" x14ac:dyDescent="0.25">
      <c r="C183" s="2"/>
      <c r="D183" s="1"/>
      <c r="E183" t="str">
        <f>IF('SV777-1 (SV004)'!P30&lt;1,"","ШЛ."&amp;'SV777-1 (SV004)'!P30)</f>
        <v>ШЛ.к SV 004*</v>
      </c>
    </row>
    <row r="184" spans="3:5" x14ac:dyDescent="0.25">
      <c r="C184" s="2"/>
      <c r="D184" s="1"/>
      <c r="E184" t="str">
        <f>IF('SV777-1 (SV004)'!D49&lt;1,"","ШЛ."&amp;'SV777-1 (SV004)'!D49)</f>
        <v>ШЛ.1</v>
      </c>
    </row>
    <row r="185" spans="3:5" x14ac:dyDescent="0.25">
      <c r="C185" s="2"/>
      <c r="D185" s="1"/>
      <c r="E185" t="str">
        <f>IF('SV777-1 (SV004)'!H49&lt;1,"","ШЛ."&amp;'SV777-1 (SV004)'!H49)</f>
        <v>ШЛ.2</v>
      </c>
    </row>
    <row r="186" spans="3:5" x14ac:dyDescent="0.25">
      <c r="C186" s="2"/>
      <c r="D186" s="1"/>
      <c r="E186" t="str">
        <f>IF('SV777-1 (SV004)'!L49&lt;1,"","ШЛ."&amp;'SV777-1 (SV004)'!L49)</f>
        <v>ШЛ.3</v>
      </c>
    </row>
    <row r="187" spans="3:5" x14ac:dyDescent="0.25">
      <c r="C187" s="2"/>
      <c r="D187" s="1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64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2">
        <f>'SV777-2 (SV004)'!B17</f>
        <v>0</v>
      </c>
      <c r="D4" s="1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2" t="str">
        <f>'SV777-2 (SV004)'!F17</f>
        <v/>
      </c>
      <c r="D5" s="1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2" t="str">
        <f>'SV777-2 (SV004)'!J17</f>
        <v/>
      </c>
      <c r="D6" s="1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2" t="str">
        <f>'SV777-2 (SV004)'!N17</f>
        <v/>
      </c>
      <c r="D7" s="1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2" t="str">
        <f>'SV777-2 (SV004)'!B37</f>
        <v/>
      </c>
      <c r="D8" s="1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2" t="str">
        <f>'SV777-2 (SV004)'!F37</f>
        <v/>
      </c>
      <c r="D9" s="1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2" t="str">
        <f>'SV777-2 (SV004)'!J37</f>
        <v/>
      </c>
      <c r="D10" s="1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2" t="str">
        <f>'SV777-2 (SV004)'!N37</f>
        <v/>
      </c>
      <c r="D11" s="1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2" t="str">
        <f>'SV777-2 (SV004)'!B59</f>
        <v/>
      </c>
      <c r="D13" s="1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2" t="str">
        <f>'SV777-2 (SV004)'!F59</f>
        <v/>
      </c>
      <c r="D14" s="1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2" t="str">
        <f>'SV777-2 (SV004)'!J59</f>
        <v/>
      </c>
      <c r="D15" s="1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2" t="str">
        <f>'SV777-2 (SV004)'!N59</f>
        <v/>
      </c>
      <c r="D16" s="1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2" t="str">
        <f>'SV777-2 (SV004)'!B79</f>
        <v/>
      </c>
      <c r="D17" s="1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2" t="str">
        <f>'SV777-2 (SV004)'!F79</f>
        <v/>
      </c>
      <c r="D18" s="1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2" t="str">
        <f>'SV777-2 (SV004)'!J79</f>
        <v/>
      </c>
      <c r="D19" s="1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2" t="str">
        <f>'SV777-2 (SV004)'!N79</f>
        <v/>
      </c>
      <c r="D20" s="1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2" t="str">
        <f>'SV777-2 (SV004)'!B101</f>
        <v/>
      </c>
      <c r="D22" s="1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2" t="str">
        <f>'SV777-2 (SV004)'!F101</f>
        <v/>
      </c>
      <c r="D23" s="1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2" t="str">
        <f>'SV777-2 (SV004)'!J101</f>
        <v/>
      </c>
      <c r="D24" s="1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2" t="str">
        <f>'SV777-2 (SV004)'!N101</f>
        <v/>
      </c>
      <c r="D25" s="1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2" t="str">
        <f>'SV777-2 (SV004)'!B121</f>
        <v/>
      </c>
      <c r="D26" s="1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2" t="str">
        <f>'SV777-2 (SV004)'!F121</f>
        <v/>
      </c>
      <c r="D27" s="1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2" t="str">
        <f>'SV777-2 (SV004)'!J121</f>
        <v/>
      </c>
      <c r="D28" s="1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2" t="str">
        <f>'SV777-2 (SV004)'!N121</f>
        <v/>
      </c>
      <c r="D29" s="1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2" t="str">
        <f>'SV777-2 (SV004)'!B143</f>
        <v/>
      </c>
      <c r="D31" s="1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2" t="str">
        <f>'SV777-2 (SV004)'!F143</f>
        <v/>
      </c>
      <c r="D32" s="1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2" t="str">
        <f>'SV777-2 (SV004)'!J143</f>
        <v/>
      </c>
      <c r="D33" s="1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2" t="str">
        <f>'SV777-2 (SV004)'!N143</f>
        <v/>
      </c>
      <c r="D34" s="1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2" t="str">
        <f>'SV777-2 (SV004)'!B163</f>
        <v/>
      </c>
      <c r="D35" s="1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2" t="str">
        <f>'SV777-2 (SV004)'!F163</f>
        <v/>
      </c>
      <c r="D36" s="1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2" t="str">
        <f>'SV777-2 (SV004)'!J163</f>
        <v/>
      </c>
      <c r="D37" s="1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2" t="str">
        <f>'SV777-2 (SV004)'!N163</f>
        <v/>
      </c>
      <c r="D38" s="1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62</v>
      </c>
      <c r="C39" s="2"/>
      <c r="D39" s="1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2" t="str">
        <f>'SV777-2 (SV004)'!B185</f>
        <v/>
      </c>
      <c r="D40" s="1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2" t="str">
        <f>'SV777-2 (SV004)'!F185</f>
        <v/>
      </c>
      <c r="D41" s="1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2" t="str">
        <f>'SV777-2 (SV004)'!J185</f>
        <v/>
      </c>
      <c r="D42" s="1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2" t="str">
        <f>'SV777-2 (SV004)'!N185</f>
        <v/>
      </c>
      <c r="D43" s="1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2" t="str">
        <f>'SV777-2 (SV004)'!B205</f>
        <v/>
      </c>
      <c r="D44" s="1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2" t="str">
        <f>'SV777-2 (SV004)'!F205</f>
        <v/>
      </c>
      <c r="D45" s="1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2" t="str">
        <f>'SV777-2 (SV004)'!J205</f>
        <v/>
      </c>
      <c r="D46" s="1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2" t="str">
        <f>'SV777-2 (SV004)'!N205</f>
        <v/>
      </c>
      <c r="D47" s="1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2" t="str">
        <f>'SV777-2 (SV004)'!B227</f>
        <v/>
      </c>
      <c r="D49" s="1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2" t="str">
        <f>'SV777-2 (SV004)'!F227</f>
        <v/>
      </c>
      <c r="D50" s="1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2" t="str">
        <f>'SV777-2 (SV004)'!J227</f>
        <v/>
      </c>
      <c r="D51" s="1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2" t="str">
        <f>'SV777-2 (SV004)'!N227</f>
        <v/>
      </c>
      <c r="D52" s="1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2" t="str">
        <f>'SV777-2 (SV004)'!B247</f>
        <v/>
      </c>
      <c r="D53" s="1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2" t="str">
        <f>'SV777-2 (SV004)'!F247</f>
        <v/>
      </c>
      <c r="D54" s="1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2" t="str">
        <f>'SV777-2 (SV004)'!J247</f>
        <v/>
      </c>
      <c r="D55" s="1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2" t="str">
        <f>'SV777-2 (SV004)'!N247</f>
        <v/>
      </c>
      <c r="D56" s="1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63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2" t="str">
        <f>'SV777-2 (SV004)'!B269</f>
        <v/>
      </c>
      <c r="D58" s="1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2" t="str">
        <f>'SV777-2 (SV004)'!F269</f>
        <v/>
      </c>
      <c r="D59" s="1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2" t="str">
        <f>'SV777-2 (SV004)'!J269</f>
        <v/>
      </c>
      <c r="D60" s="1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2" t="str">
        <f>'SV777-2 (SV004)'!N269</f>
        <v/>
      </c>
      <c r="D61" s="1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2" t="str">
        <f>'SV777-2 (SV004)'!B289</f>
        <v/>
      </c>
      <c r="D62" s="1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2" t="str">
        <f>'SV777-2 (SV004)'!F289</f>
        <v/>
      </c>
      <c r="D63" s="1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2" t="str">
        <f>'SV777-2 (SV004)'!J289</f>
        <v/>
      </c>
      <c r="D64" s="1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2" t="str">
        <f>'SV777-2 (SV004)'!N289</f>
        <v/>
      </c>
      <c r="D65" s="1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2" t="str">
        <f>'SV777-2 (SV004)'!B311</f>
        <v/>
      </c>
      <c r="D67" s="1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2" t="str">
        <f>'SV777-2 (SV004)'!F311</f>
        <v/>
      </c>
      <c r="D68" s="1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2" t="str">
        <f>'SV777-2 (SV004)'!J311</f>
        <v/>
      </c>
      <c r="D69" s="1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2" t="str">
        <f>'SV777-2 (SV004)'!N311</f>
        <v/>
      </c>
      <c r="D70" s="1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2" t="str">
        <f>'SV777-2 (SV004)'!B331</f>
        <v/>
      </c>
      <c r="D71" s="1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2" t="str">
        <f>'SV777-2 (SV004)'!F331</f>
        <v/>
      </c>
      <c r="D72" s="1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2" t="str">
        <f>'SV777-2 (SV004)'!J331</f>
        <v/>
      </c>
      <c r="D73" s="1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2" t="str">
        <f>'SV777-2 (SV004)'!N331</f>
        <v/>
      </c>
      <c r="D74" s="1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2" t="str">
        <f>'SV777-2 (SV004)'!B353</f>
        <v/>
      </c>
      <c r="D76" s="1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2" t="str">
        <f>'SV777-2 (SV004)'!F353</f>
        <v/>
      </c>
      <c r="D77" s="1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2" t="str">
        <f>'SV777-2 (SV004)'!J353</f>
        <v/>
      </c>
      <c r="D78" s="1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2" t="str">
        <f>'SV777-2 (SV004)'!N353</f>
        <v/>
      </c>
      <c r="D79" s="1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2" t="str">
        <f>'SV777-2 (SV004)'!B373</f>
        <v/>
      </c>
      <c r="D80" s="1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2" t="str">
        <f>'SV777-2 (SV004)'!F373</f>
        <v/>
      </c>
      <c r="D81" s="1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2" t="str">
        <f>'SV777-2 (SV004)'!J373</f>
        <v/>
      </c>
      <c r="D82" s="1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2" t="str">
        <f>'SV777-2 (SV004)'!N373</f>
        <v/>
      </c>
      <c r="D83" s="1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2" t="str">
        <f>'SV777-2 (SV004)'!B395</f>
        <v/>
      </c>
      <c r="D85" s="1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2" t="str">
        <f>'SV777-2 (SV004)'!F395</f>
        <v/>
      </c>
      <c r="D86" s="1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2" t="str">
        <f>'SV777-2 (SV004)'!J395</f>
        <v/>
      </c>
      <c r="D87" s="1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2" t="str">
        <f>'SV777-2 (SV004)'!N395</f>
        <v/>
      </c>
      <c r="D88" s="1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2" t="str">
        <f>'SV777-2 (SV004)'!B415</f>
        <v/>
      </c>
      <c r="D89" s="1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2" t="str">
        <f>'SV777-2 (SV004)'!F415</f>
        <v/>
      </c>
      <c r="D90" s="1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2" t="str">
        <f>'SV777-2 (SV004)'!J415</f>
        <v/>
      </c>
      <c r="D91" s="1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2" t="str">
        <f>'SV777-2 (SV004)'!N415</f>
        <v/>
      </c>
      <c r="D92" s="1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2" t="str">
        <f>'SV777-2 (SV004)'!B437</f>
        <v/>
      </c>
      <c r="D94" s="1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2" t="str">
        <f>'SV777-2 (SV004)'!F437</f>
        <v/>
      </c>
      <c r="D95" s="1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2" t="str">
        <f>'SV777-2 (SV004)'!J437</f>
        <v/>
      </c>
      <c r="D96" s="1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2" t="str">
        <f>'SV777-2 (SV004)'!N437</f>
        <v/>
      </c>
      <c r="D97" s="1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2" t="str">
        <f>'SV777-2 (SV004)'!B457</f>
        <v/>
      </c>
      <c r="D98" s="1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2" t="str">
        <f>'SV777-2 (SV004)'!F457</f>
        <v/>
      </c>
      <c r="D99" s="1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2" t="str">
        <f>'SV777-2 (SV004)'!J457</f>
        <v/>
      </c>
      <c r="D100" s="1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2" t="str">
        <f>'SV777-2 (SV004)'!N457</f>
        <v/>
      </c>
      <c r="D101" s="1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2" t="str">
        <f>'SV777-2 (SV004)'!B479</f>
        <v/>
      </c>
      <c r="D103" s="1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2" t="str">
        <f>'SV777-2 (SV004)'!F479</f>
        <v/>
      </c>
      <c r="D104" s="1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2" t="str">
        <f>'SV777-2 (SV004)'!J479</f>
        <v/>
      </c>
      <c r="D105" s="1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2" t="str">
        <f>'SV777-2 (SV004)'!N479</f>
        <v/>
      </c>
      <c r="D106" s="1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2" t="str">
        <f>'SV777-2 (SV004)'!B499</f>
        <v/>
      </c>
      <c r="D107" s="1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2" t="str">
        <f>'SV777-2 (SV004)'!F499</f>
        <v/>
      </c>
      <c r="D108" s="1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2" t="str">
        <f>'SV777-2 (SV004)'!J499</f>
        <v/>
      </c>
      <c r="D109" s="1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2" t="str">
        <f>'SV777-2 (SV004)'!N499</f>
        <v/>
      </c>
      <c r="D110" s="1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2" t="str">
        <f>'SV777-2 (SV004)'!B521</f>
        <v/>
      </c>
      <c r="D112" s="1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2" t="str">
        <f>'SV777-2 (SV004)'!F521</f>
        <v/>
      </c>
      <c r="D113" s="1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2" t="str">
        <f>'SV777-2 (SV004)'!J521</f>
        <v/>
      </c>
      <c r="D114" s="1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2" t="str">
        <f>'SV777-2 (SV004)'!N521</f>
        <v/>
      </c>
      <c r="D115" s="1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2" t="str">
        <f>'SV777-2 (SV004)'!B541</f>
        <v/>
      </c>
      <c r="D116" s="1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2" t="str">
        <f>'SV777-2 (SV004)'!F541</f>
        <v/>
      </c>
      <c r="D117" s="1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2" t="str">
        <f>'SV777-2 (SV004)'!J541</f>
        <v/>
      </c>
      <c r="D118" s="1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2" t="str">
        <f>'SV777-2 (SV004)'!N541</f>
        <v/>
      </c>
      <c r="D119" s="1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2" t="str">
        <f>'SV777-2 (SV004)'!B563</f>
        <v/>
      </c>
      <c r="D121" s="1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2" t="str">
        <f>'SV777-2 (SV004)'!F563</f>
        <v/>
      </c>
      <c r="D122" s="1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2" t="str">
        <f>'SV777-2 (SV004)'!J563</f>
        <v/>
      </c>
      <c r="D123" s="1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2" t="str">
        <f>'SV777-2 (SV004)'!N563</f>
        <v/>
      </c>
      <c r="D124" s="1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2" t="str">
        <f>'SV777-2 (SV004)'!B583</f>
        <v/>
      </c>
      <c r="D125" s="1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2" t="str">
        <f>'SV777-2 (SV004)'!F583</f>
        <v/>
      </c>
      <c r="D126" s="1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2" t="str">
        <f>'SV777-2 (SV004)'!J583</f>
        <v/>
      </c>
      <c r="D127" s="1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2" t="str">
        <f>'SV777-2 (SV004)'!N583</f>
        <v/>
      </c>
      <c r="D128" s="1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2" t="str">
        <f>'SV777-2 (SV004)'!B605</f>
        <v/>
      </c>
      <c r="D130" s="1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2" t="str">
        <f>'SV777-2 (SV004)'!F605</f>
        <v/>
      </c>
      <c r="D131" s="1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2" t="str">
        <f>'SV777-2 (SV004)'!J605</f>
        <v/>
      </c>
      <c r="D132" s="1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2" t="str">
        <f>'SV777-2 (SV004)'!N605</f>
        <v/>
      </c>
      <c r="D133" s="1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2" t="str">
        <f>'SV777-2 (SV004)'!B625</f>
        <v/>
      </c>
      <c r="D134" s="1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2" t="str">
        <f>'SV777-2 (SV004)'!F625</f>
        <v/>
      </c>
      <c r="D135" s="1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2" t="str">
        <f>'SV777-2 (SV004)'!J625</f>
        <v/>
      </c>
      <c r="D136" s="1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2" t="str">
        <f>'SV777-2 (SV004)'!N625</f>
        <v/>
      </c>
      <c r="D137" s="1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2" t="str">
        <f>'SV777-2 (SV004)'!B647</f>
        <v/>
      </c>
      <c r="D139" s="1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2" t="str">
        <f>'SV777-2 (SV004)'!F647</f>
        <v/>
      </c>
      <c r="D140" s="1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2" t="str">
        <f>'SV777-2 (SV004)'!J647</f>
        <v/>
      </c>
      <c r="D141" s="1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2" t="str">
        <f>'SV777-2 (SV004)'!N647</f>
        <v/>
      </c>
      <c r="D142" s="1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2" t="str">
        <f>'SV777-2 (SV004)'!B667</f>
        <v/>
      </c>
      <c r="D143" s="1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2" t="str">
        <f>'SV777-2 (SV004)'!F667</f>
        <v/>
      </c>
      <c r="D144" s="1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2" t="str">
        <f>'SV777-2 (SV004)'!J667</f>
        <v/>
      </c>
      <c r="D145" s="1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2" t="str">
        <f>'SV777-2 (SV004)'!N667</f>
        <v/>
      </c>
      <c r="D146" s="1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2" t="str">
        <f>'SV777-3 (SV004)'!B17</f>
        <v/>
      </c>
      <c r="D4" s="1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2" t="str">
        <f>'SV777-3 (SV004)'!F17</f>
        <v/>
      </c>
      <c r="D5" s="1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2" t="str">
        <f>'SV777-3 (SV004)'!J17</f>
        <v/>
      </c>
      <c r="D6" s="1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2" t="str">
        <f>'SV777-3 (SV004)'!N17</f>
        <v/>
      </c>
      <c r="D7" s="1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2" t="str">
        <f>'SV777-3 (SV004)'!B37</f>
        <v/>
      </c>
      <c r="D8" s="1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2" t="str">
        <f>'SV777-3 (SV004)'!F37</f>
        <v/>
      </c>
      <c r="D9" s="1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2" t="str">
        <f>'SV777-3 (SV004)'!J37</f>
        <v/>
      </c>
      <c r="D10" s="1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2" t="str">
        <f>'SV777-3 (SV004)'!N37</f>
        <v/>
      </c>
      <c r="D11" s="1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2" t="str">
        <f>'SV777-3 (SV004)'!B59</f>
        <v/>
      </c>
      <c r="D13" s="1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2" t="str">
        <f>'SV777-3 (SV004)'!F59</f>
        <v/>
      </c>
      <c r="D14" s="1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2" t="str">
        <f>'SV777-3 (SV004)'!J59</f>
        <v/>
      </c>
      <c r="D15" s="1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2" t="str">
        <f>'SV777-3 (SV004)'!N59</f>
        <v/>
      </c>
      <c r="D16" s="1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2" t="str">
        <f>'SV777-3 (SV004)'!B79</f>
        <v/>
      </c>
      <c r="D17" s="1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2" t="str">
        <f>'SV777-3 (SV004)'!F79</f>
        <v/>
      </c>
      <c r="D18" s="1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2" t="str">
        <f>'SV777-3 (SV004)'!J79</f>
        <v/>
      </c>
      <c r="D19" s="1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2" t="str">
        <f>'SV777-3 (SV004)'!N79</f>
        <v/>
      </c>
      <c r="D20" s="1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2"/>
      <c r="D21" s="1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2" t="str">
        <f>'SV777-3 (SV004)'!B101</f>
        <v/>
      </c>
      <c r="D22" s="1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2" t="str">
        <f>'SV777-3 (SV004)'!F101</f>
        <v/>
      </c>
      <c r="D23" s="1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2" t="str">
        <f>'SV777-3 (SV004)'!J101</f>
        <v/>
      </c>
      <c r="D24" s="1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2" t="str">
        <f>'SV777-3 (SV004)'!N101</f>
        <v/>
      </c>
      <c r="D25" s="1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2" t="str">
        <f>'SV777-3 (SV004)'!B121</f>
        <v/>
      </c>
      <c r="D26" s="1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2" t="str">
        <f>'SV777-3 (SV004)'!F121</f>
        <v/>
      </c>
      <c r="D27" s="1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2" t="str">
        <f>'SV777-3 (SV004)'!J121</f>
        <v/>
      </c>
      <c r="D28" s="1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2" t="str">
        <f>'SV777-3 (SV004)'!N121</f>
        <v/>
      </c>
      <c r="D29" s="1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2" t="str">
        <f>'SV777-3 (SV004)'!B143</f>
        <v/>
      </c>
      <c r="D31" s="1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2" t="str">
        <f>'SV777-3 (SV004)'!F143</f>
        <v/>
      </c>
      <c r="D32" s="1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2" t="str">
        <f>'SV777-3 (SV004)'!J143</f>
        <v/>
      </c>
      <c r="D33" s="1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2" t="str">
        <f>'SV777-3 (SV004)'!N143</f>
        <v/>
      </c>
      <c r="D34" s="1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2" t="str">
        <f>'SV777-3 (SV004)'!B163</f>
        <v/>
      </c>
      <c r="D35" s="1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2" t="str">
        <f>'SV777-3 (SV004)'!F163</f>
        <v/>
      </c>
      <c r="D36" s="1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2" t="str">
        <f>'SV777-3 (SV004)'!J163</f>
        <v/>
      </c>
      <c r="D37" s="1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2" t="str">
        <f>'SV777-3 (SV004)'!N163</f>
        <v/>
      </c>
      <c r="D38" s="1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2" t="str">
        <f>'SV777-3 (SV004)'!B185</f>
        <v/>
      </c>
      <c r="D40" s="1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2" t="str">
        <f>'SV777-3 (SV004)'!F185</f>
        <v/>
      </c>
      <c r="D41" s="1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2" t="str">
        <f>'SV777-3 (SV004)'!J185</f>
        <v/>
      </c>
      <c r="D42" s="1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2" t="str">
        <f>'SV777-3 (SV004)'!N185</f>
        <v/>
      </c>
      <c r="D43" s="1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2" t="str">
        <f>'SV777-3 (SV004)'!B205</f>
        <v/>
      </c>
      <c r="D44" s="1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2" t="str">
        <f>'SV777-3 (SV004)'!F205</f>
        <v/>
      </c>
      <c r="D45" s="1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2" t="str">
        <f>'SV777-3 (SV004)'!J205</f>
        <v/>
      </c>
      <c r="D46" s="1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2" t="str">
        <f>'SV777-3 (SV004)'!N205</f>
        <v/>
      </c>
      <c r="D47" s="1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2" t="str">
        <f>'SV777-3 (SV004)'!B227</f>
        <v/>
      </c>
      <c r="D49" s="1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2" t="str">
        <f>'SV777-3 (SV004)'!F227</f>
        <v/>
      </c>
      <c r="D50" s="1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2" t="str">
        <f>'SV777-3 (SV004)'!J227</f>
        <v/>
      </c>
      <c r="D51" s="1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2" t="str">
        <f>'SV777-3 (SV004)'!N227</f>
        <v/>
      </c>
      <c r="D52" s="1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2" t="str">
        <f>'SV777-3 (SV004)'!B247</f>
        <v/>
      </c>
      <c r="D53" s="1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2" t="str">
        <f>'SV777-3 (SV004)'!F247</f>
        <v/>
      </c>
      <c r="D54" s="1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2" t="str">
        <f>'SV777-3 (SV004)'!J247</f>
        <v/>
      </c>
      <c r="D55" s="1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2" t="str">
        <f>'SV777-3 (SV004)'!N247</f>
        <v/>
      </c>
      <c r="D56" s="1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2" t="str">
        <f>'SV777-3 (SV004)'!B269</f>
        <v/>
      </c>
      <c r="D58" s="1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2" t="str">
        <f>'SV777-3 (SV004)'!F269</f>
        <v/>
      </c>
      <c r="D59" s="1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2" t="str">
        <f>'SV777-3 (SV004)'!J269</f>
        <v/>
      </c>
      <c r="D60" s="1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2" t="str">
        <f>'SV777-3 (SV004)'!N269</f>
        <v/>
      </c>
      <c r="D61" s="1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2" t="str">
        <f>'SV777-3 (SV004)'!B289</f>
        <v/>
      </c>
      <c r="D62" s="1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2" t="str">
        <f>'SV777-3 (SV004)'!F289</f>
        <v/>
      </c>
      <c r="D63" s="1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2" t="str">
        <f>'SV777-3 (SV004)'!J289</f>
        <v/>
      </c>
      <c r="D64" s="1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2" t="str">
        <f>'SV777-3 (SV004)'!N289</f>
        <v/>
      </c>
      <c r="D65" s="1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2" t="str">
        <f>'SV777-3 (SV004)'!B311</f>
        <v/>
      </c>
      <c r="D67" s="1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2" t="str">
        <f>'SV777-3 (SV004)'!F311</f>
        <v/>
      </c>
      <c r="D68" s="1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2" t="str">
        <f>'SV777-3 (SV004)'!J311</f>
        <v/>
      </c>
      <c r="D69" s="1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2" t="str">
        <f>'SV777-3 (SV004)'!N311</f>
        <v/>
      </c>
      <c r="D70" s="1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2" t="str">
        <f>'SV777-3 (SV004)'!B331</f>
        <v/>
      </c>
      <c r="D71" s="1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2" t="str">
        <f>'SV777-3 (SV004)'!F331</f>
        <v/>
      </c>
      <c r="D72" s="1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2" t="str">
        <f>'SV777-3 (SV004)'!J331</f>
        <v/>
      </c>
      <c r="D73" s="1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2" t="str">
        <f>'SV777-3 (SV004)'!N331</f>
        <v/>
      </c>
      <c r="D74" s="1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2" t="str">
        <f>'SV777-3 (SV004)'!B353</f>
        <v/>
      </c>
      <c r="D76" s="1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2" t="str">
        <f>'SV777-3 (SV004)'!F353</f>
        <v/>
      </c>
      <c r="D77" s="1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2" t="str">
        <f>'SV777-3 (SV004)'!J353</f>
        <v/>
      </c>
      <c r="D78" s="1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2" t="str">
        <f>'SV777-3 (SV004)'!N353</f>
        <v/>
      </c>
      <c r="D79" s="1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2" t="str">
        <f>'SV777-3 (SV004)'!B373</f>
        <v/>
      </c>
      <c r="D80" s="1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2" t="str">
        <f>'SV777-3 (SV004)'!F373</f>
        <v/>
      </c>
      <c r="D81" s="1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2" t="str">
        <f>'SV777-3 (SV004)'!J373</f>
        <v/>
      </c>
      <c r="D82" s="1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2" t="str">
        <f>'SV777-3 (SV004)'!N373</f>
        <v/>
      </c>
      <c r="D83" s="1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2" t="str">
        <f>'SV777-3 (SV004)'!B395</f>
        <v/>
      </c>
      <c r="D85" s="1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2" t="str">
        <f>'SV777-3 (SV004)'!F395</f>
        <v/>
      </c>
      <c r="D86" s="1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2" t="str">
        <f>'SV777-3 (SV004)'!J395</f>
        <v/>
      </c>
      <c r="D87" s="1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2" t="str">
        <f>'SV777-3 (SV004)'!N395</f>
        <v/>
      </c>
      <c r="D88" s="1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2" t="str">
        <f>'SV777-3 (SV004)'!B415</f>
        <v/>
      </c>
      <c r="D89" s="1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2" t="str">
        <f>'SV777-3 (SV004)'!F415</f>
        <v/>
      </c>
      <c r="D90" s="1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2" t="str">
        <f>'SV777-3 (SV004)'!J415</f>
        <v/>
      </c>
      <c r="D91" s="1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2" t="str">
        <f>'SV777-3 (SV004)'!N415</f>
        <v/>
      </c>
      <c r="D92" s="1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2" t="str">
        <f>'SV777-3 (SV004)'!B437</f>
        <v/>
      </c>
      <c r="D94" s="1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2" t="str">
        <f>'SV777-3 (SV004)'!F437</f>
        <v/>
      </c>
      <c r="D95" s="1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2" t="str">
        <f>'SV777-3 (SV004)'!J437</f>
        <v/>
      </c>
      <c r="D96" s="1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2" t="str">
        <f>'SV777-3 (SV004)'!N437</f>
        <v/>
      </c>
      <c r="D97" s="1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2" t="str">
        <f>'SV777-3 (SV004)'!B457</f>
        <v/>
      </c>
      <c r="D98" s="1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2" t="str">
        <f>'SV777-3 (SV004)'!F457</f>
        <v/>
      </c>
      <c r="D99" s="1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2" t="str">
        <f>'SV777-3 (SV004)'!J457</f>
        <v/>
      </c>
      <c r="D100" s="1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2" t="str">
        <f>'SV777-3 (SV004)'!N457</f>
        <v/>
      </c>
      <c r="D101" s="1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2" t="str">
        <f>'SV777-3 (SV004)'!B479</f>
        <v/>
      </c>
      <c r="D103" s="1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2" t="str">
        <f>'SV777-3 (SV004)'!F479</f>
        <v/>
      </c>
      <c r="D104" s="1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2" t="str">
        <f>'SV777-3 (SV004)'!J479</f>
        <v/>
      </c>
      <c r="D105" s="1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2" t="str">
        <f>'SV777-3 (SV004)'!N479</f>
        <v/>
      </c>
      <c r="D106" s="1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2" t="str">
        <f>'SV777-3 (SV004)'!B499</f>
        <v/>
      </c>
      <c r="D107" s="1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2" t="str">
        <f>'SV777-3 (SV004)'!F499</f>
        <v/>
      </c>
      <c r="D108" s="1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2" t="str">
        <f>'SV777-3 (SV004)'!J499</f>
        <v/>
      </c>
      <c r="D109" s="1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2" t="str">
        <f>'SV777-3 (SV004)'!N499</f>
        <v/>
      </c>
      <c r="D110" s="1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2" t="str">
        <f>'SV777-3 (SV004)'!B521</f>
        <v/>
      </c>
      <c r="D112" s="1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2" t="str">
        <f>'SV777-3 (SV004)'!F521</f>
        <v/>
      </c>
      <c r="D113" s="1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2" t="str">
        <f>'SV777-3 (SV004)'!J521</f>
        <v/>
      </c>
      <c r="D114" s="1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2" t="str">
        <f>'SV777-3 (SV004)'!N521</f>
        <v/>
      </c>
      <c r="D115" s="1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2" t="str">
        <f>'SV777-3 (SV004)'!B541</f>
        <v/>
      </c>
      <c r="D116" s="1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2" t="str">
        <f>'SV777-3 (SV004)'!F541</f>
        <v/>
      </c>
      <c r="D117" s="1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2" t="str">
        <f>'SV777-3 (SV004)'!J541</f>
        <v/>
      </c>
      <c r="D118" s="1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2" t="str">
        <f>'SV777-3 (SV004)'!N541</f>
        <v/>
      </c>
      <c r="D119" s="1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2" t="str">
        <f>'SV777-3 (SV004)'!B563</f>
        <v/>
      </c>
      <c r="D121" s="1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2" t="str">
        <f>'SV777-3 (SV004)'!F563</f>
        <v/>
      </c>
      <c r="D122" s="1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2" t="str">
        <f>'SV777-3 (SV004)'!J563</f>
        <v/>
      </c>
      <c r="D123" s="1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2" t="str">
        <f>'SV777-3 (SV004)'!N563</f>
        <v/>
      </c>
      <c r="D124" s="1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2" t="str">
        <f>'SV777-3 (SV004)'!B583</f>
        <v/>
      </c>
      <c r="D125" s="1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2" t="str">
        <f>'SV777-3 (SV004)'!F583</f>
        <v/>
      </c>
      <c r="D126" s="1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2" t="str">
        <f>'SV777-3 (SV004)'!J583</f>
        <v/>
      </c>
      <c r="D127" s="1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2" t="str">
        <f>'SV777-3 (SV004)'!N583</f>
        <v/>
      </c>
      <c r="D128" s="1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2" t="str">
        <f>'SV777-3 (SV004)'!B605</f>
        <v/>
      </c>
      <c r="D130" s="1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2" t="str">
        <f>'SV777-3 (SV004)'!F605</f>
        <v/>
      </c>
      <c r="D131" s="1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2" t="str">
        <f>'SV777-3 (SV004)'!J605</f>
        <v/>
      </c>
      <c r="D132" s="1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2" t="str">
        <f>'SV777-3 (SV004)'!N605</f>
        <v/>
      </c>
      <c r="D133" s="1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2" t="str">
        <f>'SV777-3 (SV004)'!B625</f>
        <v/>
      </c>
      <c r="D134" s="1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2" t="str">
        <f>'SV777-3 (SV004)'!F625</f>
        <v/>
      </c>
      <c r="D135" s="1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2" t="str">
        <f>'SV777-3 (SV004)'!J625</f>
        <v/>
      </c>
      <c r="D136" s="1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2" t="str">
        <f>'SV777-3 (SV004)'!N625</f>
        <v/>
      </c>
      <c r="D137" s="1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2" t="str">
        <f>'SV777-3 (SV004)'!B647</f>
        <v/>
      </c>
      <c r="D139" s="1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2" t="str">
        <f>'SV777-3 (SV004)'!F647</f>
        <v/>
      </c>
      <c r="D140" s="1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2" t="str">
        <f>'SV777-3 (SV004)'!J647</f>
        <v/>
      </c>
      <c r="D141" s="1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2" t="str">
        <f>'SV777-3 (SV004)'!N647</f>
        <v/>
      </c>
      <c r="D142" s="1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2" t="str">
        <f>'SV777-3 (SV004)'!B667</f>
        <v/>
      </c>
      <c r="D143" s="1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2" t="str">
        <f>'SV777-3 (SV004)'!F667</f>
        <v/>
      </c>
      <c r="D144" s="1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2" t="str">
        <f>'SV777-3 (SV004)'!J667</f>
        <v/>
      </c>
      <c r="D145" s="1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2" t="str">
        <f>'SV777-3 (SV004)'!N667</f>
        <v/>
      </c>
      <c r="D146" s="1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workbookViewId="0">
      <selection activeCell="U15" sqref="U15"/>
    </sheetView>
  </sheetViews>
  <sheetFormatPr defaultRowHeight="15" x14ac:dyDescent="0.25"/>
  <cols>
    <col min="3" max="3" width="5" style="2" customWidth="1"/>
    <col min="4" max="4" width="9.140625" style="4"/>
    <col min="6" max="8" width="0" hidden="1" customWidth="1"/>
    <col min="9" max="9" width="5" style="2" hidden="1" customWidth="1"/>
    <col min="10" max="10" width="0" style="4" hidden="1" customWidth="1"/>
    <col min="11" max="14" width="0" hidden="1" customWidth="1"/>
    <col min="15" max="15" width="5.28515625" style="2" hidden="1" customWidth="1"/>
    <col min="16" max="16" width="0" style="4" hidden="1" customWidth="1"/>
    <col min="17" max="17" width="0" hidden="1" customWidth="1"/>
  </cols>
  <sheetData>
    <row r="2" spans="1:17" x14ac:dyDescent="0.25">
      <c r="C2" s="2" t="str">
        <f>'шпоргалка-1'!C2</f>
        <v>SV777 - 1</v>
      </c>
      <c r="I2" s="2" t="str">
        <f>'шпоргалка-2'!C2</f>
        <v>SV777 - 2</v>
      </c>
      <c r="O2" s="2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2">
        <f>'шпоргалка-1'!C4</f>
        <v>0</v>
      </c>
      <c r="D4" s="4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2">
        <f>'шпоргалка-2'!C4</f>
        <v>0</v>
      </c>
      <c r="J4" s="4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2" t="str">
        <f>'шпоргалка-3'!C4</f>
        <v/>
      </c>
      <c r="P4" s="4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2">
        <f>'шпоргалка-1'!C5</f>
        <v>0</v>
      </c>
      <c r="D5" s="4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2" t="str">
        <f>'шпоргалка-2'!C5</f>
        <v/>
      </c>
      <c r="J5" s="4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2" t="str">
        <f>'шпоргалка-3'!C5</f>
        <v/>
      </c>
      <c r="P5" s="4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2">
        <f>'шпоргалка-1'!C6</f>
        <v>0</v>
      </c>
      <c r="D6" s="4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2" t="str">
        <f>'шпоргалка-2'!C6</f>
        <v/>
      </c>
      <c r="J6" s="4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2" t="str">
        <f>'шпоргалка-3'!C6</f>
        <v/>
      </c>
      <c r="P6" s="4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2">
        <f>'шпоргалка-1'!C7</f>
        <v>0</v>
      </c>
      <c r="D7" s="4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2" t="str">
        <f>'шпоргалка-2'!C7</f>
        <v/>
      </c>
      <c r="J7" s="4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2" t="str">
        <f>'шпоргалка-3'!C7</f>
        <v/>
      </c>
      <c r="P7" s="4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2" t="e">
        <f>'шпоргалка-1'!C8</f>
        <v>#REF!</v>
      </c>
      <c r="D8" s="4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2" t="str">
        <f>'шпоргалка-2'!C8</f>
        <v/>
      </c>
      <c r="J8" s="4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2" t="str">
        <f>'шпоргалка-3'!C8</f>
        <v/>
      </c>
      <c r="P8" s="4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2" t="e">
        <f>'шпоргалка-1'!C9</f>
        <v>#REF!</v>
      </c>
      <c r="D9" s="4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2" t="str">
        <f>'шпоргалка-2'!C9</f>
        <v/>
      </c>
      <c r="J9" s="4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2" t="str">
        <f>'шпоргалка-3'!C9</f>
        <v/>
      </c>
      <c r="P9" s="4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2" t="e">
        <f>'шпоргалка-1'!C10</f>
        <v>#REF!</v>
      </c>
      <c r="D10" s="4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2" t="str">
        <f>'шпоргалка-2'!C10</f>
        <v/>
      </c>
      <c r="J10" s="4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2" t="str">
        <f>'шпоргалка-3'!C10</f>
        <v/>
      </c>
      <c r="P10" s="4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2" t="e">
        <f>'шпоргалка-1'!C11</f>
        <v>#REF!</v>
      </c>
      <c r="D11" s="4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2" t="str">
        <f>'шпоргалка-2'!C11</f>
        <v/>
      </c>
      <c r="J11" s="4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2" t="str">
        <f>'шпоргалка-3'!C11</f>
        <v/>
      </c>
      <c r="P11" s="4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2" t="e">
        <f>'шпоргалка-1'!C13</f>
        <v>#REF!</v>
      </c>
      <c r="D13" s="4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2" t="str">
        <f>'шпоргалка-2'!C13</f>
        <v/>
      </c>
      <c r="J13" s="4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2" t="str">
        <f>'шпоргалка-3'!C13</f>
        <v/>
      </c>
      <c r="P13" s="4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2" t="e">
        <f>'шпоргалка-1'!C14</f>
        <v>#REF!</v>
      </c>
      <c r="D14" s="4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2" t="str">
        <f>'шпоргалка-2'!C14</f>
        <v/>
      </c>
      <c r="J14" s="4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2" t="str">
        <f>'шпоргалка-3'!C14</f>
        <v/>
      </c>
      <c r="P14" s="4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2" t="e">
        <f>'шпоргалка-1'!C15</f>
        <v>#REF!</v>
      </c>
      <c r="D15" s="4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2" t="str">
        <f>'шпоргалка-2'!C15</f>
        <v/>
      </c>
      <c r="J15" s="4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2" t="str">
        <f>'шпоргалка-3'!C15</f>
        <v/>
      </c>
      <c r="P15" s="4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2" t="e">
        <f>'шпоргалка-1'!C16</f>
        <v>#REF!</v>
      </c>
      <c r="D16" s="4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2" t="str">
        <f>'шпоргалка-2'!C16</f>
        <v/>
      </c>
      <c r="J16" s="4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2" t="str">
        <f>'шпоргалка-3'!C16</f>
        <v/>
      </c>
      <c r="P16" s="4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2" t="e">
        <f>'шпоргалка-1'!C17</f>
        <v>#REF!</v>
      </c>
      <c r="D17" s="4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2" t="str">
        <f>'шпоргалка-2'!C17</f>
        <v/>
      </c>
      <c r="J17" s="4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2" t="str">
        <f>'шпоргалка-3'!C17</f>
        <v/>
      </c>
      <c r="P17" s="4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2" t="e">
        <f>'шпоргалка-1'!C18</f>
        <v>#REF!</v>
      </c>
      <c r="D18" s="4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2" t="str">
        <f>'шпоргалка-2'!C18</f>
        <v/>
      </c>
      <c r="J18" s="4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2" t="str">
        <f>'шпоргалка-3'!C18</f>
        <v/>
      </c>
      <c r="P18" s="4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2" t="e">
        <f>'шпоргалка-1'!C19</f>
        <v>#REF!</v>
      </c>
      <c r="D19" s="4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2" t="str">
        <f>'шпоргалка-2'!C19</f>
        <v/>
      </c>
      <c r="J19" s="4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2" t="str">
        <f>'шпоргалка-3'!C19</f>
        <v/>
      </c>
      <c r="P19" s="4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2" t="e">
        <f>'шпоргалка-1'!C20</f>
        <v>#REF!</v>
      </c>
      <c r="D20" s="4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2" t="str">
        <f>'шпоргалка-2'!C20</f>
        <v/>
      </c>
      <c r="J20" s="4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2" t="str">
        <f>'шпоргалка-3'!C20</f>
        <v/>
      </c>
      <c r="P20" s="4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2" t="e">
        <f>'шпоргалка-1'!C22</f>
        <v>#REF!</v>
      </c>
      <c r="D22" s="4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2" t="str">
        <f>'шпоргалка-2'!C22</f>
        <v/>
      </c>
      <c r="J22" s="4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2" t="str">
        <f>'шпоргалка-3'!C22</f>
        <v/>
      </c>
      <c r="P22" s="4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2" t="e">
        <f>'шпоргалка-1'!C23</f>
        <v>#REF!</v>
      </c>
      <c r="D23" s="4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2" t="str">
        <f>'шпоргалка-2'!C23</f>
        <v/>
      </c>
      <c r="J23" s="4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2" t="str">
        <f>'шпоргалка-3'!C23</f>
        <v/>
      </c>
      <c r="P23" s="4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2" t="e">
        <f>'шпоргалка-1'!C24</f>
        <v>#REF!</v>
      </c>
      <c r="D24" s="4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2" t="str">
        <f>'шпоргалка-2'!C24</f>
        <v/>
      </c>
      <c r="J24" s="4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2" t="str">
        <f>'шпоргалка-3'!C24</f>
        <v/>
      </c>
      <c r="P24" s="4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2" t="e">
        <f>'шпоргалка-1'!C25</f>
        <v>#REF!</v>
      </c>
      <c r="D25" s="4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2" t="str">
        <f>'шпоргалка-2'!C25</f>
        <v/>
      </c>
      <c r="J25" s="4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2" t="str">
        <f>'шпоргалка-3'!C25</f>
        <v/>
      </c>
      <c r="P25" s="4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2" t="e">
        <f>'шпоргалка-1'!C26</f>
        <v>#REF!</v>
      </c>
      <c r="D26" s="4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2" t="str">
        <f>'шпоргалка-2'!C26</f>
        <v/>
      </c>
      <c r="J26" s="4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2" t="str">
        <f>'шпоргалка-3'!C26</f>
        <v/>
      </c>
      <c r="P26" s="4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2" t="e">
        <f>'шпоргалка-1'!C27</f>
        <v>#REF!</v>
      </c>
      <c r="D27" s="4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2" t="str">
        <f>'шпоргалка-2'!C27</f>
        <v/>
      </c>
      <c r="J27" s="4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2" t="str">
        <f>'шпоргалка-3'!C27</f>
        <v/>
      </c>
      <c r="P27" s="4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2" t="e">
        <f>'шпоргалка-1'!C28</f>
        <v>#REF!</v>
      </c>
      <c r="D28" s="4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2" t="str">
        <f>'шпоргалка-2'!C28</f>
        <v/>
      </c>
      <c r="J28" s="4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2" t="str">
        <f>'шпоргалка-3'!C28</f>
        <v/>
      </c>
      <c r="P28" s="4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2" t="e">
        <f>'шпоргалка-1'!C29</f>
        <v>#REF!</v>
      </c>
      <c r="D29" s="4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2" t="str">
        <f>'шпоргалка-2'!C29</f>
        <v/>
      </c>
      <c r="J29" s="4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2" t="str">
        <f>'шпоргалка-3'!C29</f>
        <v/>
      </c>
      <c r="P29" s="4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2" t="e">
        <f>'шпоргалка-1'!C31</f>
        <v>#REF!</v>
      </c>
      <c r="D31" s="4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2" t="str">
        <f>'шпоргалка-2'!C31</f>
        <v/>
      </c>
      <c r="J31" s="4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2" t="str">
        <f>'шпоргалка-3'!C31</f>
        <v/>
      </c>
      <c r="P31" s="4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2" t="e">
        <f>'шпоргалка-1'!C32</f>
        <v>#REF!</v>
      </c>
      <c r="D32" s="4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2" t="str">
        <f>'шпоргалка-2'!C32</f>
        <v/>
      </c>
      <c r="J32" s="4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2" t="str">
        <f>'шпоргалка-3'!C32</f>
        <v/>
      </c>
      <c r="P32" s="4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2" t="e">
        <f>'шпоргалка-1'!C33</f>
        <v>#REF!</v>
      </c>
      <c r="D33" s="4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2" t="str">
        <f>'шпоргалка-2'!C33</f>
        <v/>
      </c>
      <c r="J33" s="4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2" t="str">
        <f>'шпоргалка-3'!C33</f>
        <v/>
      </c>
      <c r="P33" s="4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2" t="e">
        <f>'шпоргалка-1'!C34</f>
        <v>#REF!</v>
      </c>
      <c r="D34" s="4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2" t="str">
        <f>'шпоргалка-2'!C34</f>
        <v/>
      </c>
      <c r="J34" s="4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2" t="str">
        <f>'шпоргалка-3'!C34</f>
        <v/>
      </c>
      <c r="P34" s="4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2" t="e">
        <f>'шпоргалка-1'!C35</f>
        <v>#REF!</v>
      </c>
      <c r="D35" s="4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2" t="str">
        <f>'шпоргалка-2'!C35</f>
        <v/>
      </c>
      <c r="J35" s="4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2" t="str">
        <f>'шпоргалка-3'!C35</f>
        <v/>
      </c>
      <c r="P35" s="4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2" t="e">
        <f>'шпоргалка-1'!C36</f>
        <v>#REF!</v>
      </c>
      <c r="D36" s="4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2" t="str">
        <f>'шпоргалка-2'!C36</f>
        <v/>
      </c>
      <c r="J36" s="4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2" t="str">
        <f>'шпоргалка-3'!C36</f>
        <v/>
      </c>
      <c r="P36" s="4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2" t="e">
        <f>'шпоргалка-1'!C37</f>
        <v>#REF!</v>
      </c>
      <c r="D37" s="4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2" t="str">
        <f>'шпоргалка-2'!C37</f>
        <v/>
      </c>
      <c r="J37" s="4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2" t="str">
        <f>'шпоргалка-3'!C37</f>
        <v/>
      </c>
      <c r="P37" s="4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2" t="e">
        <f>'шпоргалка-1'!C38</f>
        <v>#REF!</v>
      </c>
      <c r="D38" s="4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2" t="str">
        <f>'шпоргалка-2'!C38</f>
        <v/>
      </c>
      <c r="J38" s="4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2" t="str">
        <f>'шпоргалка-3'!C38</f>
        <v/>
      </c>
      <c r="P38" s="4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2" t="e">
        <f>'шпоргалка-1'!C40</f>
        <v>#REF!</v>
      </c>
      <c r="D40" s="4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2" t="str">
        <f>'шпоргалка-2'!C40</f>
        <v/>
      </c>
      <c r="J40" s="4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2" t="str">
        <f>'шпоргалка-3'!C40</f>
        <v/>
      </c>
      <c r="P40" s="4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2" t="e">
        <f>'шпоргалка-1'!C41</f>
        <v>#REF!</v>
      </c>
      <c r="D41" s="4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2" t="str">
        <f>'шпоргалка-2'!C41</f>
        <v/>
      </c>
      <c r="J41" s="4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2" t="str">
        <f>'шпоргалка-3'!C41</f>
        <v/>
      </c>
      <c r="P41" s="4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2" t="e">
        <f>'шпоргалка-1'!C42</f>
        <v>#REF!</v>
      </c>
      <c r="D42" s="4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2" t="str">
        <f>'шпоргалка-2'!C42</f>
        <v/>
      </c>
      <c r="J42" s="4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2" t="str">
        <f>'шпоргалка-3'!C42</f>
        <v/>
      </c>
      <c r="P42" s="4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2" t="e">
        <f>'шпоргалка-1'!C43</f>
        <v>#REF!</v>
      </c>
      <c r="D43" s="4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2" t="str">
        <f>'шпоргалка-2'!C43</f>
        <v/>
      </c>
      <c r="J43" s="4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2" t="str">
        <f>'шпоргалка-3'!C43</f>
        <v/>
      </c>
      <c r="P43" s="4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2" t="e">
        <f>'шпоргалка-1'!C44</f>
        <v>#REF!</v>
      </c>
      <c r="D44" s="4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2" t="str">
        <f>'шпоргалка-2'!C44</f>
        <v/>
      </c>
      <c r="J44" s="4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2" t="str">
        <f>'шпоргалка-3'!C44</f>
        <v/>
      </c>
      <c r="P44" s="4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2" t="e">
        <f>'шпоргалка-1'!C45</f>
        <v>#REF!</v>
      </c>
      <c r="D45" s="4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2" t="str">
        <f>'шпоргалка-2'!C45</f>
        <v/>
      </c>
      <c r="J45" s="4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2" t="str">
        <f>'шпоргалка-3'!C45</f>
        <v/>
      </c>
      <c r="P45" s="4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2" t="e">
        <f>'шпоргалка-1'!C46</f>
        <v>#REF!</v>
      </c>
      <c r="D46" s="4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2" t="str">
        <f>'шпоргалка-2'!C46</f>
        <v/>
      </c>
      <c r="J46" s="4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2" t="str">
        <f>'шпоргалка-3'!C46</f>
        <v/>
      </c>
      <c r="P46" s="4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2" t="e">
        <f>'шпоргалка-1'!C47</f>
        <v>#REF!</v>
      </c>
      <c r="D47" s="4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2" t="str">
        <f>'шпоргалка-2'!C47</f>
        <v/>
      </c>
      <c r="J47" s="4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2" t="str">
        <f>'шпоргалка-3'!C47</f>
        <v/>
      </c>
      <c r="P47" s="4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2" t="e">
        <f>'шпоргалка-1'!C49</f>
        <v>#REF!</v>
      </c>
      <c r="D49" s="4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2" t="str">
        <f>'шпоргалка-2'!C49</f>
        <v/>
      </c>
      <c r="J49" s="4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2" t="str">
        <f>'шпоргалка-3'!C49</f>
        <v/>
      </c>
      <c r="P49" s="4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2" t="e">
        <f>'шпоргалка-1'!C50</f>
        <v>#REF!</v>
      </c>
      <c r="D50" s="4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2" t="str">
        <f>'шпоргалка-2'!C50</f>
        <v/>
      </c>
      <c r="J50" s="4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2" t="str">
        <f>'шпоргалка-3'!C50</f>
        <v/>
      </c>
      <c r="P50" s="4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2" t="e">
        <f>'шпоргалка-1'!C51</f>
        <v>#REF!</v>
      </c>
      <c r="D51" s="4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2" t="str">
        <f>'шпоргалка-2'!C51</f>
        <v/>
      </c>
      <c r="J51" s="4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2" t="str">
        <f>'шпоргалка-3'!C51</f>
        <v/>
      </c>
      <c r="P51" s="4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2" t="e">
        <f>'шпоргалка-1'!C52</f>
        <v>#REF!</v>
      </c>
      <c r="D52" s="4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2" t="str">
        <f>'шпоргалка-2'!C52</f>
        <v/>
      </c>
      <c r="J52" s="4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2" t="str">
        <f>'шпоргалка-3'!C52</f>
        <v/>
      </c>
      <c r="P52" s="4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2" t="e">
        <f>'шпоргалка-1'!C53</f>
        <v>#REF!</v>
      </c>
      <c r="D53" s="4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2" t="str">
        <f>'шпоргалка-2'!C53</f>
        <v/>
      </c>
      <c r="J53" s="4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2" t="str">
        <f>'шпоргалка-3'!C53</f>
        <v/>
      </c>
      <c r="P53" s="4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2" t="e">
        <f>'шпоргалка-1'!C54</f>
        <v>#REF!</v>
      </c>
      <c r="D54" s="4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2" t="str">
        <f>'шпоргалка-2'!C54</f>
        <v/>
      </c>
      <c r="J54" s="4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2" t="str">
        <f>'шпоргалка-3'!C54</f>
        <v/>
      </c>
      <c r="P54" s="4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2" t="e">
        <f>'шпоргалка-1'!C55</f>
        <v>#REF!</v>
      </c>
      <c r="D55" s="4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2" t="str">
        <f>'шпоргалка-2'!C55</f>
        <v/>
      </c>
      <c r="J55" s="4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2" t="str">
        <f>'шпоргалка-3'!C55</f>
        <v/>
      </c>
      <c r="P55" s="4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2" t="e">
        <f>'шпоргалка-1'!C56</f>
        <v>#REF!</v>
      </c>
      <c r="D56" s="4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2" t="str">
        <f>'шпоргалка-2'!C56</f>
        <v/>
      </c>
      <c r="J56" s="4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2" t="str">
        <f>'шпоргалка-3'!C56</f>
        <v/>
      </c>
      <c r="P56" s="4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2" t="e">
        <f>'шпоргалка-1'!C58</f>
        <v>#REF!</v>
      </c>
      <c r="D58" s="4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2" t="str">
        <f>'шпоргалка-2'!C58</f>
        <v/>
      </c>
      <c r="J58" s="4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2" t="str">
        <f>'шпоргалка-3'!C58</f>
        <v/>
      </c>
      <c r="P58" s="4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2" t="e">
        <f>'шпоргалка-1'!C59</f>
        <v>#REF!</v>
      </c>
      <c r="D59" s="4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2" t="str">
        <f>'шпоргалка-2'!C59</f>
        <v/>
      </c>
      <c r="J59" s="4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2" t="str">
        <f>'шпоргалка-3'!C59</f>
        <v/>
      </c>
      <c r="P59" s="4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2" t="e">
        <f>'шпоргалка-1'!C60</f>
        <v>#REF!</v>
      </c>
      <c r="D60" s="4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2" t="str">
        <f>'шпоргалка-2'!C60</f>
        <v/>
      </c>
      <c r="J60" s="4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2" t="str">
        <f>'шпоргалка-3'!C60</f>
        <v/>
      </c>
      <c r="P60" s="4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2" t="e">
        <f>'шпоргалка-1'!C61</f>
        <v>#REF!</v>
      </c>
      <c r="D61" s="4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2" t="str">
        <f>'шпоргалка-2'!C61</f>
        <v/>
      </c>
      <c r="J61" s="4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2" t="str">
        <f>'шпоргалка-3'!C61</f>
        <v/>
      </c>
      <c r="P61" s="4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2" t="e">
        <f>'шпоргалка-1'!C62</f>
        <v>#REF!</v>
      </c>
      <c r="D62" s="4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2" t="str">
        <f>'шпоргалка-2'!C62</f>
        <v/>
      </c>
      <c r="J62" s="4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2" t="str">
        <f>'шпоргалка-3'!C62</f>
        <v/>
      </c>
      <c r="P62" s="4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2" t="e">
        <f>'шпоргалка-1'!C63</f>
        <v>#REF!</v>
      </c>
      <c r="D63" s="4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2" t="str">
        <f>'шпоргалка-2'!C63</f>
        <v/>
      </c>
      <c r="J63" s="4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2" t="str">
        <f>'шпоргалка-3'!C63</f>
        <v/>
      </c>
      <c r="P63" s="4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2" t="e">
        <f>'шпоргалка-1'!C64</f>
        <v>#REF!</v>
      </c>
      <c r="D64" s="4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2" t="str">
        <f>'шпоргалка-2'!C64</f>
        <v/>
      </c>
      <c r="J64" s="4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2" t="str">
        <f>'шпоргалка-3'!C64</f>
        <v/>
      </c>
      <c r="P64" s="4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2" t="e">
        <f>'шпоргалка-1'!C65</f>
        <v>#REF!</v>
      </c>
      <c r="D65" s="4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2" t="str">
        <f>'шпоргалка-2'!C65</f>
        <v/>
      </c>
      <c r="J65" s="4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2" t="str">
        <f>'шпоргалка-3'!C65</f>
        <v/>
      </c>
      <c r="P65" s="4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2" t="e">
        <f>'шпоргалка-1'!C67</f>
        <v>#REF!</v>
      </c>
      <c r="D67" s="4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2" t="str">
        <f>'шпоргалка-2'!C67</f>
        <v/>
      </c>
      <c r="J67" s="4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2" t="str">
        <f>'шпоргалка-3'!C67</f>
        <v/>
      </c>
      <c r="P67" s="4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2" t="e">
        <f>'шпоргалка-1'!C68</f>
        <v>#REF!</v>
      </c>
      <c r="D68" s="4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2" t="str">
        <f>'шпоргалка-2'!C68</f>
        <v/>
      </c>
      <c r="J68" s="4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2" t="str">
        <f>'шпоргалка-3'!C68</f>
        <v/>
      </c>
      <c r="P68" s="4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2" t="e">
        <f>'шпоргалка-1'!C69</f>
        <v>#REF!</v>
      </c>
      <c r="D69" s="4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2" t="str">
        <f>'шпоргалка-2'!C69</f>
        <v/>
      </c>
      <c r="J69" s="4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2" t="str">
        <f>'шпоргалка-3'!C69</f>
        <v/>
      </c>
      <c r="P69" s="4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2" t="e">
        <f>'шпоргалка-1'!C70</f>
        <v>#REF!</v>
      </c>
      <c r="D70" s="4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2" t="str">
        <f>'шпоргалка-2'!C70</f>
        <v/>
      </c>
      <c r="J70" s="4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2" t="str">
        <f>'шпоргалка-3'!C70</f>
        <v/>
      </c>
      <c r="P70" s="4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2" t="e">
        <f>'шпоргалка-1'!C71</f>
        <v>#REF!</v>
      </c>
      <c r="D71" s="4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2" t="str">
        <f>'шпоргалка-2'!C71</f>
        <v/>
      </c>
      <c r="J71" s="4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2" t="str">
        <f>'шпоргалка-3'!C71</f>
        <v/>
      </c>
      <c r="P71" s="4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2" t="e">
        <f>'шпоргалка-1'!C72</f>
        <v>#REF!</v>
      </c>
      <c r="D72" s="4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2" t="str">
        <f>'шпоргалка-2'!C72</f>
        <v/>
      </c>
      <c r="J72" s="4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2" t="str">
        <f>'шпоргалка-3'!C72</f>
        <v/>
      </c>
      <c r="P72" s="4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2" t="e">
        <f>'шпоргалка-1'!C73</f>
        <v>#REF!</v>
      </c>
      <c r="D73" s="4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2" t="str">
        <f>'шпоргалка-2'!C73</f>
        <v/>
      </c>
      <c r="J73" s="4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2" t="str">
        <f>'шпоргалка-3'!C73</f>
        <v/>
      </c>
      <c r="P73" s="4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2" t="e">
        <f>'шпоргалка-1'!C74</f>
        <v>#REF!</v>
      </c>
      <c r="D74" s="4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2" t="str">
        <f>'шпоргалка-2'!C74</f>
        <v/>
      </c>
      <c r="J74" s="4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2" t="str">
        <f>'шпоргалка-3'!C74</f>
        <v/>
      </c>
      <c r="P74" s="4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2" t="e">
        <f>'шпоргалка-1'!C76</f>
        <v>#REF!</v>
      </c>
      <c r="D76" s="4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2" t="str">
        <f>'шпоргалка-2'!C76</f>
        <v/>
      </c>
      <c r="J76" s="4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2" t="str">
        <f>'шпоргалка-3'!C76</f>
        <v/>
      </c>
      <c r="P76" s="4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2" t="e">
        <f>'шпоргалка-1'!C77</f>
        <v>#REF!</v>
      </c>
      <c r="D77" s="4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2" t="str">
        <f>'шпоргалка-2'!C77</f>
        <v/>
      </c>
      <c r="J77" s="4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2" t="str">
        <f>'шпоргалка-3'!C77</f>
        <v/>
      </c>
      <c r="P77" s="4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2" t="e">
        <f>'шпоргалка-1'!C78</f>
        <v>#REF!</v>
      </c>
      <c r="D78" s="4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2" t="str">
        <f>'шпоргалка-2'!C78</f>
        <v/>
      </c>
      <c r="J78" s="4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2" t="str">
        <f>'шпоргалка-3'!C78</f>
        <v/>
      </c>
      <c r="P78" s="4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2" t="e">
        <f>'шпоргалка-1'!C79</f>
        <v>#REF!</v>
      </c>
      <c r="D79" s="4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2" t="str">
        <f>'шпоргалка-2'!C79</f>
        <v/>
      </c>
      <c r="J79" s="4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2" t="str">
        <f>'шпоргалка-3'!C79</f>
        <v/>
      </c>
      <c r="P79" s="4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2" t="e">
        <f>'шпоргалка-1'!C80</f>
        <v>#REF!</v>
      </c>
      <c r="D80" s="4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2" t="str">
        <f>'шпоргалка-2'!C80</f>
        <v/>
      </c>
      <c r="J80" s="4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2" t="str">
        <f>'шпоргалка-3'!C80</f>
        <v/>
      </c>
      <c r="P80" s="4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2" t="e">
        <f>'шпоргалка-1'!C81</f>
        <v>#REF!</v>
      </c>
      <c r="D81" s="4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2" t="str">
        <f>'шпоргалка-2'!C81</f>
        <v/>
      </c>
      <c r="J81" s="4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2" t="str">
        <f>'шпоргалка-3'!C81</f>
        <v/>
      </c>
      <c r="P81" s="4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2" t="e">
        <f>'шпоргалка-1'!C82</f>
        <v>#REF!</v>
      </c>
      <c r="D82" s="4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2" t="str">
        <f>'шпоргалка-2'!C82</f>
        <v/>
      </c>
      <c r="J82" s="4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2" t="str">
        <f>'шпоргалка-3'!C82</f>
        <v/>
      </c>
      <c r="P82" s="4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2" t="e">
        <f>'шпоргалка-1'!C83</f>
        <v>#REF!</v>
      </c>
      <c r="D83" s="4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2" t="str">
        <f>'шпоргалка-2'!C83</f>
        <v/>
      </c>
      <c r="J83" s="4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2" t="str">
        <f>'шпоргалка-3'!C83</f>
        <v/>
      </c>
      <c r="P83" s="4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2" t="e">
        <f>'шпоргалка-1'!C85</f>
        <v>#REF!</v>
      </c>
      <c r="D85" s="4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2" t="str">
        <f>'шпоргалка-2'!C85</f>
        <v/>
      </c>
      <c r="J85" s="4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2" t="str">
        <f>'шпоргалка-3'!C85</f>
        <v/>
      </c>
      <c r="P85" s="4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2" t="e">
        <f>'шпоргалка-1'!C86</f>
        <v>#REF!</v>
      </c>
      <c r="D86" s="4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2" t="str">
        <f>'шпоргалка-2'!C86</f>
        <v/>
      </c>
      <c r="J86" s="4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2" t="str">
        <f>'шпоргалка-3'!C86</f>
        <v/>
      </c>
      <c r="P86" s="4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2" t="e">
        <f>'шпоргалка-1'!C87</f>
        <v>#REF!</v>
      </c>
      <c r="D87" s="4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2" t="str">
        <f>'шпоргалка-2'!C87</f>
        <v/>
      </c>
      <c r="J87" s="4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2" t="str">
        <f>'шпоргалка-3'!C87</f>
        <v/>
      </c>
      <c r="P87" s="4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2" t="e">
        <f>'шпоргалка-1'!C88</f>
        <v>#REF!</v>
      </c>
      <c r="D88" s="4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2" t="str">
        <f>'шпоргалка-2'!C88</f>
        <v/>
      </c>
      <c r="J88" s="4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2" t="str">
        <f>'шпоргалка-3'!C88</f>
        <v/>
      </c>
      <c r="P88" s="4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2" t="e">
        <f>'шпоргалка-1'!C89</f>
        <v>#REF!</v>
      </c>
      <c r="D89" s="4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2" t="str">
        <f>'шпоргалка-2'!C89</f>
        <v/>
      </c>
      <c r="J89" s="4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2" t="str">
        <f>'шпоргалка-3'!C89</f>
        <v/>
      </c>
      <c r="P89" s="4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2" t="e">
        <f>'шпоргалка-1'!C90</f>
        <v>#REF!</v>
      </c>
      <c r="D90" s="4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2" t="str">
        <f>'шпоргалка-2'!C90</f>
        <v/>
      </c>
      <c r="J90" s="4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2" t="str">
        <f>'шпоргалка-3'!C90</f>
        <v/>
      </c>
      <c r="P90" s="4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2" t="e">
        <f>'шпоргалка-1'!C91</f>
        <v>#REF!</v>
      </c>
      <c r="D91" s="4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2" t="str">
        <f>'шпоргалка-2'!C91</f>
        <v/>
      </c>
      <c r="J91" s="4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2" t="str">
        <f>'шпоргалка-3'!C91</f>
        <v/>
      </c>
      <c r="P91" s="4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2" t="e">
        <f>'шпоргалка-1'!C92</f>
        <v>#REF!</v>
      </c>
      <c r="D92" s="4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2" t="str">
        <f>'шпоргалка-2'!C92</f>
        <v/>
      </c>
      <c r="J92" s="4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2" t="str">
        <f>'шпоргалка-3'!C92</f>
        <v/>
      </c>
      <c r="P92" s="4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2" t="e">
        <f>'шпоргалка-1'!C94</f>
        <v>#REF!</v>
      </c>
      <c r="D94" s="4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2" t="str">
        <f>'шпоргалка-2'!C94</f>
        <v/>
      </c>
      <c r="J94" s="4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2" t="str">
        <f>'шпоргалка-3'!C94</f>
        <v/>
      </c>
      <c r="P94" s="4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2" t="e">
        <f>'шпоргалка-1'!C95</f>
        <v>#REF!</v>
      </c>
      <c r="D95" s="4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2" t="str">
        <f>'шпоргалка-2'!C95</f>
        <v/>
      </c>
      <c r="J95" s="4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2" t="str">
        <f>'шпоргалка-3'!C95</f>
        <v/>
      </c>
      <c r="P95" s="4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2" t="e">
        <f>'шпоргалка-1'!C96</f>
        <v>#REF!</v>
      </c>
      <c r="D96" s="4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2" t="str">
        <f>'шпоргалка-2'!C96</f>
        <v/>
      </c>
      <c r="J96" s="4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2" t="str">
        <f>'шпоргалка-3'!C96</f>
        <v/>
      </c>
      <c r="P96" s="4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2" t="e">
        <f>'шпоргалка-1'!C97</f>
        <v>#REF!</v>
      </c>
      <c r="D97" s="4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2" t="str">
        <f>'шпоргалка-2'!C97</f>
        <v/>
      </c>
      <c r="J97" s="4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2" t="str">
        <f>'шпоргалка-3'!C97</f>
        <v/>
      </c>
      <c r="P97" s="4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2" t="e">
        <f>'шпоргалка-1'!C98</f>
        <v>#REF!</v>
      </c>
      <c r="D98" s="4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2" t="str">
        <f>'шпоргалка-2'!C98</f>
        <v/>
      </c>
      <c r="J98" s="4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2" t="str">
        <f>'шпоргалка-3'!C98</f>
        <v/>
      </c>
      <c r="P98" s="4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2" t="e">
        <f>'шпоргалка-1'!C99</f>
        <v>#REF!</v>
      </c>
      <c r="D99" s="4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2" t="str">
        <f>'шпоргалка-2'!C99</f>
        <v/>
      </c>
      <c r="J99" s="4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2" t="str">
        <f>'шпоргалка-3'!C99</f>
        <v/>
      </c>
      <c r="P99" s="4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2" t="e">
        <f>'шпоргалка-1'!C100</f>
        <v>#REF!</v>
      </c>
      <c r="D100" s="4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2" t="str">
        <f>'шпоргалка-2'!C100</f>
        <v/>
      </c>
      <c r="J100" s="4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2" t="str">
        <f>'шпоргалка-3'!C100</f>
        <v/>
      </c>
      <c r="P100" s="4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2" t="e">
        <f>'шпоргалка-1'!C101</f>
        <v>#REF!</v>
      </c>
      <c r="D101" s="4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2" t="str">
        <f>'шпоргалка-2'!C101</f>
        <v/>
      </c>
      <c r="J101" s="4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2" t="str">
        <f>'шпоргалка-3'!C101</f>
        <v/>
      </c>
      <c r="P101" s="4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2" t="e">
        <f>'шпоргалка-1'!C103</f>
        <v>#REF!</v>
      </c>
      <c r="D103" s="4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2" t="str">
        <f>'шпоргалка-2'!C103</f>
        <v/>
      </c>
      <c r="J103" s="4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2" t="str">
        <f>'шпоргалка-3'!C103</f>
        <v/>
      </c>
      <c r="P103" s="4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2" t="e">
        <f>'шпоргалка-1'!C104</f>
        <v>#REF!</v>
      </c>
      <c r="D104" s="4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2" t="str">
        <f>'шпоргалка-2'!C104</f>
        <v/>
      </c>
      <c r="J104" s="4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2" t="str">
        <f>'шпоргалка-3'!C104</f>
        <v/>
      </c>
      <c r="P104" s="4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2" t="e">
        <f>'шпоргалка-1'!C105</f>
        <v>#REF!</v>
      </c>
      <c r="D105" s="4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2" t="str">
        <f>'шпоргалка-2'!C105</f>
        <v/>
      </c>
      <c r="J105" s="4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2" t="str">
        <f>'шпоргалка-3'!C105</f>
        <v/>
      </c>
      <c r="P105" s="4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2" t="e">
        <f>'шпоргалка-1'!C106</f>
        <v>#REF!</v>
      </c>
      <c r="D106" s="4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2" t="str">
        <f>'шпоргалка-2'!C106</f>
        <v/>
      </c>
      <c r="J106" s="4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2" t="str">
        <f>'шпоргалка-3'!C106</f>
        <v/>
      </c>
      <c r="P106" s="4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2" t="e">
        <f>'шпоргалка-1'!C107</f>
        <v>#REF!</v>
      </c>
      <c r="D107" s="4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2" t="str">
        <f>'шпоргалка-2'!C107</f>
        <v/>
      </c>
      <c r="J107" s="4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2" t="str">
        <f>'шпоргалка-3'!C107</f>
        <v/>
      </c>
      <c r="P107" s="4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2" t="e">
        <f>'шпоргалка-1'!C108</f>
        <v>#REF!</v>
      </c>
      <c r="D108" s="4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2" t="str">
        <f>'шпоргалка-2'!C108</f>
        <v/>
      </c>
      <c r="J108" s="4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2" t="str">
        <f>'шпоргалка-3'!C108</f>
        <v/>
      </c>
      <c r="P108" s="4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2" t="e">
        <f>'шпоргалка-1'!C109</f>
        <v>#REF!</v>
      </c>
      <c r="D109" s="4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2" t="str">
        <f>'шпоргалка-2'!C109</f>
        <v/>
      </c>
      <c r="J109" s="4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2" t="str">
        <f>'шпоргалка-3'!C109</f>
        <v/>
      </c>
      <c r="P109" s="4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2" t="e">
        <f>'шпоргалка-1'!C110</f>
        <v>#REF!</v>
      </c>
      <c r="D110" s="4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2" t="str">
        <f>'шпоргалка-2'!C110</f>
        <v/>
      </c>
      <c r="J110" s="4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2" t="str">
        <f>'шпоргалка-3'!C110</f>
        <v/>
      </c>
      <c r="P110" s="4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2" t="e">
        <f>'шпоргалка-1'!C112</f>
        <v>#REF!</v>
      </c>
      <c r="D112" s="4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2" t="str">
        <f>'шпоргалка-2'!C112</f>
        <v/>
      </c>
      <c r="J112" s="4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2" t="str">
        <f>'шпоргалка-3'!C112</f>
        <v/>
      </c>
      <c r="P112" s="4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2" t="e">
        <f>'шпоргалка-1'!C113</f>
        <v>#REF!</v>
      </c>
      <c r="D113" s="4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2" t="str">
        <f>'шпоргалка-2'!C113</f>
        <v/>
      </c>
      <c r="J113" s="4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2" t="str">
        <f>'шпоргалка-3'!C113</f>
        <v/>
      </c>
      <c r="P113" s="4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2" t="e">
        <f>'шпоргалка-1'!C114</f>
        <v>#REF!</v>
      </c>
      <c r="D114" s="4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2" t="str">
        <f>'шпоргалка-2'!C114</f>
        <v/>
      </c>
      <c r="J114" s="4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2" t="str">
        <f>'шпоргалка-3'!C114</f>
        <v/>
      </c>
      <c r="P114" s="4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2" t="e">
        <f>'шпоргалка-1'!C115</f>
        <v>#REF!</v>
      </c>
      <c r="D115" s="4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2" t="str">
        <f>'шпоргалка-2'!C115</f>
        <v/>
      </c>
      <c r="J115" s="4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2" t="str">
        <f>'шпоргалка-3'!C115</f>
        <v/>
      </c>
      <c r="P115" s="4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2" t="e">
        <f>'шпоргалка-1'!C116</f>
        <v>#REF!</v>
      </c>
      <c r="D116" s="4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2" t="str">
        <f>'шпоргалка-2'!C116</f>
        <v/>
      </c>
      <c r="J116" s="4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2" t="str">
        <f>'шпоргалка-3'!C116</f>
        <v/>
      </c>
      <c r="P116" s="4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2" t="e">
        <f>'шпоргалка-1'!C117</f>
        <v>#REF!</v>
      </c>
      <c r="D117" s="4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2" t="str">
        <f>'шпоргалка-2'!C117</f>
        <v/>
      </c>
      <c r="J117" s="4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2" t="str">
        <f>'шпоргалка-3'!C117</f>
        <v/>
      </c>
      <c r="P117" s="4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2" t="e">
        <f>'шпоргалка-1'!C118</f>
        <v>#REF!</v>
      </c>
      <c r="D118" s="4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2" t="str">
        <f>'шпоргалка-2'!C118</f>
        <v/>
      </c>
      <c r="J118" s="4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2" t="str">
        <f>'шпоргалка-3'!C118</f>
        <v/>
      </c>
      <c r="P118" s="4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2" t="e">
        <f>'шпоргалка-1'!C119</f>
        <v>#REF!</v>
      </c>
      <c r="D119" s="4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2" t="str">
        <f>'шпоргалка-2'!C119</f>
        <v/>
      </c>
      <c r="J119" s="4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2" t="str">
        <f>'шпоргалка-3'!C119</f>
        <v/>
      </c>
      <c r="P119" s="4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2" t="e">
        <f>'шпоргалка-1'!C121</f>
        <v>#REF!</v>
      </c>
      <c r="D121" s="4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2" t="str">
        <f>'шпоргалка-2'!C121</f>
        <v/>
      </c>
      <c r="J121" s="4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2" t="str">
        <f>'шпоргалка-3'!C121</f>
        <v/>
      </c>
      <c r="P121" s="4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2" t="e">
        <f>'шпоргалка-1'!C122</f>
        <v>#REF!</v>
      </c>
      <c r="D122" s="4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2" t="str">
        <f>'шпоргалка-2'!C122</f>
        <v/>
      </c>
      <c r="J122" s="4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2" t="str">
        <f>'шпоргалка-3'!C122</f>
        <v/>
      </c>
      <c r="P122" s="4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2" t="e">
        <f>'шпоргалка-1'!C123</f>
        <v>#REF!</v>
      </c>
      <c r="D123" s="4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2" t="str">
        <f>'шпоргалка-2'!C123</f>
        <v/>
      </c>
      <c r="J123" s="4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2" t="str">
        <f>'шпоргалка-3'!C123</f>
        <v/>
      </c>
      <c r="P123" s="4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2" t="e">
        <f>'шпоргалка-1'!C124</f>
        <v>#REF!</v>
      </c>
      <c r="D124" s="4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2" t="str">
        <f>'шпоргалка-2'!C124</f>
        <v/>
      </c>
      <c r="J124" s="4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2" t="str">
        <f>'шпоргалка-3'!C124</f>
        <v/>
      </c>
      <c r="P124" s="4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2" t="e">
        <f>'шпоргалка-1'!C125</f>
        <v>#REF!</v>
      </c>
      <c r="D125" s="4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2" t="str">
        <f>'шпоргалка-2'!C125</f>
        <v/>
      </c>
      <c r="J125" s="4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2" t="str">
        <f>'шпоргалка-3'!C125</f>
        <v/>
      </c>
      <c r="P125" s="4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2" t="e">
        <f>'шпоргалка-1'!C126</f>
        <v>#REF!</v>
      </c>
      <c r="D126" s="4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2" t="str">
        <f>'шпоргалка-2'!C126</f>
        <v/>
      </c>
      <c r="J126" s="4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2" t="str">
        <f>'шпоргалка-3'!C126</f>
        <v/>
      </c>
      <c r="P126" s="4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2" t="e">
        <f>'шпоргалка-1'!C127</f>
        <v>#REF!</v>
      </c>
      <c r="D127" s="4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2" t="str">
        <f>'шпоргалка-2'!C127</f>
        <v/>
      </c>
      <c r="J127" s="4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2" t="str">
        <f>'шпоргалка-3'!C127</f>
        <v/>
      </c>
      <c r="P127" s="4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2" t="e">
        <f>'шпоргалка-1'!C128</f>
        <v>#REF!</v>
      </c>
      <c r="D128" s="4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2" t="str">
        <f>'шпоргалка-2'!C128</f>
        <v/>
      </c>
      <c r="J128" s="4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2" t="str">
        <f>'шпоргалка-3'!C128</f>
        <v/>
      </c>
      <c r="P128" s="4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2" t="e">
        <f>'шпоргалка-1'!C130</f>
        <v>#REF!</v>
      </c>
      <c r="D130" s="4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2" t="str">
        <f>'шпоргалка-2'!C130</f>
        <v/>
      </c>
      <c r="J130" s="4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2" t="str">
        <f>'шпоргалка-3'!C130</f>
        <v/>
      </c>
      <c r="P130" s="4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2" t="e">
        <f>'шпоргалка-1'!C131</f>
        <v>#REF!</v>
      </c>
      <c r="D131" s="4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2" t="str">
        <f>'шпоргалка-2'!C131</f>
        <v/>
      </c>
      <c r="J131" s="4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2" t="str">
        <f>'шпоргалка-3'!C131</f>
        <v/>
      </c>
      <c r="P131" s="4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2" t="e">
        <f>'шпоргалка-1'!C132</f>
        <v>#REF!</v>
      </c>
      <c r="D132" s="4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2" t="str">
        <f>'шпоргалка-2'!C132</f>
        <v/>
      </c>
      <c r="J132" s="4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2" t="str">
        <f>'шпоргалка-3'!C132</f>
        <v/>
      </c>
      <c r="P132" s="4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2" t="e">
        <f>'шпоргалка-1'!C133</f>
        <v>#REF!</v>
      </c>
      <c r="D133" s="4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2" t="str">
        <f>'шпоргалка-2'!C133</f>
        <v/>
      </c>
      <c r="J133" s="4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2" t="str">
        <f>'шпоргалка-3'!C133</f>
        <v/>
      </c>
      <c r="P133" s="4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2" t="e">
        <f>'шпоргалка-1'!C134</f>
        <v>#REF!</v>
      </c>
      <c r="D134" s="4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2" t="str">
        <f>'шпоргалка-2'!C134</f>
        <v/>
      </c>
      <c r="J134" s="4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2" t="str">
        <f>'шпоргалка-3'!C134</f>
        <v/>
      </c>
      <c r="P134" s="4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2" t="e">
        <f>'шпоргалка-1'!C135</f>
        <v>#REF!</v>
      </c>
      <c r="D135" s="4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2" t="str">
        <f>'шпоргалка-2'!C135</f>
        <v/>
      </c>
      <c r="J135" s="4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2" t="str">
        <f>'шпоргалка-3'!C135</f>
        <v/>
      </c>
      <c r="P135" s="4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2" t="e">
        <f>'шпоргалка-1'!C136</f>
        <v>#REF!</v>
      </c>
      <c r="D136" s="4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2" t="str">
        <f>'шпоргалка-2'!C136</f>
        <v/>
      </c>
      <c r="J136" s="4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2" t="str">
        <f>'шпоргалка-3'!C136</f>
        <v/>
      </c>
      <c r="P136" s="4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2" t="e">
        <f>'шпоргалка-1'!C137</f>
        <v>#REF!</v>
      </c>
      <c r="D137" s="4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2" t="str">
        <f>'шпоргалка-2'!C137</f>
        <v/>
      </c>
      <c r="J137" s="4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2" t="str">
        <f>'шпоргалка-3'!C137</f>
        <v/>
      </c>
      <c r="P137" s="4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2" t="e">
        <f>'шпоргалка-1'!C139</f>
        <v>#REF!</v>
      </c>
      <c r="D139" s="4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2" t="str">
        <f>'шпоргалка-2'!C139</f>
        <v/>
      </c>
      <c r="J139" s="4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2" t="str">
        <f>'шпоргалка-3'!C139</f>
        <v/>
      </c>
      <c r="P139" s="4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2" t="e">
        <f>'шпоргалка-1'!C140</f>
        <v>#REF!</v>
      </c>
      <c r="D140" s="4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2" t="str">
        <f>'шпоргалка-2'!C140</f>
        <v/>
      </c>
      <c r="J140" s="4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2" t="str">
        <f>'шпоргалка-3'!C140</f>
        <v/>
      </c>
      <c r="P140" s="4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2" t="e">
        <f>'шпоргалка-1'!C141</f>
        <v>#REF!</v>
      </c>
      <c r="D141" s="4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2" t="str">
        <f>'шпоргалка-2'!C141</f>
        <v/>
      </c>
      <c r="J141" s="4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2" t="str">
        <f>'шпоргалка-3'!C141</f>
        <v/>
      </c>
      <c r="P141" s="4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2" t="e">
        <f>'шпоргалка-1'!C142</f>
        <v>#REF!</v>
      </c>
      <c r="D142" s="4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2" t="str">
        <f>'шпоргалка-2'!C142</f>
        <v/>
      </c>
      <c r="J142" s="4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2" t="str">
        <f>'шпоргалка-3'!C142</f>
        <v/>
      </c>
      <c r="P142" s="4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2" t="e">
        <f>'шпоргалка-1'!C143</f>
        <v>#REF!</v>
      </c>
      <c r="D143" s="4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2" t="str">
        <f>'шпоргалка-2'!C143</f>
        <v/>
      </c>
      <c r="J143" s="4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2" t="str">
        <f>'шпоргалка-3'!C143</f>
        <v/>
      </c>
      <c r="P143" s="4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2" t="e">
        <f>'шпоргалка-1'!C144</f>
        <v>#REF!</v>
      </c>
      <c r="D144" s="4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2" t="str">
        <f>'шпоргалка-2'!C144</f>
        <v/>
      </c>
      <c r="J144" s="4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2" t="str">
        <f>'шпоргалка-3'!C144</f>
        <v/>
      </c>
      <c r="P144" s="4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2" t="e">
        <f>'шпоргалка-1'!C145</f>
        <v>#REF!</v>
      </c>
      <c r="D145" s="4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2" t="str">
        <f>'шпоргалка-2'!C145</f>
        <v/>
      </c>
      <c r="J145" s="4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2" t="str">
        <f>'шпоргалка-3'!C145</f>
        <v/>
      </c>
      <c r="P145" s="4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2" t="e">
        <f>'шпоргалка-1'!C146</f>
        <v>#REF!</v>
      </c>
      <c r="D146" s="4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2" t="str">
        <f>'шпоргалка-2'!C146</f>
        <v/>
      </c>
      <c r="J146" s="4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2" t="str">
        <f>'шпоргалка-3'!C146</f>
        <v/>
      </c>
      <c r="P146" s="4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workbookViewId="0">
      <selection activeCell="O34" sqref="O34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CONCATENATE("п.",'шпоргалка-1'!D4," - ",'шпоргалка-1'!B4)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e">
        <f>CONCATENATE("п.",'шпоргалка-1'!D22," - ",'шпоргалка-1'!B22)</f>
        <v>#REF!</v>
      </c>
      <c r="H2" s="56">
        <v>17</v>
      </c>
      <c r="I2" s="58" t="e">
        <f t="shared" ref="I2:I17" si="0">G2</f>
        <v>#REF!</v>
      </c>
      <c r="K2" s="162" t="s">
        <v>33</v>
      </c>
      <c r="L2" s="163"/>
    </row>
    <row r="3" spans="2:12" ht="24.75" customHeight="1" x14ac:dyDescent="0.25">
      <c r="B3" s="56">
        <v>2</v>
      </c>
      <c r="C3" s="58" t="str">
        <f>CONCATENATE("п.",'шпоргалка-1'!D5," - ",'шпоргалка-1'!B5)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e">
        <f>CONCATENATE("п.",'шпоргалка-1'!D23," - ",'шпоргалка-1'!B23)</f>
        <v>#REF!</v>
      </c>
      <c r="H3" s="56">
        <v>18</v>
      </c>
      <c r="I3" s="58" t="e">
        <f t="shared" si="0"/>
        <v>#REF!</v>
      </c>
      <c r="K3" s="161"/>
      <c r="L3" s="161"/>
    </row>
    <row r="4" spans="2:12" ht="24.75" customHeight="1" x14ac:dyDescent="0.25">
      <c r="B4" s="56">
        <v>3</v>
      </c>
      <c r="C4" s="58" t="str">
        <f>CONCATENATE("п.",'шпоргалка-1'!D6," - ",'шпоргалка-1'!B6)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e">
        <f>CONCATENATE("п.",'шпоргалка-1'!D24," - ",'шпоргалка-1'!B24)</f>
        <v>#REF!</v>
      </c>
      <c r="H4" s="56">
        <v>19</v>
      </c>
      <c r="I4" s="58" t="e">
        <f t="shared" si="0"/>
        <v>#REF!</v>
      </c>
      <c r="K4" s="161"/>
      <c r="L4" s="161"/>
    </row>
    <row r="5" spans="2:12" ht="24.75" customHeight="1" x14ac:dyDescent="0.25">
      <c r="B5" s="56">
        <v>4</v>
      </c>
      <c r="C5" s="58" t="str">
        <f>CONCATENATE("п.",'шпоргалка-1'!D7," - ",'шпоргалка-1'!B7)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e">
        <f>CONCATENATE("п.",'шпоргалка-1'!D25," - ",'шпоргалка-1'!B25)</f>
        <v>#REF!</v>
      </c>
      <c r="H5" s="56">
        <v>20</v>
      </c>
      <c r="I5" s="58" t="e">
        <f t="shared" si="0"/>
        <v>#REF!</v>
      </c>
      <c r="K5" s="161"/>
      <c r="L5" s="161"/>
    </row>
    <row r="6" spans="2:12" ht="24.75" customHeight="1" x14ac:dyDescent="0.25">
      <c r="B6" s="56">
        <v>5</v>
      </c>
      <c r="C6" s="58" t="e">
        <f>CONCATENATE("п.",'шпоргалка-1'!D8," - ",'шпоргалка-1'!B8)</f>
        <v>#REF!</v>
      </c>
      <c r="D6" s="56">
        <v>5</v>
      </c>
      <c r="E6" s="58" t="e">
        <f t="shared" si="1"/>
        <v>#REF!</v>
      </c>
      <c r="F6" s="56">
        <v>21</v>
      </c>
      <c r="G6" s="58" t="e">
        <f>CONCATENATE("п.",'шпоргалка-1'!D26," - ",'шпоргалка-1'!B26)</f>
        <v>#REF!</v>
      </c>
      <c r="H6" s="56">
        <v>21</v>
      </c>
      <c r="I6" s="58" t="e">
        <f t="shared" si="0"/>
        <v>#REF!</v>
      </c>
      <c r="K6" s="161"/>
      <c r="L6" s="161"/>
    </row>
    <row r="7" spans="2:12" ht="24.75" customHeight="1" x14ac:dyDescent="0.25">
      <c r="B7" s="56">
        <v>6</v>
      </c>
      <c r="C7" s="58" t="e">
        <f>CONCATENATE("п.",'шпоргалка-1'!D9," - ",'шпоргалка-1'!B9)</f>
        <v>#REF!</v>
      </c>
      <c r="D7" s="56">
        <v>6</v>
      </c>
      <c r="E7" s="58" t="e">
        <f t="shared" si="1"/>
        <v>#REF!</v>
      </c>
      <c r="F7" s="56">
        <v>22</v>
      </c>
      <c r="G7" s="58" t="e">
        <f>CONCATENATE("п.",'шпоргалка-1'!D27," - ",'шпоргалка-1'!B27)</f>
        <v>#REF!</v>
      </c>
      <c r="H7" s="56">
        <v>22</v>
      </c>
      <c r="I7" s="58" t="e">
        <f t="shared" si="0"/>
        <v>#REF!</v>
      </c>
      <c r="K7" s="161"/>
      <c r="L7" s="161"/>
    </row>
    <row r="8" spans="2:12" ht="24.75" customHeight="1" x14ac:dyDescent="0.25">
      <c r="B8" s="56">
        <v>7</v>
      </c>
      <c r="C8" s="58" t="e">
        <f>CONCATENATE("п.",'шпоргалка-1'!D10," - ",'шпоргалка-1'!B10)</f>
        <v>#REF!</v>
      </c>
      <c r="D8" s="56">
        <v>7</v>
      </c>
      <c r="E8" s="58" t="e">
        <f t="shared" si="1"/>
        <v>#REF!</v>
      </c>
      <c r="F8" s="56">
        <v>23</v>
      </c>
      <c r="G8" s="58" t="e">
        <f>CONCATENATE("п.",'шпоргалка-1'!D28," - ",'шпоргалка-1'!B28)</f>
        <v>#REF!</v>
      </c>
      <c r="H8" s="56">
        <v>23</v>
      </c>
      <c r="I8" s="58" t="e">
        <f t="shared" si="0"/>
        <v>#REF!</v>
      </c>
      <c r="K8" s="161"/>
      <c r="L8" s="161"/>
    </row>
    <row r="9" spans="2:12" ht="24.75" customHeight="1" x14ac:dyDescent="0.25">
      <c r="B9" s="56">
        <v>8</v>
      </c>
      <c r="C9" s="58" t="e">
        <f>CONCATENATE("п.",'шпоргалка-1'!D11," - ",'шпоргалка-1'!B11)</f>
        <v>#REF!</v>
      </c>
      <c r="D9" s="56">
        <v>8</v>
      </c>
      <c r="E9" s="58" t="e">
        <f t="shared" si="1"/>
        <v>#REF!</v>
      </c>
      <c r="F9" s="56">
        <v>24</v>
      </c>
      <c r="G9" s="58" t="e">
        <f>CONCATENATE("п.",'шпоргалка-1'!D29," - ",'шпоргалка-1'!B29)</f>
        <v>#REF!</v>
      </c>
      <c r="H9" s="56">
        <v>24</v>
      </c>
      <c r="I9" s="58" t="e">
        <f t="shared" si="0"/>
        <v>#REF!</v>
      </c>
      <c r="K9" s="161"/>
      <c r="L9" s="161"/>
    </row>
    <row r="10" spans="2:12" ht="24.75" customHeight="1" x14ac:dyDescent="0.25">
      <c r="B10" s="56">
        <v>9</v>
      </c>
      <c r="C10" s="58" t="e">
        <f>CONCATENATE("п.",'шпоргалка-1'!D13," - ",'шпоргалка-1'!B13)</f>
        <v>#REF!</v>
      </c>
      <c r="D10" s="56">
        <v>9</v>
      </c>
      <c r="E10" s="58" t="e">
        <f>C10</f>
        <v>#REF!</v>
      </c>
      <c r="F10" s="56">
        <v>25</v>
      </c>
      <c r="G10" s="58" t="e">
        <f>CONCATENATE("п.",'шпоргалка-1'!D31," - ",'шпоргалка-1'!B31)</f>
        <v>#REF!</v>
      </c>
      <c r="H10" s="56">
        <v>25</v>
      </c>
      <c r="I10" s="58" t="e">
        <f t="shared" si="0"/>
        <v>#REF!</v>
      </c>
      <c r="K10" s="161"/>
      <c r="L10" s="161"/>
    </row>
    <row r="11" spans="2:12" ht="24.75" customHeight="1" x14ac:dyDescent="0.25">
      <c r="B11" s="56">
        <v>10</v>
      </c>
      <c r="C11" s="58" t="e">
        <f>CONCATENATE("п.",'шпоргалка-1'!D14," - ",'шпоргалка-1'!B14)</f>
        <v>#REF!</v>
      </c>
      <c r="D11" s="56">
        <v>10</v>
      </c>
      <c r="E11" s="58" t="e">
        <f>C11</f>
        <v>#REF!</v>
      </c>
      <c r="F11" s="56">
        <v>26</v>
      </c>
      <c r="G11" s="58" t="e">
        <f>CONCATENATE("п.",'шпоргалка-1'!D32," - ",'шпоргалка-1'!B32)</f>
        <v>#REF!</v>
      </c>
      <c r="H11" s="56">
        <v>26</v>
      </c>
      <c r="I11" s="58" t="e">
        <f t="shared" si="0"/>
        <v>#REF!</v>
      </c>
      <c r="K11" s="161"/>
      <c r="L11" s="161"/>
    </row>
    <row r="12" spans="2:12" ht="24.75" customHeight="1" x14ac:dyDescent="0.25">
      <c r="B12" s="56">
        <v>11</v>
      </c>
      <c r="C12" s="58" t="e">
        <f>CONCATENATE("п.",'шпоргалка-1'!D15," - ",'шпоргалка-1'!B15)</f>
        <v>#REF!</v>
      </c>
      <c r="D12" s="56">
        <v>11</v>
      </c>
      <c r="E12" s="58" t="e">
        <f t="shared" ref="E12:E17" si="2">C12</f>
        <v>#REF!</v>
      </c>
      <c r="F12" s="56">
        <v>27</v>
      </c>
      <c r="G12" s="58" t="e">
        <f>CONCATENATE("п.",'шпоргалка-1'!D33," - ",'шпоргалка-1'!B33)</f>
        <v>#REF!</v>
      </c>
      <c r="H12" s="56">
        <v>27</v>
      </c>
      <c r="I12" s="58" t="e">
        <f t="shared" si="0"/>
        <v>#REF!</v>
      </c>
      <c r="K12" s="161"/>
      <c r="L12" s="161"/>
    </row>
    <row r="13" spans="2:12" ht="24.75" customHeight="1" x14ac:dyDescent="0.25">
      <c r="B13" s="56">
        <v>12</v>
      </c>
      <c r="C13" s="58" t="e">
        <f>CONCATENATE("п.",'шпоргалка-1'!D16," - ",'шпоргалка-1'!B16)</f>
        <v>#REF!</v>
      </c>
      <c r="D13" s="56">
        <v>12</v>
      </c>
      <c r="E13" s="58" t="e">
        <f t="shared" si="2"/>
        <v>#REF!</v>
      </c>
      <c r="F13" s="56">
        <v>28</v>
      </c>
      <c r="G13" s="58" t="e">
        <f>CONCATENATE("п.",'шпоргалка-1'!D34," - ",'шпоргалка-1'!B34)</f>
        <v>#REF!</v>
      </c>
      <c r="H13" s="56">
        <v>28</v>
      </c>
      <c r="I13" s="58" t="e">
        <f t="shared" si="0"/>
        <v>#REF!</v>
      </c>
      <c r="K13" s="161"/>
      <c r="L13" s="161"/>
    </row>
    <row r="14" spans="2:12" ht="24.75" customHeight="1" x14ac:dyDescent="0.25">
      <c r="B14" s="56">
        <v>13</v>
      </c>
      <c r="C14" s="58" t="e">
        <f>CONCATENATE("п.",'шпоргалка-1'!D17," - ",'шпоргалка-1'!B17)</f>
        <v>#REF!</v>
      </c>
      <c r="D14" s="56">
        <v>13</v>
      </c>
      <c r="E14" s="58" t="e">
        <f t="shared" si="2"/>
        <v>#REF!</v>
      </c>
      <c r="F14" s="56">
        <v>29</v>
      </c>
      <c r="G14" s="58" t="e">
        <f>CONCATENATE("п.",'шпоргалка-1'!D35," - ",'шпоргалка-1'!B35)</f>
        <v>#REF!</v>
      </c>
      <c r="H14" s="56">
        <v>29</v>
      </c>
      <c r="I14" s="58" t="e">
        <f t="shared" si="0"/>
        <v>#REF!</v>
      </c>
      <c r="K14" s="161"/>
      <c r="L14" s="161"/>
    </row>
    <row r="15" spans="2:12" ht="24.75" customHeight="1" x14ac:dyDescent="0.25">
      <c r="B15" s="56">
        <v>14</v>
      </c>
      <c r="C15" s="58" t="e">
        <f>CONCATENATE("п.",'шпоргалка-1'!D18," - ",'шпоргалка-1'!B18)</f>
        <v>#REF!</v>
      </c>
      <c r="D15" s="56">
        <v>14</v>
      </c>
      <c r="E15" s="58" t="e">
        <f t="shared" si="2"/>
        <v>#REF!</v>
      </c>
      <c r="F15" s="56">
        <v>30</v>
      </c>
      <c r="G15" s="58" t="e">
        <f>CONCATENATE("п.",'шпоргалка-1'!D36," - ",'шпоргалка-1'!B36)</f>
        <v>#REF!</v>
      </c>
      <c r="H15" s="56">
        <v>30</v>
      </c>
      <c r="I15" s="58" t="e">
        <f t="shared" si="0"/>
        <v>#REF!</v>
      </c>
      <c r="K15" s="161"/>
      <c r="L15" s="161"/>
    </row>
    <row r="16" spans="2:12" ht="24.75" customHeight="1" x14ac:dyDescent="0.25">
      <c r="B16" s="56">
        <v>15</v>
      </c>
      <c r="C16" s="58" t="e">
        <f>CONCATENATE("п.",'шпоргалка-1'!D19," - ",'шпоргалка-1'!B19)</f>
        <v>#REF!</v>
      </c>
      <c r="D16" s="56">
        <v>15</v>
      </c>
      <c r="E16" s="58" t="e">
        <f t="shared" si="2"/>
        <v>#REF!</v>
      </c>
      <c r="F16" s="56">
        <v>31</v>
      </c>
      <c r="G16" s="58" t="e">
        <f>CONCATENATE("п.",'шпоргалка-1'!D37," - ",'шпоргалка-1'!B37)</f>
        <v>#REF!</v>
      </c>
      <c r="H16" s="56">
        <v>31</v>
      </c>
      <c r="I16" s="58" t="e">
        <f t="shared" si="0"/>
        <v>#REF!</v>
      </c>
      <c r="K16" s="161"/>
      <c r="L16" s="161"/>
    </row>
    <row r="17" spans="2:12" ht="24.75" customHeight="1" x14ac:dyDescent="0.25">
      <c r="B17" s="56">
        <v>16</v>
      </c>
      <c r="C17" s="58" t="e">
        <f>CONCATENATE("п.",'шпоргалка-1'!D20," - ",'шпоргалка-1'!B20)</f>
        <v>#REF!</v>
      </c>
      <c r="D17" s="56">
        <v>16</v>
      </c>
      <c r="E17" s="58" t="e">
        <f t="shared" si="2"/>
        <v>#REF!</v>
      </c>
      <c r="F17" s="56">
        <v>32</v>
      </c>
      <c r="G17" s="58" t="e">
        <f>CONCATENATE("п.",'шпоргалка-1'!D38," - ",'шпоргалка-1'!B38)</f>
        <v>#REF!</v>
      </c>
      <c r="H17" s="56">
        <v>32</v>
      </c>
      <c r="I17" s="58" t="e">
        <f t="shared" si="0"/>
        <v>#REF!</v>
      </c>
      <c r="K17" s="161"/>
      <c r="L17" s="161"/>
    </row>
    <row r="20" spans="2:12" ht="15.75" thickBot="1" x14ac:dyDescent="0.3"/>
    <row r="21" spans="2:12" ht="24.75" customHeight="1" thickBot="1" x14ac:dyDescent="0.3">
      <c r="B21" s="56">
        <v>33</v>
      </c>
      <c r="C21" s="58" t="e">
        <f>CONCATENATE("п.",'шпоргалка-1'!D40," - ",'шпоргалка-1'!B40)</f>
        <v>#REF!</v>
      </c>
      <c r="D21" s="56">
        <v>33</v>
      </c>
      <c r="E21" s="58" t="e">
        <f t="shared" ref="E21:E36" si="3">C21</f>
        <v>#REF!</v>
      </c>
      <c r="F21" s="56">
        <v>49</v>
      </c>
      <c r="G21" s="58" t="e">
        <f>CONCATENATE("п.",'шпоргалка-1'!D58," - ",'шпоргалка-1'!B58)</f>
        <v>#REF!</v>
      </c>
      <c r="H21" s="56">
        <v>49</v>
      </c>
      <c r="I21" s="58" t="e">
        <f>G21</f>
        <v>#REF!</v>
      </c>
      <c r="K21" s="162" t="s">
        <v>34</v>
      </c>
      <c r="L21" s="163"/>
    </row>
    <row r="22" spans="2:12" ht="24.75" customHeight="1" x14ac:dyDescent="0.25">
      <c r="B22" s="56">
        <v>34</v>
      </c>
      <c r="C22" s="58" t="e">
        <f>CONCATENATE("п.",'шпоргалка-1'!D41," - ",'шпоргалка-1'!B41)</f>
        <v>#REF!</v>
      </c>
      <c r="D22" s="56">
        <v>34</v>
      </c>
      <c r="E22" s="58" t="e">
        <f t="shared" si="3"/>
        <v>#REF!</v>
      </c>
      <c r="F22" s="56">
        <v>50</v>
      </c>
      <c r="G22" s="58" t="e">
        <f>CONCATENATE("п.",'шпоргалка-1'!D59," - ",'шпоргалка-1'!B59)</f>
        <v>#REF!</v>
      </c>
      <c r="H22" s="56">
        <v>50</v>
      </c>
      <c r="I22" s="58" t="e">
        <f>G22</f>
        <v>#REF!</v>
      </c>
      <c r="K22" s="161"/>
      <c r="L22" s="161"/>
    </row>
    <row r="23" spans="2:12" ht="24.75" customHeight="1" x14ac:dyDescent="0.25">
      <c r="B23" s="56">
        <v>35</v>
      </c>
      <c r="C23" s="58" t="e">
        <f>CONCATENATE("п.",'шпоргалка-1'!D42," - ",'шпоргалка-1'!B42)</f>
        <v>#REF!</v>
      </c>
      <c r="D23" s="56">
        <v>35</v>
      </c>
      <c r="E23" s="58" t="e">
        <f t="shared" si="3"/>
        <v>#REF!</v>
      </c>
      <c r="F23" s="56">
        <v>51</v>
      </c>
      <c r="G23" s="58" t="e">
        <f>CONCATENATE("п.",'шпоргалка-1'!D60," - ",'шпоргалка-1'!B60)</f>
        <v>#REF!</v>
      </c>
      <c r="H23" s="56">
        <v>51</v>
      </c>
      <c r="I23" s="58" t="e">
        <f t="shared" ref="I23:I36" si="4">G23</f>
        <v>#REF!</v>
      </c>
      <c r="K23" s="161"/>
      <c r="L23" s="161"/>
    </row>
    <row r="24" spans="2:12" ht="24.75" customHeight="1" x14ac:dyDescent="0.25">
      <c r="B24" s="56">
        <v>36</v>
      </c>
      <c r="C24" s="58" t="e">
        <f>CONCATENATE("п.",'шпоргалка-1'!D43," - ",'шпоргалка-1'!B43)</f>
        <v>#REF!</v>
      </c>
      <c r="D24" s="56">
        <v>36</v>
      </c>
      <c r="E24" s="58" t="e">
        <f t="shared" si="3"/>
        <v>#REF!</v>
      </c>
      <c r="F24" s="56">
        <v>52</v>
      </c>
      <c r="G24" s="58" t="e">
        <f>CONCATENATE("п.",'шпоргалка-1'!D61," - ",'шпоргалка-1'!B61)</f>
        <v>#REF!</v>
      </c>
      <c r="H24" s="56">
        <v>52</v>
      </c>
      <c r="I24" s="58" t="e">
        <f t="shared" si="4"/>
        <v>#REF!</v>
      </c>
      <c r="K24" s="161"/>
      <c r="L24" s="161"/>
    </row>
    <row r="25" spans="2:12" ht="24.75" customHeight="1" x14ac:dyDescent="0.25">
      <c r="B25" s="56">
        <v>37</v>
      </c>
      <c r="C25" s="58" t="e">
        <f>CONCATENATE("п.",'шпоргалка-1'!D44," - ",'шпоргалка-1'!B44)</f>
        <v>#REF!</v>
      </c>
      <c r="D25" s="56">
        <v>37</v>
      </c>
      <c r="E25" s="58" t="e">
        <f t="shared" si="3"/>
        <v>#REF!</v>
      </c>
      <c r="F25" s="56">
        <v>53</v>
      </c>
      <c r="G25" s="58" t="e">
        <f>CONCATENATE("п.",'шпоргалка-1'!D62," - ",'шпоргалка-1'!B62)</f>
        <v>#REF!</v>
      </c>
      <c r="H25" s="56">
        <v>53</v>
      </c>
      <c r="I25" s="58" t="e">
        <f t="shared" si="4"/>
        <v>#REF!</v>
      </c>
      <c r="K25" s="161"/>
      <c r="L25" s="161"/>
    </row>
    <row r="26" spans="2:12" ht="24.75" customHeight="1" x14ac:dyDescent="0.25">
      <c r="B26" s="56">
        <v>38</v>
      </c>
      <c r="C26" s="58" t="e">
        <f>CONCATENATE("п.",'шпоргалка-1'!D45," - ",'шпоргалка-1'!B45)</f>
        <v>#REF!</v>
      </c>
      <c r="D26" s="56">
        <v>38</v>
      </c>
      <c r="E26" s="58" t="e">
        <f t="shared" si="3"/>
        <v>#REF!</v>
      </c>
      <c r="F26" s="56">
        <v>54</v>
      </c>
      <c r="G26" s="58" t="e">
        <f>CONCATENATE("п.",'шпоргалка-1'!D63," - ",'шпоргалка-1'!B63)</f>
        <v>#REF!</v>
      </c>
      <c r="H26" s="56">
        <v>54</v>
      </c>
      <c r="I26" s="58" t="e">
        <f t="shared" si="4"/>
        <v>#REF!</v>
      </c>
      <c r="K26" s="161"/>
      <c r="L26" s="161"/>
    </row>
    <row r="27" spans="2:12" ht="24.75" customHeight="1" x14ac:dyDescent="0.25">
      <c r="B27" s="56">
        <v>39</v>
      </c>
      <c r="C27" s="58" t="e">
        <f>CONCATENATE("п.",'шпоргалка-1'!D46," - ",'шпоргалка-1'!B46)</f>
        <v>#REF!</v>
      </c>
      <c r="D27" s="56">
        <v>39</v>
      </c>
      <c r="E27" s="58" t="e">
        <f t="shared" si="3"/>
        <v>#REF!</v>
      </c>
      <c r="F27" s="56">
        <v>55</v>
      </c>
      <c r="G27" s="58" t="e">
        <f>CONCATENATE("п.",'шпоргалка-1'!D64," - ",'шпоргалка-1'!B64)</f>
        <v>#REF!</v>
      </c>
      <c r="H27" s="56">
        <v>55</v>
      </c>
      <c r="I27" s="58" t="e">
        <f t="shared" si="4"/>
        <v>#REF!</v>
      </c>
      <c r="K27" s="161"/>
      <c r="L27" s="161"/>
    </row>
    <row r="28" spans="2:12" ht="24.75" customHeight="1" x14ac:dyDescent="0.25">
      <c r="B28" s="56">
        <v>40</v>
      </c>
      <c r="C28" s="58" t="e">
        <f>CONCATENATE("п.",'шпоргалка-1'!D47," - ",'шпоргалка-1'!B47)</f>
        <v>#REF!</v>
      </c>
      <c r="D28" s="56">
        <v>40</v>
      </c>
      <c r="E28" s="58" t="e">
        <f t="shared" si="3"/>
        <v>#REF!</v>
      </c>
      <c r="F28" s="56">
        <v>56</v>
      </c>
      <c r="G28" s="58" t="e">
        <f>CONCATENATE("п.",'шпоргалка-1'!D65," - ",'шпоргалка-1'!B65)</f>
        <v>#REF!</v>
      </c>
      <c r="H28" s="56">
        <v>56</v>
      </c>
      <c r="I28" s="58" t="e">
        <f t="shared" si="4"/>
        <v>#REF!</v>
      </c>
      <c r="K28" s="161"/>
      <c r="L28" s="161"/>
    </row>
    <row r="29" spans="2:12" ht="24.75" customHeight="1" x14ac:dyDescent="0.25">
      <c r="B29" s="56">
        <v>41</v>
      </c>
      <c r="C29" s="58" t="e">
        <f>CONCATENATE("п.",'шпоргалка-1'!D49," - ",'шпоргалка-1'!B49)</f>
        <v>#REF!</v>
      </c>
      <c r="D29" s="56">
        <v>41</v>
      </c>
      <c r="E29" s="58" t="e">
        <f t="shared" si="3"/>
        <v>#REF!</v>
      </c>
      <c r="F29" s="56">
        <v>57</v>
      </c>
      <c r="G29" s="58" t="e">
        <f>CONCATENATE("п.",'шпоргалка-1'!D67," - ",'шпоргалка-1'!B67)</f>
        <v>#REF!</v>
      </c>
      <c r="H29" s="56">
        <v>57</v>
      </c>
      <c r="I29" s="58" t="e">
        <f t="shared" si="4"/>
        <v>#REF!</v>
      </c>
      <c r="K29" s="161"/>
      <c r="L29" s="161"/>
    </row>
    <row r="30" spans="2:12" ht="24.75" customHeight="1" x14ac:dyDescent="0.25">
      <c r="B30" s="56">
        <v>42</v>
      </c>
      <c r="C30" s="58" t="e">
        <f>CONCATENATE("п.",'шпоргалка-1'!D50," - ",'шпоргалка-1'!B50)</f>
        <v>#REF!</v>
      </c>
      <c r="D30" s="56">
        <v>42</v>
      </c>
      <c r="E30" s="58" t="e">
        <f t="shared" si="3"/>
        <v>#REF!</v>
      </c>
      <c r="F30" s="56">
        <v>58</v>
      </c>
      <c r="G30" s="58" t="e">
        <f>CONCATENATE("п.",'шпоргалка-1'!D68," - ",'шпоргалка-1'!B68)</f>
        <v>#REF!</v>
      </c>
      <c r="H30" s="56">
        <v>58</v>
      </c>
      <c r="I30" s="58" t="e">
        <f t="shared" si="4"/>
        <v>#REF!</v>
      </c>
      <c r="K30" s="161"/>
      <c r="L30" s="161"/>
    </row>
    <row r="31" spans="2:12" ht="24.75" customHeight="1" x14ac:dyDescent="0.25">
      <c r="B31" s="56">
        <v>43</v>
      </c>
      <c r="C31" s="58" t="e">
        <f>CONCATENATE("п.",'шпоргалка-1'!D51," - ",'шпоргалка-1'!B51)</f>
        <v>#REF!</v>
      </c>
      <c r="D31" s="56">
        <v>43</v>
      </c>
      <c r="E31" s="58" t="e">
        <f t="shared" si="3"/>
        <v>#REF!</v>
      </c>
      <c r="F31" s="56">
        <v>59</v>
      </c>
      <c r="G31" s="58" t="e">
        <f>CONCATENATE("п.",'шпоргалка-1'!D69," - ",'шпоргалка-1'!B69)</f>
        <v>#REF!</v>
      </c>
      <c r="H31" s="56">
        <v>59</v>
      </c>
      <c r="I31" s="58" t="e">
        <f t="shared" si="4"/>
        <v>#REF!</v>
      </c>
      <c r="K31" s="161"/>
      <c r="L31" s="161"/>
    </row>
    <row r="32" spans="2:12" ht="24.75" customHeight="1" x14ac:dyDescent="0.25">
      <c r="B32" s="56">
        <v>44</v>
      </c>
      <c r="C32" s="58" t="e">
        <f>CONCATENATE("п.",'шпоргалка-1'!D52," - ",'шпоргалка-1'!B52)</f>
        <v>#REF!</v>
      </c>
      <c r="D32" s="56">
        <v>44</v>
      </c>
      <c r="E32" s="58" t="e">
        <f t="shared" si="3"/>
        <v>#REF!</v>
      </c>
      <c r="F32" s="56">
        <v>60</v>
      </c>
      <c r="G32" s="58" t="e">
        <f>CONCATENATE("п.",'шпоргалка-1'!D70," - ",'шпоргалка-1'!B70)</f>
        <v>#REF!</v>
      </c>
      <c r="H32" s="56">
        <v>60</v>
      </c>
      <c r="I32" s="58" t="e">
        <f t="shared" si="4"/>
        <v>#REF!</v>
      </c>
      <c r="K32" s="161"/>
      <c r="L32" s="161"/>
    </row>
    <row r="33" spans="2:12" ht="24.75" customHeight="1" x14ac:dyDescent="0.25">
      <c r="B33" s="56">
        <v>45</v>
      </c>
      <c r="C33" s="58" t="e">
        <f>CONCATENATE("п.",'шпоргалка-1'!D53," - ",'шпоргалка-1'!B53)</f>
        <v>#REF!</v>
      </c>
      <c r="D33" s="56">
        <v>45</v>
      </c>
      <c r="E33" s="58" t="e">
        <f t="shared" si="3"/>
        <v>#REF!</v>
      </c>
      <c r="F33" s="56">
        <v>61</v>
      </c>
      <c r="G33" s="58" t="e">
        <f>CONCATENATE("п.",'шпоргалка-1'!D71," - ",'шпоргалка-1'!B71)</f>
        <v>#REF!</v>
      </c>
      <c r="H33" s="56">
        <v>61</v>
      </c>
      <c r="I33" s="58" t="e">
        <f t="shared" si="4"/>
        <v>#REF!</v>
      </c>
      <c r="K33" s="161"/>
      <c r="L33" s="161"/>
    </row>
    <row r="34" spans="2:12" ht="24.75" customHeight="1" x14ac:dyDescent="0.25">
      <c r="B34" s="56">
        <v>46</v>
      </c>
      <c r="C34" s="58" t="e">
        <f>CONCATENATE("п.",'шпоргалка-1'!D54," - ",'шпоргалка-1'!B54)</f>
        <v>#REF!</v>
      </c>
      <c r="D34" s="56">
        <v>46</v>
      </c>
      <c r="E34" s="58" t="e">
        <f t="shared" si="3"/>
        <v>#REF!</v>
      </c>
      <c r="F34" s="56">
        <v>62</v>
      </c>
      <c r="G34" s="58" t="e">
        <f>CONCATENATE("п.",'шпоргалка-1'!D72," - ",'шпоргалка-1'!B72)</f>
        <v>#REF!</v>
      </c>
      <c r="H34" s="56">
        <v>62</v>
      </c>
      <c r="I34" s="58" t="e">
        <f t="shared" si="4"/>
        <v>#REF!</v>
      </c>
      <c r="K34" s="161"/>
      <c r="L34" s="161"/>
    </row>
    <row r="35" spans="2:12" ht="24.75" customHeight="1" x14ac:dyDescent="0.25">
      <c r="B35" s="56">
        <v>47</v>
      </c>
      <c r="C35" s="58" t="e">
        <f>CONCATENATE("п.",'шпоргалка-1'!D55," - ",'шпоргалка-1'!B55)</f>
        <v>#REF!</v>
      </c>
      <c r="D35" s="56">
        <v>47</v>
      </c>
      <c r="E35" s="58" t="e">
        <f t="shared" si="3"/>
        <v>#REF!</v>
      </c>
      <c r="F35" s="56">
        <v>63</v>
      </c>
      <c r="G35" s="58" t="e">
        <f>CONCATENATE("п.",'шпоргалка-1'!D73," - ",'шпоргалка-1'!B73)</f>
        <v>#REF!</v>
      </c>
      <c r="H35" s="56">
        <v>63</v>
      </c>
      <c r="I35" s="58" t="e">
        <f t="shared" si="4"/>
        <v>#REF!</v>
      </c>
      <c r="K35" s="161"/>
      <c r="L35" s="161"/>
    </row>
    <row r="36" spans="2:12" ht="24.75" customHeight="1" x14ac:dyDescent="0.25">
      <c r="B36" s="56">
        <v>48</v>
      </c>
      <c r="C36" s="58" t="e">
        <f>CONCATENATE("п.",'шпоргалка-1'!D56," - ",'шпоргалка-1'!B56)</f>
        <v>#REF!</v>
      </c>
      <c r="D36" s="56">
        <v>48</v>
      </c>
      <c r="E36" s="58" t="e">
        <f t="shared" si="3"/>
        <v>#REF!</v>
      </c>
      <c r="F36" s="56">
        <v>64</v>
      </c>
      <c r="G36" s="58" t="e">
        <f>CONCATENATE("п.",'шпоргалка-1'!D74," - ",'шпоргалка-1'!B74)</f>
        <v>#REF!</v>
      </c>
      <c r="H36" s="56">
        <v>64</v>
      </c>
      <c r="I36" s="58" t="e">
        <f t="shared" si="4"/>
        <v>#REF!</v>
      </c>
      <c r="K36" s="161"/>
      <c r="L36" s="161"/>
    </row>
  </sheetData>
  <mergeCells count="32"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6:L36"/>
    <mergeCell ref="K31:L31"/>
    <mergeCell ref="K32:L32"/>
    <mergeCell ref="K33:L33"/>
    <mergeCell ref="K34:L34"/>
    <mergeCell ref="K35:L35"/>
  </mergeCells>
  <pageMargins left="0.25" right="0.25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CONCATENATE("п.",'шпоргалка-2'!D4," - ",'шпоргалка-2'!B4)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CONCATENATE("п.",'шпоргалка-2'!D22," - ",'шпоргалка-2'!B22)</f>
        <v>п. - резерв</v>
      </c>
      <c r="H2" s="56">
        <v>17</v>
      </c>
      <c r="I2" s="58" t="str">
        <f t="shared" ref="I2:I17" si="0">G2</f>
        <v>п. - резерв</v>
      </c>
      <c r="K2" s="162" t="s">
        <v>33</v>
      </c>
      <c r="L2" s="163"/>
    </row>
    <row r="3" spans="2:12" ht="24.75" customHeight="1" x14ac:dyDescent="0.25">
      <c r="B3" s="56">
        <v>2</v>
      </c>
      <c r="C3" s="58" t="str">
        <f>CONCATENATE("п.",'шпоргалка-2'!D5," - ",'шпоргалка-2'!B5)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CONCATENATE("п.",'шпоргалка-2'!D23," - ",'шпоргалка-2'!B23)</f>
        <v>п. - резерв</v>
      </c>
      <c r="H3" s="56">
        <v>18</v>
      </c>
      <c r="I3" s="58" t="str">
        <f t="shared" si="0"/>
        <v>п. - резерв</v>
      </c>
      <c r="K3" s="161"/>
      <c r="L3" s="161"/>
    </row>
    <row r="4" spans="2:12" ht="24.75" customHeight="1" x14ac:dyDescent="0.25">
      <c r="B4" s="56">
        <v>3</v>
      </c>
      <c r="C4" s="58" t="str">
        <f>CONCATENATE("п.",'шпоргалка-2'!D6," - ",'шпоргалка-2'!B6)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CONCATENATE("п.",'шпоргалка-2'!D24," - ",'шпоргалка-2'!B24)</f>
        <v>п. - резерв</v>
      </c>
      <c r="H4" s="56">
        <v>19</v>
      </c>
      <c r="I4" s="58" t="str">
        <f t="shared" si="0"/>
        <v>п. - резерв</v>
      </c>
      <c r="K4" s="161"/>
      <c r="L4" s="161"/>
    </row>
    <row r="5" spans="2:12" ht="24.75" customHeight="1" x14ac:dyDescent="0.25">
      <c r="B5" s="56">
        <v>4</v>
      </c>
      <c r="C5" s="58" t="str">
        <f>CONCATENATE("п.",'шпоргалка-2'!D7," - ",'шпоргалка-2'!B7)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CONCATENATE("п.",'шпоргалка-2'!D25," - ",'шпоргалка-2'!B25)</f>
        <v>п. - резерв</v>
      </c>
      <c r="H5" s="56">
        <v>20</v>
      </c>
      <c r="I5" s="58" t="str">
        <f t="shared" si="0"/>
        <v>п. - резерв</v>
      </c>
      <c r="K5" s="161"/>
      <c r="L5" s="161"/>
    </row>
    <row r="6" spans="2:12" ht="24.75" customHeight="1" x14ac:dyDescent="0.25">
      <c r="B6" s="56">
        <v>5</v>
      </c>
      <c r="C6" s="58" t="str">
        <f>CONCATENATE("п.",'шпоргалка-2'!D8," - ",'шпоргалка-2'!B8)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CONCATENATE("п.",'шпоргалка-2'!D26," - ",'шпоргалка-2'!B26)</f>
        <v>п. - резерв</v>
      </c>
      <c r="H6" s="56">
        <v>21</v>
      </c>
      <c r="I6" s="58" t="str">
        <f t="shared" si="0"/>
        <v>п. - резерв</v>
      </c>
      <c r="K6" s="161"/>
      <c r="L6" s="161"/>
    </row>
    <row r="7" spans="2:12" ht="24.75" customHeight="1" x14ac:dyDescent="0.25">
      <c r="B7" s="56">
        <v>6</v>
      </c>
      <c r="C7" s="58" t="str">
        <f>CONCATENATE("п.",'шпоргалка-2'!D9," - ",'шпоргалка-2'!B9)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CONCATENATE("п.",'шпоргалка-2'!D27," - ",'шпоргалка-2'!B27)</f>
        <v>п. - резерв</v>
      </c>
      <c r="H7" s="56">
        <v>22</v>
      </c>
      <c r="I7" s="58" t="str">
        <f t="shared" si="0"/>
        <v>п. - резерв</v>
      </c>
      <c r="K7" s="161"/>
      <c r="L7" s="161"/>
    </row>
    <row r="8" spans="2:12" ht="24.75" customHeight="1" x14ac:dyDescent="0.25">
      <c r="B8" s="56">
        <v>7</v>
      </c>
      <c r="C8" s="58" t="str">
        <f>CONCATENATE("п.",'шпоргалка-2'!D10," - ",'шпоргалка-2'!B10)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CONCATENATE("п.",'шпоргалка-2'!D28," - ",'шпоргалка-2'!B28)</f>
        <v>п. - резерв</v>
      </c>
      <c r="H8" s="56">
        <v>23</v>
      </c>
      <c r="I8" s="58" t="str">
        <f t="shared" si="0"/>
        <v>п. - резерв</v>
      </c>
      <c r="K8" s="161"/>
      <c r="L8" s="161"/>
    </row>
    <row r="9" spans="2:12" ht="24.75" customHeight="1" x14ac:dyDescent="0.25">
      <c r="B9" s="56">
        <v>8</v>
      </c>
      <c r="C9" s="58" t="str">
        <f>CONCATENATE("п.",'шпоргалка-2'!D11," - ",'шпоргалка-2'!B11)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CONCATENATE("п.",'шпоргалка-2'!D29," - ",'шпоргалка-2'!B29)</f>
        <v>п. - резерв</v>
      </c>
      <c r="H9" s="56">
        <v>24</v>
      </c>
      <c r="I9" s="58" t="str">
        <f t="shared" si="0"/>
        <v>п. - резерв</v>
      </c>
      <c r="K9" s="161"/>
      <c r="L9" s="161"/>
    </row>
    <row r="10" spans="2:12" ht="24.75" customHeight="1" x14ac:dyDescent="0.25">
      <c r="B10" s="56">
        <v>9</v>
      </c>
      <c r="C10" s="58" t="str">
        <f>CONCATENATE("п.",'шпоргалка-2'!D13," - ",'шпоргалка-2'!B13)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CONCATENATE("п.",'шпоргалка-2'!D31," - ",'шпоргалка-2'!B31)</f>
        <v>п. - резерв</v>
      </c>
      <c r="H10" s="56">
        <v>25</v>
      </c>
      <c r="I10" s="58" t="str">
        <f t="shared" si="0"/>
        <v>п. - резерв</v>
      </c>
      <c r="K10" s="161"/>
      <c r="L10" s="161"/>
    </row>
    <row r="11" spans="2:12" ht="24.75" customHeight="1" x14ac:dyDescent="0.25">
      <c r="B11" s="56">
        <v>10</v>
      </c>
      <c r="C11" s="58" t="str">
        <f>CONCATENATE("п.",'шпоргалка-2'!D14," - ",'шпоргалка-2'!B14)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CONCATENATE("п.",'шпоргалка-2'!D32," - ",'шпоргалка-2'!B32)</f>
        <v>п. - резерв</v>
      </c>
      <c r="H11" s="56">
        <v>26</v>
      </c>
      <c r="I11" s="58" t="str">
        <f t="shared" si="0"/>
        <v>п. - резерв</v>
      </c>
      <c r="K11" s="161"/>
      <c r="L11" s="161"/>
    </row>
    <row r="12" spans="2:12" ht="24.75" customHeight="1" x14ac:dyDescent="0.25">
      <c r="B12" s="56">
        <v>11</v>
      </c>
      <c r="C12" s="58" t="str">
        <f>CONCATENATE("п.",'шпоргалка-2'!D15," - ",'шпоргалка-2'!B15)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CONCATENATE("п.",'шпоргалка-2'!D33," - ",'шпоргалка-2'!B33)</f>
        <v>п. - резерв</v>
      </c>
      <c r="H12" s="56">
        <v>27</v>
      </c>
      <c r="I12" s="58" t="str">
        <f t="shared" si="0"/>
        <v>п. - резерв</v>
      </c>
      <c r="K12" s="161"/>
      <c r="L12" s="161"/>
    </row>
    <row r="13" spans="2:12" ht="24.75" customHeight="1" x14ac:dyDescent="0.25">
      <c r="B13" s="56">
        <v>12</v>
      </c>
      <c r="C13" s="58" t="str">
        <f>CONCATENATE("п.",'шпоргалка-2'!D16," - ",'шпоргалка-2'!B16)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CONCATENATE("п.",'шпоргалка-2'!D34," - ",'шпоргалка-2'!B34)</f>
        <v>п. - резерв</v>
      </c>
      <c r="H13" s="56">
        <v>28</v>
      </c>
      <c r="I13" s="58" t="str">
        <f t="shared" si="0"/>
        <v>п. - резерв</v>
      </c>
      <c r="K13" s="161"/>
      <c r="L13" s="161"/>
    </row>
    <row r="14" spans="2:12" ht="24.75" customHeight="1" x14ac:dyDescent="0.25">
      <c r="B14" s="56">
        <v>13</v>
      </c>
      <c r="C14" s="58" t="str">
        <f>CONCATENATE("п.",'шпоргалка-2'!D17," - ",'шпоргалка-2'!B17)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CONCATENATE("п.",'шпоргалка-2'!D35," - ",'шпоргалка-2'!B35)</f>
        <v>п. - резерв</v>
      </c>
      <c r="H14" s="56">
        <v>29</v>
      </c>
      <c r="I14" s="58" t="str">
        <f t="shared" si="0"/>
        <v>п. - резерв</v>
      </c>
      <c r="K14" s="161"/>
      <c r="L14" s="161"/>
    </row>
    <row r="15" spans="2:12" ht="24.75" customHeight="1" x14ac:dyDescent="0.25">
      <c r="B15" s="56">
        <v>14</v>
      </c>
      <c r="C15" s="58" t="str">
        <f>CONCATENATE("п.",'шпоргалка-2'!D18," - ",'шпоргалка-2'!B18)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CONCATENATE("п.",'шпоргалка-2'!D36," - ",'шпоргалка-2'!B36)</f>
        <v>п. - резерв</v>
      </c>
      <c r="H15" s="56">
        <v>30</v>
      </c>
      <c r="I15" s="58" t="str">
        <f t="shared" si="0"/>
        <v>п. - резерв</v>
      </c>
      <c r="K15" s="161"/>
      <c r="L15" s="161"/>
    </row>
    <row r="16" spans="2:12" ht="24.75" customHeight="1" x14ac:dyDescent="0.25">
      <c r="B16" s="56">
        <v>15</v>
      </c>
      <c r="C16" s="58" t="str">
        <f>CONCATENATE("п.",'шпоргалка-2'!D19," - ",'шпоргалка-2'!B19)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CONCATENATE("п.",'шпоргалка-2'!D37," - ",'шпоргалка-2'!B37)</f>
        <v>п. - резерв</v>
      </c>
      <c r="H16" s="56">
        <v>31</v>
      </c>
      <c r="I16" s="58" t="str">
        <f t="shared" si="0"/>
        <v>п. - резерв</v>
      </c>
      <c r="K16" s="161"/>
      <c r="L16" s="161"/>
    </row>
    <row r="17" spans="2:12" ht="24.75" customHeight="1" x14ac:dyDescent="0.25">
      <c r="B17" s="56">
        <v>16</v>
      </c>
      <c r="C17" s="58" t="str">
        <f>CONCATENATE("п.",'шпоргалка-2'!D20," - ",'шпоргалка-2'!B20)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CONCATENATE("п.",'шпоргалка-2'!D38," - ",'шпоргалка-2'!B38)</f>
        <v>п. - резерв</v>
      </c>
      <c r="H17" s="56">
        <v>32</v>
      </c>
      <c r="I17" s="58" t="str">
        <f t="shared" si="0"/>
        <v>п. - резерв</v>
      </c>
      <c r="K17" s="161"/>
      <c r="L17" s="161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CONCATENATE("п.",'шпоргалка-2'!D40," - ",'шпоргалка-2'!B40)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CONCATENATE("п.",'шпоргалка-2'!D58," - ",'шпоргалка-2'!B58)</f>
        <v>п. - резерв</v>
      </c>
      <c r="H21" s="56">
        <v>49</v>
      </c>
      <c r="I21" s="58" t="str">
        <f>G21</f>
        <v>п. - резерв</v>
      </c>
      <c r="K21" s="162" t="s">
        <v>34</v>
      </c>
      <c r="L21" s="163"/>
    </row>
    <row r="22" spans="2:12" ht="24.75" customHeight="1" x14ac:dyDescent="0.25">
      <c r="B22" s="56">
        <v>34</v>
      </c>
      <c r="C22" s="58" t="str">
        <f>CONCATENATE("п.",'шпоргалка-2'!D41," - ",'шпоргалка-2'!B41)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CONCATENATE("п.",'шпоргалка-2'!D59," - ",'шпоргалка-2'!B59)</f>
        <v>п. - резерв</v>
      </c>
      <c r="H22" s="56">
        <v>50</v>
      </c>
      <c r="I22" s="58" t="str">
        <f>G22</f>
        <v>п. - резерв</v>
      </c>
      <c r="K22" s="161"/>
      <c r="L22" s="161"/>
    </row>
    <row r="23" spans="2:12" ht="24.75" customHeight="1" x14ac:dyDescent="0.25">
      <c r="B23" s="56">
        <v>35</v>
      </c>
      <c r="C23" s="58" t="str">
        <f>CONCATENATE("п.",'шпоргалка-2'!D42," - ",'шпоргалка-2'!B42)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CONCATENATE("п.",'шпоргалка-2'!D60," - ",'шпоргалка-2'!B60)</f>
        <v>п. - резерв</v>
      </c>
      <c r="H23" s="56">
        <v>51</v>
      </c>
      <c r="I23" s="58" t="str">
        <f t="shared" ref="I23:I36" si="4">G23</f>
        <v>п. - резерв</v>
      </c>
      <c r="K23" s="161"/>
      <c r="L23" s="161"/>
    </row>
    <row r="24" spans="2:12" ht="24.75" customHeight="1" x14ac:dyDescent="0.25">
      <c r="B24" s="56">
        <v>36</v>
      </c>
      <c r="C24" s="58" t="str">
        <f>CONCATENATE("п.",'шпоргалка-2'!D43," - ",'шпоргалка-2'!B43)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CONCATENATE("п.",'шпоргалка-2'!D61," - ",'шпоргалка-2'!B61)</f>
        <v>п. - резерв</v>
      </c>
      <c r="H24" s="56">
        <v>52</v>
      </c>
      <c r="I24" s="58" t="str">
        <f t="shared" si="4"/>
        <v>п. - резерв</v>
      </c>
      <c r="K24" s="161"/>
      <c r="L24" s="161"/>
    </row>
    <row r="25" spans="2:12" ht="24.75" customHeight="1" x14ac:dyDescent="0.25">
      <c r="B25" s="56">
        <v>37</v>
      </c>
      <c r="C25" s="58" t="str">
        <f>CONCATENATE("п.",'шпоргалка-2'!D44," - ",'шпоргалка-2'!B44)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CONCATENATE("п.",'шпоргалка-2'!D62," - ",'шпоргалка-2'!B62)</f>
        <v>п. - резерв</v>
      </c>
      <c r="H25" s="56">
        <v>53</v>
      </c>
      <c r="I25" s="58" t="str">
        <f t="shared" si="4"/>
        <v>п. - резерв</v>
      </c>
      <c r="K25" s="161"/>
      <c r="L25" s="161"/>
    </row>
    <row r="26" spans="2:12" ht="24.75" customHeight="1" x14ac:dyDescent="0.25">
      <c r="B26" s="56">
        <v>38</v>
      </c>
      <c r="C26" s="58" t="str">
        <f>CONCATENATE("п.",'шпоргалка-2'!D45," - ",'шпоргалка-2'!B45)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CONCATENATE("п.",'шпоргалка-2'!D63," - ",'шпоргалка-2'!B63)</f>
        <v>п. - резерв</v>
      </c>
      <c r="H26" s="56">
        <v>54</v>
      </c>
      <c r="I26" s="58" t="str">
        <f t="shared" si="4"/>
        <v>п. - резерв</v>
      </c>
      <c r="K26" s="161"/>
      <c r="L26" s="161"/>
    </row>
    <row r="27" spans="2:12" ht="24.75" customHeight="1" x14ac:dyDescent="0.25">
      <c r="B27" s="56">
        <v>39</v>
      </c>
      <c r="C27" s="58" t="str">
        <f>CONCATENATE("п.",'шпоргалка-2'!D46," - ",'шпоргалка-2'!B46)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CONCATENATE("п.",'шпоргалка-2'!D64," - ",'шпоргалка-2'!B64)</f>
        <v>п. - резерв</v>
      </c>
      <c r="H27" s="56">
        <v>55</v>
      </c>
      <c r="I27" s="58" t="str">
        <f t="shared" si="4"/>
        <v>п. - резерв</v>
      </c>
      <c r="K27" s="161"/>
      <c r="L27" s="161"/>
    </row>
    <row r="28" spans="2:12" ht="24.75" customHeight="1" x14ac:dyDescent="0.25">
      <c r="B28" s="56">
        <v>40</v>
      </c>
      <c r="C28" s="58" t="str">
        <f>CONCATENATE("п.",'шпоргалка-2'!D47," - ",'шпоргалка-2'!B47)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CONCATENATE("п.",'шпоргалка-2'!D65," - ",'шпоргалка-2'!B65)</f>
        <v>п. - резерв</v>
      </c>
      <c r="H28" s="56">
        <v>56</v>
      </c>
      <c r="I28" s="58" t="str">
        <f t="shared" si="4"/>
        <v>п. - резерв</v>
      </c>
      <c r="K28" s="161"/>
      <c r="L28" s="161"/>
    </row>
    <row r="29" spans="2:12" ht="24.75" customHeight="1" x14ac:dyDescent="0.25">
      <c r="B29" s="56">
        <v>41</v>
      </c>
      <c r="C29" s="58" t="str">
        <f>CONCATENATE("п.",'шпоргалка-2'!D49," - ",'шпоргалка-2'!B49)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CONCATENATE("п.",'шпоргалка-2'!D67," - ",'шпоргалка-2'!B67)</f>
        <v>п. - резерв</v>
      </c>
      <c r="H29" s="56">
        <v>57</v>
      </c>
      <c r="I29" s="58" t="str">
        <f t="shared" si="4"/>
        <v>п. - резерв</v>
      </c>
      <c r="K29" s="161"/>
      <c r="L29" s="161"/>
    </row>
    <row r="30" spans="2:12" ht="24.75" customHeight="1" x14ac:dyDescent="0.25">
      <c r="B30" s="56">
        <v>42</v>
      </c>
      <c r="C30" s="58" t="str">
        <f>CONCATENATE("п.",'шпоргалка-2'!D50," - ",'шпоргалка-2'!B50)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CONCATENATE("п.",'шпоргалка-2'!D68," - ",'шпоргалка-2'!B68)</f>
        <v>п. - резерв</v>
      </c>
      <c r="H30" s="56">
        <v>58</v>
      </c>
      <c r="I30" s="58" t="str">
        <f t="shared" si="4"/>
        <v>п. - резерв</v>
      </c>
      <c r="K30" s="161"/>
      <c r="L30" s="161"/>
    </row>
    <row r="31" spans="2:12" ht="24.75" customHeight="1" x14ac:dyDescent="0.25">
      <c r="B31" s="56">
        <v>43</v>
      </c>
      <c r="C31" s="58" t="str">
        <f>CONCATENATE("п.",'шпоргалка-2'!D51," - ",'шпоргалка-2'!B51)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CONCATENATE("п.",'шпоргалка-2'!D69," - ",'шпоргалка-2'!B69)</f>
        <v>п. - резерв</v>
      </c>
      <c r="H31" s="56">
        <v>59</v>
      </c>
      <c r="I31" s="58" t="str">
        <f t="shared" si="4"/>
        <v>п. - резерв</v>
      </c>
      <c r="K31" s="161"/>
      <c r="L31" s="161"/>
    </row>
    <row r="32" spans="2:12" ht="24.75" customHeight="1" x14ac:dyDescent="0.25">
      <c r="B32" s="56">
        <v>44</v>
      </c>
      <c r="C32" s="58" t="str">
        <f>CONCATENATE("п.",'шпоргалка-2'!D52," - ",'шпоргалка-2'!B52)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CONCATENATE("п.",'шпоргалка-2'!D70," - ",'шпоргалка-2'!B70)</f>
        <v>п. - резерв</v>
      </c>
      <c r="H32" s="56">
        <v>60</v>
      </c>
      <c r="I32" s="58" t="str">
        <f t="shared" si="4"/>
        <v>п. - резерв</v>
      </c>
      <c r="K32" s="161"/>
      <c r="L32" s="161"/>
    </row>
    <row r="33" spans="2:12" ht="24.75" customHeight="1" x14ac:dyDescent="0.25">
      <c r="B33" s="56">
        <v>45</v>
      </c>
      <c r="C33" s="58" t="str">
        <f>CONCATENATE("п.",'шпоргалка-2'!D53," - ",'шпоргалка-2'!B53)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CONCATENATE("п.",'шпоргалка-2'!D71," - ",'шпоргалка-2'!B71)</f>
        <v>п. - резерв</v>
      </c>
      <c r="H33" s="56">
        <v>61</v>
      </c>
      <c r="I33" s="58" t="str">
        <f t="shared" si="4"/>
        <v>п. - резерв</v>
      </c>
      <c r="K33" s="161"/>
      <c r="L33" s="161"/>
    </row>
    <row r="34" spans="2:12" ht="24.75" customHeight="1" x14ac:dyDescent="0.25">
      <c r="B34" s="56">
        <v>46</v>
      </c>
      <c r="C34" s="58" t="str">
        <f>CONCATENATE("п.",'шпоргалка-2'!D54," - ",'шпоргалка-2'!B54)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CONCATENATE("п.",'шпоргалка-2'!D72," - ",'шпоргалка-2'!B72)</f>
        <v>п. - резерв</v>
      </c>
      <c r="H34" s="56">
        <v>62</v>
      </c>
      <c r="I34" s="58" t="str">
        <f t="shared" si="4"/>
        <v>п. - резерв</v>
      </c>
      <c r="K34" s="161"/>
      <c r="L34" s="161"/>
    </row>
    <row r="35" spans="2:12" ht="24.75" customHeight="1" x14ac:dyDescent="0.25">
      <c r="B35" s="56">
        <v>47</v>
      </c>
      <c r="C35" s="58" t="str">
        <f>CONCATENATE("п.",'шпоргалка-2'!D55," - ",'шпоргалка-2'!B55)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CONCATENATE("п.",'шпоргалка-2'!D73," - ",'шпоргалка-2'!B73)</f>
        <v>п. - резерв</v>
      </c>
      <c r="H35" s="56">
        <v>63</v>
      </c>
      <c r="I35" s="58" t="str">
        <f t="shared" si="4"/>
        <v>п. - резерв</v>
      </c>
      <c r="K35" s="161"/>
      <c r="L35" s="161"/>
    </row>
    <row r="36" spans="2:12" ht="24.75" customHeight="1" x14ac:dyDescent="0.25">
      <c r="B36" s="56">
        <v>48</v>
      </c>
      <c r="C36" s="58" t="str">
        <f>CONCATENATE("п.",'шпоргалка-2'!D56," - ",'шпоргалка-2'!B56)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CONCATENATE("п.",'шпоргалка-2'!D74," - ",'шпоргалка-2'!B74)</f>
        <v>п. - резерв</v>
      </c>
      <c r="H36" s="56">
        <v>64</v>
      </c>
      <c r="I36" s="58" t="str">
        <f t="shared" si="4"/>
        <v>п. - резерв</v>
      </c>
      <c r="K36" s="161"/>
      <c r="L36" s="161"/>
    </row>
  </sheetData>
  <mergeCells count="32"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6:L36"/>
    <mergeCell ref="K31:L31"/>
    <mergeCell ref="K32:L32"/>
    <mergeCell ref="K33:L33"/>
    <mergeCell ref="K34:L34"/>
    <mergeCell ref="K35:L3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CONCATENATE("п.",'шпоргалка-3'!D4," - ",'шпоргалка-3'!B4)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CONCATENATE("п.",'шпоргалка-3'!D22," - ",'шпоргалка-3'!B22)</f>
        <v>п. - резерв</v>
      </c>
      <c r="H2" s="56">
        <v>17</v>
      </c>
      <c r="I2" s="58" t="str">
        <f t="shared" ref="I2:I17" si="0">G2</f>
        <v>п. - резерв</v>
      </c>
      <c r="K2" s="162" t="s">
        <v>33</v>
      </c>
      <c r="L2" s="163"/>
    </row>
    <row r="3" spans="2:12" ht="24.75" customHeight="1" x14ac:dyDescent="0.25">
      <c r="B3" s="56">
        <v>2</v>
      </c>
      <c r="C3" s="58" t="str">
        <f>CONCATENATE("п.",'шпоргалка-3'!D5," - ",'шпоргалка-3'!B5)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CONCATENATE("п.",'шпоргалка-3'!D23," - ",'шпоргалка-3'!B23)</f>
        <v>п. - резерв</v>
      </c>
      <c r="H3" s="56">
        <v>18</v>
      </c>
      <c r="I3" s="58" t="str">
        <f t="shared" si="0"/>
        <v>п. - резерв</v>
      </c>
      <c r="K3" s="161"/>
      <c r="L3" s="161"/>
    </row>
    <row r="4" spans="2:12" ht="24.75" customHeight="1" x14ac:dyDescent="0.25">
      <c r="B4" s="56">
        <v>3</v>
      </c>
      <c r="C4" s="58" t="str">
        <f>CONCATENATE("п.",'шпоргалка-3'!D6," - ",'шпоргалка-3'!B6)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CONCATENATE("п.",'шпоргалка-3'!D24," - ",'шпоргалка-3'!B24)</f>
        <v>п. - резерв</v>
      </c>
      <c r="H4" s="56">
        <v>19</v>
      </c>
      <c r="I4" s="58" t="str">
        <f t="shared" si="0"/>
        <v>п. - резерв</v>
      </c>
      <c r="K4" s="161"/>
      <c r="L4" s="161"/>
    </row>
    <row r="5" spans="2:12" ht="24.75" customHeight="1" x14ac:dyDescent="0.25">
      <c r="B5" s="56">
        <v>4</v>
      </c>
      <c r="C5" s="58" t="str">
        <f>CONCATENATE("п.",'шпоргалка-3'!D7," - ",'шпоргалка-3'!B7)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CONCATENATE("п.",'шпоргалка-3'!D25," - ",'шпоргалка-3'!B25)</f>
        <v>п. - резерв</v>
      </c>
      <c r="H5" s="56">
        <v>20</v>
      </c>
      <c r="I5" s="58" t="str">
        <f t="shared" si="0"/>
        <v>п. - резерв</v>
      </c>
      <c r="K5" s="161"/>
      <c r="L5" s="161"/>
    </row>
    <row r="6" spans="2:12" ht="24.75" customHeight="1" x14ac:dyDescent="0.25">
      <c r="B6" s="56">
        <v>5</v>
      </c>
      <c r="C6" s="58" t="str">
        <f>CONCATENATE("п.",'шпоргалка-3'!D8," - ",'шпоргалка-3'!B8)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CONCATENATE("п.",'шпоргалка-3'!D26," - ",'шпоргалка-3'!B26)</f>
        <v>п. - резерв</v>
      </c>
      <c r="H6" s="56">
        <v>21</v>
      </c>
      <c r="I6" s="58" t="str">
        <f t="shared" si="0"/>
        <v>п. - резерв</v>
      </c>
      <c r="K6" s="161"/>
      <c r="L6" s="161"/>
    </row>
    <row r="7" spans="2:12" ht="24.75" customHeight="1" x14ac:dyDescent="0.25">
      <c r="B7" s="56">
        <v>6</v>
      </c>
      <c r="C7" s="58" t="str">
        <f>CONCATENATE("п.",'шпоргалка-3'!D9," - ",'шпоргалка-3'!B9)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CONCATENATE("п.",'шпоргалка-3'!D27," - ",'шпоргалка-3'!B27)</f>
        <v>п. - резерв</v>
      </c>
      <c r="H7" s="56">
        <v>22</v>
      </c>
      <c r="I7" s="58" t="str">
        <f t="shared" si="0"/>
        <v>п. - резерв</v>
      </c>
      <c r="K7" s="161"/>
      <c r="L7" s="161"/>
    </row>
    <row r="8" spans="2:12" ht="24.75" customHeight="1" x14ac:dyDescent="0.25">
      <c r="B8" s="56">
        <v>7</v>
      </c>
      <c r="C8" s="58" t="str">
        <f>CONCATENATE("п.",'шпоргалка-3'!D10," - ",'шпоргалка-3'!B10)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CONCATENATE("п.",'шпоргалка-3'!D28," - ",'шпоргалка-3'!B28)</f>
        <v>п. - резерв</v>
      </c>
      <c r="H8" s="56">
        <v>23</v>
      </c>
      <c r="I8" s="58" t="str">
        <f t="shared" si="0"/>
        <v>п. - резерв</v>
      </c>
      <c r="K8" s="161"/>
      <c r="L8" s="161"/>
    </row>
    <row r="9" spans="2:12" ht="24.75" customHeight="1" x14ac:dyDescent="0.25">
      <c r="B9" s="56">
        <v>8</v>
      </c>
      <c r="C9" s="58" t="str">
        <f>CONCATENATE("п.",'шпоргалка-3'!D11," - ",'шпоргалка-3'!B11)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CONCATENATE("п.",'шпоргалка-3'!D29," - ",'шпоргалка-3'!B29)</f>
        <v>п. - резерв</v>
      </c>
      <c r="H9" s="56">
        <v>24</v>
      </c>
      <c r="I9" s="58" t="str">
        <f t="shared" si="0"/>
        <v>п. - резерв</v>
      </c>
      <c r="K9" s="161"/>
      <c r="L9" s="161"/>
    </row>
    <row r="10" spans="2:12" ht="24.75" customHeight="1" x14ac:dyDescent="0.25">
      <c r="B10" s="56">
        <v>9</v>
      </c>
      <c r="C10" s="58" t="str">
        <f>CONCATENATE("п.",'шпоргалка-3'!D13," - ",'шпоргалка-3'!B13)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CONCATENATE("п.",'шпоргалка-3'!D31," - ",'шпоргалка-3'!B31)</f>
        <v>п. - резерв</v>
      </c>
      <c r="H10" s="56">
        <v>25</v>
      </c>
      <c r="I10" s="58" t="str">
        <f t="shared" si="0"/>
        <v>п. - резерв</v>
      </c>
      <c r="K10" s="161"/>
      <c r="L10" s="161"/>
    </row>
    <row r="11" spans="2:12" ht="24.75" customHeight="1" x14ac:dyDescent="0.25">
      <c r="B11" s="56">
        <v>10</v>
      </c>
      <c r="C11" s="58" t="str">
        <f>CONCATENATE("п.",'шпоргалка-3'!D14," - ",'шпоргалка-3'!B14)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CONCATENATE("п.",'шпоргалка-3'!D32," - ",'шпоргалка-3'!B32)</f>
        <v>п. - резерв</v>
      </c>
      <c r="H11" s="56">
        <v>26</v>
      </c>
      <c r="I11" s="58" t="str">
        <f t="shared" si="0"/>
        <v>п. - резерв</v>
      </c>
      <c r="K11" s="161"/>
      <c r="L11" s="161"/>
    </row>
    <row r="12" spans="2:12" ht="24.75" customHeight="1" x14ac:dyDescent="0.25">
      <c r="B12" s="56">
        <v>11</v>
      </c>
      <c r="C12" s="58" t="str">
        <f>CONCATENATE("п.",'шпоргалка-3'!D15," - ",'шпоргалка-3'!B15)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CONCATENATE("п.",'шпоргалка-3'!D33," - ",'шпоргалка-3'!B33)</f>
        <v>п. - резерв</v>
      </c>
      <c r="H12" s="56">
        <v>27</v>
      </c>
      <c r="I12" s="58" t="str">
        <f t="shared" si="0"/>
        <v>п. - резерв</v>
      </c>
      <c r="K12" s="161"/>
      <c r="L12" s="161"/>
    </row>
    <row r="13" spans="2:12" ht="24.75" customHeight="1" x14ac:dyDescent="0.25">
      <c r="B13" s="56">
        <v>12</v>
      </c>
      <c r="C13" s="58" t="str">
        <f>CONCATENATE("п.",'шпоргалка-3'!D16," - ",'шпоргалка-3'!B16)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CONCATENATE("п.",'шпоргалка-3'!D34," - ",'шпоргалка-3'!B34)</f>
        <v>п. - резерв</v>
      </c>
      <c r="H13" s="56">
        <v>28</v>
      </c>
      <c r="I13" s="58" t="str">
        <f t="shared" si="0"/>
        <v>п. - резерв</v>
      </c>
      <c r="K13" s="161"/>
      <c r="L13" s="161"/>
    </row>
    <row r="14" spans="2:12" ht="24.75" customHeight="1" x14ac:dyDescent="0.25">
      <c r="B14" s="56">
        <v>13</v>
      </c>
      <c r="C14" s="58" t="str">
        <f>CONCATENATE("п.",'шпоргалка-3'!D17," - ",'шпоргалка-3'!B17)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CONCATENATE("п.",'шпоргалка-3'!D35," - ",'шпоргалка-3'!B35)</f>
        <v>п. - резерв</v>
      </c>
      <c r="H14" s="56">
        <v>29</v>
      </c>
      <c r="I14" s="58" t="str">
        <f t="shared" si="0"/>
        <v>п. - резерв</v>
      </c>
      <c r="K14" s="161"/>
      <c r="L14" s="161"/>
    </row>
    <row r="15" spans="2:12" ht="24.75" customHeight="1" x14ac:dyDescent="0.25">
      <c r="B15" s="56">
        <v>14</v>
      </c>
      <c r="C15" s="58" t="str">
        <f>CONCATENATE("п.",'шпоргалка-3'!D18," - ",'шпоргалка-3'!B18)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CONCATENATE("п.",'шпоргалка-3'!D36," - ",'шпоргалка-3'!B36)</f>
        <v>п. - резерв</v>
      </c>
      <c r="H15" s="56">
        <v>30</v>
      </c>
      <c r="I15" s="58" t="str">
        <f t="shared" si="0"/>
        <v>п. - резерв</v>
      </c>
      <c r="K15" s="161"/>
      <c r="L15" s="161"/>
    </row>
    <row r="16" spans="2:12" ht="24.75" customHeight="1" x14ac:dyDescent="0.25">
      <c r="B16" s="56">
        <v>15</v>
      </c>
      <c r="C16" s="58" t="str">
        <f>CONCATENATE("п.",'шпоргалка-3'!D19," - ",'шпоргалка-3'!B19)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CONCATENATE("п.",'шпоргалка-3'!D37," - ",'шпоргалка-3'!B37)</f>
        <v>п. - резерв</v>
      </c>
      <c r="H16" s="56">
        <v>31</v>
      </c>
      <c r="I16" s="58" t="str">
        <f t="shared" si="0"/>
        <v>п. - резерв</v>
      </c>
      <c r="K16" s="161"/>
      <c r="L16" s="161"/>
    </row>
    <row r="17" spans="2:12" ht="24.75" customHeight="1" x14ac:dyDescent="0.25">
      <c r="B17" s="56">
        <v>16</v>
      </c>
      <c r="C17" s="58" t="str">
        <f>CONCATENATE("п.",'шпоргалка-3'!D20," - ",'шпоргалка-3'!B20)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CONCATENATE("п.",'шпоргалка-3'!D38," - ",'шпоргалка-3'!B38)</f>
        <v>п. - резерв</v>
      </c>
      <c r="H17" s="56">
        <v>32</v>
      </c>
      <c r="I17" s="58" t="str">
        <f t="shared" si="0"/>
        <v>п. - резерв</v>
      </c>
      <c r="K17" s="161"/>
      <c r="L17" s="161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CONCATENATE("п.",'шпоргалка-3'!D40," - ",'шпоргалка-3'!B40)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CONCATENATE("п.",'шпоргалка-3'!D58," - ",'шпоргалка-3'!B58)</f>
        <v>п. - резерв</v>
      </c>
      <c r="H21" s="56">
        <v>49</v>
      </c>
      <c r="I21" s="58" t="str">
        <f>G21</f>
        <v>п. - резерв</v>
      </c>
      <c r="K21" s="162" t="s">
        <v>34</v>
      </c>
      <c r="L21" s="163"/>
    </row>
    <row r="22" spans="2:12" ht="24.75" customHeight="1" x14ac:dyDescent="0.25">
      <c r="B22" s="56">
        <v>34</v>
      </c>
      <c r="C22" s="58" t="str">
        <f>CONCATENATE("п.",'шпоргалка-3'!D41," - ",'шпоргалка-3'!B41)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CONCATENATE("п.",'шпоргалка-3'!D59," - ",'шпоргалка-3'!B59)</f>
        <v>п. - резерв</v>
      </c>
      <c r="H22" s="56">
        <v>50</v>
      </c>
      <c r="I22" s="58" t="str">
        <f>G22</f>
        <v>п. - резерв</v>
      </c>
      <c r="K22" s="161"/>
      <c r="L22" s="161"/>
    </row>
    <row r="23" spans="2:12" ht="24.75" customHeight="1" x14ac:dyDescent="0.25">
      <c r="B23" s="56">
        <v>35</v>
      </c>
      <c r="C23" s="58" t="str">
        <f>CONCATENATE("п.",'шпоргалка-3'!D42," - ",'шпоргалка-3'!B42)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CONCATENATE("п.",'шпоргалка-3'!D60," - ",'шпоргалка-3'!B60)</f>
        <v>п. - резерв</v>
      </c>
      <c r="H23" s="56">
        <v>51</v>
      </c>
      <c r="I23" s="58" t="str">
        <f t="shared" ref="I23:I36" si="4">G23</f>
        <v>п. - резерв</v>
      </c>
      <c r="K23" s="161"/>
      <c r="L23" s="161"/>
    </row>
    <row r="24" spans="2:12" ht="24.75" customHeight="1" x14ac:dyDescent="0.25">
      <c r="B24" s="56">
        <v>36</v>
      </c>
      <c r="C24" s="58" t="str">
        <f>CONCATENATE("п.",'шпоргалка-3'!D43," - ",'шпоргалка-3'!B43)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CONCATENATE("п.",'шпоргалка-3'!D61," - ",'шпоргалка-3'!B61)</f>
        <v>п. - резерв</v>
      </c>
      <c r="H24" s="56">
        <v>52</v>
      </c>
      <c r="I24" s="58" t="str">
        <f t="shared" si="4"/>
        <v>п. - резерв</v>
      </c>
      <c r="K24" s="161"/>
      <c r="L24" s="161"/>
    </row>
    <row r="25" spans="2:12" ht="24.75" customHeight="1" x14ac:dyDescent="0.25">
      <c r="B25" s="56">
        <v>37</v>
      </c>
      <c r="C25" s="58" t="str">
        <f>CONCATENATE("п.",'шпоргалка-3'!D44," - ",'шпоргалка-3'!B44)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CONCATENATE("п.",'шпоргалка-3'!D62," - ",'шпоргалка-3'!B62)</f>
        <v>п. - резерв</v>
      </c>
      <c r="H25" s="56">
        <v>53</v>
      </c>
      <c r="I25" s="58" t="str">
        <f t="shared" si="4"/>
        <v>п. - резерв</v>
      </c>
      <c r="K25" s="161"/>
      <c r="L25" s="161"/>
    </row>
    <row r="26" spans="2:12" ht="24.75" customHeight="1" x14ac:dyDescent="0.25">
      <c r="B26" s="56">
        <v>38</v>
      </c>
      <c r="C26" s="58" t="str">
        <f>CONCATENATE("п.",'шпоргалка-3'!D45," - ",'шпоргалка-3'!B45)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CONCATENATE("п.",'шпоргалка-3'!D63," - ",'шпоргалка-3'!B63)</f>
        <v>п. - резерв</v>
      </c>
      <c r="H26" s="56">
        <v>54</v>
      </c>
      <c r="I26" s="58" t="str">
        <f t="shared" si="4"/>
        <v>п. - резерв</v>
      </c>
      <c r="K26" s="161"/>
      <c r="L26" s="161"/>
    </row>
    <row r="27" spans="2:12" ht="24.75" customHeight="1" x14ac:dyDescent="0.25">
      <c r="B27" s="56">
        <v>39</v>
      </c>
      <c r="C27" s="58" t="str">
        <f>CONCATENATE("п.",'шпоргалка-3'!D46," - ",'шпоргалка-3'!B46)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CONCATENATE("п.",'шпоргалка-3'!D64," - ",'шпоргалка-3'!B64)</f>
        <v>п. - резерв</v>
      </c>
      <c r="H27" s="56">
        <v>55</v>
      </c>
      <c r="I27" s="58" t="str">
        <f t="shared" si="4"/>
        <v>п. - резерв</v>
      </c>
      <c r="K27" s="161"/>
      <c r="L27" s="161"/>
    </row>
    <row r="28" spans="2:12" ht="24.75" customHeight="1" x14ac:dyDescent="0.25">
      <c r="B28" s="56">
        <v>40</v>
      </c>
      <c r="C28" s="58" t="str">
        <f>CONCATENATE("п.",'шпоргалка-3'!D47," - ",'шпоргалка-3'!B47)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CONCATENATE("п.",'шпоргалка-3'!D65," - ",'шпоргалка-3'!B65)</f>
        <v>п. - резерв</v>
      </c>
      <c r="H28" s="56">
        <v>56</v>
      </c>
      <c r="I28" s="58" t="str">
        <f t="shared" si="4"/>
        <v>п. - резерв</v>
      </c>
      <c r="K28" s="161"/>
      <c r="L28" s="161"/>
    </row>
    <row r="29" spans="2:12" ht="24.75" customHeight="1" x14ac:dyDescent="0.25">
      <c r="B29" s="56">
        <v>41</v>
      </c>
      <c r="C29" s="58" t="str">
        <f>CONCATENATE("п.",'шпоргалка-3'!D49," - ",'шпоргалка-3'!B49)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CONCATENATE("п.",'шпоргалка-3'!D67," - ",'шпоргалка-3'!B67)</f>
        <v>п. - резерв</v>
      </c>
      <c r="H29" s="56">
        <v>57</v>
      </c>
      <c r="I29" s="58" t="str">
        <f t="shared" si="4"/>
        <v>п. - резерв</v>
      </c>
      <c r="K29" s="161"/>
      <c r="L29" s="161"/>
    </row>
    <row r="30" spans="2:12" ht="24.75" customHeight="1" x14ac:dyDescent="0.25">
      <c r="B30" s="56">
        <v>42</v>
      </c>
      <c r="C30" s="58" t="str">
        <f>CONCATENATE("п.",'шпоргалка-3'!D50," - ",'шпоргалка-3'!B50)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CONCATENATE("п.",'шпоргалка-3'!D68," - ",'шпоргалка-3'!B68)</f>
        <v>п. - резерв</v>
      </c>
      <c r="H30" s="56">
        <v>58</v>
      </c>
      <c r="I30" s="58" t="str">
        <f t="shared" si="4"/>
        <v>п. - резерв</v>
      </c>
      <c r="K30" s="161"/>
      <c r="L30" s="161"/>
    </row>
    <row r="31" spans="2:12" ht="24.75" customHeight="1" x14ac:dyDescent="0.25">
      <c r="B31" s="56">
        <v>43</v>
      </c>
      <c r="C31" s="58" t="str">
        <f>CONCATENATE("п.",'шпоргалка-3'!D51," - ",'шпоргалка-3'!B51)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CONCATENATE("п.",'шпоргалка-3'!D69," - ",'шпоргалка-3'!B69)</f>
        <v>п. - резерв</v>
      </c>
      <c r="H31" s="56">
        <v>59</v>
      </c>
      <c r="I31" s="58" t="str">
        <f t="shared" si="4"/>
        <v>п. - резерв</v>
      </c>
      <c r="K31" s="161"/>
      <c r="L31" s="161"/>
    </row>
    <row r="32" spans="2:12" ht="24.75" customHeight="1" x14ac:dyDescent="0.25">
      <c r="B32" s="56">
        <v>44</v>
      </c>
      <c r="C32" s="58" t="str">
        <f>CONCATENATE("п.",'шпоргалка-3'!D52," - ",'шпоргалка-3'!B52)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CONCATENATE("п.",'шпоргалка-3'!D70," - ",'шпоргалка-3'!B70)</f>
        <v>п. - резерв</v>
      </c>
      <c r="H32" s="56">
        <v>60</v>
      </c>
      <c r="I32" s="58" t="str">
        <f t="shared" si="4"/>
        <v>п. - резерв</v>
      </c>
      <c r="K32" s="161"/>
      <c r="L32" s="161"/>
    </row>
    <row r="33" spans="2:12" ht="24.75" customHeight="1" x14ac:dyDescent="0.25">
      <c r="B33" s="56">
        <v>45</v>
      </c>
      <c r="C33" s="58" t="str">
        <f>CONCATENATE("п.",'шпоргалка-3'!D53," - ",'шпоргалка-3'!B53)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CONCATENATE("п.",'шпоргалка-3'!D71," - ",'шпоргалка-3'!B71)</f>
        <v>п. - резерв</v>
      </c>
      <c r="H33" s="56">
        <v>61</v>
      </c>
      <c r="I33" s="58" t="str">
        <f t="shared" si="4"/>
        <v>п. - резерв</v>
      </c>
      <c r="K33" s="161"/>
      <c r="L33" s="161"/>
    </row>
    <row r="34" spans="2:12" ht="24.75" customHeight="1" x14ac:dyDescent="0.25">
      <c r="B34" s="56">
        <v>46</v>
      </c>
      <c r="C34" s="58" t="str">
        <f>CONCATENATE("п.",'шпоргалка-3'!D54," - ",'шпоргалка-3'!B54)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CONCATENATE("п.",'шпоргалка-3'!D72," - ",'шпоргалка-3'!B72)</f>
        <v>п. - резерв</v>
      </c>
      <c r="H34" s="56">
        <v>62</v>
      </c>
      <c r="I34" s="58" t="str">
        <f t="shared" si="4"/>
        <v>п. - резерв</v>
      </c>
      <c r="K34" s="161"/>
      <c r="L34" s="161"/>
    </row>
    <row r="35" spans="2:12" ht="24.75" customHeight="1" x14ac:dyDescent="0.25">
      <c r="B35" s="56">
        <v>47</v>
      </c>
      <c r="C35" s="58" t="str">
        <f>CONCATENATE("п.",'шпоргалка-3'!D55," - ",'шпоргалка-3'!B55)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CONCATENATE("п.",'шпоргалка-3'!D73," - ",'шпоргалка-3'!B73)</f>
        <v>п. - резерв</v>
      </c>
      <c r="H35" s="56">
        <v>63</v>
      </c>
      <c r="I35" s="58" t="str">
        <f t="shared" si="4"/>
        <v>п. - резерв</v>
      </c>
      <c r="K35" s="161"/>
      <c r="L35" s="161"/>
    </row>
    <row r="36" spans="2:12" ht="24.75" customHeight="1" x14ac:dyDescent="0.25">
      <c r="B36" s="56">
        <v>48</v>
      </c>
      <c r="C36" s="58" t="str">
        <f>CONCATENATE("п.",'шпоргалка-3'!D56," - ",'шпоргалка-3'!B56)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CONCATENATE("п.",'шпоргалка-3'!D74," - ",'шпоргалка-3'!B74)</f>
        <v>п. - резерв</v>
      </c>
      <c r="H36" s="56">
        <v>64</v>
      </c>
      <c r="I36" s="58" t="str">
        <f t="shared" si="4"/>
        <v>п. - резерв</v>
      </c>
      <c r="K36" s="161"/>
      <c r="L36" s="161"/>
    </row>
  </sheetData>
  <mergeCells count="32"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6:L36"/>
    <mergeCell ref="K31:L31"/>
    <mergeCell ref="K32:L32"/>
    <mergeCell ref="K33:L33"/>
    <mergeCell ref="K34:L34"/>
    <mergeCell ref="K35:L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паша-нетбук</dc:creator>
  <cp:lastModifiedBy>Антон Дружинин</cp:lastModifiedBy>
  <cp:lastPrinted>2023-05-23T06:47:53Z</cp:lastPrinted>
  <dcterms:created xsi:type="dcterms:W3CDTF">2011-09-21T09:47:06Z</dcterms:created>
  <dcterms:modified xsi:type="dcterms:W3CDTF">2026-07-03T04:26:44Z</dcterms:modified>
</cp:coreProperties>
</file>