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6\Documents\adruzhinin_soft\расшивки\access-control-service\"/>
    </mc:Choice>
  </mc:AlternateContent>
  <xr:revisionPtr revIDLastSave="0" documentId="13_ncr:1_{22FFC23F-80AC-4D47-90FE-FF985A77DDAB}" xr6:coauthVersionLast="47" xr6:coauthVersionMax="47" xr10:uidLastSave="{00000000-0000-0000-0000-000000000000}"/>
  <bookViews>
    <workbookView xWindow="3720" yWindow="1620" windowWidth="21600" windowHeight="11385" xr2:uid="{131016A3-BE01-46DB-A7BF-AF91E09CC6B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67" i="1" l="1"/>
  <c r="B568" i="1" s="1"/>
  <c r="B548" i="1"/>
  <c r="B529" i="1"/>
  <c r="B530" i="1" s="1"/>
  <c r="B510" i="1"/>
  <c r="B491" i="1"/>
  <c r="B492" i="1" s="1"/>
  <c r="B472" i="1"/>
  <c r="B453" i="1"/>
  <c r="B454" i="1" s="1"/>
  <c r="B434" i="1"/>
  <c r="B415" i="1"/>
  <c r="B416" i="1" s="1"/>
  <c r="B396" i="1"/>
  <c r="B377" i="1"/>
  <c r="B378" i="1" s="1"/>
  <c r="B358" i="1"/>
  <c r="B339" i="1"/>
  <c r="B340" i="1" s="1"/>
  <c r="B320" i="1"/>
  <c r="B301" i="1"/>
  <c r="B302" i="1" s="1"/>
  <c r="B282" i="1"/>
  <c r="B263" i="1"/>
  <c r="B264" i="1" s="1"/>
  <c r="B244" i="1"/>
  <c r="B225" i="1"/>
  <c r="B226" i="1" s="1"/>
  <c r="B206" i="1"/>
  <c r="B187" i="1"/>
  <c r="B188" i="1" s="1"/>
  <c r="B168" i="1"/>
  <c r="B149" i="1"/>
  <c r="B150" i="1" s="1"/>
  <c r="B130" i="1"/>
  <c r="B111" i="1"/>
  <c r="B112" i="1" s="1"/>
  <c r="B92" i="1"/>
  <c r="B73" i="1"/>
  <c r="B74" i="1" s="1"/>
  <c r="B54" i="1"/>
  <c r="B35" i="1"/>
  <c r="B36" i="1" s="1"/>
  <c r="B16" i="1"/>
</calcChain>
</file>

<file path=xl/sharedStrings.xml><?xml version="1.0" encoding="utf-8"?>
<sst xmlns="http://schemas.openxmlformats.org/spreadsheetml/2006/main" count="495" uniqueCount="15">
  <si>
    <t>Стойка</t>
  </si>
  <si>
    <t>XK</t>
  </si>
  <si>
    <t>Контроллер SV 777</t>
  </si>
  <si>
    <t>№</t>
  </si>
  <si>
    <t>Плата SV 005</t>
  </si>
  <si>
    <t>Наименование плинтодержателя</t>
  </si>
  <si>
    <t>ХВ1</t>
  </si>
  <si>
    <t>Номер плинта</t>
  </si>
  <si>
    <t>СКУД</t>
  </si>
  <si>
    <t>к SV 005 разъемы R1 и D1</t>
  </si>
  <si>
    <t>к ХВ20</t>
  </si>
  <si>
    <t>оборудование\                                  кабель</t>
  </si>
  <si>
    <t>*(помещение№)</t>
  </si>
  <si>
    <t>к SV 005 разъемы R2 и D2</t>
  </si>
  <si>
    <t>Резерв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</si>
</sst>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0" fillId="0" borderId="2" xfId="0" applyBorder="1"/>
    <xf numFmtId="49" fontId="2" fillId="0" borderId="0" xfId="0" applyNumberFormat="1" applyFont="1" applyAlignment="1">
      <alignment horizontal="left"/>
    </xf>
    <xf numFmtId="0" fontId="0" fillId="0" borderId="3" xfId="0" applyBorder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textRotation="90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 textRotation="90"/>
    </xf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0" fillId="0" borderId="27" xfId="0" applyBorder="1" applyAlignment="1">
      <alignment horizontal="right" vertical="center" textRotation="90"/>
    </xf>
    <xf numFmtId="0" fontId="0" fillId="2" borderId="28" xfId="0" applyFill="1" applyBorder="1" applyAlignment="1">
      <alignment horizontal="right" vertical="center"/>
    </xf>
    <xf numFmtId="0" fontId="0" fillId="0" borderId="28" xfId="0" applyBorder="1" applyAlignment="1">
      <alignment horizontal="left" vertical="center" textRotation="90"/>
    </xf>
    <xf numFmtId="0" fontId="0" fillId="0" borderId="28" xfId="0" applyBorder="1" applyAlignment="1">
      <alignment horizontal="right" vertical="center" textRotation="90"/>
    </xf>
    <xf numFmtId="0" fontId="0" fillId="2" borderId="29" xfId="0" applyFill="1" applyBorder="1" applyAlignment="1">
      <alignment horizontal="center" vertical="center"/>
    </xf>
    <xf numFmtId="49" fontId="0" fillId="0" borderId="4" xfId="0" applyNumberForma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" fontId="0" fillId="2" borderId="6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0" xfId="0" applyFont="1" applyAlignment="1">
      <alignment horizontal="left"/>
    </xf>
    <xf numFmtId="49" fontId="0" fillId="0" borderId="4" xfId="0" applyNumberFormat="1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24" xfId="0" applyFont="1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25" xfId="0" applyBorder="1" applyAlignment="1">
      <alignment vertical="center"/>
    </xf>
    <xf numFmtId="0" fontId="0" fillId="2" borderId="25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E2D0E-E580-43F6-AAB6-F4C902C7C126}">
  <dimension ref="A1:V570"/>
  <sheetViews>
    <sheetView tabSelected="1" workbookViewId="0">
      <selection activeCell="J15" sqref="J15"/>
    </sheetView>
  </sheetViews>
  <sheetFormatPr defaultRowHeight="15" x14ac:dyDescent="0.25"/>
  <cols>
    <col min="1" max="11" width="3.85546875" customWidth="1"/>
    <col min="12" max="12" width="6.5703125" customWidth="1"/>
    <col min="13" max="13" width="7" customWidth="1"/>
    <col min="14" max="14" width="4.7109375" customWidth="1"/>
    <col min="15" max="22" width="3.85546875" customWidth="1"/>
  </cols>
  <sheetData>
    <row r="1" spans="1:22" x14ac:dyDescent="0.25">
      <c r="A1" s="1"/>
      <c r="B1" s="1"/>
      <c r="C1" s="1"/>
      <c r="D1" s="1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8.75" x14ac:dyDescent="0.3">
      <c r="E2" s="3" t="s">
        <v>0</v>
      </c>
      <c r="G2" s="4"/>
      <c r="H2" s="4"/>
      <c r="I2" s="4"/>
      <c r="J2" s="4"/>
      <c r="K2" s="4"/>
      <c r="L2" s="4"/>
      <c r="M2" s="41" t="s">
        <v>1</v>
      </c>
      <c r="N2" s="5"/>
    </row>
    <row r="3" spans="1:22" ht="18.75" x14ac:dyDescent="0.3">
      <c r="E3" s="3" t="s">
        <v>2</v>
      </c>
      <c r="J3" s="6"/>
      <c r="K3" s="6"/>
      <c r="L3" s="6"/>
      <c r="M3" s="41" t="s">
        <v>3</v>
      </c>
      <c r="N3" s="7"/>
    </row>
    <row r="4" spans="1:22" ht="18.75" x14ac:dyDescent="0.3">
      <c r="E4" t="s">
        <v>4</v>
      </c>
      <c r="H4" s="4"/>
      <c r="I4" s="4"/>
      <c r="J4" s="4"/>
      <c r="K4" s="4"/>
      <c r="L4" s="4"/>
      <c r="M4" s="42" t="s">
        <v>3</v>
      </c>
      <c r="N4" s="8"/>
    </row>
    <row r="5" spans="1:22" ht="18.75" x14ac:dyDescent="0.3">
      <c r="E5" t="s">
        <v>5</v>
      </c>
      <c r="L5" s="6"/>
      <c r="M5" s="42" t="s">
        <v>6</v>
      </c>
      <c r="N5" s="8"/>
      <c r="O5" s="8"/>
    </row>
    <row r="6" spans="1:22" ht="18.75" x14ac:dyDescent="0.3">
      <c r="E6" s="10" t="s">
        <v>7</v>
      </c>
      <c r="I6" s="4"/>
      <c r="J6" s="4"/>
      <c r="K6" s="4"/>
      <c r="L6" s="4"/>
      <c r="M6" s="42" t="s">
        <v>3</v>
      </c>
      <c r="N6" s="8"/>
    </row>
    <row r="7" spans="1:22" ht="15.75" thickBot="1" x14ac:dyDescent="0.3">
      <c r="E7" s="43" t="s">
        <v>8</v>
      </c>
      <c r="F7" s="43"/>
      <c r="G7" s="43"/>
      <c r="H7" s="43"/>
      <c r="I7" s="11"/>
      <c r="J7" s="11"/>
      <c r="K7" s="11"/>
      <c r="L7" s="11"/>
      <c r="M7" s="32" t="s">
        <v>3</v>
      </c>
      <c r="N7" s="40"/>
      <c r="O7" s="40"/>
    </row>
    <row r="8" spans="1:22" x14ac:dyDescent="0.25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4"/>
    </row>
    <row r="9" spans="1:22" x14ac:dyDescent="0.25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7"/>
    </row>
    <row r="10" spans="1:22" x14ac:dyDescent="0.25">
      <c r="A10" s="18"/>
      <c r="B10" s="56" t="s">
        <v>9</v>
      </c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2"/>
      <c r="V10" s="19"/>
    </row>
    <row r="11" spans="1:22" ht="15.75" thickBot="1" x14ac:dyDescent="0.3">
      <c r="A11" s="20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19"/>
    </row>
    <row r="12" spans="1:22" x14ac:dyDescent="0.25">
      <c r="A12" s="20"/>
      <c r="B12" s="45">
        <v>0</v>
      </c>
      <c r="C12" s="46"/>
      <c r="D12" s="46">
        <v>1</v>
      </c>
      <c r="E12" s="46">
        <v>1</v>
      </c>
      <c r="F12" s="46">
        <v>2</v>
      </c>
      <c r="G12" s="46">
        <v>2</v>
      </c>
      <c r="H12" s="46">
        <v>3</v>
      </c>
      <c r="I12" s="47">
        <v>3</v>
      </c>
      <c r="J12" s="45">
        <v>4</v>
      </c>
      <c r="K12" s="46">
        <v>4</v>
      </c>
      <c r="L12" s="46">
        <v>5</v>
      </c>
      <c r="M12" s="46"/>
      <c r="N12" s="46">
        <v>6</v>
      </c>
      <c r="O12" s="46">
        <v>1</v>
      </c>
      <c r="P12" s="46">
        <v>7</v>
      </c>
      <c r="Q12" s="47">
        <v>2</v>
      </c>
      <c r="R12" s="52">
        <v>8</v>
      </c>
      <c r="S12" s="53">
        <v>3</v>
      </c>
      <c r="T12" s="53">
        <v>9</v>
      </c>
      <c r="U12" s="53">
        <v>4</v>
      </c>
      <c r="V12" s="22"/>
    </row>
    <row r="13" spans="1:22" ht="15.75" thickBot="1" x14ac:dyDescent="0.3">
      <c r="A13" s="20"/>
      <c r="B13" s="23"/>
      <c r="C13" s="24"/>
      <c r="D13" s="24"/>
      <c r="E13" s="24"/>
      <c r="F13" s="24"/>
      <c r="G13" s="24"/>
      <c r="H13" s="24"/>
      <c r="I13" s="25"/>
      <c r="J13" s="23"/>
      <c r="K13" s="24"/>
      <c r="L13" s="24"/>
      <c r="M13" s="24"/>
      <c r="N13" s="24"/>
      <c r="O13" s="24"/>
      <c r="P13" s="24"/>
      <c r="Q13" s="25"/>
      <c r="R13" s="26"/>
      <c r="S13" s="16"/>
      <c r="T13" s="16"/>
      <c r="U13" s="16"/>
      <c r="V13" s="22"/>
    </row>
    <row r="14" spans="1:22" ht="15.75" thickBot="1" x14ac:dyDescent="0.3">
      <c r="A14" s="27"/>
      <c r="B14" s="28"/>
      <c r="C14" s="28"/>
      <c r="D14" s="28"/>
      <c r="E14" s="28"/>
      <c r="F14" s="29"/>
      <c r="G14" s="28"/>
      <c r="H14" s="28"/>
      <c r="I14" s="28"/>
      <c r="J14" s="28"/>
      <c r="K14" s="29"/>
      <c r="L14" s="28"/>
      <c r="M14" s="29"/>
      <c r="N14" s="28"/>
      <c r="O14" s="29"/>
      <c r="P14" s="28"/>
      <c r="Q14" s="29"/>
      <c r="R14" s="30"/>
      <c r="S14" s="30"/>
      <c r="T14" s="30"/>
      <c r="U14" s="30"/>
      <c r="V14" s="31"/>
    </row>
    <row r="15" spans="1:22" ht="15.75" thickBot="1" x14ac:dyDescent="0.3">
      <c r="A15" s="32"/>
      <c r="B15" s="32"/>
      <c r="C15" s="32"/>
      <c r="D15" s="32"/>
      <c r="E15" s="32"/>
      <c r="F15" s="33"/>
      <c r="G15" s="32"/>
      <c r="H15" s="32"/>
      <c r="I15" s="32"/>
      <c r="J15" s="32"/>
      <c r="K15" s="33"/>
      <c r="L15" s="32"/>
      <c r="M15" s="33"/>
      <c r="N15" s="32"/>
      <c r="O15" s="33"/>
      <c r="P15" s="32"/>
      <c r="Q15" s="33"/>
      <c r="R15" s="32"/>
      <c r="S15" s="32"/>
      <c r="T15" s="32"/>
      <c r="U15" s="32"/>
      <c r="V15" s="34"/>
    </row>
    <row r="16" spans="1:22" ht="36" thickBot="1" x14ac:dyDescent="0.3">
      <c r="A16" s="32"/>
      <c r="B16" s="58" t="str">
        <f>IF(Q16&gt;1,"Считыватель вх",IF(F16&lt;1,"","Считыватель вх"))</f>
        <v>Считыватель вх</v>
      </c>
      <c r="C16" s="59"/>
      <c r="D16" s="60"/>
      <c r="E16" s="60"/>
      <c r="F16" s="61">
        <v>1</v>
      </c>
      <c r="G16" s="61"/>
      <c r="H16" s="62"/>
      <c r="I16" s="63"/>
      <c r="J16" s="35"/>
      <c r="K16" s="36"/>
      <c r="L16" s="37"/>
      <c r="M16" s="37" t="s">
        <v>10</v>
      </c>
      <c r="N16" s="38"/>
      <c r="O16" s="36"/>
      <c r="P16" s="38"/>
      <c r="Q16" s="39"/>
      <c r="R16" s="64" t="s">
        <v>11</v>
      </c>
      <c r="S16" s="65"/>
      <c r="T16" s="65"/>
      <c r="U16" s="65"/>
      <c r="V16" s="65"/>
    </row>
    <row r="17" spans="1:22" x14ac:dyDescent="0.25">
      <c r="A17" s="32"/>
      <c r="B17" s="50"/>
      <c r="C17" s="66"/>
      <c r="D17" s="66"/>
      <c r="E17" s="66"/>
      <c r="F17" s="66"/>
      <c r="G17" s="66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51" t="s">
        <v>12</v>
      </c>
      <c r="S17" s="51"/>
      <c r="T17" s="51"/>
      <c r="U17" s="51"/>
      <c r="V17" s="51"/>
    </row>
    <row r="19" spans="1:22" x14ac:dyDescent="0.25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8.75" x14ac:dyDescent="0.3">
      <c r="E21" s="3" t="s">
        <v>0</v>
      </c>
      <c r="G21" s="4"/>
      <c r="H21" s="4"/>
      <c r="I21" s="4"/>
      <c r="J21" s="4"/>
      <c r="K21" s="4"/>
      <c r="L21" s="4"/>
      <c r="M21" s="41" t="s">
        <v>1</v>
      </c>
      <c r="N21" s="5"/>
    </row>
    <row r="22" spans="1:22" ht="18.75" x14ac:dyDescent="0.3">
      <c r="E22" s="3" t="s">
        <v>2</v>
      </c>
      <c r="J22" s="6"/>
      <c r="K22" s="6"/>
      <c r="L22" s="6"/>
      <c r="M22" s="41" t="s">
        <v>3</v>
      </c>
      <c r="N22" s="7"/>
    </row>
    <row r="23" spans="1:22" ht="18.75" x14ac:dyDescent="0.3">
      <c r="E23" t="s">
        <v>4</v>
      </c>
      <c r="H23" s="4"/>
      <c r="I23" s="4"/>
      <c r="J23" s="4"/>
      <c r="K23" s="4"/>
      <c r="L23" s="4"/>
      <c r="M23" s="42" t="s">
        <v>3</v>
      </c>
      <c r="N23" s="8"/>
    </row>
    <row r="24" spans="1:22" ht="18.75" x14ac:dyDescent="0.3">
      <c r="E24" t="s">
        <v>5</v>
      </c>
      <c r="L24" s="6"/>
      <c r="M24" s="42" t="s">
        <v>6</v>
      </c>
      <c r="N24" s="54"/>
      <c r="O24" s="54"/>
    </row>
    <row r="25" spans="1:22" ht="18.75" x14ac:dyDescent="0.3">
      <c r="E25" s="10" t="s">
        <v>7</v>
      </c>
      <c r="I25" s="4"/>
      <c r="J25" s="4"/>
      <c r="K25" s="4"/>
      <c r="L25" s="4"/>
      <c r="M25" s="42" t="s">
        <v>3</v>
      </c>
      <c r="N25" s="8"/>
    </row>
    <row r="26" spans="1:22" ht="15.75" thickBot="1" x14ac:dyDescent="0.3">
      <c r="E26" s="43" t="s">
        <v>8</v>
      </c>
      <c r="F26" s="43"/>
      <c r="G26" s="43"/>
      <c r="H26" s="43"/>
      <c r="I26" s="11"/>
      <c r="J26" s="11"/>
      <c r="K26" s="11"/>
      <c r="L26" s="11"/>
      <c r="M26" s="32" t="s">
        <v>3</v>
      </c>
      <c r="N26" s="55"/>
      <c r="O26" s="55"/>
    </row>
    <row r="27" spans="1:22" x14ac:dyDescent="0.25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4"/>
    </row>
    <row r="28" spans="1:22" x14ac:dyDescent="0.25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7"/>
    </row>
    <row r="29" spans="1:22" x14ac:dyDescent="0.25">
      <c r="A29" s="18"/>
      <c r="B29" s="56" t="s">
        <v>13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2"/>
      <c r="V29" s="19"/>
    </row>
    <row r="30" spans="1:22" ht="15.75" thickBot="1" x14ac:dyDescent="0.3">
      <c r="A30" s="20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19"/>
    </row>
    <row r="31" spans="1:22" x14ac:dyDescent="0.25">
      <c r="A31" s="20"/>
      <c r="B31" s="45">
        <v>0</v>
      </c>
      <c r="C31" s="46"/>
      <c r="D31" s="46">
        <v>1</v>
      </c>
      <c r="E31" s="46">
        <v>1</v>
      </c>
      <c r="F31" s="46">
        <v>2</v>
      </c>
      <c r="G31" s="46">
        <v>2</v>
      </c>
      <c r="H31" s="46">
        <v>3</v>
      </c>
      <c r="I31" s="47">
        <v>3</v>
      </c>
      <c r="J31" s="45">
        <v>4</v>
      </c>
      <c r="K31" s="46">
        <v>4</v>
      </c>
      <c r="L31" s="46">
        <v>5</v>
      </c>
      <c r="M31" s="46"/>
      <c r="N31" s="46">
        <v>6</v>
      </c>
      <c r="O31" s="46">
        <v>1</v>
      </c>
      <c r="P31" s="46">
        <v>7</v>
      </c>
      <c r="Q31" s="47">
        <v>2</v>
      </c>
      <c r="R31" s="52">
        <v>8</v>
      </c>
      <c r="S31" s="53">
        <v>3</v>
      </c>
      <c r="T31" s="53">
        <v>9</v>
      </c>
      <c r="U31" s="53">
        <v>4</v>
      </c>
      <c r="V31" s="22"/>
    </row>
    <row r="32" spans="1:22" ht="15.75" thickBot="1" x14ac:dyDescent="0.3">
      <c r="A32" s="20"/>
      <c r="B32" s="23"/>
      <c r="C32" s="24"/>
      <c r="D32" s="24"/>
      <c r="E32" s="24"/>
      <c r="F32" s="24"/>
      <c r="G32" s="24"/>
      <c r="H32" s="24"/>
      <c r="I32" s="25"/>
      <c r="J32" s="23"/>
      <c r="K32" s="24"/>
      <c r="L32" s="24"/>
      <c r="M32" s="24"/>
      <c r="N32" s="24"/>
      <c r="O32" s="24"/>
      <c r="P32" s="24"/>
      <c r="Q32" s="25"/>
      <c r="R32" s="26"/>
      <c r="S32" s="16"/>
      <c r="T32" s="16"/>
      <c r="U32" s="16"/>
      <c r="V32" s="22"/>
    </row>
    <row r="33" spans="1:22" ht="15.75" thickBot="1" x14ac:dyDescent="0.3">
      <c r="A33" s="27"/>
      <c r="B33" s="28"/>
      <c r="C33" s="28"/>
      <c r="D33" s="28"/>
      <c r="E33" s="28"/>
      <c r="F33" s="29"/>
      <c r="G33" s="28"/>
      <c r="H33" s="28"/>
      <c r="I33" s="28"/>
      <c r="J33" s="28"/>
      <c r="K33" s="29"/>
      <c r="L33" s="28"/>
      <c r="M33" s="29"/>
      <c r="N33" s="28"/>
      <c r="O33" s="29"/>
      <c r="P33" s="28"/>
      <c r="Q33" s="29"/>
      <c r="R33" s="30"/>
      <c r="S33" s="30"/>
      <c r="T33" s="30"/>
      <c r="U33" s="30"/>
      <c r="V33" s="31"/>
    </row>
    <row r="34" spans="1:22" ht="15.75" thickBot="1" x14ac:dyDescent="0.3">
      <c r="A34" s="32"/>
      <c r="B34" s="32"/>
      <c r="C34" s="32"/>
      <c r="D34" s="32"/>
      <c r="E34" s="32"/>
      <c r="F34" s="33"/>
      <c r="G34" s="32"/>
      <c r="H34" s="32"/>
      <c r="I34" s="32"/>
      <c r="J34" s="32"/>
      <c r="K34" s="33"/>
      <c r="L34" s="32"/>
      <c r="M34" s="33"/>
      <c r="N34" s="32"/>
      <c r="O34" s="33"/>
      <c r="P34" s="32"/>
      <c r="Q34" s="33"/>
      <c r="R34" s="32"/>
      <c r="S34" s="32"/>
      <c r="T34" s="32"/>
      <c r="U34" s="32"/>
      <c r="V34" s="34"/>
    </row>
    <row r="35" spans="1:22" ht="36" thickBot="1" x14ac:dyDescent="0.3">
      <c r="A35" s="32"/>
      <c r="B35" s="58" t="str">
        <f>IF(Q35&gt;1,"Считыватель вх",IF(F35&lt;1,"","Считыватель вых"))</f>
        <v>Считыватель вых</v>
      </c>
      <c r="C35" s="59"/>
      <c r="D35" s="60"/>
      <c r="E35" s="60"/>
      <c r="F35" s="61">
        <v>4</v>
      </c>
      <c r="G35" s="61"/>
      <c r="H35" s="62"/>
      <c r="I35" s="63"/>
      <c r="J35" s="35"/>
      <c r="K35" s="36"/>
      <c r="L35" s="37"/>
      <c r="M35" s="37" t="s">
        <v>10</v>
      </c>
      <c r="N35" s="38"/>
      <c r="O35" s="36"/>
      <c r="P35" s="38"/>
      <c r="Q35" s="39"/>
      <c r="R35" s="64" t="s">
        <v>11</v>
      </c>
      <c r="S35" s="65"/>
      <c r="T35" s="65"/>
      <c r="U35" s="65"/>
      <c r="V35" s="65"/>
    </row>
    <row r="36" spans="1:22" x14ac:dyDescent="0.25">
      <c r="A36" s="32"/>
      <c r="B36" s="48">
        <f>IF(B35="Считыватель вых",B17,IF(B35="Считыватель вх",J36,""))</f>
        <v>0</v>
      </c>
      <c r="C36" s="49"/>
      <c r="D36" s="49"/>
      <c r="E36" s="49"/>
      <c r="F36" s="49"/>
      <c r="G36" s="49"/>
      <c r="H36" s="49"/>
      <c r="I36" s="49"/>
      <c r="J36" s="50" t="s">
        <v>14</v>
      </c>
      <c r="K36" s="49"/>
      <c r="L36" s="49"/>
      <c r="M36" s="49"/>
      <c r="N36" s="49"/>
      <c r="O36" s="49"/>
      <c r="P36" s="49"/>
      <c r="Q36" s="49"/>
      <c r="R36" s="51" t="s">
        <v>12</v>
      </c>
      <c r="S36" s="51"/>
      <c r="T36" s="51"/>
      <c r="U36" s="51"/>
      <c r="V36" s="51"/>
    </row>
    <row r="38" spans="1:22" x14ac:dyDescent="0.25">
      <c r="A38" s="1"/>
      <c r="B38" s="1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"/>
      <c r="B39" s="1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8.75" x14ac:dyDescent="0.3">
      <c r="E40" s="3" t="s">
        <v>0</v>
      </c>
      <c r="G40" s="4"/>
      <c r="H40" s="4"/>
      <c r="I40" s="4"/>
      <c r="J40" s="4"/>
      <c r="K40" s="4"/>
      <c r="L40" s="4"/>
      <c r="M40" s="41" t="s">
        <v>1</v>
      </c>
      <c r="N40" s="5"/>
    </row>
    <row r="41" spans="1:22" ht="18.75" x14ac:dyDescent="0.3">
      <c r="E41" s="3" t="s">
        <v>2</v>
      </c>
      <c r="J41" s="6"/>
      <c r="K41" s="6"/>
      <c r="L41" s="6"/>
      <c r="M41" s="41" t="s">
        <v>3</v>
      </c>
      <c r="N41" s="7"/>
    </row>
    <row r="42" spans="1:22" ht="18.75" x14ac:dyDescent="0.3">
      <c r="E42" t="s">
        <v>4</v>
      </c>
      <c r="H42" s="4"/>
      <c r="I42" s="4"/>
      <c r="J42" s="4"/>
      <c r="K42" s="4"/>
      <c r="L42" s="4"/>
      <c r="M42" s="42" t="s">
        <v>3</v>
      </c>
      <c r="N42" s="9"/>
    </row>
    <row r="43" spans="1:22" ht="18.75" x14ac:dyDescent="0.3">
      <c r="E43" t="s">
        <v>5</v>
      </c>
      <c r="L43" s="6"/>
      <c r="M43" s="42" t="s">
        <v>6</v>
      </c>
      <c r="N43" s="9"/>
      <c r="O43" s="9"/>
    </row>
    <row r="44" spans="1:22" ht="18.75" x14ac:dyDescent="0.3">
      <c r="E44" s="10" t="s">
        <v>7</v>
      </c>
      <c r="I44" s="4"/>
      <c r="J44" s="4"/>
      <c r="K44" s="4"/>
      <c r="L44" s="4"/>
      <c r="M44" s="42" t="s">
        <v>3</v>
      </c>
      <c r="N44" s="9"/>
    </row>
    <row r="45" spans="1:22" ht="15.75" thickBot="1" x14ac:dyDescent="0.3">
      <c r="E45" s="43" t="s">
        <v>8</v>
      </c>
      <c r="F45" s="43"/>
      <c r="G45" s="43"/>
      <c r="H45" s="43"/>
      <c r="I45" s="11"/>
      <c r="J45" s="11"/>
      <c r="K45" s="11"/>
      <c r="L45" s="11"/>
      <c r="M45" s="32" t="s">
        <v>3</v>
      </c>
      <c r="N45" s="40"/>
      <c r="O45" s="40"/>
    </row>
    <row r="46" spans="1:22" x14ac:dyDescent="0.25">
      <c r="A46" s="1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4"/>
    </row>
    <row r="47" spans="1:22" x14ac:dyDescent="0.25">
      <c r="A47" s="15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17"/>
    </row>
    <row r="48" spans="1:22" x14ac:dyDescent="0.25">
      <c r="A48" s="18"/>
      <c r="B48" s="56" t="s">
        <v>9</v>
      </c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2"/>
      <c r="V48" s="19"/>
    </row>
    <row r="49" spans="1:22" ht="15.75" thickBot="1" x14ac:dyDescent="0.3">
      <c r="A49" s="20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19"/>
    </row>
    <row r="50" spans="1:22" x14ac:dyDescent="0.25">
      <c r="A50" s="20"/>
      <c r="B50" s="45">
        <v>0</v>
      </c>
      <c r="C50" s="46"/>
      <c r="D50" s="46">
        <v>1</v>
      </c>
      <c r="E50" s="46">
        <v>1</v>
      </c>
      <c r="F50" s="46">
        <v>2</v>
      </c>
      <c r="G50" s="46">
        <v>2</v>
      </c>
      <c r="H50" s="46">
        <v>3</v>
      </c>
      <c r="I50" s="47">
        <v>3</v>
      </c>
      <c r="J50" s="45">
        <v>4</v>
      </c>
      <c r="K50" s="46">
        <v>4</v>
      </c>
      <c r="L50" s="46">
        <v>5</v>
      </c>
      <c r="M50" s="46"/>
      <c r="N50" s="46">
        <v>6</v>
      </c>
      <c r="O50" s="46">
        <v>1</v>
      </c>
      <c r="P50" s="46">
        <v>7</v>
      </c>
      <c r="Q50" s="47">
        <v>2</v>
      </c>
      <c r="R50" s="52">
        <v>8</v>
      </c>
      <c r="S50" s="53">
        <v>3</v>
      </c>
      <c r="T50" s="53">
        <v>9</v>
      </c>
      <c r="U50" s="53">
        <v>4</v>
      </c>
      <c r="V50" s="22"/>
    </row>
    <row r="51" spans="1:22" ht="15.75" thickBot="1" x14ac:dyDescent="0.3">
      <c r="A51" s="20"/>
      <c r="B51" s="23"/>
      <c r="C51" s="24"/>
      <c r="D51" s="24"/>
      <c r="E51" s="24"/>
      <c r="F51" s="24"/>
      <c r="G51" s="24"/>
      <c r="H51" s="24"/>
      <c r="I51" s="25"/>
      <c r="J51" s="23"/>
      <c r="K51" s="24"/>
      <c r="L51" s="24"/>
      <c r="M51" s="24"/>
      <c r="N51" s="24"/>
      <c r="O51" s="24"/>
      <c r="P51" s="24"/>
      <c r="Q51" s="25"/>
      <c r="R51" s="26"/>
      <c r="S51" s="21"/>
      <c r="T51" s="21"/>
      <c r="U51" s="21"/>
      <c r="V51" s="22"/>
    </row>
    <row r="52" spans="1:22" ht="15.75" thickBot="1" x14ac:dyDescent="0.3">
      <c r="A52" s="27"/>
      <c r="B52" s="28"/>
      <c r="C52" s="28"/>
      <c r="D52" s="28"/>
      <c r="E52" s="28"/>
      <c r="F52" s="29"/>
      <c r="G52" s="28"/>
      <c r="H52" s="28"/>
      <c r="I52" s="28"/>
      <c r="J52" s="28"/>
      <c r="K52" s="29"/>
      <c r="L52" s="28"/>
      <c r="M52" s="29"/>
      <c r="N52" s="28"/>
      <c r="O52" s="29"/>
      <c r="P52" s="28"/>
      <c r="Q52" s="29"/>
      <c r="R52" s="30"/>
      <c r="S52" s="30"/>
      <c r="T52" s="30"/>
      <c r="U52" s="30"/>
      <c r="V52" s="31"/>
    </row>
    <row r="53" spans="1:22" ht="15.75" thickBot="1" x14ac:dyDescent="0.3">
      <c r="A53" s="32"/>
      <c r="B53" s="32"/>
      <c r="C53" s="32"/>
      <c r="D53" s="32"/>
      <c r="E53" s="32"/>
      <c r="F53" s="33"/>
      <c r="G53" s="32"/>
      <c r="H53" s="32"/>
      <c r="I53" s="32"/>
      <c r="J53" s="32"/>
      <c r="K53" s="33"/>
      <c r="L53" s="32"/>
      <c r="M53" s="33"/>
      <c r="N53" s="32"/>
      <c r="O53" s="33"/>
      <c r="P53" s="32"/>
      <c r="Q53" s="33"/>
      <c r="R53" s="32"/>
      <c r="S53" s="32"/>
      <c r="T53" s="32"/>
      <c r="U53" s="32"/>
      <c r="V53" s="34"/>
    </row>
    <row r="54" spans="1:22" ht="36" thickBot="1" x14ac:dyDescent="0.3">
      <c r="A54" s="32"/>
      <c r="B54" s="58" t="str">
        <f>IF(Q54&gt;1,"Считыватель вх",IF(F54&lt;1,"","Считыватель вх"))</f>
        <v>Считыватель вх</v>
      </c>
      <c r="C54" s="59"/>
      <c r="D54" s="60"/>
      <c r="E54" s="60"/>
      <c r="F54" s="61">
        <v>1</v>
      </c>
      <c r="G54" s="61"/>
      <c r="H54" s="62"/>
      <c r="I54" s="63"/>
      <c r="J54" s="35"/>
      <c r="K54" s="36"/>
      <c r="L54" s="37"/>
      <c r="M54" s="37" t="s">
        <v>10</v>
      </c>
      <c r="N54" s="38"/>
      <c r="O54" s="36"/>
      <c r="P54" s="38"/>
      <c r="Q54" s="39"/>
      <c r="R54" s="64" t="s">
        <v>11</v>
      </c>
      <c r="S54" s="65"/>
      <c r="T54" s="65"/>
      <c r="U54" s="65"/>
      <c r="V54" s="65"/>
    </row>
    <row r="55" spans="1:22" x14ac:dyDescent="0.25">
      <c r="A55" s="32"/>
      <c r="B55" s="50"/>
      <c r="C55" s="66"/>
      <c r="D55" s="66"/>
      <c r="E55" s="66"/>
      <c r="F55" s="66"/>
      <c r="G55" s="66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51" t="s">
        <v>12</v>
      </c>
      <c r="S55" s="51"/>
      <c r="T55" s="51"/>
      <c r="U55" s="51"/>
      <c r="V55" s="51"/>
    </row>
    <row r="57" spans="1:22" x14ac:dyDescent="0.25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25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8.75" x14ac:dyDescent="0.3">
      <c r="E59" s="3" t="s">
        <v>0</v>
      </c>
      <c r="G59" s="4"/>
      <c r="H59" s="4"/>
      <c r="I59" s="4"/>
      <c r="J59" s="4"/>
      <c r="K59" s="4"/>
      <c r="L59" s="4"/>
      <c r="M59" s="41" t="s">
        <v>1</v>
      </c>
      <c r="N59" s="5"/>
    </row>
    <row r="60" spans="1:22" ht="18.75" x14ac:dyDescent="0.3">
      <c r="E60" s="3" t="s">
        <v>2</v>
      </c>
      <c r="J60" s="6"/>
      <c r="K60" s="6"/>
      <c r="L60" s="6"/>
      <c r="M60" s="41" t="s">
        <v>3</v>
      </c>
      <c r="N60" s="7"/>
    </row>
    <row r="61" spans="1:22" ht="18.75" x14ac:dyDescent="0.3">
      <c r="E61" t="s">
        <v>4</v>
      </c>
      <c r="H61" s="4"/>
      <c r="I61" s="4"/>
      <c r="J61" s="4"/>
      <c r="K61" s="4"/>
      <c r="L61" s="4"/>
      <c r="M61" s="42" t="s">
        <v>3</v>
      </c>
      <c r="N61" s="9"/>
    </row>
    <row r="62" spans="1:22" ht="18.75" x14ac:dyDescent="0.3">
      <c r="E62" t="s">
        <v>5</v>
      </c>
      <c r="L62" s="6"/>
      <c r="M62" s="42" t="s">
        <v>6</v>
      </c>
      <c r="N62" s="54"/>
      <c r="O62" s="54"/>
    </row>
    <row r="63" spans="1:22" ht="18.75" x14ac:dyDescent="0.3">
      <c r="E63" s="10" t="s">
        <v>7</v>
      </c>
      <c r="I63" s="4"/>
      <c r="J63" s="4"/>
      <c r="K63" s="4"/>
      <c r="L63" s="4"/>
      <c r="M63" s="42" t="s">
        <v>3</v>
      </c>
      <c r="N63" s="9"/>
    </row>
    <row r="64" spans="1:22" ht="15.75" thickBot="1" x14ac:dyDescent="0.3">
      <c r="E64" s="43" t="s">
        <v>8</v>
      </c>
      <c r="F64" s="43"/>
      <c r="G64" s="43"/>
      <c r="H64" s="43"/>
      <c r="I64" s="11"/>
      <c r="J64" s="11"/>
      <c r="K64" s="11"/>
      <c r="L64" s="11"/>
      <c r="M64" s="32" t="s">
        <v>3</v>
      </c>
      <c r="N64" s="55"/>
      <c r="O64" s="55"/>
    </row>
    <row r="65" spans="1:22" x14ac:dyDescent="0.25">
      <c r="A65" s="1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4"/>
    </row>
    <row r="66" spans="1:22" x14ac:dyDescent="0.25">
      <c r="A66" s="15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17"/>
    </row>
    <row r="67" spans="1:22" x14ac:dyDescent="0.25">
      <c r="A67" s="18"/>
      <c r="B67" s="56" t="s">
        <v>13</v>
      </c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2"/>
      <c r="V67" s="19"/>
    </row>
    <row r="68" spans="1:22" ht="15.75" thickBot="1" x14ac:dyDescent="0.3">
      <c r="A68" s="20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19"/>
    </row>
    <row r="69" spans="1:22" x14ac:dyDescent="0.25">
      <c r="A69" s="20"/>
      <c r="B69" s="45">
        <v>0</v>
      </c>
      <c r="C69" s="46"/>
      <c r="D69" s="46">
        <v>1</v>
      </c>
      <c r="E69" s="46">
        <v>1</v>
      </c>
      <c r="F69" s="46">
        <v>2</v>
      </c>
      <c r="G69" s="46">
        <v>2</v>
      </c>
      <c r="H69" s="46">
        <v>3</v>
      </c>
      <c r="I69" s="47">
        <v>3</v>
      </c>
      <c r="J69" s="45">
        <v>4</v>
      </c>
      <c r="K69" s="46">
        <v>4</v>
      </c>
      <c r="L69" s="46">
        <v>5</v>
      </c>
      <c r="M69" s="46"/>
      <c r="N69" s="46">
        <v>6</v>
      </c>
      <c r="O69" s="46">
        <v>1</v>
      </c>
      <c r="P69" s="46">
        <v>7</v>
      </c>
      <c r="Q69" s="47">
        <v>2</v>
      </c>
      <c r="R69" s="52">
        <v>8</v>
      </c>
      <c r="S69" s="53">
        <v>3</v>
      </c>
      <c r="T69" s="53">
        <v>9</v>
      </c>
      <c r="U69" s="53">
        <v>4</v>
      </c>
      <c r="V69" s="22"/>
    </row>
    <row r="70" spans="1:22" ht="15.75" thickBot="1" x14ac:dyDescent="0.3">
      <c r="A70" s="20"/>
      <c r="B70" s="23"/>
      <c r="C70" s="24"/>
      <c r="D70" s="24"/>
      <c r="E70" s="24"/>
      <c r="F70" s="24"/>
      <c r="G70" s="24"/>
      <c r="H70" s="24"/>
      <c r="I70" s="25"/>
      <c r="J70" s="23"/>
      <c r="K70" s="24"/>
      <c r="L70" s="24"/>
      <c r="M70" s="24"/>
      <c r="N70" s="24"/>
      <c r="O70" s="24"/>
      <c r="P70" s="24"/>
      <c r="Q70" s="25"/>
      <c r="R70" s="26"/>
      <c r="S70" s="21"/>
      <c r="T70" s="21"/>
      <c r="U70" s="21"/>
      <c r="V70" s="22"/>
    </row>
    <row r="71" spans="1:22" ht="15.75" thickBot="1" x14ac:dyDescent="0.3">
      <c r="A71" s="27"/>
      <c r="B71" s="28"/>
      <c r="C71" s="28"/>
      <c r="D71" s="28"/>
      <c r="E71" s="28"/>
      <c r="F71" s="29"/>
      <c r="G71" s="28"/>
      <c r="H71" s="28"/>
      <c r="I71" s="28"/>
      <c r="J71" s="28"/>
      <c r="K71" s="29"/>
      <c r="L71" s="28"/>
      <c r="M71" s="29"/>
      <c r="N71" s="28"/>
      <c r="O71" s="29"/>
      <c r="P71" s="28"/>
      <c r="Q71" s="29"/>
      <c r="R71" s="30"/>
      <c r="S71" s="30"/>
      <c r="T71" s="30"/>
      <c r="U71" s="30"/>
      <c r="V71" s="31"/>
    </row>
    <row r="72" spans="1:22" ht="15.75" thickBot="1" x14ac:dyDescent="0.3">
      <c r="A72" s="32"/>
      <c r="B72" s="32"/>
      <c r="C72" s="32"/>
      <c r="D72" s="32"/>
      <c r="E72" s="32"/>
      <c r="F72" s="33"/>
      <c r="G72" s="32"/>
      <c r="H72" s="32"/>
      <c r="I72" s="32"/>
      <c r="J72" s="32"/>
      <c r="K72" s="33"/>
      <c r="L72" s="32"/>
      <c r="M72" s="33"/>
      <c r="N72" s="32"/>
      <c r="O72" s="33"/>
      <c r="P72" s="32"/>
      <c r="Q72" s="33"/>
      <c r="R72" s="32"/>
      <c r="S72" s="32"/>
      <c r="T72" s="32"/>
      <c r="U72" s="32"/>
      <c r="V72" s="34"/>
    </row>
    <row r="73" spans="1:22" ht="36" thickBot="1" x14ac:dyDescent="0.3">
      <c r="A73" s="32"/>
      <c r="B73" s="58" t="str">
        <f>IF(Q73&gt;1,"Считыватель вх",IF(F73&lt;1,"","Считыватель вых"))</f>
        <v>Считыватель вых</v>
      </c>
      <c r="C73" s="59"/>
      <c r="D73" s="60"/>
      <c r="E73" s="60"/>
      <c r="F73" s="61">
        <v>4</v>
      </c>
      <c r="G73" s="61"/>
      <c r="H73" s="62"/>
      <c r="I73" s="63"/>
      <c r="J73" s="35"/>
      <c r="K73" s="36"/>
      <c r="L73" s="37"/>
      <c r="M73" s="37" t="s">
        <v>10</v>
      </c>
      <c r="N73" s="38"/>
      <c r="O73" s="36"/>
      <c r="P73" s="38"/>
      <c r="Q73" s="39"/>
      <c r="R73" s="64" t="s">
        <v>11</v>
      </c>
      <c r="S73" s="65"/>
      <c r="T73" s="65"/>
      <c r="U73" s="65"/>
      <c r="V73" s="65"/>
    </row>
    <row r="74" spans="1:22" x14ac:dyDescent="0.25">
      <c r="A74" s="32"/>
      <c r="B74" s="48">
        <f>IF(B73="Считыватель вых",B55,IF(B73="Считыватель вх",J74,""))</f>
        <v>0</v>
      </c>
      <c r="C74" s="49"/>
      <c r="D74" s="49"/>
      <c r="E74" s="49"/>
      <c r="F74" s="49"/>
      <c r="G74" s="49"/>
      <c r="H74" s="49"/>
      <c r="I74" s="49"/>
      <c r="J74" s="50" t="s">
        <v>14</v>
      </c>
      <c r="K74" s="49"/>
      <c r="L74" s="49"/>
      <c r="M74" s="49"/>
      <c r="N74" s="49"/>
      <c r="O74" s="49"/>
      <c r="P74" s="49"/>
      <c r="Q74" s="49"/>
      <c r="R74" s="51" t="s">
        <v>12</v>
      </c>
      <c r="S74" s="51"/>
      <c r="T74" s="51"/>
      <c r="U74" s="51"/>
      <c r="V74" s="51"/>
    </row>
    <row r="76" spans="1:22" x14ac:dyDescent="0.25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25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8.75" x14ac:dyDescent="0.3">
      <c r="E78" s="3" t="s">
        <v>0</v>
      </c>
      <c r="G78" s="4"/>
      <c r="H78" s="4"/>
      <c r="I78" s="4"/>
      <c r="J78" s="4"/>
      <c r="K78" s="4"/>
      <c r="L78" s="4"/>
      <c r="M78" s="41" t="s">
        <v>1</v>
      </c>
      <c r="N78" s="5"/>
    </row>
    <row r="79" spans="1:22" ht="18.75" x14ac:dyDescent="0.3">
      <c r="E79" s="3" t="s">
        <v>2</v>
      </c>
      <c r="J79" s="6"/>
      <c r="K79" s="6"/>
      <c r="L79" s="6"/>
      <c r="M79" s="41" t="s">
        <v>3</v>
      </c>
      <c r="N79" s="7"/>
    </row>
    <row r="80" spans="1:22" ht="18.75" x14ac:dyDescent="0.3">
      <c r="E80" t="s">
        <v>4</v>
      </c>
      <c r="H80" s="4"/>
      <c r="I80" s="4"/>
      <c r="J80" s="4"/>
      <c r="K80" s="4"/>
      <c r="L80" s="4"/>
      <c r="M80" s="42" t="s">
        <v>3</v>
      </c>
      <c r="N80" s="9"/>
    </row>
    <row r="81" spans="1:22" ht="18.75" x14ac:dyDescent="0.3">
      <c r="E81" t="s">
        <v>5</v>
      </c>
      <c r="L81" s="6"/>
      <c r="M81" s="42" t="s">
        <v>6</v>
      </c>
      <c r="N81" s="9"/>
      <c r="O81" s="9"/>
    </row>
    <row r="82" spans="1:22" ht="18.75" x14ac:dyDescent="0.3">
      <c r="E82" s="10" t="s">
        <v>7</v>
      </c>
      <c r="I82" s="4"/>
      <c r="J82" s="4"/>
      <c r="K82" s="4"/>
      <c r="L82" s="4"/>
      <c r="M82" s="42" t="s">
        <v>3</v>
      </c>
      <c r="N82" s="9"/>
    </row>
    <row r="83" spans="1:22" ht="15.75" thickBot="1" x14ac:dyDescent="0.3">
      <c r="E83" s="43" t="s">
        <v>8</v>
      </c>
      <c r="F83" s="43"/>
      <c r="G83" s="43"/>
      <c r="H83" s="43"/>
      <c r="I83" s="11"/>
      <c r="J83" s="11"/>
      <c r="K83" s="11"/>
      <c r="L83" s="11"/>
      <c r="M83" s="32" t="s">
        <v>3</v>
      </c>
      <c r="N83" s="40"/>
      <c r="O83" s="40"/>
    </row>
    <row r="84" spans="1:22" x14ac:dyDescent="0.25">
      <c r="A84" s="1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4"/>
    </row>
    <row r="85" spans="1:22" x14ac:dyDescent="0.25">
      <c r="A85" s="15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17"/>
    </row>
    <row r="86" spans="1:22" x14ac:dyDescent="0.25">
      <c r="A86" s="18"/>
      <c r="B86" s="56" t="s">
        <v>9</v>
      </c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2"/>
      <c r="V86" s="19"/>
    </row>
    <row r="87" spans="1:22" ht="15.75" thickBot="1" x14ac:dyDescent="0.3">
      <c r="A87" s="20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19"/>
    </row>
    <row r="88" spans="1:22" x14ac:dyDescent="0.25">
      <c r="A88" s="20"/>
      <c r="B88" s="45">
        <v>0</v>
      </c>
      <c r="C88" s="46"/>
      <c r="D88" s="46">
        <v>1</v>
      </c>
      <c r="E88" s="46">
        <v>1</v>
      </c>
      <c r="F88" s="46">
        <v>2</v>
      </c>
      <c r="G88" s="46">
        <v>2</v>
      </c>
      <c r="H88" s="46">
        <v>3</v>
      </c>
      <c r="I88" s="47">
        <v>3</v>
      </c>
      <c r="J88" s="45">
        <v>4</v>
      </c>
      <c r="K88" s="46">
        <v>4</v>
      </c>
      <c r="L88" s="46">
        <v>5</v>
      </c>
      <c r="M88" s="46"/>
      <c r="N88" s="46">
        <v>6</v>
      </c>
      <c r="O88" s="46">
        <v>1</v>
      </c>
      <c r="P88" s="46">
        <v>7</v>
      </c>
      <c r="Q88" s="47">
        <v>2</v>
      </c>
      <c r="R88" s="52">
        <v>8</v>
      </c>
      <c r="S88" s="53">
        <v>3</v>
      </c>
      <c r="T88" s="53">
        <v>9</v>
      </c>
      <c r="U88" s="53">
        <v>4</v>
      </c>
      <c r="V88" s="22"/>
    </row>
    <row r="89" spans="1:22" ht="15.75" thickBot="1" x14ac:dyDescent="0.3">
      <c r="A89" s="20"/>
      <c r="B89" s="23"/>
      <c r="C89" s="24"/>
      <c r="D89" s="24"/>
      <c r="E89" s="24"/>
      <c r="F89" s="24"/>
      <c r="G89" s="24"/>
      <c r="H89" s="24"/>
      <c r="I89" s="25"/>
      <c r="J89" s="23"/>
      <c r="K89" s="24"/>
      <c r="L89" s="24"/>
      <c r="M89" s="24"/>
      <c r="N89" s="24"/>
      <c r="O89" s="24"/>
      <c r="P89" s="24"/>
      <c r="Q89" s="25"/>
      <c r="R89" s="26"/>
      <c r="S89" s="21"/>
      <c r="T89" s="21"/>
      <c r="U89" s="21"/>
      <c r="V89" s="22"/>
    </row>
    <row r="90" spans="1:22" ht="15.75" thickBot="1" x14ac:dyDescent="0.3">
      <c r="A90" s="27"/>
      <c r="B90" s="28"/>
      <c r="C90" s="28"/>
      <c r="D90" s="28"/>
      <c r="E90" s="28"/>
      <c r="F90" s="29"/>
      <c r="G90" s="28"/>
      <c r="H90" s="28"/>
      <c r="I90" s="28"/>
      <c r="J90" s="28"/>
      <c r="K90" s="29"/>
      <c r="L90" s="28"/>
      <c r="M90" s="29"/>
      <c r="N90" s="28"/>
      <c r="O90" s="29"/>
      <c r="P90" s="28"/>
      <c r="Q90" s="29"/>
      <c r="R90" s="30"/>
      <c r="S90" s="30"/>
      <c r="T90" s="30"/>
      <c r="U90" s="30"/>
      <c r="V90" s="31"/>
    </row>
    <row r="91" spans="1:22" ht="15.75" thickBot="1" x14ac:dyDescent="0.3">
      <c r="A91" s="32"/>
      <c r="B91" s="32"/>
      <c r="C91" s="32"/>
      <c r="D91" s="32"/>
      <c r="E91" s="32"/>
      <c r="F91" s="33"/>
      <c r="G91" s="32"/>
      <c r="H91" s="32"/>
      <c r="I91" s="32"/>
      <c r="J91" s="32"/>
      <c r="K91" s="33"/>
      <c r="L91" s="32"/>
      <c r="M91" s="33"/>
      <c r="N91" s="32"/>
      <c r="O91" s="33"/>
      <c r="P91" s="32"/>
      <c r="Q91" s="33"/>
      <c r="R91" s="32"/>
      <c r="S91" s="32"/>
      <c r="T91" s="32"/>
      <c r="U91" s="32"/>
      <c r="V91" s="34"/>
    </row>
    <row r="92" spans="1:22" ht="36" thickBot="1" x14ac:dyDescent="0.3">
      <c r="A92" s="32"/>
      <c r="B92" s="58" t="str">
        <f>IF(Q92&gt;1,"Считыватель вх",IF(F92&lt;1,"","Считыватель вх"))</f>
        <v>Считыватель вх</v>
      </c>
      <c r="C92" s="59"/>
      <c r="D92" s="60"/>
      <c r="E92" s="60"/>
      <c r="F92" s="61">
        <v>1</v>
      </c>
      <c r="G92" s="61"/>
      <c r="H92" s="62"/>
      <c r="I92" s="63"/>
      <c r="J92" s="35"/>
      <c r="K92" s="36"/>
      <c r="L92" s="37"/>
      <c r="M92" s="37" t="s">
        <v>10</v>
      </c>
      <c r="N92" s="38"/>
      <c r="O92" s="36"/>
      <c r="P92" s="38"/>
      <c r="Q92" s="39"/>
      <c r="R92" s="64" t="s">
        <v>11</v>
      </c>
      <c r="S92" s="65"/>
      <c r="T92" s="65"/>
      <c r="U92" s="65"/>
      <c r="V92" s="65"/>
    </row>
    <row r="93" spans="1:22" x14ac:dyDescent="0.25">
      <c r="A93" s="32"/>
      <c r="B93" s="50"/>
      <c r="C93" s="66"/>
      <c r="D93" s="66"/>
      <c r="E93" s="66"/>
      <c r="F93" s="66"/>
      <c r="G93" s="66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51" t="s">
        <v>12</v>
      </c>
      <c r="S93" s="51"/>
      <c r="T93" s="51"/>
      <c r="U93" s="51"/>
      <c r="V93" s="51"/>
    </row>
    <row r="95" spans="1:22" x14ac:dyDescent="0.25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x14ac:dyDescent="0.25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8.75" x14ac:dyDescent="0.3">
      <c r="E97" s="3" t="s">
        <v>0</v>
      </c>
      <c r="G97" s="4"/>
      <c r="H97" s="4"/>
      <c r="I97" s="4"/>
      <c r="J97" s="4"/>
      <c r="K97" s="4"/>
      <c r="L97" s="4"/>
      <c r="M97" s="41" t="s">
        <v>1</v>
      </c>
      <c r="N97" s="5"/>
    </row>
    <row r="98" spans="1:22" ht="18.75" x14ac:dyDescent="0.3">
      <c r="E98" s="3" t="s">
        <v>2</v>
      </c>
      <c r="J98" s="6"/>
      <c r="K98" s="6"/>
      <c r="L98" s="6"/>
      <c r="M98" s="41" t="s">
        <v>3</v>
      </c>
      <c r="N98" s="7"/>
    </row>
    <row r="99" spans="1:22" ht="18.75" x14ac:dyDescent="0.3">
      <c r="E99" t="s">
        <v>4</v>
      </c>
      <c r="H99" s="4"/>
      <c r="I99" s="4"/>
      <c r="J99" s="4"/>
      <c r="K99" s="4"/>
      <c r="L99" s="4"/>
      <c r="M99" s="42" t="s">
        <v>3</v>
      </c>
      <c r="N99" s="9"/>
    </row>
    <row r="100" spans="1:22" ht="18.75" x14ac:dyDescent="0.3">
      <c r="E100" t="s">
        <v>5</v>
      </c>
      <c r="L100" s="6"/>
      <c r="M100" s="42" t="s">
        <v>6</v>
      </c>
      <c r="N100" s="54"/>
      <c r="O100" s="54"/>
    </row>
    <row r="101" spans="1:22" ht="18.75" x14ac:dyDescent="0.3">
      <c r="E101" s="10" t="s">
        <v>7</v>
      </c>
      <c r="I101" s="4"/>
      <c r="J101" s="4"/>
      <c r="K101" s="4"/>
      <c r="L101" s="4"/>
      <c r="M101" s="42" t="s">
        <v>3</v>
      </c>
      <c r="N101" s="9"/>
    </row>
    <row r="102" spans="1:22" ht="15.75" thickBot="1" x14ac:dyDescent="0.3">
      <c r="E102" s="43" t="s">
        <v>8</v>
      </c>
      <c r="F102" s="43"/>
      <c r="G102" s="43"/>
      <c r="H102" s="43"/>
      <c r="I102" s="11"/>
      <c r="J102" s="11"/>
      <c r="K102" s="11"/>
      <c r="L102" s="11"/>
      <c r="M102" s="32" t="s">
        <v>3</v>
      </c>
      <c r="N102" s="55"/>
      <c r="O102" s="55"/>
    </row>
    <row r="103" spans="1:22" x14ac:dyDescent="0.25">
      <c r="A103" s="1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4"/>
    </row>
    <row r="104" spans="1:22" x14ac:dyDescent="0.25">
      <c r="A104" s="15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17"/>
    </row>
    <row r="105" spans="1:22" x14ac:dyDescent="0.25">
      <c r="A105" s="18"/>
      <c r="B105" s="56" t="s">
        <v>13</v>
      </c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2"/>
      <c r="V105" s="19"/>
    </row>
    <row r="106" spans="1:22" ht="15.75" thickBot="1" x14ac:dyDescent="0.3">
      <c r="A106" s="20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19"/>
    </row>
    <row r="107" spans="1:22" x14ac:dyDescent="0.25">
      <c r="A107" s="20"/>
      <c r="B107" s="45">
        <v>0</v>
      </c>
      <c r="C107" s="46"/>
      <c r="D107" s="46">
        <v>1</v>
      </c>
      <c r="E107" s="46">
        <v>1</v>
      </c>
      <c r="F107" s="46">
        <v>2</v>
      </c>
      <c r="G107" s="46">
        <v>2</v>
      </c>
      <c r="H107" s="46">
        <v>3</v>
      </c>
      <c r="I107" s="47">
        <v>3</v>
      </c>
      <c r="J107" s="45">
        <v>4</v>
      </c>
      <c r="K107" s="46">
        <v>4</v>
      </c>
      <c r="L107" s="46">
        <v>5</v>
      </c>
      <c r="M107" s="46"/>
      <c r="N107" s="46">
        <v>6</v>
      </c>
      <c r="O107" s="46">
        <v>1</v>
      </c>
      <c r="P107" s="46">
        <v>7</v>
      </c>
      <c r="Q107" s="47">
        <v>2</v>
      </c>
      <c r="R107" s="52">
        <v>8</v>
      </c>
      <c r="S107" s="53">
        <v>3</v>
      </c>
      <c r="T107" s="53">
        <v>9</v>
      </c>
      <c r="U107" s="53">
        <v>4</v>
      </c>
      <c r="V107" s="22"/>
    </row>
    <row r="108" spans="1:22" ht="15.75" thickBot="1" x14ac:dyDescent="0.3">
      <c r="A108" s="20"/>
      <c r="B108" s="23"/>
      <c r="C108" s="24"/>
      <c r="D108" s="24"/>
      <c r="E108" s="24"/>
      <c r="F108" s="24"/>
      <c r="G108" s="24"/>
      <c r="H108" s="24"/>
      <c r="I108" s="25"/>
      <c r="J108" s="23"/>
      <c r="K108" s="24"/>
      <c r="L108" s="24"/>
      <c r="M108" s="24"/>
      <c r="N108" s="24"/>
      <c r="O108" s="24"/>
      <c r="P108" s="24"/>
      <c r="Q108" s="25"/>
      <c r="R108" s="26"/>
      <c r="S108" s="21"/>
      <c r="T108" s="21"/>
      <c r="U108" s="21"/>
      <c r="V108" s="22"/>
    </row>
    <row r="109" spans="1:22" ht="15.75" thickBot="1" x14ac:dyDescent="0.3">
      <c r="A109" s="27"/>
      <c r="B109" s="28"/>
      <c r="C109" s="28"/>
      <c r="D109" s="28"/>
      <c r="E109" s="28"/>
      <c r="F109" s="29"/>
      <c r="G109" s="28"/>
      <c r="H109" s="28"/>
      <c r="I109" s="28"/>
      <c r="J109" s="28"/>
      <c r="K109" s="29"/>
      <c r="L109" s="28"/>
      <c r="M109" s="29"/>
      <c r="N109" s="28"/>
      <c r="O109" s="29"/>
      <c r="P109" s="28"/>
      <c r="Q109" s="29"/>
      <c r="R109" s="30"/>
      <c r="S109" s="30"/>
      <c r="T109" s="30"/>
      <c r="U109" s="30"/>
      <c r="V109" s="31"/>
    </row>
    <row r="110" spans="1:22" ht="15.75" thickBot="1" x14ac:dyDescent="0.3">
      <c r="A110" s="32"/>
      <c r="B110" s="32"/>
      <c r="C110" s="32"/>
      <c r="D110" s="32"/>
      <c r="E110" s="32"/>
      <c r="F110" s="33"/>
      <c r="G110" s="32"/>
      <c r="H110" s="32"/>
      <c r="I110" s="32"/>
      <c r="J110" s="32"/>
      <c r="K110" s="33"/>
      <c r="L110" s="32"/>
      <c r="M110" s="33"/>
      <c r="N110" s="32"/>
      <c r="O110" s="33"/>
      <c r="P110" s="32"/>
      <c r="Q110" s="33"/>
      <c r="R110" s="32"/>
      <c r="S110" s="32"/>
      <c r="T110" s="32"/>
      <c r="U110" s="32"/>
      <c r="V110" s="34"/>
    </row>
    <row r="111" spans="1:22" ht="36" thickBot="1" x14ac:dyDescent="0.3">
      <c r="A111" s="32"/>
      <c r="B111" s="58" t="str">
        <f>IF(Q111&gt;1,"Считыватель вх",IF(F111&lt;1,"","Считыватель вых"))</f>
        <v>Считыватель вых</v>
      </c>
      <c r="C111" s="59"/>
      <c r="D111" s="60"/>
      <c r="E111" s="60"/>
      <c r="F111" s="61">
        <v>4</v>
      </c>
      <c r="G111" s="61"/>
      <c r="H111" s="62"/>
      <c r="I111" s="63"/>
      <c r="J111" s="35"/>
      <c r="K111" s="36"/>
      <c r="L111" s="37"/>
      <c r="M111" s="37" t="s">
        <v>10</v>
      </c>
      <c r="N111" s="38"/>
      <c r="O111" s="36"/>
      <c r="P111" s="38"/>
      <c r="Q111" s="39"/>
      <c r="R111" s="64" t="s">
        <v>11</v>
      </c>
      <c r="S111" s="65"/>
      <c r="T111" s="65"/>
      <c r="U111" s="65"/>
      <c r="V111" s="65"/>
    </row>
    <row r="112" spans="1:22" x14ac:dyDescent="0.25">
      <c r="A112" s="32"/>
      <c r="B112" s="48">
        <f>IF(B111="Считыватель вых",B93,IF(B111="Считыватель вх",J112,""))</f>
        <v>0</v>
      </c>
      <c r="C112" s="49"/>
      <c r="D112" s="49"/>
      <c r="E112" s="49"/>
      <c r="F112" s="49"/>
      <c r="G112" s="49"/>
      <c r="H112" s="49"/>
      <c r="I112" s="49"/>
      <c r="J112" s="50" t="s">
        <v>14</v>
      </c>
      <c r="K112" s="49"/>
      <c r="L112" s="49"/>
      <c r="M112" s="49"/>
      <c r="N112" s="49"/>
      <c r="O112" s="49"/>
      <c r="P112" s="49"/>
      <c r="Q112" s="49"/>
      <c r="R112" s="51" t="s">
        <v>12</v>
      </c>
      <c r="S112" s="51"/>
      <c r="T112" s="51"/>
      <c r="U112" s="51"/>
      <c r="V112" s="51"/>
    </row>
    <row r="114" spans="1:22" x14ac:dyDescent="0.25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x14ac:dyDescent="0.25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8.75" x14ac:dyDescent="0.3">
      <c r="E116" s="3" t="s">
        <v>0</v>
      </c>
      <c r="G116" s="4"/>
      <c r="H116" s="4"/>
      <c r="I116" s="4"/>
      <c r="J116" s="4"/>
      <c r="K116" s="4"/>
      <c r="L116" s="4"/>
      <c r="M116" s="41" t="s">
        <v>1</v>
      </c>
      <c r="N116" s="5"/>
    </row>
    <row r="117" spans="1:22" ht="18.75" x14ac:dyDescent="0.3">
      <c r="E117" s="3" t="s">
        <v>2</v>
      </c>
      <c r="J117" s="6"/>
      <c r="K117" s="6"/>
      <c r="L117" s="6"/>
      <c r="M117" s="41" t="s">
        <v>3</v>
      </c>
      <c r="N117" s="7"/>
    </row>
    <row r="118" spans="1:22" ht="18.75" x14ac:dyDescent="0.3">
      <c r="E118" t="s">
        <v>4</v>
      </c>
      <c r="H118" s="4"/>
      <c r="I118" s="4"/>
      <c r="J118" s="4"/>
      <c r="K118" s="4"/>
      <c r="L118" s="4"/>
      <c r="M118" s="42" t="s">
        <v>3</v>
      </c>
      <c r="N118" s="9"/>
    </row>
    <row r="119" spans="1:22" ht="18.75" x14ac:dyDescent="0.3">
      <c r="E119" t="s">
        <v>5</v>
      </c>
      <c r="L119" s="6"/>
      <c r="M119" s="42" t="s">
        <v>6</v>
      </c>
      <c r="N119" s="9"/>
      <c r="O119" s="9"/>
    </row>
    <row r="120" spans="1:22" ht="18.75" x14ac:dyDescent="0.3">
      <c r="E120" s="10" t="s">
        <v>7</v>
      </c>
      <c r="I120" s="4"/>
      <c r="J120" s="4"/>
      <c r="K120" s="4"/>
      <c r="L120" s="4"/>
      <c r="M120" s="42" t="s">
        <v>3</v>
      </c>
      <c r="N120" s="9"/>
    </row>
    <row r="121" spans="1:22" ht="15.75" thickBot="1" x14ac:dyDescent="0.3">
      <c r="E121" s="43" t="s">
        <v>8</v>
      </c>
      <c r="F121" s="43"/>
      <c r="G121" s="43"/>
      <c r="H121" s="43"/>
      <c r="I121" s="11"/>
      <c r="J121" s="11"/>
      <c r="K121" s="11"/>
      <c r="L121" s="11"/>
      <c r="M121" s="32" t="s">
        <v>3</v>
      </c>
      <c r="N121" s="40"/>
      <c r="O121" s="40"/>
    </row>
    <row r="122" spans="1:22" x14ac:dyDescent="0.25">
      <c r="A122" s="1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4"/>
    </row>
    <row r="123" spans="1:22" x14ac:dyDescent="0.25">
      <c r="A123" s="15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17"/>
    </row>
    <row r="124" spans="1:22" x14ac:dyDescent="0.25">
      <c r="A124" s="18"/>
      <c r="B124" s="56" t="s">
        <v>9</v>
      </c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2"/>
      <c r="V124" s="19"/>
    </row>
    <row r="125" spans="1:22" ht="15.75" thickBot="1" x14ac:dyDescent="0.3">
      <c r="A125" s="20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19"/>
    </row>
    <row r="126" spans="1:22" x14ac:dyDescent="0.25">
      <c r="A126" s="20"/>
      <c r="B126" s="45">
        <v>0</v>
      </c>
      <c r="C126" s="46"/>
      <c r="D126" s="46">
        <v>1</v>
      </c>
      <c r="E126" s="46">
        <v>1</v>
      </c>
      <c r="F126" s="46">
        <v>2</v>
      </c>
      <c r="G126" s="46">
        <v>2</v>
      </c>
      <c r="H126" s="46">
        <v>3</v>
      </c>
      <c r="I126" s="47">
        <v>3</v>
      </c>
      <c r="J126" s="45">
        <v>4</v>
      </c>
      <c r="K126" s="46">
        <v>4</v>
      </c>
      <c r="L126" s="46">
        <v>5</v>
      </c>
      <c r="M126" s="46"/>
      <c r="N126" s="46">
        <v>6</v>
      </c>
      <c r="O126" s="46">
        <v>1</v>
      </c>
      <c r="P126" s="46">
        <v>7</v>
      </c>
      <c r="Q126" s="47">
        <v>2</v>
      </c>
      <c r="R126" s="52">
        <v>8</v>
      </c>
      <c r="S126" s="53">
        <v>3</v>
      </c>
      <c r="T126" s="53">
        <v>9</v>
      </c>
      <c r="U126" s="53">
        <v>4</v>
      </c>
      <c r="V126" s="22"/>
    </row>
    <row r="127" spans="1:22" ht="15.75" thickBot="1" x14ac:dyDescent="0.3">
      <c r="A127" s="20"/>
      <c r="B127" s="23"/>
      <c r="C127" s="24"/>
      <c r="D127" s="24"/>
      <c r="E127" s="24"/>
      <c r="F127" s="24"/>
      <c r="G127" s="24"/>
      <c r="H127" s="24"/>
      <c r="I127" s="25"/>
      <c r="J127" s="23"/>
      <c r="K127" s="24"/>
      <c r="L127" s="24"/>
      <c r="M127" s="24"/>
      <c r="N127" s="24"/>
      <c r="O127" s="24"/>
      <c r="P127" s="24"/>
      <c r="Q127" s="25"/>
      <c r="R127" s="26"/>
      <c r="S127" s="21"/>
      <c r="T127" s="21"/>
      <c r="U127" s="21"/>
      <c r="V127" s="22"/>
    </row>
    <row r="128" spans="1:22" ht="15.75" thickBot="1" x14ac:dyDescent="0.3">
      <c r="A128" s="27"/>
      <c r="B128" s="28"/>
      <c r="C128" s="28"/>
      <c r="D128" s="28"/>
      <c r="E128" s="28"/>
      <c r="F128" s="29"/>
      <c r="G128" s="28"/>
      <c r="H128" s="28"/>
      <c r="I128" s="28"/>
      <c r="J128" s="28"/>
      <c r="K128" s="29"/>
      <c r="L128" s="28"/>
      <c r="M128" s="29"/>
      <c r="N128" s="28"/>
      <c r="O128" s="29"/>
      <c r="P128" s="28"/>
      <c r="Q128" s="29"/>
      <c r="R128" s="30"/>
      <c r="S128" s="30"/>
      <c r="T128" s="30"/>
      <c r="U128" s="30"/>
      <c r="V128" s="31"/>
    </row>
    <row r="129" spans="1:22" ht="15.75" thickBot="1" x14ac:dyDescent="0.3">
      <c r="A129" s="32"/>
      <c r="B129" s="32"/>
      <c r="C129" s="32"/>
      <c r="D129" s="32"/>
      <c r="E129" s="32"/>
      <c r="F129" s="33"/>
      <c r="G129" s="32"/>
      <c r="H129" s="32"/>
      <c r="I129" s="32"/>
      <c r="J129" s="32"/>
      <c r="K129" s="33"/>
      <c r="L129" s="32"/>
      <c r="M129" s="33"/>
      <c r="N129" s="32"/>
      <c r="O129" s="33"/>
      <c r="P129" s="32"/>
      <c r="Q129" s="33"/>
      <c r="R129" s="32"/>
      <c r="S129" s="32"/>
      <c r="T129" s="32"/>
      <c r="U129" s="32"/>
      <c r="V129" s="34"/>
    </row>
    <row r="130" spans="1:22" ht="36" thickBot="1" x14ac:dyDescent="0.3">
      <c r="A130" s="32"/>
      <c r="B130" s="58" t="str">
        <f>IF(Q130&gt;1,"Считыватель вх",IF(F130&lt;1,"","Считыватель вх"))</f>
        <v>Считыватель вх</v>
      </c>
      <c r="C130" s="59"/>
      <c r="D130" s="60"/>
      <c r="E130" s="60"/>
      <c r="F130" s="61">
        <v>1</v>
      </c>
      <c r="G130" s="61"/>
      <c r="H130" s="62"/>
      <c r="I130" s="63"/>
      <c r="J130" s="35"/>
      <c r="K130" s="36"/>
      <c r="L130" s="37"/>
      <c r="M130" s="37" t="s">
        <v>10</v>
      </c>
      <c r="N130" s="38"/>
      <c r="O130" s="36"/>
      <c r="P130" s="38"/>
      <c r="Q130" s="39"/>
      <c r="R130" s="64" t="s">
        <v>11</v>
      </c>
      <c r="S130" s="65"/>
      <c r="T130" s="65"/>
      <c r="U130" s="65"/>
      <c r="V130" s="65"/>
    </row>
    <row r="131" spans="1:22" x14ac:dyDescent="0.25">
      <c r="A131" s="32"/>
      <c r="B131" s="50"/>
      <c r="C131" s="66"/>
      <c r="D131" s="66"/>
      <c r="E131" s="66"/>
      <c r="F131" s="66"/>
      <c r="G131" s="66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51" t="s">
        <v>12</v>
      </c>
      <c r="S131" s="51"/>
      <c r="T131" s="51"/>
      <c r="U131" s="51"/>
      <c r="V131" s="51"/>
    </row>
    <row r="133" spans="1:22" x14ac:dyDescent="0.25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x14ac:dyDescent="0.25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8.75" x14ac:dyDescent="0.3">
      <c r="E135" s="3" t="s">
        <v>0</v>
      </c>
      <c r="G135" s="4"/>
      <c r="H135" s="4"/>
      <c r="I135" s="4"/>
      <c r="J135" s="4"/>
      <c r="K135" s="4"/>
      <c r="L135" s="4"/>
      <c r="M135" s="41" t="s">
        <v>1</v>
      </c>
      <c r="N135" s="5"/>
    </row>
    <row r="136" spans="1:22" ht="18.75" x14ac:dyDescent="0.3">
      <c r="E136" s="3" t="s">
        <v>2</v>
      </c>
      <c r="J136" s="6"/>
      <c r="K136" s="6"/>
      <c r="L136" s="6"/>
      <c r="M136" s="41" t="s">
        <v>3</v>
      </c>
      <c r="N136" s="7"/>
    </row>
    <row r="137" spans="1:22" ht="18.75" x14ac:dyDescent="0.3">
      <c r="E137" t="s">
        <v>4</v>
      </c>
      <c r="H137" s="4"/>
      <c r="I137" s="4"/>
      <c r="J137" s="4"/>
      <c r="K137" s="4"/>
      <c r="L137" s="4"/>
      <c r="M137" s="42" t="s">
        <v>3</v>
      </c>
      <c r="N137" s="9"/>
    </row>
    <row r="138" spans="1:22" ht="18.75" x14ac:dyDescent="0.3">
      <c r="E138" t="s">
        <v>5</v>
      </c>
      <c r="L138" s="6"/>
      <c r="M138" s="42" t="s">
        <v>6</v>
      </c>
      <c r="N138" s="54"/>
      <c r="O138" s="54"/>
    </row>
    <row r="139" spans="1:22" ht="18.75" x14ac:dyDescent="0.3">
      <c r="E139" s="10" t="s">
        <v>7</v>
      </c>
      <c r="I139" s="4"/>
      <c r="J139" s="4"/>
      <c r="K139" s="4"/>
      <c r="L139" s="4"/>
      <c r="M139" s="42" t="s">
        <v>3</v>
      </c>
      <c r="N139" s="9"/>
    </row>
    <row r="140" spans="1:22" ht="15.75" thickBot="1" x14ac:dyDescent="0.3">
      <c r="E140" s="43" t="s">
        <v>8</v>
      </c>
      <c r="F140" s="43"/>
      <c r="G140" s="43"/>
      <c r="H140" s="43"/>
      <c r="I140" s="11"/>
      <c r="J140" s="11"/>
      <c r="K140" s="11"/>
      <c r="L140" s="11"/>
      <c r="M140" s="32" t="s">
        <v>3</v>
      </c>
      <c r="N140" s="55"/>
      <c r="O140" s="55"/>
    </row>
    <row r="141" spans="1:22" x14ac:dyDescent="0.25">
      <c r="A141" s="12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4"/>
    </row>
    <row r="142" spans="1:22" x14ac:dyDescent="0.25">
      <c r="A142" s="15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17"/>
    </row>
    <row r="143" spans="1:22" x14ac:dyDescent="0.25">
      <c r="A143" s="18"/>
      <c r="B143" s="56" t="s">
        <v>13</v>
      </c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2"/>
      <c r="V143" s="19"/>
    </row>
    <row r="144" spans="1:22" ht="15.75" thickBot="1" x14ac:dyDescent="0.3">
      <c r="A144" s="20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19"/>
    </row>
    <row r="145" spans="1:22" x14ac:dyDescent="0.25">
      <c r="A145" s="20"/>
      <c r="B145" s="45">
        <v>0</v>
      </c>
      <c r="C145" s="46"/>
      <c r="D145" s="46">
        <v>1</v>
      </c>
      <c r="E145" s="46">
        <v>1</v>
      </c>
      <c r="F145" s="46">
        <v>2</v>
      </c>
      <c r="G145" s="46">
        <v>2</v>
      </c>
      <c r="H145" s="46">
        <v>3</v>
      </c>
      <c r="I145" s="47">
        <v>3</v>
      </c>
      <c r="J145" s="45">
        <v>4</v>
      </c>
      <c r="K145" s="46">
        <v>4</v>
      </c>
      <c r="L145" s="46">
        <v>5</v>
      </c>
      <c r="M145" s="46"/>
      <c r="N145" s="46">
        <v>6</v>
      </c>
      <c r="O145" s="46">
        <v>1</v>
      </c>
      <c r="P145" s="46">
        <v>7</v>
      </c>
      <c r="Q145" s="47">
        <v>2</v>
      </c>
      <c r="R145" s="52">
        <v>8</v>
      </c>
      <c r="S145" s="53">
        <v>3</v>
      </c>
      <c r="T145" s="53">
        <v>9</v>
      </c>
      <c r="U145" s="53">
        <v>4</v>
      </c>
      <c r="V145" s="22"/>
    </row>
    <row r="146" spans="1:22" ht="15.75" thickBot="1" x14ac:dyDescent="0.3">
      <c r="A146" s="20"/>
      <c r="B146" s="23"/>
      <c r="C146" s="24"/>
      <c r="D146" s="24"/>
      <c r="E146" s="24"/>
      <c r="F146" s="24"/>
      <c r="G146" s="24"/>
      <c r="H146" s="24"/>
      <c r="I146" s="25"/>
      <c r="J146" s="23"/>
      <c r="K146" s="24"/>
      <c r="L146" s="24"/>
      <c r="M146" s="24"/>
      <c r="N146" s="24"/>
      <c r="O146" s="24"/>
      <c r="P146" s="24"/>
      <c r="Q146" s="25"/>
      <c r="R146" s="26"/>
      <c r="S146" s="21"/>
      <c r="T146" s="21"/>
      <c r="U146" s="21"/>
      <c r="V146" s="22"/>
    </row>
    <row r="147" spans="1:22" ht="15.75" thickBot="1" x14ac:dyDescent="0.3">
      <c r="A147" s="27"/>
      <c r="B147" s="28"/>
      <c r="C147" s="28"/>
      <c r="D147" s="28"/>
      <c r="E147" s="28"/>
      <c r="F147" s="29"/>
      <c r="G147" s="28"/>
      <c r="H147" s="28"/>
      <c r="I147" s="28"/>
      <c r="J147" s="28"/>
      <c r="K147" s="29"/>
      <c r="L147" s="28"/>
      <c r="M147" s="29"/>
      <c r="N147" s="28"/>
      <c r="O147" s="29"/>
      <c r="P147" s="28"/>
      <c r="Q147" s="29"/>
      <c r="R147" s="30"/>
      <c r="S147" s="30"/>
      <c r="T147" s="30"/>
      <c r="U147" s="30"/>
      <c r="V147" s="31"/>
    </row>
    <row r="148" spans="1:22" ht="15.75" thickBot="1" x14ac:dyDescent="0.3">
      <c r="A148" s="32"/>
      <c r="B148" s="32"/>
      <c r="C148" s="32"/>
      <c r="D148" s="32"/>
      <c r="E148" s="32"/>
      <c r="F148" s="33"/>
      <c r="G148" s="32"/>
      <c r="H148" s="32"/>
      <c r="I148" s="32"/>
      <c r="J148" s="32"/>
      <c r="K148" s="33"/>
      <c r="L148" s="32"/>
      <c r="M148" s="33"/>
      <c r="N148" s="32"/>
      <c r="O148" s="33"/>
      <c r="P148" s="32"/>
      <c r="Q148" s="33"/>
      <c r="R148" s="32"/>
      <c r="S148" s="32"/>
      <c r="T148" s="32"/>
      <c r="U148" s="32"/>
      <c r="V148" s="34"/>
    </row>
    <row r="149" spans="1:22" ht="36" thickBot="1" x14ac:dyDescent="0.3">
      <c r="A149" s="32"/>
      <c r="B149" s="58" t="str">
        <f>IF(Q149&gt;1,"Считыватель вх",IF(F149&lt;1,"","Считыватель вых"))</f>
        <v>Считыватель вых</v>
      </c>
      <c r="C149" s="59"/>
      <c r="D149" s="60"/>
      <c r="E149" s="60"/>
      <c r="F149" s="61">
        <v>4</v>
      </c>
      <c r="G149" s="61"/>
      <c r="H149" s="62"/>
      <c r="I149" s="63"/>
      <c r="J149" s="35"/>
      <c r="K149" s="36"/>
      <c r="L149" s="37"/>
      <c r="M149" s="37" t="s">
        <v>10</v>
      </c>
      <c r="N149" s="38"/>
      <c r="O149" s="36"/>
      <c r="P149" s="38"/>
      <c r="Q149" s="39"/>
      <c r="R149" s="64" t="s">
        <v>11</v>
      </c>
      <c r="S149" s="65"/>
      <c r="T149" s="65"/>
      <c r="U149" s="65"/>
      <c r="V149" s="65"/>
    </row>
    <row r="150" spans="1:22" x14ac:dyDescent="0.25">
      <c r="A150" s="32"/>
      <c r="B150" s="48">
        <f>IF(B149="Считыватель вых",B131,IF(B149="Считыватель вх",J150,""))</f>
        <v>0</v>
      </c>
      <c r="C150" s="49"/>
      <c r="D150" s="49"/>
      <c r="E150" s="49"/>
      <c r="F150" s="49"/>
      <c r="G150" s="49"/>
      <c r="H150" s="49"/>
      <c r="I150" s="49"/>
      <c r="J150" s="50" t="s">
        <v>14</v>
      </c>
      <c r="K150" s="49"/>
      <c r="L150" s="49"/>
      <c r="M150" s="49"/>
      <c r="N150" s="49"/>
      <c r="O150" s="49"/>
      <c r="P150" s="49"/>
      <c r="Q150" s="49"/>
      <c r="R150" s="51" t="s">
        <v>12</v>
      </c>
      <c r="S150" s="51"/>
      <c r="T150" s="51"/>
      <c r="U150" s="51"/>
      <c r="V150" s="51"/>
    </row>
    <row r="152" spans="1:22" x14ac:dyDescent="0.25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x14ac:dyDescent="0.25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8.75" x14ac:dyDescent="0.3">
      <c r="E154" s="3" t="s">
        <v>0</v>
      </c>
      <c r="G154" s="4"/>
      <c r="H154" s="4"/>
      <c r="I154" s="4"/>
      <c r="J154" s="4"/>
      <c r="K154" s="4"/>
      <c r="L154" s="4"/>
      <c r="M154" s="41" t="s">
        <v>1</v>
      </c>
      <c r="N154" s="5"/>
    </row>
    <row r="155" spans="1:22" ht="18.75" x14ac:dyDescent="0.3">
      <c r="E155" s="3" t="s">
        <v>2</v>
      </c>
      <c r="J155" s="6"/>
      <c r="K155" s="6"/>
      <c r="L155" s="6"/>
      <c r="M155" s="41" t="s">
        <v>3</v>
      </c>
      <c r="N155" s="7"/>
    </row>
    <row r="156" spans="1:22" ht="18.75" x14ac:dyDescent="0.3">
      <c r="E156" t="s">
        <v>4</v>
      </c>
      <c r="H156" s="4"/>
      <c r="I156" s="4"/>
      <c r="J156" s="4"/>
      <c r="K156" s="4"/>
      <c r="L156" s="4"/>
      <c r="M156" s="42" t="s">
        <v>3</v>
      </c>
      <c r="N156" s="9"/>
    </row>
    <row r="157" spans="1:22" ht="18.75" x14ac:dyDescent="0.3">
      <c r="E157" t="s">
        <v>5</v>
      </c>
      <c r="L157" s="6"/>
      <c r="M157" s="42" t="s">
        <v>6</v>
      </c>
      <c r="N157" s="9"/>
      <c r="O157" s="9"/>
    </row>
    <row r="158" spans="1:22" ht="18.75" x14ac:dyDescent="0.3">
      <c r="E158" s="10" t="s">
        <v>7</v>
      </c>
      <c r="I158" s="4"/>
      <c r="J158" s="4"/>
      <c r="K158" s="4"/>
      <c r="L158" s="4"/>
      <c r="M158" s="42" t="s">
        <v>3</v>
      </c>
      <c r="N158" s="9"/>
    </row>
    <row r="159" spans="1:22" ht="15.75" thickBot="1" x14ac:dyDescent="0.3">
      <c r="E159" s="43" t="s">
        <v>8</v>
      </c>
      <c r="F159" s="43"/>
      <c r="G159" s="43"/>
      <c r="H159" s="43"/>
      <c r="I159" s="11"/>
      <c r="J159" s="11"/>
      <c r="K159" s="11"/>
      <c r="L159" s="11"/>
      <c r="M159" s="32" t="s">
        <v>3</v>
      </c>
      <c r="N159" s="40"/>
      <c r="O159" s="40"/>
    </row>
    <row r="160" spans="1:22" x14ac:dyDescent="0.25">
      <c r="A160" s="1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4"/>
    </row>
    <row r="161" spans="1:22" x14ac:dyDescent="0.25">
      <c r="A161" s="15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17"/>
    </row>
    <row r="162" spans="1:22" x14ac:dyDescent="0.25">
      <c r="A162" s="18"/>
      <c r="B162" s="56" t="s">
        <v>9</v>
      </c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2"/>
      <c r="V162" s="19"/>
    </row>
    <row r="163" spans="1:22" ht="15.75" thickBot="1" x14ac:dyDescent="0.3">
      <c r="A163" s="20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19"/>
    </row>
    <row r="164" spans="1:22" x14ac:dyDescent="0.25">
      <c r="A164" s="20"/>
      <c r="B164" s="45">
        <v>0</v>
      </c>
      <c r="C164" s="46"/>
      <c r="D164" s="46">
        <v>1</v>
      </c>
      <c r="E164" s="46">
        <v>1</v>
      </c>
      <c r="F164" s="46">
        <v>2</v>
      </c>
      <c r="G164" s="46">
        <v>2</v>
      </c>
      <c r="H164" s="46">
        <v>3</v>
      </c>
      <c r="I164" s="47">
        <v>3</v>
      </c>
      <c r="J164" s="45">
        <v>4</v>
      </c>
      <c r="K164" s="46">
        <v>4</v>
      </c>
      <c r="L164" s="46">
        <v>5</v>
      </c>
      <c r="M164" s="46"/>
      <c r="N164" s="46">
        <v>6</v>
      </c>
      <c r="O164" s="46">
        <v>1</v>
      </c>
      <c r="P164" s="46">
        <v>7</v>
      </c>
      <c r="Q164" s="47">
        <v>2</v>
      </c>
      <c r="R164" s="52">
        <v>8</v>
      </c>
      <c r="S164" s="53">
        <v>3</v>
      </c>
      <c r="T164" s="53">
        <v>9</v>
      </c>
      <c r="U164" s="53">
        <v>4</v>
      </c>
      <c r="V164" s="22"/>
    </row>
    <row r="165" spans="1:22" ht="15.75" thickBot="1" x14ac:dyDescent="0.3">
      <c r="A165" s="20"/>
      <c r="B165" s="23"/>
      <c r="C165" s="24"/>
      <c r="D165" s="24"/>
      <c r="E165" s="24"/>
      <c r="F165" s="24"/>
      <c r="G165" s="24"/>
      <c r="H165" s="24"/>
      <c r="I165" s="25"/>
      <c r="J165" s="23"/>
      <c r="K165" s="24"/>
      <c r="L165" s="24"/>
      <c r="M165" s="24"/>
      <c r="N165" s="24"/>
      <c r="O165" s="24"/>
      <c r="P165" s="24"/>
      <c r="Q165" s="25"/>
      <c r="R165" s="26"/>
      <c r="S165" s="21"/>
      <c r="T165" s="21"/>
      <c r="U165" s="21"/>
      <c r="V165" s="22"/>
    </row>
    <row r="166" spans="1:22" ht="15.75" thickBot="1" x14ac:dyDescent="0.3">
      <c r="A166" s="27"/>
      <c r="B166" s="28"/>
      <c r="C166" s="28"/>
      <c r="D166" s="28"/>
      <c r="E166" s="28"/>
      <c r="F166" s="29"/>
      <c r="G166" s="28"/>
      <c r="H166" s="28"/>
      <c r="I166" s="28"/>
      <c r="J166" s="28"/>
      <c r="K166" s="29"/>
      <c r="L166" s="28"/>
      <c r="M166" s="29"/>
      <c r="N166" s="28"/>
      <c r="O166" s="29"/>
      <c r="P166" s="28"/>
      <c r="Q166" s="29"/>
      <c r="R166" s="30"/>
      <c r="S166" s="30"/>
      <c r="T166" s="30"/>
      <c r="U166" s="30"/>
      <c r="V166" s="31"/>
    </row>
    <row r="167" spans="1:22" ht="15.75" thickBot="1" x14ac:dyDescent="0.3">
      <c r="A167" s="32"/>
      <c r="B167" s="32"/>
      <c r="C167" s="32"/>
      <c r="D167" s="32"/>
      <c r="E167" s="32"/>
      <c r="F167" s="33"/>
      <c r="G167" s="32"/>
      <c r="H167" s="32"/>
      <c r="I167" s="32"/>
      <c r="J167" s="32"/>
      <c r="K167" s="33"/>
      <c r="L167" s="32"/>
      <c r="M167" s="33"/>
      <c r="N167" s="32"/>
      <c r="O167" s="33"/>
      <c r="P167" s="32"/>
      <c r="Q167" s="33"/>
      <c r="R167" s="32"/>
      <c r="S167" s="32"/>
      <c r="T167" s="32"/>
      <c r="U167" s="32"/>
      <c r="V167" s="34"/>
    </row>
    <row r="168" spans="1:22" ht="36" thickBot="1" x14ac:dyDescent="0.3">
      <c r="A168" s="32"/>
      <c r="B168" s="58" t="str">
        <f>IF(Q168&gt;1,"Считыватель вх",IF(F168&lt;1,"","Считыватель вх"))</f>
        <v>Считыватель вх</v>
      </c>
      <c r="C168" s="59"/>
      <c r="D168" s="60"/>
      <c r="E168" s="60"/>
      <c r="F168" s="61">
        <v>1</v>
      </c>
      <c r="G168" s="61"/>
      <c r="H168" s="62"/>
      <c r="I168" s="63"/>
      <c r="J168" s="35"/>
      <c r="K168" s="36"/>
      <c r="L168" s="37"/>
      <c r="M168" s="37" t="s">
        <v>10</v>
      </c>
      <c r="N168" s="38"/>
      <c r="O168" s="36"/>
      <c r="P168" s="38"/>
      <c r="Q168" s="39"/>
      <c r="R168" s="64" t="s">
        <v>11</v>
      </c>
      <c r="S168" s="65"/>
      <c r="T168" s="65"/>
      <c r="U168" s="65"/>
      <c r="V168" s="65"/>
    </row>
    <row r="169" spans="1:22" x14ac:dyDescent="0.25">
      <c r="A169" s="32"/>
      <c r="B169" s="50"/>
      <c r="C169" s="66"/>
      <c r="D169" s="66"/>
      <c r="E169" s="66"/>
      <c r="F169" s="66"/>
      <c r="G169" s="66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51" t="s">
        <v>12</v>
      </c>
      <c r="S169" s="51"/>
      <c r="T169" s="51"/>
      <c r="U169" s="51"/>
      <c r="V169" s="51"/>
    </row>
    <row r="171" spans="1:22" x14ac:dyDescent="0.25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x14ac:dyDescent="0.25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8.75" x14ac:dyDescent="0.3">
      <c r="E173" s="3" t="s">
        <v>0</v>
      </c>
      <c r="G173" s="4"/>
      <c r="H173" s="4"/>
      <c r="I173" s="4"/>
      <c r="J173" s="4"/>
      <c r="K173" s="4"/>
      <c r="L173" s="4"/>
      <c r="M173" s="41" t="s">
        <v>1</v>
      </c>
      <c r="N173" s="5"/>
    </row>
    <row r="174" spans="1:22" ht="18.75" x14ac:dyDescent="0.3">
      <c r="E174" s="3" t="s">
        <v>2</v>
      </c>
      <c r="J174" s="6"/>
      <c r="K174" s="6"/>
      <c r="L174" s="6"/>
      <c r="M174" s="41" t="s">
        <v>3</v>
      </c>
      <c r="N174" s="7"/>
    </row>
    <row r="175" spans="1:22" ht="18.75" x14ac:dyDescent="0.3">
      <c r="E175" t="s">
        <v>4</v>
      </c>
      <c r="H175" s="4"/>
      <c r="I175" s="4"/>
      <c r="J175" s="4"/>
      <c r="K175" s="4"/>
      <c r="L175" s="4"/>
      <c r="M175" s="42" t="s">
        <v>3</v>
      </c>
      <c r="N175" s="9"/>
    </row>
    <row r="176" spans="1:22" ht="18.75" x14ac:dyDescent="0.3">
      <c r="E176" t="s">
        <v>5</v>
      </c>
      <c r="L176" s="6"/>
      <c r="M176" s="42" t="s">
        <v>6</v>
      </c>
      <c r="N176" s="54"/>
      <c r="O176" s="54"/>
    </row>
    <row r="177" spans="1:22" ht="18.75" x14ac:dyDescent="0.3">
      <c r="E177" s="10" t="s">
        <v>7</v>
      </c>
      <c r="I177" s="4"/>
      <c r="J177" s="4"/>
      <c r="K177" s="4"/>
      <c r="L177" s="4"/>
      <c r="M177" s="42" t="s">
        <v>3</v>
      </c>
      <c r="N177" s="9"/>
    </row>
    <row r="178" spans="1:22" ht="15.75" thickBot="1" x14ac:dyDescent="0.3">
      <c r="E178" s="43" t="s">
        <v>8</v>
      </c>
      <c r="F178" s="43"/>
      <c r="G178" s="43"/>
      <c r="H178" s="43"/>
      <c r="I178" s="11"/>
      <c r="J178" s="11"/>
      <c r="K178" s="11"/>
      <c r="L178" s="11"/>
      <c r="M178" s="32" t="s">
        <v>3</v>
      </c>
      <c r="N178" s="55"/>
      <c r="O178" s="55"/>
    </row>
    <row r="179" spans="1:22" x14ac:dyDescent="0.25">
      <c r="A179" s="1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4"/>
    </row>
    <row r="180" spans="1:22" x14ac:dyDescent="0.25">
      <c r="A180" s="15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17"/>
    </row>
    <row r="181" spans="1:22" x14ac:dyDescent="0.25">
      <c r="A181" s="18"/>
      <c r="B181" s="56" t="s">
        <v>13</v>
      </c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2"/>
      <c r="V181" s="19"/>
    </row>
    <row r="182" spans="1:22" ht="15.75" thickBot="1" x14ac:dyDescent="0.3">
      <c r="A182" s="20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19"/>
    </row>
    <row r="183" spans="1:22" x14ac:dyDescent="0.25">
      <c r="A183" s="20"/>
      <c r="B183" s="45">
        <v>0</v>
      </c>
      <c r="C183" s="46"/>
      <c r="D183" s="46">
        <v>1</v>
      </c>
      <c r="E183" s="46">
        <v>1</v>
      </c>
      <c r="F183" s="46">
        <v>2</v>
      </c>
      <c r="G183" s="46">
        <v>2</v>
      </c>
      <c r="H183" s="46">
        <v>3</v>
      </c>
      <c r="I183" s="47">
        <v>3</v>
      </c>
      <c r="J183" s="45">
        <v>4</v>
      </c>
      <c r="K183" s="46">
        <v>4</v>
      </c>
      <c r="L183" s="46">
        <v>5</v>
      </c>
      <c r="M183" s="46"/>
      <c r="N183" s="46">
        <v>6</v>
      </c>
      <c r="O183" s="46">
        <v>1</v>
      </c>
      <c r="P183" s="46">
        <v>7</v>
      </c>
      <c r="Q183" s="47">
        <v>2</v>
      </c>
      <c r="R183" s="52">
        <v>8</v>
      </c>
      <c r="S183" s="53">
        <v>3</v>
      </c>
      <c r="T183" s="53">
        <v>9</v>
      </c>
      <c r="U183" s="53">
        <v>4</v>
      </c>
      <c r="V183" s="22"/>
    </row>
    <row r="184" spans="1:22" ht="15.75" thickBot="1" x14ac:dyDescent="0.3">
      <c r="A184" s="20"/>
      <c r="B184" s="23"/>
      <c r="C184" s="24"/>
      <c r="D184" s="24"/>
      <c r="E184" s="24"/>
      <c r="F184" s="24"/>
      <c r="G184" s="24"/>
      <c r="H184" s="24"/>
      <c r="I184" s="25"/>
      <c r="J184" s="23"/>
      <c r="K184" s="24"/>
      <c r="L184" s="24"/>
      <c r="M184" s="24"/>
      <c r="N184" s="24"/>
      <c r="O184" s="24"/>
      <c r="P184" s="24"/>
      <c r="Q184" s="25"/>
      <c r="R184" s="26"/>
      <c r="S184" s="21"/>
      <c r="T184" s="21"/>
      <c r="U184" s="21"/>
      <c r="V184" s="22"/>
    </row>
    <row r="185" spans="1:22" ht="15.75" thickBot="1" x14ac:dyDescent="0.3">
      <c r="A185" s="27"/>
      <c r="B185" s="28"/>
      <c r="C185" s="28"/>
      <c r="D185" s="28"/>
      <c r="E185" s="28"/>
      <c r="F185" s="29"/>
      <c r="G185" s="28"/>
      <c r="H185" s="28"/>
      <c r="I185" s="28"/>
      <c r="J185" s="28"/>
      <c r="K185" s="29"/>
      <c r="L185" s="28"/>
      <c r="M185" s="29"/>
      <c r="N185" s="28"/>
      <c r="O185" s="29"/>
      <c r="P185" s="28"/>
      <c r="Q185" s="29"/>
      <c r="R185" s="30"/>
      <c r="S185" s="30"/>
      <c r="T185" s="30"/>
      <c r="U185" s="30"/>
      <c r="V185" s="31"/>
    </row>
    <row r="186" spans="1:22" ht="15.75" thickBot="1" x14ac:dyDescent="0.3">
      <c r="A186" s="32"/>
      <c r="B186" s="32"/>
      <c r="C186" s="32"/>
      <c r="D186" s="32"/>
      <c r="E186" s="32"/>
      <c r="F186" s="33"/>
      <c r="G186" s="32"/>
      <c r="H186" s="32"/>
      <c r="I186" s="32"/>
      <c r="J186" s="32"/>
      <c r="K186" s="33"/>
      <c r="L186" s="32"/>
      <c r="M186" s="33"/>
      <c r="N186" s="32"/>
      <c r="O186" s="33"/>
      <c r="P186" s="32"/>
      <c r="Q186" s="33"/>
      <c r="R186" s="32"/>
      <c r="S186" s="32"/>
      <c r="T186" s="32"/>
      <c r="U186" s="32"/>
      <c r="V186" s="34"/>
    </row>
    <row r="187" spans="1:22" ht="36" thickBot="1" x14ac:dyDescent="0.3">
      <c r="A187" s="32"/>
      <c r="B187" s="58" t="str">
        <f>IF(Q187&gt;1,"Считыватель вх",IF(F187&lt;1,"","Считыватель вых"))</f>
        <v>Считыватель вых</v>
      </c>
      <c r="C187" s="59"/>
      <c r="D187" s="60"/>
      <c r="E187" s="60"/>
      <c r="F187" s="61">
        <v>4</v>
      </c>
      <c r="G187" s="61"/>
      <c r="H187" s="62"/>
      <c r="I187" s="63"/>
      <c r="J187" s="35"/>
      <c r="K187" s="36"/>
      <c r="L187" s="37"/>
      <c r="M187" s="37" t="s">
        <v>10</v>
      </c>
      <c r="N187" s="38"/>
      <c r="O187" s="36"/>
      <c r="P187" s="38"/>
      <c r="Q187" s="39"/>
      <c r="R187" s="64" t="s">
        <v>11</v>
      </c>
      <c r="S187" s="65"/>
      <c r="T187" s="65"/>
      <c r="U187" s="65"/>
      <c r="V187" s="65"/>
    </row>
    <row r="188" spans="1:22" x14ac:dyDescent="0.25">
      <c r="A188" s="32"/>
      <c r="B188" s="48">
        <f>IF(B187="Считыватель вых",B169,IF(B187="Считыватель вх",J188,""))</f>
        <v>0</v>
      </c>
      <c r="C188" s="49"/>
      <c r="D188" s="49"/>
      <c r="E188" s="49"/>
      <c r="F188" s="49"/>
      <c r="G188" s="49"/>
      <c r="H188" s="49"/>
      <c r="I188" s="49"/>
      <c r="J188" s="50" t="s">
        <v>14</v>
      </c>
      <c r="K188" s="49"/>
      <c r="L188" s="49"/>
      <c r="M188" s="49"/>
      <c r="N188" s="49"/>
      <c r="O188" s="49"/>
      <c r="P188" s="49"/>
      <c r="Q188" s="49"/>
      <c r="R188" s="51" t="s">
        <v>12</v>
      </c>
      <c r="S188" s="51"/>
      <c r="T188" s="51"/>
      <c r="U188" s="51"/>
      <c r="V188" s="51"/>
    </row>
    <row r="190" spans="1:22" x14ac:dyDescent="0.25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x14ac:dyDescent="0.25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8.75" x14ac:dyDescent="0.3">
      <c r="E192" s="3" t="s">
        <v>0</v>
      </c>
      <c r="G192" s="4"/>
      <c r="H192" s="4"/>
      <c r="I192" s="4"/>
      <c r="J192" s="4"/>
      <c r="K192" s="4"/>
      <c r="L192" s="4"/>
      <c r="M192" s="41" t="s">
        <v>1</v>
      </c>
      <c r="N192" s="5"/>
    </row>
    <row r="193" spans="1:22" ht="18.75" x14ac:dyDescent="0.3">
      <c r="E193" s="3" t="s">
        <v>2</v>
      </c>
      <c r="J193" s="6"/>
      <c r="K193" s="6"/>
      <c r="L193" s="6"/>
      <c r="M193" s="41" t="s">
        <v>3</v>
      </c>
      <c r="N193" s="7"/>
    </row>
    <row r="194" spans="1:22" ht="18.75" x14ac:dyDescent="0.3">
      <c r="E194" t="s">
        <v>4</v>
      </c>
      <c r="H194" s="4"/>
      <c r="I194" s="4"/>
      <c r="J194" s="4"/>
      <c r="K194" s="4"/>
      <c r="L194" s="4"/>
      <c r="M194" s="42" t="s">
        <v>3</v>
      </c>
      <c r="N194" s="9"/>
    </row>
    <row r="195" spans="1:22" ht="18.75" x14ac:dyDescent="0.3">
      <c r="E195" t="s">
        <v>5</v>
      </c>
      <c r="L195" s="6"/>
      <c r="M195" s="42" t="s">
        <v>6</v>
      </c>
      <c r="N195" s="9"/>
      <c r="O195" s="9"/>
    </row>
    <row r="196" spans="1:22" ht="18.75" x14ac:dyDescent="0.3">
      <c r="E196" s="10" t="s">
        <v>7</v>
      </c>
      <c r="I196" s="4"/>
      <c r="J196" s="4"/>
      <c r="K196" s="4"/>
      <c r="L196" s="4"/>
      <c r="M196" s="42" t="s">
        <v>3</v>
      </c>
      <c r="N196" s="9"/>
    </row>
    <row r="197" spans="1:22" ht="15.75" thickBot="1" x14ac:dyDescent="0.3">
      <c r="E197" s="43" t="s">
        <v>8</v>
      </c>
      <c r="F197" s="43"/>
      <c r="G197" s="43"/>
      <c r="H197" s="43"/>
      <c r="I197" s="11"/>
      <c r="J197" s="11"/>
      <c r="K197" s="11"/>
      <c r="L197" s="11"/>
      <c r="M197" s="32" t="s">
        <v>3</v>
      </c>
      <c r="N197" s="40"/>
      <c r="O197" s="40"/>
    </row>
    <row r="198" spans="1:22" x14ac:dyDescent="0.25">
      <c r="A198" s="1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4"/>
    </row>
    <row r="199" spans="1:22" x14ac:dyDescent="0.25">
      <c r="A199" s="15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17"/>
    </row>
    <row r="200" spans="1:22" x14ac:dyDescent="0.25">
      <c r="A200" s="18"/>
      <c r="B200" s="56" t="s">
        <v>9</v>
      </c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2"/>
      <c r="V200" s="19"/>
    </row>
    <row r="201" spans="1:22" ht="15.75" thickBot="1" x14ac:dyDescent="0.3">
      <c r="A201" s="20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19"/>
    </row>
    <row r="202" spans="1:22" x14ac:dyDescent="0.25">
      <c r="A202" s="20"/>
      <c r="B202" s="45">
        <v>0</v>
      </c>
      <c r="C202" s="46"/>
      <c r="D202" s="46">
        <v>1</v>
      </c>
      <c r="E202" s="46">
        <v>1</v>
      </c>
      <c r="F202" s="46">
        <v>2</v>
      </c>
      <c r="G202" s="46">
        <v>2</v>
      </c>
      <c r="H202" s="46">
        <v>3</v>
      </c>
      <c r="I202" s="47">
        <v>3</v>
      </c>
      <c r="J202" s="45">
        <v>4</v>
      </c>
      <c r="K202" s="46">
        <v>4</v>
      </c>
      <c r="L202" s="46">
        <v>5</v>
      </c>
      <c r="M202" s="46"/>
      <c r="N202" s="46">
        <v>6</v>
      </c>
      <c r="O202" s="46">
        <v>1</v>
      </c>
      <c r="P202" s="46">
        <v>7</v>
      </c>
      <c r="Q202" s="47">
        <v>2</v>
      </c>
      <c r="R202" s="52">
        <v>8</v>
      </c>
      <c r="S202" s="53">
        <v>3</v>
      </c>
      <c r="T202" s="53">
        <v>9</v>
      </c>
      <c r="U202" s="53">
        <v>4</v>
      </c>
      <c r="V202" s="22"/>
    </row>
    <row r="203" spans="1:22" ht="15.75" thickBot="1" x14ac:dyDescent="0.3">
      <c r="A203" s="20"/>
      <c r="B203" s="23"/>
      <c r="C203" s="24"/>
      <c r="D203" s="24"/>
      <c r="E203" s="24"/>
      <c r="F203" s="24"/>
      <c r="G203" s="24"/>
      <c r="H203" s="24"/>
      <c r="I203" s="25"/>
      <c r="J203" s="23"/>
      <c r="K203" s="24"/>
      <c r="L203" s="24"/>
      <c r="M203" s="24"/>
      <c r="N203" s="24"/>
      <c r="O203" s="24"/>
      <c r="P203" s="24"/>
      <c r="Q203" s="25"/>
      <c r="R203" s="26"/>
      <c r="S203" s="21"/>
      <c r="T203" s="21"/>
      <c r="U203" s="21"/>
      <c r="V203" s="22"/>
    </row>
    <row r="204" spans="1:22" ht="15.75" thickBot="1" x14ac:dyDescent="0.3">
      <c r="A204" s="27"/>
      <c r="B204" s="28"/>
      <c r="C204" s="28"/>
      <c r="D204" s="28"/>
      <c r="E204" s="28"/>
      <c r="F204" s="29"/>
      <c r="G204" s="28"/>
      <c r="H204" s="28"/>
      <c r="I204" s="28"/>
      <c r="J204" s="28"/>
      <c r="K204" s="29"/>
      <c r="L204" s="28"/>
      <c r="M204" s="29"/>
      <c r="N204" s="28"/>
      <c r="O204" s="29"/>
      <c r="P204" s="28"/>
      <c r="Q204" s="29"/>
      <c r="R204" s="30"/>
      <c r="S204" s="30"/>
      <c r="T204" s="30"/>
      <c r="U204" s="30"/>
      <c r="V204" s="31"/>
    </row>
    <row r="205" spans="1:22" ht="15.75" thickBot="1" x14ac:dyDescent="0.3">
      <c r="A205" s="32"/>
      <c r="B205" s="32"/>
      <c r="C205" s="32"/>
      <c r="D205" s="32"/>
      <c r="E205" s="32"/>
      <c r="F205" s="33"/>
      <c r="G205" s="32"/>
      <c r="H205" s="32"/>
      <c r="I205" s="32"/>
      <c r="J205" s="32"/>
      <c r="K205" s="33"/>
      <c r="L205" s="32"/>
      <c r="M205" s="33"/>
      <c r="N205" s="32"/>
      <c r="O205" s="33"/>
      <c r="P205" s="32"/>
      <c r="Q205" s="33"/>
      <c r="R205" s="32"/>
      <c r="S205" s="32"/>
      <c r="T205" s="32"/>
      <c r="U205" s="32"/>
      <c r="V205" s="34"/>
    </row>
    <row r="206" spans="1:22" ht="36" thickBot="1" x14ac:dyDescent="0.3">
      <c r="A206" s="32"/>
      <c r="B206" s="58" t="str">
        <f>IF(Q206&gt;1,"Считыватель вх",IF(F206&lt;1,"","Считыватель вх"))</f>
        <v>Считыватель вх</v>
      </c>
      <c r="C206" s="59"/>
      <c r="D206" s="60"/>
      <c r="E206" s="60"/>
      <c r="F206" s="61">
        <v>1</v>
      </c>
      <c r="G206" s="61"/>
      <c r="H206" s="62"/>
      <c r="I206" s="63"/>
      <c r="J206" s="35"/>
      <c r="K206" s="36"/>
      <c r="L206" s="37"/>
      <c r="M206" s="37" t="s">
        <v>10</v>
      </c>
      <c r="N206" s="38"/>
      <c r="O206" s="36"/>
      <c r="P206" s="38"/>
      <c r="Q206" s="39"/>
      <c r="R206" s="64" t="s">
        <v>11</v>
      </c>
      <c r="S206" s="65"/>
      <c r="T206" s="65"/>
      <c r="U206" s="65"/>
      <c r="V206" s="65"/>
    </row>
    <row r="207" spans="1:22" x14ac:dyDescent="0.25">
      <c r="A207" s="32"/>
      <c r="B207" s="50"/>
      <c r="C207" s="66"/>
      <c r="D207" s="66"/>
      <c r="E207" s="66"/>
      <c r="F207" s="66"/>
      <c r="G207" s="66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51" t="s">
        <v>12</v>
      </c>
      <c r="S207" s="51"/>
      <c r="T207" s="51"/>
      <c r="U207" s="51"/>
      <c r="V207" s="51"/>
    </row>
    <row r="209" spans="1:22" x14ac:dyDescent="0.25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x14ac:dyDescent="0.25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8.75" x14ac:dyDescent="0.3">
      <c r="E211" s="3" t="s">
        <v>0</v>
      </c>
      <c r="G211" s="4"/>
      <c r="H211" s="4"/>
      <c r="I211" s="4"/>
      <c r="J211" s="4"/>
      <c r="K211" s="4"/>
      <c r="L211" s="4"/>
      <c r="M211" s="41" t="s">
        <v>1</v>
      </c>
      <c r="N211" s="5"/>
    </row>
    <row r="212" spans="1:22" ht="18.75" x14ac:dyDescent="0.3">
      <c r="E212" s="3" t="s">
        <v>2</v>
      </c>
      <c r="J212" s="6"/>
      <c r="K212" s="6"/>
      <c r="L212" s="6"/>
      <c r="M212" s="41" t="s">
        <v>3</v>
      </c>
      <c r="N212" s="7"/>
    </row>
    <row r="213" spans="1:22" ht="18.75" x14ac:dyDescent="0.3">
      <c r="E213" t="s">
        <v>4</v>
      </c>
      <c r="H213" s="4"/>
      <c r="I213" s="4"/>
      <c r="J213" s="4"/>
      <c r="K213" s="4"/>
      <c r="L213" s="4"/>
      <c r="M213" s="42" t="s">
        <v>3</v>
      </c>
      <c r="N213" s="9"/>
    </row>
    <row r="214" spans="1:22" ht="18.75" x14ac:dyDescent="0.3">
      <c r="E214" t="s">
        <v>5</v>
      </c>
      <c r="L214" s="6"/>
      <c r="M214" s="42" t="s">
        <v>6</v>
      </c>
      <c r="N214" s="54"/>
      <c r="O214" s="54"/>
    </row>
    <row r="215" spans="1:22" ht="18.75" x14ac:dyDescent="0.3">
      <c r="E215" s="10" t="s">
        <v>7</v>
      </c>
      <c r="I215" s="4"/>
      <c r="J215" s="4"/>
      <c r="K215" s="4"/>
      <c r="L215" s="4"/>
      <c r="M215" s="42" t="s">
        <v>3</v>
      </c>
      <c r="N215" s="9"/>
    </row>
    <row r="216" spans="1:22" ht="15.75" thickBot="1" x14ac:dyDescent="0.3">
      <c r="E216" s="43" t="s">
        <v>8</v>
      </c>
      <c r="F216" s="43"/>
      <c r="G216" s="43"/>
      <c r="H216" s="43"/>
      <c r="I216" s="11"/>
      <c r="J216" s="11"/>
      <c r="K216" s="11"/>
      <c r="L216" s="11"/>
      <c r="M216" s="32" t="s">
        <v>3</v>
      </c>
      <c r="N216" s="55"/>
      <c r="O216" s="55"/>
    </row>
    <row r="217" spans="1:22" x14ac:dyDescent="0.25">
      <c r="A217" s="1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4"/>
    </row>
    <row r="218" spans="1:22" x14ac:dyDescent="0.25">
      <c r="A218" s="15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17"/>
    </row>
    <row r="219" spans="1:22" x14ac:dyDescent="0.25">
      <c r="A219" s="18"/>
      <c r="B219" s="56" t="s">
        <v>13</v>
      </c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2"/>
      <c r="V219" s="19"/>
    </row>
    <row r="220" spans="1:22" ht="15.75" thickBot="1" x14ac:dyDescent="0.3">
      <c r="A220" s="20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19"/>
    </row>
    <row r="221" spans="1:22" x14ac:dyDescent="0.25">
      <c r="A221" s="20"/>
      <c r="B221" s="45">
        <v>0</v>
      </c>
      <c r="C221" s="46"/>
      <c r="D221" s="46">
        <v>1</v>
      </c>
      <c r="E221" s="46">
        <v>1</v>
      </c>
      <c r="F221" s="46">
        <v>2</v>
      </c>
      <c r="G221" s="46">
        <v>2</v>
      </c>
      <c r="H221" s="46">
        <v>3</v>
      </c>
      <c r="I221" s="47">
        <v>3</v>
      </c>
      <c r="J221" s="45">
        <v>4</v>
      </c>
      <c r="K221" s="46">
        <v>4</v>
      </c>
      <c r="L221" s="46">
        <v>5</v>
      </c>
      <c r="M221" s="46"/>
      <c r="N221" s="46">
        <v>6</v>
      </c>
      <c r="O221" s="46">
        <v>1</v>
      </c>
      <c r="P221" s="46">
        <v>7</v>
      </c>
      <c r="Q221" s="47">
        <v>2</v>
      </c>
      <c r="R221" s="52">
        <v>8</v>
      </c>
      <c r="S221" s="53">
        <v>3</v>
      </c>
      <c r="T221" s="53">
        <v>9</v>
      </c>
      <c r="U221" s="53">
        <v>4</v>
      </c>
      <c r="V221" s="22"/>
    </row>
    <row r="222" spans="1:22" ht="15.75" thickBot="1" x14ac:dyDescent="0.3">
      <c r="A222" s="20"/>
      <c r="B222" s="23"/>
      <c r="C222" s="24"/>
      <c r="D222" s="24"/>
      <c r="E222" s="24"/>
      <c r="F222" s="24"/>
      <c r="G222" s="24"/>
      <c r="H222" s="24"/>
      <c r="I222" s="25"/>
      <c r="J222" s="23"/>
      <c r="K222" s="24"/>
      <c r="L222" s="24"/>
      <c r="M222" s="24"/>
      <c r="N222" s="24"/>
      <c r="O222" s="24"/>
      <c r="P222" s="24"/>
      <c r="Q222" s="25"/>
      <c r="R222" s="26"/>
      <c r="S222" s="21"/>
      <c r="T222" s="21"/>
      <c r="U222" s="21"/>
      <c r="V222" s="22"/>
    </row>
    <row r="223" spans="1:22" ht="15.75" thickBot="1" x14ac:dyDescent="0.3">
      <c r="A223" s="27"/>
      <c r="B223" s="28"/>
      <c r="C223" s="28"/>
      <c r="D223" s="28"/>
      <c r="E223" s="28"/>
      <c r="F223" s="29"/>
      <c r="G223" s="28"/>
      <c r="H223" s="28"/>
      <c r="I223" s="28"/>
      <c r="J223" s="28"/>
      <c r="K223" s="29"/>
      <c r="L223" s="28"/>
      <c r="M223" s="29"/>
      <c r="N223" s="28"/>
      <c r="O223" s="29"/>
      <c r="P223" s="28"/>
      <c r="Q223" s="29"/>
      <c r="R223" s="30"/>
      <c r="S223" s="30"/>
      <c r="T223" s="30"/>
      <c r="U223" s="30"/>
      <c r="V223" s="31"/>
    </row>
    <row r="224" spans="1:22" ht="15.75" thickBot="1" x14ac:dyDescent="0.3">
      <c r="A224" s="32"/>
      <c r="B224" s="32"/>
      <c r="C224" s="32"/>
      <c r="D224" s="32"/>
      <c r="E224" s="32"/>
      <c r="F224" s="33"/>
      <c r="G224" s="32"/>
      <c r="H224" s="32"/>
      <c r="I224" s="32"/>
      <c r="J224" s="32"/>
      <c r="K224" s="33"/>
      <c r="L224" s="32"/>
      <c r="M224" s="33"/>
      <c r="N224" s="32"/>
      <c r="O224" s="33"/>
      <c r="P224" s="32"/>
      <c r="Q224" s="33"/>
      <c r="R224" s="32"/>
      <c r="S224" s="32"/>
      <c r="T224" s="32"/>
      <c r="U224" s="32"/>
      <c r="V224" s="34"/>
    </row>
    <row r="225" spans="1:22" ht="36" thickBot="1" x14ac:dyDescent="0.3">
      <c r="A225" s="32"/>
      <c r="B225" s="58" t="str">
        <f>IF(Q225&gt;1,"Считыватель вх",IF(F225&lt;1,"","Считыватель вых"))</f>
        <v>Считыватель вых</v>
      </c>
      <c r="C225" s="59"/>
      <c r="D225" s="60"/>
      <c r="E225" s="60"/>
      <c r="F225" s="61">
        <v>4</v>
      </c>
      <c r="G225" s="61"/>
      <c r="H225" s="62"/>
      <c r="I225" s="63"/>
      <c r="J225" s="35"/>
      <c r="K225" s="36"/>
      <c r="L225" s="37"/>
      <c r="M225" s="37" t="s">
        <v>10</v>
      </c>
      <c r="N225" s="38"/>
      <c r="O225" s="36"/>
      <c r="P225" s="38"/>
      <c r="Q225" s="39"/>
      <c r="R225" s="64" t="s">
        <v>11</v>
      </c>
      <c r="S225" s="65"/>
      <c r="T225" s="65"/>
      <c r="U225" s="65"/>
      <c r="V225" s="65"/>
    </row>
    <row r="226" spans="1:22" x14ac:dyDescent="0.25">
      <c r="A226" s="32"/>
      <c r="B226" s="48">
        <f>IF(B225="Считыватель вых",B207,IF(B225="Считыватель вх",J226,""))</f>
        <v>0</v>
      </c>
      <c r="C226" s="49"/>
      <c r="D226" s="49"/>
      <c r="E226" s="49"/>
      <c r="F226" s="49"/>
      <c r="G226" s="49"/>
      <c r="H226" s="49"/>
      <c r="I226" s="49"/>
      <c r="J226" s="50" t="s">
        <v>14</v>
      </c>
      <c r="K226" s="49"/>
      <c r="L226" s="49"/>
      <c r="M226" s="49"/>
      <c r="N226" s="49"/>
      <c r="O226" s="49"/>
      <c r="P226" s="49"/>
      <c r="Q226" s="49"/>
      <c r="R226" s="51" t="s">
        <v>12</v>
      </c>
      <c r="S226" s="51"/>
      <c r="T226" s="51"/>
      <c r="U226" s="51"/>
      <c r="V226" s="51"/>
    </row>
    <row r="228" spans="1:22" x14ac:dyDescent="0.25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x14ac:dyDescent="0.25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8.75" x14ac:dyDescent="0.3">
      <c r="E230" s="3" t="s">
        <v>0</v>
      </c>
      <c r="G230" s="4"/>
      <c r="H230" s="4"/>
      <c r="I230" s="4"/>
      <c r="J230" s="4"/>
      <c r="K230" s="4"/>
      <c r="L230" s="4"/>
      <c r="M230" s="41" t="s">
        <v>1</v>
      </c>
      <c r="N230" s="5"/>
    </row>
    <row r="231" spans="1:22" ht="18.75" x14ac:dyDescent="0.3">
      <c r="E231" s="3" t="s">
        <v>2</v>
      </c>
      <c r="J231" s="6"/>
      <c r="K231" s="6"/>
      <c r="L231" s="6"/>
      <c r="M231" s="41" t="s">
        <v>3</v>
      </c>
      <c r="N231" s="7"/>
    </row>
    <row r="232" spans="1:22" ht="18.75" x14ac:dyDescent="0.3">
      <c r="E232" t="s">
        <v>4</v>
      </c>
      <c r="H232" s="4"/>
      <c r="I232" s="4"/>
      <c r="J232" s="4"/>
      <c r="K232" s="4"/>
      <c r="L232" s="4"/>
      <c r="M232" s="42" t="s">
        <v>3</v>
      </c>
      <c r="N232" s="9"/>
    </row>
    <row r="233" spans="1:22" ht="18.75" x14ac:dyDescent="0.3">
      <c r="E233" t="s">
        <v>5</v>
      </c>
      <c r="L233" s="6"/>
      <c r="M233" s="42" t="s">
        <v>6</v>
      </c>
      <c r="N233" s="9"/>
      <c r="O233" s="9"/>
    </row>
    <row r="234" spans="1:22" ht="18.75" x14ac:dyDescent="0.3">
      <c r="E234" s="10" t="s">
        <v>7</v>
      </c>
      <c r="I234" s="4"/>
      <c r="J234" s="4"/>
      <c r="K234" s="4"/>
      <c r="L234" s="4"/>
      <c r="M234" s="42" t="s">
        <v>3</v>
      </c>
      <c r="N234" s="9"/>
    </row>
    <row r="235" spans="1:22" ht="15.75" thickBot="1" x14ac:dyDescent="0.3">
      <c r="E235" s="43" t="s">
        <v>8</v>
      </c>
      <c r="F235" s="43"/>
      <c r="G235" s="43"/>
      <c r="H235" s="43"/>
      <c r="I235" s="11"/>
      <c r="J235" s="11"/>
      <c r="K235" s="11"/>
      <c r="L235" s="11"/>
      <c r="M235" s="32" t="s">
        <v>3</v>
      </c>
      <c r="N235" s="40"/>
      <c r="O235" s="40"/>
    </row>
    <row r="236" spans="1:22" x14ac:dyDescent="0.25">
      <c r="A236" s="12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4"/>
    </row>
    <row r="237" spans="1:22" x14ac:dyDescent="0.25">
      <c r="A237" s="15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17"/>
    </row>
    <row r="238" spans="1:22" x14ac:dyDescent="0.25">
      <c r="A238" s="18"/>
      <c r="B238" s="56" t="s">
        <v>9</v>
      </c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2"/>
      <c r="V238" s="19"/>
    </row>
    <row r="239" spans="1:22" ht="15.75" thickBot="1" x14ac:dyDescent="0.3">
      <c r="A239" s="20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19"/>
    </row>
    <row r="240" spans="1:22" x14ac:dyDescent="0.25">
      <c r="A240" s="20"/>
      <c r="B240" s="45">
        <v>0</v>
      </c>
      <c r="C240" s="46"/>
      <c r="D240" s="46">
        <v>1</v>
      </c>
      <c r="E240" s="46">
        <v>1</v>
      </c>
      <c r="F240" s="46">
        <v>2</v>
      </c>
      <c r="G240" s="46">
        <v>2</v>
      </c>
      <c r="H240" s="46">
        <v>3</v>
      </c>
      <c r="I240" s="47">
        <v>3</v>
      </c>
      <c r="J240" s="45">
        <v>4</v>
      </c>
      <c r="K240" s="46">
        <v>4</v>
      </c>
      <c r="L240" s="46">
        <v>5</v>
      </c>
      <c r="M240" s="46"/>
      <c r="N240" s="46">
        <v>6</v>
      </c>
      <c r="O240" s="46">
        <v>1</v>
      </c>
      <c r="P240" s="46">
        <v>7</v>
      </c>
      <c r="Q240" s="47">
        <v>2</v>
      </c>
      <c r="R240" s="52">
        <v>8</v>
      </c>
      <c r="S240" s="53">
        <v>3</v>
      </c>
      <c r="T240" s="53">
        <v>9</v>
      </c>
      <c r="U240" s="53">
        <v>4</v>
      </c>
      <c r="V240" s="22"/>
    </row>
    <row r="241" spans="1:22" ht="15.75" thickBot="1" x14ac:dyDescent="0.3">
      <c r="A241" s="20"/>
      <c r="B241" s="23"/>
      <c r="C241" s="24"/>
      <c r="D241" s="24"/>
      <c r="E241" s="24"/>
      <c r="F241" s="24"/>
      <c r="G241" s="24"/>
      <c r="H241" s="24"/>
      <c r="I241" s="25"/>
      <c r="J241" s="23"/>
      <c r="K241" s="24"/>
      <c r="L241" s="24"/>
      <c r="M241" s="24"/>
      <c r="N241" s="24"/>
      <c r="O241" s="24"/>
      <c r="P241" s="24"/>
      <c r="Q241" s="25"/>
      <c r="R241" s="26"/>
      <c r="S241" s="21"/>
      <c r="T241" s="21"/>
      <c r="U241" s="21"/>
      <c r="V241" s="22"/>
    </row>
    <row r="242" spans="1:22" ht="15.75" thickBot="1" x14ac:dyDescent="0.3">
      <c r="A242" s="27"/>
      <c r="B242" s="28"/>
      <c r="C242" s="28"/>
      <c r="D242" s="28"/>
      <c r="E242" s="28"/>
      <c r="F242" s="29"/>
      <c r="G242" s="28"/>
      <c r="H242" s="28"/>
      <c r="I242" s="28"/>
      <c r="J242" s="28"/>
      <c r="K242" s="29"/>
      <c r="L242" s="28"/>
      <c r="M242" s="29"/>
      <c r="N242" s="28"/>
      <c r="O242" s="29"/>
      <c r="P242" s="28"/>
      <c r="Q242" s="29"/>
      <c r="R242" s="30"/>
      <c r="S242" s="30"/>
      <c r="T242" s="30"/>
      <c r="U242" s="30"/>
      <c r="V242" s="31"/>
    </row>
    <row r="243" spans="1:22" ht="15.75" thickBot="1" x14ac:dyDescent="0.3">
      <c r="A243" s="32"/>
      <c r="B243" s="32"/>
      <c r="C243" s="32"/>
      <c r="D243" s="32"/>
      <c r="E243" s="32"/>
      <c r="F243" s="33"/>
      <c r="G243" s="32"/>
      <c r="H243" s="32"/>
      <c r="I243" s="32"/>
      <c r="J243" s="32"/>
      <c r="K243" s="33"/>
      <c r="L243" s="32"/>
      <c r="M243" s="33"/>
      <c r="N243" s="32"/>
      <c r="O243" s="33"/>
      <c r="P243" s="32"/>
      <c r="Q243" s="33"/>
      <c r="R243" s="32"/>
      <c r="S243" s="32"/>
      <c r="T243" s="32"/>
      <c r="U243" s="32"/>
      <c r="V243" s="34"/>
    </row>
    <row r="244" spans="1:22" ht="36" thickBot="1" x14ac:dyDescent="0.3">
      <c r="A244" s="32"/>
      <c r="B244" s="58" t="str">
        <f>IF(Q244&gt;1,"Считыватель вх",IF(F244&lt;1,"","Считыватель вх"))</f>
        <v>Считыватель вх</v>
      </c>
      <c r="C244" s="59"/>
      <c r="D244" s="60"/>
      <c r="E244" s="60"/>
      <c r="F244" s="61">
        <v>1</v>
      </c>
      <c r="G244" s="61"/>
      <c r="H244" s="62"/>
      <c r="I244" s="63"/>
      <c r="J244" s="35"/>
      <c r="K244" s="36"/>
      <c r="L244" s="37"/>
      <c r="M244" s="37" t="s">
        <v>10</v>
      </c>
      <c r="N244" s="38"/>
      <c r="O244" s="36"/>
      <c r="P244" s="38"/>
      <c r="Q244" s="39"/>
      <c r="R244" s="64" t="s">
        <v>11</v>
      </c>
      <c r="S244" s="65"/>
      <c r="T244" s="65"/>
      <c r="U244" s="65"/>
      <c r="V244" s="65"/>
    </row>
    <row r="245" spans="1:22" x14ac:dyDescent="0.25">
      <c r="A245" s="32"/>
      <c r="B245" s="50"/>
      <c r="C245" s="66"/>
      <c r="D245" s="66"/>
      <c r="E245" s="66"/>
      <c r="F245" s="66"/>
      <c r="G245" s="66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51" t="s">
        <v>12</v>
      </c>
      <c r="S245" s="51"/>
      <c r="T245" s="51"/>
      <c r="U245" s="51"/>
      <c r="V245" s="51"/>
    </row>
    <row r="247" spans="1:22" x14ac:dyDescent="0.25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x14ac:dyDescent="0.25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8.75" x14ac:dyDescent="0.3">
      <c r="E249" s="3" t="s">
        <v>0</v>
      </c>
      <c r="G249" s="4"/>
      <c r="H249" s="4"/>
      <c r="I249" s="4"/>
      <c r="J249" s="4"/>
      <c r="K249" s="4"/>
      <c r="L249" s="4"/>
      <c r="M249" s="41" t="s">
        <v>1</v>
      </c>
      <c r="N249" s="5"/>
    </row>
    <row r="250" spans="1:22" ht="18.75" x14ac:dyDescent="0.3">
      <c r="E250" s="3" t="s">
        <v>2</v>
      </c>
      <c r="J250" s="6"/>
      <c r="K250" s="6"/>
      <c r="L250" s="6"/>
      <c r="M250" s="41" t="s">
        <v>3</v>
      </c>
      <c r="N250" s="7"/>
    </row>
    <row r="251" spans="1:22" ht="18.75" x14ac:dyDescent="0.3">
      <c r="E251" t="s">
        <v>4</v>
      </c>
      <c r="H251" s="4"/>
      <c r="I251" s="4"/>
      <c r="J251" s="4"/>
      <c r="K251" s="4"/>
      <c r="L251" s="4"/>
      <c r="M251" s="42" t="s">
        <v>3</v>
      </c>
      <c r="N251" s="9"/>
    </row>
    <row r="252" spans="1:22" ht="18.75" x14ac:dyDescent="0.3">
      <c r="E252" t="s">
        <v>5</v>
      </c>
      <c r="L252" s="6"/>
      <c r="M252" s="42" t="s">
        <v>6</v>
      </c>
      <c r="N252" s="54"/>
      <c r="O252" s="54"/>
    </row>
    <row r="253" spans="1:22" ht="18.75" x14ac:dyDescent="0.3">
      <c r="E253" s="10" t="s">
        <v>7</v>
      </c>
      <c r="I253" s="4"/>
      <c r="J253" s="4"/>
      <c r="K253" s="4"/>
      <c r="L253" s="4"/>
      <c r="M253" s="42" t="s">
        <v>3</v>
      </c>
      <c r="N253" s="9"/>
    </row>
    <row r="254" spans="1:22" ht="15.75" thickBot="1" x14ac:dyDescent="0.3">
      <c r="E254" s="43" t="s">
        <v>8</v>
      </c>
      <c r="F254" s="43"/>
      <c r="G254" s="43"/>
      <c r="H254" s="43"/>
      <c r="I254" s="11"/>
      <c r="J254" s="11"/>
      <c r="K254" s="11"/>
      <c r="L254" s="11"/>
      <c r="M254" s="32" t="s">
        <v>3</v>
      </c>
      <c r="N254" s="55"/>
      <c r="O254" s="55"/>
    </row>
    <row r="255" spans="1:22" x14ac:dyDescent="0.25">
      <c r="A255" s="12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4"/>
    </row>
    <row r="256" spans="1:22" x14ac:dyDescent="0.25">
      <c r="A256" s="15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17"/>
    </row>
    <row r="257" spans="1:22" x14ac:dyDescent="0.25">
      <c r="A257" s="18"/>
      <c r="B257" s="56" t="s">
        <v>13</v>
      </c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2"/>
      <c r="V257" s="19"/>
    </row>
    <row r="258" spans="1:22" ht="15.75" thickBot="1" x14ac:dyDescent="0.3">
      <c r="A258" s="20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19"/>
    </row>
    <row r="259" spans="1:22" x14ac:dyDescent="0.25">
      <c r="A259" s="20"/>
      <c r="B259" s="45">
        <v>0</v>
      </c>
      <c r="C259" s="46"/>
      <c r="D259" s="46">
        <v>1</v>
      </c>
      <c r="E259" s="46">
        <v>1</v>
      </c>
      <c r="F259" s="46">
        <v>2</v>
      </c>
      <c r="G259" s="46">
        <v>2</v>
      </c>
      <c r="H259" s="46">
        <v>3</v>
      </c>
      <c r="I259" s="47">
        <v>3</v>
      </c>
      <c r="J259" s="45">
        <v>4</v>
      </c>
      <c r="K259" s="46">
        <v>4</v>
      </c>
      <c r="L259" s="46">
        <v>5</v>
      </c>
      <c r="M259" s="46"/>
      <c r="N259" s="46">
        <v>6</v>
      </c>
      <c r="O259" s="46">
        <v>1</v>
      </c>
      <c r="P259" s="46">
        <v>7</v>
      </c>
      <c r="Q259" s="47">
        <v>2</v>
      </c>
      <c r="R259" s="52">
        <v>8</v>
      </c>
      <c r="S259" s="53">
        <v>3</v>
      </c>
      <c r="T259" s="53">
        <v>9</v>
      </c>
      <c r="U259" s="53">
        <v>4</v>
      </c>
      <c r="V259" s="22"/>
    </row>
    <row r="260" spans="1:22" ht="15.75" thickBot="1" x14ac:dyDescent="0.3">
      <c r="A260" s="20"/>
      <c r="B260" s="23"/>
      <c r="C260" s="24"/>
      <c r="D260" s="24"/>
      <c r="E260" s="24"/>
      <c r="F260" s="24"/>
      <c r="G260" s="24"/>
      <c r="H260" s="24"/>
      <c r="I260" s="25"/>
      <c r="J260" s="23"/>
      <c r="K260" s="24"/>
      <c r="L260" s="24"/>
      <c r="M260" s="24"/>
      <c r="N260" s="24"/>
      <c r="O260" s="24"/>
      <c r="P260" s="24"/>
      <c r="Q260" s="25"/>
      <c r="R260" s="26"/>
      <c r="S260" s="21"/>
      <c r="T260" s="21"/>
      <c r="U260" s="21"/>
      <c r="V260" s="22"/>
    </row>
    <row r="261" spans="1:22" ht="15.75" thickBot="1" x14ac:dyDescent="0.3">
      <c r="A261" s="27"/>
      <c r="B261" s="28"/>
      <c r="C261" s="28"/>
      <c r="D261" s="28"/>
      <c r="E261" s="28"/>
      <c r="F261" s="29"/>
      <c r="G261" s="28"/>
      <c r="H261" s="28"/>
      <c r="I261" s="28"/>
      <c r="J261" s="28"/>
      <c r="K261" s="29"/>
      <c r="L261" s="28"/>
      <c r="M261" s="29"/>
      <c r="N261" s="28"/>
      <c r="O261" s="29"/>
      <c r="P261" s="28"/>
      <c r="Q261" s="29"/>
      <c r="R261" s="30"/>
      <c r="S261" s="30"/>
      <c r="T261" s="30"/>
      <c r="U261" s="30"/>
      <c r="V261" s="31"/>
    </row>
    <row r="262" spans="1:22" ht="15.75" thickBot="1" x14ac:dyDescent="0.3">
      <c r="A262" s="32"/>
      <c r="B262" s="32"/>
      <c r="C262" s="32"/>
      <c r="D262" s="32"/>
      <c r="E262" s="32"/>
      <c r="F262" s="33"/>
      <c r="G262" s="32"/>
      <c r="H262" s="32"/>
      <c r="I262" s="32"/>
      <c r="J262" s="32"/>
      <c r="K262" s="33"/>
      <c r="L262" s="32"/>
      <c r="M262" s="33"/>
      <c r="N262" s="32"/>
      <c r="O262" s="33"/>
      <c r="P262" s="32"/>
      <c r="Q262" s="33"/>
      <c r="R262" s="32"/>
      <c r="S262" s="32"/>
      <c r="T262" s="32"/>
      <c r="U262" s="32"/>
      <c r="V262" s="34"/>
    </row>
    <row r="263" spans="1:22" ht="36" thickBot="1" x14ac:dyDescent="0.3">
      <c r="A263" s="32"/>
      <c r="B263" s="58" t="str">
        <f>IF(Q263&gt;1,"Считыватель вх",IF(F263&lt;1,"","Считыватель вых"))</f>
        <v>Считыватель вых</v>
      </c>
      <c r="C263" s="59"/>
      <c r="D263" s="60"/>
      <c r="E263" s="60"/>
      <c r="F263" s="61">
        <v>4</v>
      </c>
      <c r="G263" s="61"/>
      <c r="H263" s="62"/>
      <c r="I263" s="63"/>
      <c r="J263" s="35"/>
      <c r="K263" s="36"/>
      <c r="L263" s="37"/>
      <c r="M263" s="37" t="s">
        <v>10</v>
      </c>
      <c r="N263" s="38"/>
      <c r="O263" s="36"/>
      <c r="P263" s="38"/>
      <c r="Q263" s="39"/>
      <c r="R263" s="64" t="s">
        <v>11</v>
      </c>
      <c r="S263" s="65"/>
      <c r="T263" s="65"/>
      <c r="U263" s="65"/>
      <c r="V263" s="65"/>
    </row>
    <row r="264" spans="1:22" x14ac:dyDescent="0.25">
      <c r="A264" s="32"/>
      <c r="B264" s="48">
        <f>IF(B263="Считыватель вых",B245,IF(B263="Считыватель вх",J264,""))</f>
        <v>0</v>
      </c>
      <c r="C264" s="49"/>
      <c r="D264" s="49"/>
      <c r="E264" s="49"/>
      <c r="F264" s="49"/>
      <c r="G264" s="49"/>
      <c r="H264" s="49"/>
      <c r="I264" s="49"/>
      <c r="J264" s="50" t="s">
        <v>14</v>
      </c>
      <c r="K264" s="49"/>
      <c r="L264" s="49"/>
      <c r="M264" s="49"/>
      <c r="N264" s="49"/>
      <c r="O264" s="49"/>
      <c r="P264" s="49"/>
      <c r="Q264" s="49"/>
      <c r="R264" s="51" t="s">
        <v>12</v>
      </c>
      <c r="S264" s="51"/>
      <c r="T264" s="51"/>
      <c r="U264" s="51"/>
      <c r="V264" s="51"/>
    </row>
    <row r="266" spans="1:22" x14ac:dyDescent="0.25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x14ac:dyDescent="0.25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8.75" x14ac:dyDescent="0.3">
      <c r="E268" s="3" t="s">
        <v>0</v>
      </c>
      <c r="G268" s="4"/>
      <c r="H268" s="4"/>
      <c r="I268" s="4"/>
      <c r="J268" s="4"/>
      <c r="K268" s="4"/>
      <c r="L268" s="4"/>
      <c r="M268" s="41" t="s">
        <v>1</v>
      </c>
      <c r="N268" s="5"/>
    </row>
    <row r="269" spans="1:22" ht="18.75" x14ac:dyDescent="0.3">
      <c r="E269" s="3" t="s">
        <v>2</v>
      </c>
      <c r="J269" s="6"/>
      <c r="K269" s="6"/>
      <c r="L269" s="6"/>
      <c r="M269" s="41" t="s">
        <v>3</v>
      </c>
      <c r="N269" s="7"/>
    </row>
    <row r="270" spans="1:22" ht="18.75" x14ac:dyDescent="0.3">
      <c r="E270" t="s">
        <v>4</v>
      </c>
      <c r="H270" s="4"/>
      <c r="I270" s="4"/>
      <c r="J270" s="4"/>
      <c r="K270" s="4"/>
      <c r="L270" s="4"/>
      <c r="M270" s="42" t="s">
        <v>3</v>
      </c>
      <c r="N270" s="9"/>
    </row>
    <row r="271" spans="1:22" ht="18.75" x14ac:dyDescent="0.3">
      <c r="E271" t="s">
        <v>5</v>
      </c>
      <c r="L271" s="6"/>
      <c r="M271" s="42" t="s">
        <v>6</v>
      </c>
      <c r="N271" s="9"/>
      <c r="O271" s="9"/>
    </row>
    <row r="272" spans="1:22" ht="18.75" x14ac:dyDescent="0.3">
      <c r="E272" s="10" t="s">
        <v>7</v>
      </c>
      <c r="I272" s="4"/>
      <c r="J272" s="4"/>
      <c r="K272" s="4"/>
      <c r="L272" s="4"/>
      <c r="M272" s="42" t="s">
        <v>3</v>
      </c>
      <c r="N272" s="9"/>
    </row>
    <row r="273" spans="1:22" ht="15.75" thickBot="1" x14ac:dyDescent="0.3">
      <c r="E273" s="43" t="s">
        <v>8</v>
      </c>
      <c r="F273" s="43"/>
      <c r="G273" s="43"/>
      <c r="H273" s="43"/>
      <c r="I273" s="11"/>
      <c r="J273" s="11"/>
      <c r="K273" s="11"/>
      <c r="L273" s="11"/>
      <c r="M273" s="32" t="s">
        <v>3</v>
      </c>
      <c r="N273" s="40"/>
      <c r="O273" s="40"/>
    </row>
    <row r="274" spans="1:22" x14ac:dyDescent="0.25">
      <c r="A274" s="12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4"/>
    </row>
    <row r="275" spans="1:22" x14ac:dyDescent="0.25">
      <c r="A275" s="15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17"/>
    </row>
    <row r="276" spans="1:22" x14ac:dyDescent="0.25">
      <c r="A276" s="18"/>
      <c r="B276" s="56" t="s">
        <v>9</v>
      </c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2"/>
      <c r="V276" s="19"/>
    </row>
    <row r="277" spans="1:22" ht="15.75" thickBot="1" x14ac:dyDescent="0.3">
      <c r="A277" s="20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19"/>
    </row>
    <row r="278" spans="1:22" x14ac:dyDescent="0.25">
      <c r="A278" s="20"/>
      <c r="B278" s="45">
        <v>0</v>
      </c>
      <c r="C278" s="46"/>
      <c r="D278" s="46">
        <v>1</v>
      </c>
      <c r="E278" s="46">
        <v>1</v>
      </c>
      <c r="F278" s="46">
        <v>2</v>
      </c>
      <c r="G278" s="46">
        <v>2</v>
      </c>
      <c r="H278" s="46">
        <v>3</v>
      </c>
      <c r="I278" s="47">
        <v>3</v>
      </c>
      <c r="J278" s="45">
        <v>4</v>
      </c>
      <c r="K278" s="46">
        <v>4</v>
      </c>
      <c r="L278" s="46">
        <v>5</v>
      </c>
      <c r="M278" s="46"/>
      <c r="N278" s="46">
        <v>6</v>
      </c>
      <c r="O278" s="46">
        <v>1</v>
      </c>
      <c r="P278" s="46">
        <v>7</v>
      </c>
      <c r="Q278" s="47">
        <v>2</v>
      </c>
      <c r="R278" s="52">
        <v>8</v>
      </c>
      <c r="S278" s="53">
        <v>3</v>
      </c>
      <c r="T278" s="53">
        <v>9</v>
      </c>
      <c r="U278" s="53">
        <v>4</v>
      </c>
      <c r="V278" s="22"/>
    </row>
    <row r="279" spans="1:22" ht="15.75" thickBot="1" x14ac:dyDescent="0.3">
      <c r="A279" s="20"/>
      <c r="B279" s="23"/>
      <c r="C279" s="24"/>
      <c r="D279" s="24"/>
      <c r="E279" s="24"/>
      <c r="F279" s="24"/>
      <c r="G279" s="24"/>
      <c r="H279" s="24"/>
      <c r="I279" s="25"/>
      <c r="J279" s="23"/>
      <c r="K279" s="24"/>
      <c r="L279" s="24"/>
      <c r="M279" s="24"/>
      <c r="N279" s="24"/>
      <c r="O279" s="24"/>
      <c r="P279" s="24"/>
      <c r="Q279" s="25"/>
      <c r="R279" s="26"/>
      <c r="S279" s="21"/>
      <c r="T279" s="21"/>
      <c r="U279" s="21"/>
      <c r="V279" s="22"/>
    </row>
    <row r="280" spans="1:22" ht="15.75" thickBot="1" x14ac:dyDescent="0.3">
      <c r="A280" s="27"/>
      <c r="B280" s="28"/>
      <c r="C280" s="28"/>
      <c r="D280" s="28"/>
      <c r="E280" s="28"/>
      <c r="F280" s="29"/>
      <c r="G280" s="28"/>
      <c r="H280" s="28"/>
      <c r="I280" s="28"/>
      <c r="J280" s="28"/>
      <c r="K280" s="29"/>
      <c r="L280" s="28"/>
      <c r="M280" s="29"/>
      <c r="N280" s="28"/>
      <c r="O280" s="29"/>
      <c r="P280" s="28"/>
      <c r="Q280" s="29"/>
      <c r="R280" s="30"/>
      <c r="S280" s="30"/>
      <c r="T280" s="30"/>
      <c r="U280" s="30"/>
      <c r="V280" s="31"/>
    </row>
    <row r="281" spans="1:22" ht="15.75" thickBot="1" x14ac:dyDescent="0.3">
      <c r="A281" s="32"/>
      <c r="B281" s="32"/>
      <c r="C281" s="32"/>
      <c r="D281" s="32"/>
      <c r="E281" s="32"/>
      <c r="F281" s="33"/>
      <c r="G281" s="32"/>
      <c r="H281" s="32"/>
      <c r="I281" s="32"/>
      <c r="J281" s="32"/>
      <c r="K281" s="33"/>
      <c r="L281" s="32"/>
      <c r="M281" s="33"/>
      <c r="N281" s="32"/>
      <c r="O281" s="33"/>
      <c r="P281" s="32"/>
      <c r="Q281" s="33"/>
      <c r="R281" s="32"/>
      <c r="S281" s="32"/>
      <c r="T281" s="32"/>
      <c r="U281" s="32"/>
      <c r="V281" s="34"/>
    </row>
    <row r="282" spans="1:22" ht="36" thickBot="1" x14ac:dyDescent="0.3">
      <c r="A282" s="32"/>
      <c r="B282" s="58" t="str">
        <f>IF(Q282&gt;1,"Считыватель вх",IF(F282&lt;1,"","Считыватель вх"))</f>
        <v>Считыватель вх</v>
      </c>
      <c r="C282" s="59"/>
      <c r="D282" s="60"/>
      <c r="E282" s="60"/>
      <c r="F282" s="61">
        <v>1</v>
      </c>
      <c r="G282" s="61"/>
      <c r="H282" s="62"/>
      <c r="I282" s="63"/>
      <c r="J282" s="35"/>
      <c r="K282" s="36"/>
      <c r="L282" s="37"/>
      <c r="M282" s="37" t="s">
        <v>10</v>
      </c>
      <c r="N282" s="38"/>
      <c r="O282" s="36"/>
      <c r="P282" s="38"/>
      <c r="Q282" s="39"/>
      <c r="R282" s="64" t="s">
        <v>11</v>
      </c>
      <c r="S282" s="65"/>
      <c r="T282" s="65"/>
      <c r="U282" s="65"/>
      <c r="V282" s="65"/>
    </row>
    <row r="283" spans="1:22" x14ac:dyDescent="0.25">
      <c r="A283" s="32"/>
      <c r="B283" s="50"/>
      <c r="C283" s="66"/>
      <c r="D283" s="66"/>
      <c r="E283" s="66"/>
      <c r="F283" s="66"/>
      <c r="G283" s="66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51" t="s">
        <v>12</v>
      </c>
      <c r="S283" s="51"/>
      <c r="T283" s="51"/>
      <c r="U283" s="51"/>
      <c r="V283" s="51"/>
    </row>
    <row r="285" spans="1:22" x14ac:dyDescent="0.25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x14ac:dyDescent="0.25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8.75" x14ac:dyDescent="0.3">
      <c r="E287" s="3" t="s">
        <v>0</v>
      </c>
      <c r="G287" s="4"/>
      <c r="H287" s="4"/>
      <c r="I287" s="4"/>
      <c r="J287" s="4"/>
      <c r="K287" s="4"/>
      <c r="L287" s="4"/>
      <c r="M287" s="41" t="s">
        <v>1</v>
      </c>
      <c r="N287" s="5"/>
    </row>
    <row r="288" spans="1:22" ht="18.75" x14ac:dyDescent="0.3">
      <c r="E288" s="3" t="s">
        <v>2</v>
      </c>
      <c r="J288" s="6"/>
      <c r="K288" s="6"/>
      <c r="L288" s="6"/>
      <c r="M288" s="41" t="s">
        <v>3</v>
      </c>
      <c r="N288" s="7"/>
    </row>
    <row r="289" spans="1:22" ht="18.75" x14ac:dyDescent="0.3">
      <c r="E289" t="s">
        <v>4</v>
      </c>
      <c r="H289" s="4"/>
      <c r="I289" s="4"/>
      <c r="J289" s="4"/>
      <c r="K289" s="4"/>
      <c r="L289" s="4"/>
      <c r="M289" s="42" t="s">
        <v>3</v>
      </c>
      <c r="N289" s="9"/>
    </row>
    <row r="290" spans="1:22" ht="18.75" x14ac:dyDescent="0.3">
      <c r="E290" t="s">
        <v>5</v>
      </c>
      <c r="L290" s="6"/>
      <c r="M290" s="42" t="s">
        <v>6</v>
      </c>
      <c r="N290" s="54"/>
      <c r="O290" s="54"/>
    </row>
    <row r="291" spans="1:22" ht="18.75" x14ac:dyDescent="0.3">
      <c r="E291" s="10" t="s">
        <v>7</v>
      </c>
      <c r="I291" s="4"/>
      <c r="J291" s="4"/>
      <c r="K291" s="4"/>
      <c r="L291" s="4"/>
      <c r="M291" s="42" t="s">
        <v>3</v>
      </c>
      <c r="N291" s="9"/>
    </row>
    <row r="292" spans="1:22" ht="15.75" thickBot="1" x14ac:dyDescent="0.3">
      <c r="E292" s="43" t="s">
        <v>8</v>
      </c>
      <c r="F292" s="43"/>
      <c r="G292" s="43"/>
      <c r="H292" s="43"/>
      <c r="I292" s="11"/>
      <c r="J292" s="11"/>
      <c r="K292" s="11"/>
      <c r="L292" s="11"/>
      <c r="M292" s="32" t="s">
        <v>3</v>
      </c>
      <c r="N292" s="55"/>
      <c r="O292" s="55"/>
    </row>
    <row r="293" spans="1:22" x14ac:dyDescent="0.25">
      <c r="A293" s="12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4"/>
    </row>
    <row r="294" spans="1:22" x14ac:dyDescent="0.25">
      <c r="A294" s="15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17"/>
    </row>
    <row r="295" spans="1:22" x14ac:dyDescent="0.25">
      <c r="A295" s="18"/>
      <c r="B295" s="56" t="s">
        <v>13</v>
      </c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2"/>
      <c r="V295" s="19"/>
    </row>
    <row r="296" spans="1:22" ht="15.75" thickBot="1" x14ac:dyDescent="0.3">
      <c r="A296" s="20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19"/>
    </row>
    <row r="297" spans="1:22" x14ac:dyDescent="0.25">
      <c r="A297" s="20"/>
      <c r="B297" s="45">
        <v>0</v>
      </c>
      <c r="C297" s="46"/>
      <c r="D297" s="46">
        <v>1</v>
      </c>
      <c r="E297" s="46">
        <v>1</v>
      </c>
      <c r="F297" s="46">
        <v>2</v>
      </c>
      <c r="G297" s="46">
        <v>2</v>
      </c>
      <c r="H297" s="46">
        <v>3</v>
      </c>
      <c r="I297" s="47">
        <v>3</v>
      </c>
      <c r="J297" s="45">
        <v>4</v>
      </c>
      <c r="K297" s="46">
        <v>4</v>
      </c>
      <c r="L297" s="46">
        <v>5</v>
      </c>
      <c r="M297" s="46"/>
      <c r="N297" s="46">
        <v>6</v>
      </c>
      <c r="O297" s="46">
        <v>1</v>
      </c>
      <c r="P297" s="46">
        <v>7</v>
      </c>
      <c r="Q297" s="47">
        <v>2</v>
      </c>
      <c r="R297" s="52">
        <v>8</v>
      </c>
      <c r="S297" s="53">
        <v>3</v>
      </c>
      <c r="T297" s="53">
        <v>9</v>
      </c>
      <c r="U297" s="53">
        <v>4</v>
      </c>
      <c r="V297" s="22"/>
    </row>
    <row r="298" spans="1:22" ht="15.75" thickBot="1" x14ac:dyDescent="0.3">
      <c r="A298" s="20"/>
      <c r="B298" s="23"/>
      <c r="C298" s="24"/>
      <c r="D298" s="24"/>
      <c r="E298" s="24"/>
      <c r="F298" s="24"/>
      <c r="G298" s="24"/>
      <c r="H298" s="24"/>
      <c r="I298" s="25"/>
      <c r="J298" s="23"/>
      <c r="K298" s="24"/>
      <c r="L298" s="24"/>
      <c r="M298" s="24"/>
      <c r="N298" s="24"/>
      <c r="O298" s="24"/>
      <c r="P298" s="24"/>
      <c r="Q298" s="25"/>
      <c r="R298" s="26"/>
      <c r="S298" s="21"/>
      <c r="T298" s="21"/>
      <c r="U298" s="21"/>
      <c r="V298" s="22"/>
    </row>
    <row r="299" spans="1:22" ht="15.75" thickBot="1" x14ac:dyDescent="0.3">
      <c r="A299" s="27"/>
      <c r="B299" s="28"/>
      <c r="C299" s="28"/>
      <c r="D299" s="28"/>
      <c r="E299" s="28"/>
      <c r="F299" s="29"/>
      <c r="G299" s="28"/>
      <c r="H299" s="28"/>
      <c r="I299" s="28"/>
      <c r="J299" s="28"/>
      <c r="K299" s="29"/>
      <c r="L299" s="28"/>
      <c r="M299" s="29"/>
      <c r="N299" s="28"/>
      <c r="O299" s="29"/>
      <c r="P299" s="28"/>
      <c r="Q299" s="29"/>
      <c r="R299" s="30"/>
      <c r="S299" s="30"/>
      <c r="T299" s="30"/>
      <c r="U299" s="30"/>
      <c r="V299" s="31"/>
    </row>
    <row r="300" spans="1:22" ht="15.75" thickBot="1" x14ac:dyDescent="0.3">
      <c r="A300" s="32"/>
      <c r="B300" s="32"/>
      <c r="C300" s="32"/>
      <c r="D300" s="32"/>
      <c r="E300" s="32"/>
      <c r="F300" s="33"/>
      <c r="G300" s="32"/>
      <c r="H300" s="32"/>
      <c r="I300" s="32"/>
      <c r="J300" s="32"/>
      <c r="K300" s="33"/>
      <c r="L300" s="32"/>
      <c r="M300" s="33"/>
      <c r="N300" s="32"/>
      <c r="O300" s="33"/>
      <c r="P300" s="32"/>
      <c r="Q300" s="33"/>
      <c r="R300" s="32"/>
      <c r="S300" s="32"/>
      <c r="T300" s="32"/>
      <c r="U300" s="32"/>
      <c r="V300" s="34"/>
    </row>
    <row r="301" spans="1:22" ht="36" thickBot="1" x14ac:dyDescent="0.3">
      <c r="A301" s="32"/>
      <c r="B301" s="58" t="str">
        <f>IF(Q301&gt;1,"Считыватель вх",IF(F301&lt;1,"","Считыватель вых"))</f>
        <v>Считыватель вых</v>
      </c>
      <c r="C301" s="59"/>
      <c r="D301" s="60"/>
      <c r="E301" s="60"/>
      <c r="F301" s="61">
        <v>4</v>
      </c>
      <c r="G301" s="61"/>
      <c r="H301" s="62"/>
      <c r="I301" s="63"/>
      <c r="J301" s="35"/>
      <c r="K301" s="36"/>
      <c r="L301" s="37"/>
      <c r="M301" s="37" t="s">
        <v>10</v>
      </c>
      <c r="N301" s="38"/>
      <c r="O301" s="36"/>
      <c r="P301" s="38"/>
      <c r="Q301" s="39"/>
      <c r="R301" s="64" t="s">
        <v>11</v>
      </c>
      <c r="S301" s="65"/>
      <c r="T301" s="65"/>
      <c r="U301" s="65"/>
      <c r="V301" s="65"/>
    </row>
    <row r="302" spans="1:22" x14ac:dyDescent="0.25">
      <c r="A302" s="32"/>
      <c r="B302" s="48">
        <f>IF(B301="Считыватель вых",B283,IF(B301="Считыватель вх",J302,""))</f>
        <v>0</v>
      </c>
      <c r="C302" s="49"/>
      <c r="D302" s="49"/>
      <c r="E302" s="49"/>
      <c r="F302" s="49"/>
      <c r="G302" s="49"/>
      <c r="H302" s="49"/>
      <c r="I302" s="49"/>
      <c r="J302" s="50" t="s">
        <v>14</v>
      </c>
      <c r="K302" s="49"/>
      <c r="L302" s="49"/>
      <c r="M302" s="49"/>
      <c r="N302" s="49"/>
      <c r="O302" s="49"/>
      <c r="P302" s="49"/>
      <c r="Q302" s="49"/>
      <c r="R302" s="51" t="s">
        <v>12</v>
      </c>
      <c r="S302" s="51"/>
      <c r="T302" s="51"/>
      <c r="U302" s="51"/>
      <c r="V302" s="51"/>
    </row>
    <row r="304" spans="1:22" x14ac:dyDescent="0.25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x14ac:dyDescent="0.25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8.75" x14ac:dyDescent="0.3">
      <c r="E306" s="3" t="s">
        <v>0</v>
      </c>
      <c r="G306" s="4"/>
      <c r="H306" s="4"/>
      <c r="I306" s="4"/>
      <c r="J306" s="4"/>
      <c r="K306" s="4"/>
      <c r="L306" s="4"/>
      <c r="M306" s="41" t="s">
        <v>1</v>
      </c>
      <c r="N306" s="5"/>
    </row>
    <row r="307" spans="1:22" ht="18.75" x14ac:dyDescent="0.3">
      <c r="E307" s="3" t="s">
        <v>2</v>
      </c>
      <c r="J307" s="6"/>
      <c r="K307" s="6"/>
      <c r="L307" s="6"/>
      <c r="M307" s="41" t="s">
        <v>3</v>
      </c>
      <c r="N307" s="7"/>
    </row>
    <row r="308" spans="1:22" ht="18.75" x14ac:dyDescent="0.3">
      <c r="E308" t="s">
        <v>4</v>
      </c>
      <c r="H308" s="4"/>
      <c r="I308" s="4"/>
      <c r="J308" s="4"/>
      <c r="K308" s="4"/>
      <c r="L308" s="4"/>
      <c r="M308" s="42" t="s">
        <v>3</v>
      </c>
      <c r="N308" s="9"/>
    </row>
    <row r="309" spans="1:22" ht="18.75" x14ac:dyDescent="0.3">
      <c r="E309" t="s">
        <v>5</v>
      </c>
      <c r="L309" s="6"/>
      <c r="M309" s="42" t="s">
        <v>6</v>
      </c>
      <c r="N309" s="9"/>
      <c r="O309" s="9"/>
    </row>
    <row r="310" spans="1:22" ht="18.75" x14ac:dyDescent="0.3">
      <c r="E310" s="10" t="s">
        <v>7</v>
      </c>
      <c r="I310" s="4"/>
      <c r="J310" s="4"/>
      <c r="K310" s="4"/>
      <c r="L310" s="4"/>
      <c r="M310" s="42" t="s">
        <v>3</v>
      </c>
      <c r="N310" s="9"/>
    </row>
    <row r="311" spans="1:22" ht="15.75" thickBot="1" x14ac:dyDescent="0.3">
      <c r="E311" s="43" t="s">
        <v>8</v>
      </c>
      <c r="F311" s="43"/>
      <c r="G311" s="43"/>
      <c r="H311" s="43"/>
      <c r="I311" s="11"/>
      <c r="J311" s="11"/>
      <c r="K311" s="11"/>
      <c r="L311" s="11"/>
      <c r="M311" s="32" t="s">
        <v>3</v>
      </c>
      <c r="N311" s="40"/>
      <c r="O311" s="40"/>
    </row>
    <row r="312" spans="1:22" x14ac:dyDescent="0.25">
      <c r="A312" s="12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4"/>
    </row>
    <row r="313" spans="1:22" x14ac:dyDescent="0.25">
      <c r="A313" s="15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17"/>
    </row>
    <row r="314" spans="1:22" x14ac:dyDescent="0.25">
      <c r="A314" s="18"/>
      <c r="B314" s="56" t="s">
        <v>9</v>
      </c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2"/>
      <c r="V314" s="19"/>
    </row>
    <row r="315" spans="1:22" ht="15.75" thickBot="1" x14ac:dyDescent="0.3">
      <c r="A315" s="20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19"/>
    </row>
    <row r="316" spans="1:22" x14ac:dyDescent="0.25">
      <c r="A316" s="20"/>
      <c r="B316" s="45">
        <v>0</v>
      </c>
      <c r="C316" s="46"/>
      <c r="D316" s="46">
        <v>1</v>
      </c>
      <c r="E316" s="46">
        <v>1</v>
      </c>
      <c r="F316" s="46">
        <v>2</v>
      </c>
      <c r="G316" s="46">
        <v>2</v>
      </c>
      <c r="H316" s="46">
        <v>3</v>
      </c>
      <c r="I316" s="47">
        <v>3</v>
      </c>
      <c r="J316" s="45">
        <v>4</v>
      </c>
      <c r="K316" s="46">
        <v>4</v>
      </c>
      <c r="L316" s="46">
        <v>5</v>
      </c>
      <c r="M316" s="46"/>
      <c r="N316" s="46">
        <v>6</v>
      </c>
      <c r="O316" s="46">
        <v>1</v>
      </c>
      <c r="P316" s="46">
        <v>7</v>
      </c>
      <c r="Q316" s="47">
        <v>2</v>
      </c>
      <c r="R316" s="52">
        <v>8</v>
      </c>
      <c r="S316" s="53">
        <v>3</v>
      </c>
      <c r="T316" s="53">
        <v>9</v>
      </c>
      <c r="U316" s="53">
        <v>4</v>
      </c>
      <c r="V316" s="22"/>
    </row>
    <row r="317" spans="1:22" ht="15.75" thickBot="1" x14ac:dyDescent="0.3">
      <c r="A317" s="20"/>
      <c r="B317" s="23"/>
      <c r="C317" s="24"/>
      <c r="D317" s="24"/>
      <c r="E317" s="24"/>
      <c r="F317" s="24"/>
      <c r="G317" s="24"/>
      <c r="H317" s="24"/>
      <c r="I317" s="25"/>
      <c r="J317" s="23"/>
      <c r="K317" s="24"/>
      <c r="L317" s="24"/>
      <c r="M317" s="24"/>
      <c r="N317" s="24"/>
      <c r="O317" s="24"/>
      <c r="P317" s="24"/>
      <c r="Q317" s="25"/>
      <c r="R317" s="26"/>
      <c r="S317" s="21"/>
      <c r="T317" s="21"/>
      <c r="U317" s="21"/>
      <c r="V317" s="22"/>
    </row>
    <row r="318" spans="1:22" ht="15.75" thickBot="1" x14ac:dyDescent="0.3">
      <c r="A318" s="27"/>
      <c r="B318" s="28"/>
      <c r="C318" s="28"/>
      <c r="D318" s="28"/>
      <c r="E318" s="28"/>
      <c r="F318" s="29"/>
      <c r="G318" s="28"/>
      <c r="H318" s="28"/>
      <c r="I318" s="28"/>
      <c r="J318" s="28"/>
      <c r="K318" s="29"/>
      <c r="L318" s="28"/>
      <c r="M318" s="29"/>
      <c r="N318" s="28"/>
      <c r="O318" s="29"/>
      <c r="P318" s="28"/>
      <c r="Q318" s="29"/>
      <c r="R318" s="30"/>
      <c r="S318" s="30"/>
      <c r="T318" s="30"/>
      <c r="U318" s="30"/>
      <c r="V318" s="31"/>
    </row>
    <row r="319" spans="1:22" ht="15.75" thickBot="1" x14ac:dyDescent="0.3">
      <c r="A319" s="32"/>
      <c r="B319" s="32"/>
      <c r="C319" s="32"/>
      <c r="D319" s="32"/>
      <c r="E319" s="32"/>
      <c r="F319" s="33"/>
      <c r="G319" s="32"/>
      <c r="H319" s="32"/>
      <c r="I319" s="32"/>
      <c r="J319" s="32"/>
      <c r="K319" s="33"/>
      <c r="L319" s="32"/>
      <c r="M319" s="33"/>
      <c r="N319" s="32"/>
      <c r="O319" s="33"/>
      <c r="P319" s="32"/>
      <c r="Q319" s="33"/>
      <c r="R319" s="32"/>
      <c r="S319" s="32"/>
      <c r="T319" s="32"/>
      <c r="U319" s="32"/>
      <c r="V319" s="34"/>
    </row>
    <row r="320" spans="1:22" ht="36" thickBot="1" x14ac:dyDescent="0.3">
      <c r="A320" s="32"/>
      <c r="B320" s="58" t="str">
        <f>IF(Q320&gt;1,"Считыватель вх",IF(F320&lt;1,"","Считыватель вх"))</f>
        <v>Считыватель вх</v>
      </c>
      <c r="C320" s="59"/>
      <c r="D320" s="60"/>
      <c r="E320" s="60"/>
      <c r="F320" s="61">
        <v>1</v>
      </c>
      <c r="G320" s="61"/>
      <c r="H320" s="62"/>
      <c r="I320" s="63"/>
      <c r="J320" s="35"/>
      <c r="K320" s="36"/>
      <c r="L320" s="37"/>
      <c r="M320" s="37" t="s">
        <v>10</v>
      </c>
      <c r="N320" s="38"/>
      <c r="O320" s="36"/>
      <c r="P320" s="38"/>
      <c r="Q320" s="39"/>
      <c r="R320" s="64" t="s">
        <v>11</v>
      </c>
      <c r="S320" s="65"/>
      <c r="T320" s="65"/>
      <c r="U320" s="65"/>
      <c r="V320" s="65"/>
    </row>
    <row r="321" spans="1:22" x14ac:dyDescent="0.25">
      <c r="A321" s="32"/>
      <c r="B321" s="50"/>
      <c r="C321" s="66"/>
      <c r="D321" s="66"/>
      <c r="E321" s="66"/>
      <c r="F321" s="66"/>
      <c r="G321" s="66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51" t="s">
        <v>12</v>
      </c>
      <c r="S321" s="51"/>
      <c r="T321" s="51"/>
      <c r="U321" s="51"/>
      <c r="V321" s="51"/>
    </row>
    <row r="323" spans="1:22" x14ac:dyDescent="0.25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x14ac:dyDescent="0.25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8.75" x14ac:dyDescent="0.3">
      <c r="E325" s="3" t="s">
        <v>0</v>
      </c>
      <c r="G325" s="4"/>
      <c r="H325" s="4"/>
      <c r="I325" s="4"/>
      <c r="J325" s="4"/>
      <c r="K325" s="4"/>
      <c r="L325" s="4"/>
      <c r="M325" s="41" t="s">
        <v>1</v>
      </c>
      <c r="N325" s="5"/>
    </row>
    <row r="326" spans="1:22" ht="18.75" x14ac:dyDescent="0.3">
      <c r="E326" s="3" t="s">
        <v>2</v>
      </c>
      <c r="J326" s="6"/>
      <c r="K326" s="6"/>
      <c r="L326" s="6"/>
      <c r="M326" s="41" t="s">
        <v>3</v>
      </c>
      <c r="N326" s="7"/>
    </row>
    <row r="327" spans="1:22" ht="18.75" x14ac:dyDescent="0.3">
      <c r="E327" t="s">
        <v>4</v>
      </c>
      <c r="H327" s="4"/>
      <c r="I327" s="4"/>
      <c r="J327" s="4"/>
      <c r="K327" s="4"/>
      <c r="L327" s="4"/>
      <c r="M327" s="42" t="s">
        <v>3</v>
      </c>
      <c r="N327" s="9"/>
    </row>
    <row r="328" spans="1:22" ht="18.75" x14ac:dyDescent="0.3">
      <c r="E328" t="s">
        <v>5</v>
      </c>
      <c r="L328" s="6"/>
      <c r="M328" s="42" t="s">
        <v>6</v>
      </c>
      <c r="N328" s="54"/>
      <c r="O328" s="54"/>
    </row>
    <row r="329" spans="1:22" ht="18.75" x14ac:dyDescent="0.3">
      <c r="E329" s="10" t="s">
        <v>7</v>
      </c>
      <c r="I329" s="4"/>
      <c r="J329" s="4"/>
      <c r="K329" s="4"/>
      <c r="L329" s="4"/>
      <c r="M329" s="42" t="s">
        <v>3</v>
      </c>
      <c r="N329" s="9"/>
    </row>
    <row r="330" spans="1:22" ht="15.75" thickBot="1" x14ac:dyDescent="0.3">
      <c r="E330" s="43" t="s">
        <v>8</v>
      </c>
      <c r="F330" s="43"/>
      <c r="G330" s="43"/>
      <c r="H330" s="43"/>
      <c r="I330" s="11"/>
      <c r="J330" s="11"/>
      <c r="K330" s="11"/>
      <c r="L330" s="11"/>
      <c r="M330" s="32" t="s">
        <v>3</v>
      </c>
      <c r="N330" s="55"/>
      <c r="O330" s="55"/>
    </row>
    <row r="331" spans="1:22" x14ac:dyDescent="0.25">
      <c r="A331" s="12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4"/>
    </row>
    <row r="332" spans="1:22" x14ac:dyDescent="0.25">
      <c r="A332" s="15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17"/>
    </row>
    <row r="333" spans="1:22" x14ac:dyDescent="0.25">
      <c r="A333" s="18"/>
      <c r="B333" s="56" t="s">
        <v>13</v>
      </c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2"/>
      <c r="V333" s="19"/>
    </row>
    <row r="334" spans="1:22" ht="15.75" thickBot="1" x14ac:dyDescent="0.3">
      <c r="A334" s="20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19"/>
    </row>
    <row r="335" spans="1:22" x14ac:dyDescent="0.25">
      <c r="A335" s="20"/>
      <c r="B335" s="45">
        <v>0</v>
      </c>
      <c r="C335" s="46"/>
      <c r="D335" s="46">
        <v>1</v>
      </c>
      <c r="E335" s="46">
        <v>1</v>
      </c>
      <c r="F335" s="46">
        <v>2</v>
      </c>
      <c r="G335" s="46">
        <v>2</v>
      </c>
      <c r="H335" s="46">
        <v>3</v>
      </c>
      <c r="I335" s="47">
        <v>3</v>
      </c>
      <c r="J335" s="45">
        <v>4</v>
      </c>
      <c r="K335" s="46">
        <v>4</v>
      </c>
      <c r="L335" s="46">
        <v>5</v>
      </c>
      <c r="M335" s="46"/>
      <c r="N335" s="46">
        <v>6</v>
      </c>
      <c r="O335" s="46">
        <v>1</v>
      </c>
      <c r="P335" s="46">
        <v>7</v>
      </c>
      <c r="Q335" s="47">
        <v>2</v>
      </c>
      <c r="R335" s="52">
        <v>8</v>
      </c>
      <c r="S335" s="53">
        <v>3</v>
      </c>
      <c r="T335" s="53">
        <v>9</v>
      </c>
      <c r="U335" s="53">
        <v>4</v>
      </c>
      <c r="V335" s="22"/>
    </row>
    <row r="336" spans="1:22" ht="15.75" thickBot="1" x14ac:dyDescent="0.3">
      <c r="A336" s="20"/>
      <c r="B336" s="23"/>
      <c r="C336" s="24"/>
      <c r="D336" s="24"/>
      <c r="E336" s="24"/>
      <c r="F336" s="24"/>
      <c r="G336" s="24"/>
      <c r="H336" s="24"/>
      <c r="I336" s="25"/>
      <c r="J336" s="23"/>
      <c r="K336" s="24"/>
      <c r="L336" s="24"/>
      <c r="M336" s="24"/>
      <c r="N336" s="24"/>
      <c r="O336" s="24"/>
      <c r="P336" s="24"/>
      <c r="Q336" s="25"/>
      <c r="R336" s="26"/>
      <c r="S336" s="21"/>
      <c r="T336" s="21"/>
      <c r="U336" s="21"/>
      <c r="V336" s="22"/>
    </row>
    <row r="337" spans="1:22" ht="15.75" thickBot="1" x14ac:dyDescent="0.3">
      <c r="A337" s="27"/>
      <c r="B337" s="28"/>
      <c r="C337" s="28"/>
      <c r="D337" s="28"/>
      <c r="E337" s="28"/>
      <c r="F337" s="29"/>
      <c r="G337" s="28"/>
      <c r="H337" s="28"/>
      <c r="I337" s="28"/>
      <c r="J337" s="28"/>
      <c r="K337" s="29"/>
      <c r="L337" s="28"/>
      <c r="M337" s="29"/>
      <c r="N337" s="28"/>
      <c r="O337" s="29"/>
      <c r="P337" s="28"/>
      <c r="Q337" s="29"/>
      <c r="R337" s="30"/>
      <c r="S337" s="30"/>
      <c r="T337" s="30"/>
      <c r="U337" s="30"/>
      <c r="V337" s="31"/>
    </row>
    <row r="338" spans="1:22" ht="15.75" thickBot="1" x14ac:dyDescent="0.3">
      <c r="A338" s="32"/>
      <c r="B338" s="32"/>
      <c r="C338" s="32"/>
      <c r="D338" s="32"/>
      <c r="E338" s="32"/>
      <c r="F338" s="33"/>
      <c r="G338" s="32"/>
      <c r="H338" s="32"/>
      <c r="I338" s="32"/>
      <c r="J338" s="32"/>
      <c r="K338" s="33"/>
      <c r="L338" s="32"/>
      <c r="M338" s="33"/>
      <c r="N338" s="32"/>
      <c r="O338" s="33"/>
      <c r="P338" s="32"/>
      <c r="Q338" s="33"/>
      <c r="R338" s="32"/>
      <c r="S338" s="32"/>
      <c r="T338" s="32"/>
      <c r="U338" s="32"/>
      <c r="V338" s="34"/>
    </row>
    <row r="339" spans="1:22" ht="36" thickBot="1" x14ac:dyDescent="0.3">
      <c r="A339" s="32"/>
      <c r="B339" s="58" t="str">
        <f>IF(Q339&gt;1,"Считыватель вх",IF(F339&lt;1,"","Считыватель вых"))</f>
        <v>Считыватель вых</v>
      </c>
      <c r="C339" s="59"/>
      <c r="D339" s="60"/>
      <c r="E339" s="60"/>
      <c r="F339" s="61">
        <v>4</v>
      </c>
      <c r="G339" s="61"/>
      <c r="H339" s="62"/>
      <c r="I339" s="63"/>
      <c r="J339" s="35"/>
      <c r="K339" s="36"/>
      <c r="L339" s="37"/>
      <c r="M339" s="37" t="s">
        <v>10</v>
      </c>
      <c r="N339" s="38"/>
      <c r="O339" s="36"/>
      <c r="P339" s="38"/>
      <c r="Q339" s="39"/>
      <c r="R339" s="64" t="s">
        <v>11</v>
      </c>
      <c r="S339" s="65"/>
      <c r="T339" s="65"/>
      <c r="U339" s="65"/>
      <c r="V339" s="65"/>
    </row>
    <row r="340" spans="1:22" x14ac:dyDescent="0.25">
      <c r="A340" s="32"/>
      <c r="B340" s="48">
        <f>IF(B339="Считыватель вых",B321,IF(B339="Считыватель вх",J340,""))</f>
        <v>0</v>
      </c>
      <c r="C340" s="49"/>
      <c r="D340" s="49"/>
      <c r="E340" s="49"/>
      <c r="F340" s="49"/>
      <c r="G340" s="49"/>
      <c r="H340" s="49"/>
      <c r="I340" s="49"/>
      <c r="J340" s="50" t="s">
        <v>14</v>
      </c>
      <c r="K340" s="49"/>
      <c r="L340" s="49"/>
      <c r="M340" s="49"/>
      <c r="N340" s="49"/>
      <c r="O340" s="49"/>
      <c r="P340" s="49"/>
      <c r="Q340" s="49"/>
      <c r="R340" s="51" t="s">
        <v>12</v>
      </c>
      <c r="S340" s="51"/>
      <c r="T340" s="51"/>
      <c r="U340" s="51"/>
      <c r="V340" s="51"/>
    </row>
    <row r="342" spans="1:22" x14ac:dyDescent="0.25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x14ac:dyDescent="0.25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8.75" x14ac:dyDescent="0.3">
      <c r="E344" s="3" t="s">
        <v>0</v>
      </c>
      <c r="G344" s="4"/>
      <c r="H344" s="4"/>
      <c r="I344" s="4"/>
      <c r="J344" s="4"/>
      <c r="K344" s="4"/>
      <c r="L344" s="4"/>
      <c r="M344" s="41" t="s">
        <v>1</v>
      </c>
      <c r="N344" s="5"/>
    </row>
    <row r="345" spans="1:22" ht="18.75" x14ac:dyDescent="0.3">
      <c r="E345" s="3" t="s">
        <v>2</v>
      </c>
      <c r="J345" s="6"/>
      <c r="K345" s="6"/>
      <c r="L345" s="6"/>
      <c r="M345" s="41" t="s">
        <v>3</v>
      </c>
      <c r="N345" s="7"/>
    </row>
    <row r="346" spans="1:22" ht="18.75" x14ac:dyDescent="0.3">
      <c r="E346" t="s">
        <v>4</v>
      </c>
      <c r="H346" s="4"/>
      <c r="I346" s="4"/>
      <c r="J346" s="4"/>
      <c r="K346" s="4"/>
      <c r="L346" s="4"/>
      <c r="M346" s="42" t="s">
        <v>3</v>
      </c>
      <c r="N346" s="9"/>
    </row>
    <row r="347" spans="1:22" ht="18.75" x14ac:dyDescent="0.3">
      <c r="E347" t="s">
        <v>5</v>
      </c>
      <c r="L347" s="6"/>
      <c r="M347" s="42" t="s">
        <v>6</v>
      </c>
      <c r="N347" s="9"/>
      <c r="O347" s="9"/>
    </row>
    <row r="348" spans="1:22" ht="18.75" x14ac:dyDescent="0.3">
      <c r="E348" s="10" t="s">
        <v>7</v>
      </c>
      <c r="I348" s="4"/>
      <c r="J348" s="4"/>
      <c r="K348" s="4"/>
      <c r="L348" s="4"/>
      <c r="M348" s="42" t="s">
        <v>3</v>
      </c>
      <c r="N348" s="9"/>
    </row>
    <row r="349" spans="1:22" ht="15.75" thickBot="1" x14ac:dyDescent="0.3">
      <c r="E349" s="43" t="s">
        <v>8</v>
      </c>
      <c r="F349" s="43"/>
      <c r="G349" s="43"/>
      <c r="H349" s="43"/>
      <c r="I349" s="11"/>
      <c r="J349" s="11"/>
      <c r="K349" s="11"/>
      <c r="L349" s="11"/>
      <c r="M349" s="32" t="s">
        <v>3</v>
      </c>
      <c r="N349" s="40"/>
      <c r="O349" s="40"/>
    </row>
    <row r="350" spans="1:22" x14ac:dyDescent="0.25">
      <c r="A350" s="12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4"/>
    </row>
    <row r="351" spans="1:22" x14ac:dyDescent="0.25">
      <c r="A351" s="15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17"/>
    </row>
    <row r="352" spans="1:22" x14ac:dyDescent="0.25">
      <c r="A352" s="18"/>
      <c r="B352" s="56" t="s">
        <v>9</v>
      </c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2"/>
      <c r="V352" s="19"/>
    </row>
    <row r="353" spans="1:22" ht="15.75" thickBot="1" x14ac:dyDescent="0.3">
      <c r="A353" s="20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19"/>
    </row>
    <row r="354" spans="1:22" x14ac:dyDescent="0.25">
      <c r="A354" s="20"/>
      <c r="B354" s="45">
        <v>0</v>
      </c>
      <c r="C354" s="46"/>
      <c r="D354" s="46">
        <v>1</v>
      </c>
      <c r="E354" s="46">
        <v>1</v>
      </c>
      <c r="F354" s="46">
        <v>2</v>
      </c>
      <c r="G354" s="46">
        <v>2</v>
      </c>
      <c r="H354" s="46">
        <v>3</v>
      </c>
      <c r="I354" s="47">
        <v>3</v>
      </c>
      <c r="J354" s="45">
        <v>4</v>
      </c>
      <c r="K354" s="46">
        <v>4</v>
      </c>
      <c r="L354" s="46">
        <v>5</v>
      </c>
      <c r="M354" s="46"/>
      <c r="N354" s="46">
        <v>6</v>
      </c>
      <c r="O354" s="46">
        <v>1</v>
      </c>
      <c r="P354" s="46">
        <v>7</v>
      </c>
      <c r="Q354" s="47">
        <v>2</v>
      </c>
      <c r="R354" s="52">
        <v>8</v>
      </c>
      <c r="S354" s="53">
        <v>3</v>
      </c>
      <c r="T354" s="53">
        <v>9</v>
      </c>
      <c r="U354" s="53">
        <v>4</v>
      </c>
      <c r="V354" s="22"/>
    </row>
    <row r="355" spans="1:22" ht="15.75" thickBot="1" x14ac:dyDescent="0.3">
      <c r="A355" s="20"/>
      <c r="B355" s="23"/>
      <c r="C355" s="24"/>
      <c r="D355" s="24"/>
      <c r="E355" s="24"/>
      <c r="F355" s="24"/>
      <c r="G355" s="24"/>
      <c r="H355" s="24"/>
      <c r="I355" s="25"/>
      <c r="J355" s="23"/>
      <c r="K355" s="24"/>
      <c r="L355" s="24"/>
      <c r="M355" s="24"/>
      <c r="N355" s="24"/>
      <c r="O355" s="24"/>
      <c r="P355" s="24"/>
      <c r="Q355" s="25"/>
      <c r="R355" s="26"/>
      <c r="S355" s="21"/>
      <c r="T355" s="21"/>
      <c r="U355" s="21"/>
      <c r="V355" s="22"/>
    </row>
    <row r="356" spans="1:22" ht="15.75" thickBot="1" x14ac:dyDescent="0.3">
      <c r="A356" s="27"/>
      <c r="B356" s="28"/>
      <c r="C356" s="28"/>
      <c r="D356" s="28"/>
      <c r="E356" s="28"/>
      <c r="F356" s="29"/>
      <c r="G356" s="28"/>
      <c r="H356" s="28"/>
      <c r="I356" s="28"/>
      <c r="J356" s="28"/>
      <c r="K356" s="29"/>
      <c r="L356" s="28"/>
      <c r="M356" s="29"/>
      <c r="N356" s="28"/>
      <c r="O356" s="29"/>
      <c r="P356" s="28"/>
      <c r="Q356" s="29"/>
      <c r="R356" s="30"/>
      <c r="S356" s="30"/>
      <c r="T356" s="30"/>
      <c r="U356" s="30"/>
      <c r="V356" s="31"/>
    </row>
    <row r="357" spans="1:22" ht="15.75" thickBot="1" x14ac:dyDescent="0.3">
      <c r="A357" s="32"/>
      <c r="B357" s="32"/>
      <c r="C357" s="32"/>
      <c r="D357" s="32"/>
      <c r="E357" s="32"/>
      <c r="F357" s="33"/>
      <c r="G357" s="32"/>
      <c r="H357" s="32"/>
      <c r="I357" s="32"/>
      <c r="J357" s="32"/>
      <c r="K357" s="33"/>
      <c r="L357" s="32"/>
      <c r="M357" s="33"/>
      <c r="N357" s="32"/>
      <c r="O357" s="33"/>
      <c r="P357" s="32"/>
      <c r="Q357" s="33"/>
      <c r="R357" s="32"/>
      <c r="S357" s="32"/>
      <c r="T357" s="32"/>
      <c r="U357" s="32"/>
      <c r="V357" s="34"/>
    </row>
    <row r="358" spans="1:22" ht="36" thickBot="1" x14ac:dyDescent="0.3">
      <c r="A358" s="32"/>
      <c r="B358" s="58" t="str">
        <f>IF(Q358&gt;1,"Считыватель вх",IF(F358&lt;1,"","Считыватель вх"))</f>
        <v>Считыватель вх</v>
      </c>
      <c r="C358" s="59"/>
      <c r="D358" s="60"/>
      <c r="E358" s="60"/>
      <c r="F358" s="61">
        <v>1</v>
      </c>
      <c r="G358" s="61"/>
      <c r="H358" s="62"/>
      <c r="I358" s="63"/>
      <c r="J358" s="35"/>
      <c r="K358" s="36"/>
      <c r="L358" s="37"/>
      <c r="M358" s="37" t="s">
        <v>10</v>
      </c>
      <c r="N358" s="38"/>
      <c r="O358" s="36"/>
      <c r="P358" s="38"/>
      <c r="Q358" s="39"/>
      <c r="R358" s="64" t="s">
        <v>11</v>
      </c>
      <c r="S358" s="65"/>
      <c r="T358" s="65"/>
      <c r="U358" s="65"/>
      <c r="V358" s="65"/>
    </row>
    <row r="359" spans="1:22" x14ac:dyDescent="0.25">
      <c r="A359" s="32"/>
      <c r="B359" s="50"/>
      <c r="C359" s="66"/>
      <c r="D359" s="66"/>
      <c r="E359" s="66"/>
      <c r="F359" s="66"/>
      <c r="G359" s="66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51" t="s">
        <v>12</v>
      </c>
      <c r="S359" s="51"/>
      <c r="T359" s="51"/>
      <c r="U359" s="51"/>
      <c r="V359" s="51"/>
    </row>
    <row r="361" spans="1:22" x14ac:dyDescent="0.25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x14ac:dyDescent="0.25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8.75" x14ac:dyDescent="0.3">
      <c r="E363" s="3" t="s">
        <v>0</v>
      </c>
      <c r="G363" s="4"/>
      <c r="H363" s="4"/>
      <c r="I363" s="4"/>
      <c r="J363" s="4"/>
      <c r="K363" s="4"/>
      <c r="L363" s="4"/>
      <c r="M363" s="41" t="s">
        <v>1</v>
      </c>
      <c r="N363" s="5"/>
    </row>
    <row r="364" spans="1:22" ht="18.75" x14ac:dyDescent="0.3">
      <c r="E364" s="3" t="s">
        <v>2</v>
      </c>
      <c r="J364" s="6"/>
      <c r="K364" s="6"/>
      <c r="L364" s="6"/>
      <c r="M364" s="41" t="s">
        <v>3</v>
      </c>
      <c r="N364" s="7"/>
    </row>
    <row r="365" spans="1:22" ht="18.75" x14ac:dyDescent="0.3">
      <c r="E365" t="s">
        <v>4</v>
      </c>
      <c r="H365" s="4"/>
      <c r="I365" s="4"/>
      <c r="J365" s="4"/>
      <c r="K365" s="4"/>
      <c r="L365" s="4"/>
      <c r="M365" s="42" t="s">
        <v>3</v>
      </c>
      <c r="N365" s="9"/>
    </row>
    <row r="366" spans="1:22" ht="18.75" x14ac:dyDescent="0.3">
      <c r="E366" t="s">
        <v>5</v>
      </c>
      <c r="L366" s="6"/>
      <c r="M366" s="42" t="s">
        <v>6</v>
      </c>
      <c r="N366" s="54"/>
      <c r="O366" s="54"/>
    </row>
    <row r="367" spans="1:22" ht="18.75" x14ac:dyDescent="0.3">
      <c r="E367" s="10" t="s">
        <v>7</v>
      </c>
      <c r="I367" s="4"/>
      <c r="J367" s="4"/>
      <c r="K367" s="4"/>
      <c r="L367" s="4"/>
      <c r="M367" s="42" t="s">
        <v>3</v>
      </c>
      <c r="N367" s="9"/>
    </row>
    <row r="368" spans="1:22" ht="15.75" thickBot="1" x14ac:dyDescent="0.3">
      <c r="E368" s="43" t="s">
        <v>8</v>
      </c>
      <c r="F368" s="43"/>
      <c r="G368" s="43"/>
      <c r="H368" s="43"/>
      <c r="I368" s="11"/>
      <c r="J368" s="11"/>
      <c r="K368" s="11"/>
      <c r="L368" s="11"/>
      <c r="M368" s="32" t="s">
        <v>3</v>
      </c>
      <c r="N368" s="55"/>
      <c r="O368" s="55"/>
    </row>
    <row r="369" spans="1:22" x14ac:dyDescent="0.25">
      <c r="A369" s="12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4"/>
    </row>
    <row r="370" spans="1:22" x14ac:dyDescent="0.25">
      <c r="A370" s="15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17"/>
    </row>
    <row r="371" spans="1:22" x14ac:dyDescent="0.25">
      <c r="A371" s="18"/>
      <c r="B371" s="56" t="s">
        <v>13</v>
      </c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2"/>
      <c r="V371" s="19"/>
    </row>
    <row r="372" spans="1:22" ht="15.75" thickBot="1" x14ac:dyDescent="0.3">
      <c r="A372" s="20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19"/>
    </row>
    <row r="373" spans="1:22" x14ac:dyDescent="0.25">
      <c r="A373" s="20"/>
      <c r="B373" s="45">
        <v>0</v>
      </c>
      <c r="C373" s="46"/>
      <c r="D373" s="46">
        <v>1</v>
      </c>
      <c r="E373" s="46">
        <v>1</v>
      </c>
      <c r="F373" s="46">
        <v>2</v>
      </c>
      <c r="G373" s="46">
        <v>2</v>
      </c>
      <c r="H373" s="46">
        <v>3</v>
      </c>
      <c r="I373" s="47">
        <v>3</v>
      </c>
      <c r="J373" s="45">
        <v>4</v>
      </c>
      <c r="K373" s="46">
        <v>4</v>
      </c>
      <c r="L373" s="46">
        <v>5</v>
      </c>
      <c r="M373" s="46"/>
      <c r="N373" s="46">
        <v>6</v>
      </c>
      <c r="O373" s="46">
        <v>1</v>
      </c>
      <c r="P373" s="46">
        <v>7</v>
      </c>
      <c r="Q373" s="47">
        <v>2</v>
      </c>
      <c r="R373" s="52">
        <v>8</v>
      </c>
      <c r="S373" s="53">
        <v>3</v>
      </c>
      <c r="T373" s="53">
        <v>9</v>
      </c>
      <c r="U373" s="53">
        <v>4</v>
      </c>
      <c r="V373" s="22"/>
    </row>
    <row r="374" spans="1:22" ht="15.75" thickBot="1" x14ac:dyDescent="0.3">
      <c r="A374" s="20"/>
      <c r="B374" s="23"/>
      <c r="C374" s="24"/>
      <c r="D374" s="24"/>
      <c r="E374" s="24"/>
      <c r="F374" s="24"/>
      <c r="G374" s="24"/>
      <c r="H374" s="24"/>
      <c r="I374" s="25"/>
      <c r="J374" s="23"/>
      <c r="K374" s="24"/>
      <c r="L374" s="24"/>
      <c r="M374" s="24"/>
      <c r="N374" s="24"/>
      <c r="O374" s="24"/>
      <c r="P374" s="24"/>
      <c r="Q374" s="25"/>
      <c r="R374" s="26"/>
      <c r="S374" s="21"/>
      <c r="T374" s="21"/>
      <c r="U374" s="21"/>
      <c r="V374" s="22"/>
    </row>
    <row r="375" spans="1:22" ht="15.75" thickBot="1" x14ac:dyDescent="0.3">
      <c r="A375" s="27"/>
      <c r="B375" s="28"/>
      <c r="C375" s="28"/>
      <c r="D375" s="28"/>
      <c r="E375" s="28"/>
      <c r="F375" s="29"/>
      <c r="G375" s="28"/>
      <c r="H375" s="28"/>
      <c r="I375" s="28"/>
      <c r="J375" s="28"/>
      <c r="K375" s="29"/>
      <c r="L375" s="28"/>
      <c r="M375" s="29"/>
      <c r="N375" s="28"/>
      <c r="O375" s="29"/>
      <c r="P375" s="28"/>
      <c r="Q375" s="29"/>
      <c r="R375" s="30"/>
      <c r="S375" s="30"/>
      <c r="T375" s="30"/>
      <c r="U375" s="30"/>
      <c r="V375" s="31"/>
    </row>
    <row r="376" spans="1:22" ht="15.75" thickBot="1" x14ac:dyDescent="0.3">
      <c r="A376" s="32"/>
      <c r="B376" s="32"/>
      <c r="C376" s="32"/>
      <c r="D376" s="32"/>
      <c r="E376" s="32"/>
      <c r="F376" s="33"/>
      <c r="G376" s="32"/>
      <c r="H376" s="32"/>
      <c r="I376" s="32"/>
      <c r="J376" s="32"/>
      <c r="K376" s="33"/>
      <c r="L376" s="32"/>
      <c r="M376" s="33"/>
      <c r="N376" s="32"/>
      <c r="O376" s="33"/>
      <c r="P376" s="32"/>
      <c r="Q376" s="33"/>
      <c r="R376" s="32"/>
      <c r="S376" s="32"/>
      <c r="T376" s="32"/>
      <c r="U376" s="32"/>
      <c r="V376" s="34"/>
    </row>
    <row r="377" spans="1:22" ht="36" thickBot="1" x14ac:dyDescent="0.3">
      <c r="A377" s="32"/>
      <c r="B377" s="58" t="str">
        <f>IF(Q377&gt;1,"Считыватель вх",IF(F377&lt;1,"","Считыватель вых"))</f>
        <v>Считыватель вых</v>
      </c>
      <c r="C377" s="59"/>
      <c r="D377" s="60"/>
      <c r="E377" s="60"/>
      <c r="F377" s="61">
        <v>4</v>
      </c>
      <c r="G377" s="61"/>
      <c r="H377" s="62"/>
      <c r="I377" s="63"/>
      <c r="J377" s="35"/>
      <c r="K377" s="36"/>
      <c r="L377" s="37"/>
      <c r="M377" s="37" t="s">
        <v>10</v>
      </c>
      <c r="N377" s="38"/>
      <c r="O377" s="36"/>
      <c r="P377" s="38"/>
      <c r="Q377" s="39"/>
      <c r="R377" s="64" t="s">
        <v>11</v>
      </c>
      <c r="S377" s="65"/>
      <c r="T377" s="65"/>
      <c r="U377" s="65"/>
      <c r="V377" s="65"/>
    </row>
    <row r="378" spans="1:22" x14ac:dyDescent="0.25">
      <c r="A378" s="32"/>
      <c r="B378" s="48">
        <f>IF(B377="Считыватель вых",B359,IF(B377="Считыватель вх",J378,""))</f>
        <v>0</v>
      </c>
      <c r="C378" s="49"/>
      <c r="D378" s="49"/>
      <c r="E378" s="49"/>
      <c r="F378" s="49"/>
      <c r="G378" s="49"/>
      <c r="H378" s="49"/>
      <c r="I378" s="49"/>
      <c r="J378" s="50" t="s">
        <v>14</v>
      </c>
      <c r="K378" s="49"/>
      <c r="L378" s="49"/>
      <c r="M378" s="49"/>
      <c r="N378" s="49"/>
      <c r="O378" s="49"/>
      <c r="P378" s="49"/>
      <c r="Q378" s="49"/>
      <c r="R378" s="51" t="s">
        <v>12</v>
      </c>
      <c r="S378" s="51"/>
      <c r="T378" s="51"/>
      <c r="U378" s="51"/>
      <c r="V378" s="51"/>
    </row>
    <row r="380" spans="1:22" x14ac:dyDescent="0.25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x14ac:dyDescent="0.25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8.75" x14ac:dyDescent="0.3">
      <c r="E382" s="3" t="s">
        <v>0</v>
      </c>
      <c r="G382" s="4"/>
      <c r="H382" s="4"/>
      <c r="I382" s="4"/>
      <c r="J382" s="4"/>
      <c r="K382" s="4"/>
      <c r="L382" s="4"/>
      <c r="M382" s="41" t="s">
        <v>1</v>
      </c>
      <c r="N382" s="5"/>
    </row>
    <row r="383" spans="1:22" ht="18.75" x14ac:dyDescent="0.3">
      <c r="E383" s="3" t="s">
        <v>2</v>
      </c>
      <c r="J383" s="6"/>
      <c r="K383" s="6"/>
      <c r="L383" s="6"/>
      <c r="M383" s="41" t="s">
        <v>3</v>
      </c>
      <c r="N383" s="7"/>
    </row>
    <row r="384" spans="1:22" ht="18.75" x14ac:dyDescent="0.3">
      <c r="E384" t="s">
        <v>4</v>
      </c>
      <c r="H384" s="4"/>
      <c r="I384" s="4"/>
      <c r="J384" s="4"/>
      <c r="K384" s="4"/>
      <c r="L384" s="4"/>
      <c r="M384" s="42" t="s">
        <v>3</v>
      </c>
      <c r="N384" s="9"/>
    </row>
    <row r="385" spans="1:22" ht="18.75" x14ac:dyDescent="0.3">
      <c r="E385" t="s">
        <v>5</v>
      </c>
      <c r="L385" s="6"/>
      <c r="M385" s="42" t="s">
        <v>6</v>
      </c>
      <c r="N385" s="9"/>
      <c r="O385" s="9"/>
    </row>
    <row r="386" spans="1:22" ht="18.75" x14ac:dyDescent="0.3">
      <c r="E386" s="10" t="s">
        <v>7</v>
      </c>
      <c r="I386" s="4"/>
      <c r="J386" s="4"/>
      <c r="K386" s="4"/>
      <c r="L386" s="4"/>
      <c r="M386" s="42" t="s">
        <v>3</v>
      </c>
      <c r="N386" s="9"/>
    </row>
    <row r="387" spans="1:22" ht="15.75" thickBot="1" x14ac:dyDescent="0.3">
      <c r="E387" s="43" t="s">
        <v>8</v>
      </c>
      <c r="F387" s="43"/>
      <c r="G387" s="43"/>
      <c r="H387" s="43"/>
      <c r="I387" s="11"/>
      <c r="J387" s="11"/>
      <c r="K387" s="11"/>
      <c r="L387" s="11"/>
      <c r="M387" s="32" t="s">
        <v>3</v>
      </c>
      <c r="N387" s="40"/>
      <c r="O387" s="40"/>
    </row>
    <row r="388" spans="1:22" x14ac:dyDescent="0.25">
      <c r="A388" s="12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4"/>
    </row>
    <row r="389" spans="1:22" x14ac:dyDescent="0.25">
      <c r="A389" s="15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17"/>
    </row>
    <row r="390" spans="1:22" x14ac:dyDescent="0.25">
      <c r="A390" s="18"/>
      <c r="B390" s="56" t="s">
        <v>9</v>
      </c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2"/>
      <c r="V390" s="19"/>
    </row>
    <row r="391" spans="1:22" ht="15.75" thickBot="1" x14ac:dyDescent="0.3">
      <c r="A391" s="20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19"/>
    </row>
    <row r="392" spans="1:22" x14ac:dyDescent="0.25">
      <c r="A392" s="20"/>
      <c r="B392" s="45">
        <v>0</v>
      </c>
      <c r="C392" s="46"/>
      <c r="D392" s="46">
        <v>1</v>
      </c>
      <c r="E392" s="46">
        <v>1</v>
      </c>
      <c r="F392" s="46">
        <v>2</v>
      </c>
      <c r="G392" s="46">
        <v>2</v>
      </c>
      <c r="H392" s="46">
        <v>3</v>
      </c>
      <c r="I392" s="47">
        <v>3</v>
      </c>
      <c r="J392" s="45">
        <v>4</v>
      </c>
      <c r="K392" s="46">
        <v>4</v>
      </c>
      <c r="L392" s="46">
        <v>5</v>
      </c>
      <c r="M392" s="46"/>
      <c r="N392" s="46">
        <v>6</v>
      </c>
      <c r="O392" s="46">
        <v>1</v>
      </c>
      <c r="P392" s="46">
        <v>7</v>
      </c>
      <c r="Q392" s="47">
        <v>2</v>
      </c>
      <c r="R392" s="52">
        <v>8</v>
      </c>
      <c r="S392" s="53">
        <v>3</v>
      </c>
      <c r="T392" s="53">
        <v>9</v>
      </c>
      <c r="U392" s="53">
        <v>4</v>
      </c>
      <c r="V392" s="22"/>
    </row>
    <row r="393" spans="1:22" ht="15.75" thickBot="1" x14ac:dyDescent="0.3">
      <c r="A393" s="20"/>
      <c r="B393" s="23"/>
      <c r="C393" s="24"/>
      <c r="D393" s="24"/>
      <c r="E393" s="24"/>
      <c r="F393" s="24"/>
      <c r="G393" s="24"/>
      <c r="H393" s="24"/>
      <c r="I393" s="25"/>
      <c r="J393" s="23"/>
      <c r="K393" s="24"/>
      <c r="L393" s="24"/>
      <c r="M393" s="24"/>
      <c r="N393" s="24"/>
      <c r="O393" s="24"/>
      <c r="P393" s="24"/>
      <c r="Q393" s="25"/>
      <c r="R393" s="26"/>
      <c r="S393" s="21"/>
      <c r="T393" s="21"/>
      <c r="U393" s="21"/>
      <c r="V393" s="22"/>
    </row>
    <row r="394" spans="1:22" ht="15.75" thickBot="1" x14ac:dyDescent="0.3">
      <c r="A394" s="27"/>
      <c r="B394" s="28"/>
      <c r="C394" s="28"/>
      <c r="D394" s="28"/>
      <c r="E394" s="28"/>
      <c r="F394" s="29"/>
      <c r="G394" s="28"/>
      <c r="H394" s="28"/>
      <c r="I394" s="28"/>
      <c r="J394" s="28"/>
      <c r="K394" s="29"/>
      <c r="L394" s="28"/>
      <c r="M394" s="29"/>
      <c r="N394" s="28"/>
      <c r="O394" s="29"/>
      <c r="P394" s="28"/>
      <c r="Q394" s="29"/>
      <c r="R394" s="30"/>
      <c r="S394" s="30"/>
      <c r="T394" s="30"/>
      <c r="U394" s="30"/>
      <c r="V394" s="31"/>
    </row>
    <row r="395" spans="1:22" ht="15.75" thickBot="1" x14ac:dyDescent="0.3">
      <c r="A395" s="32"/>
      <c r="B395" s="32"/>
      <c r="C395" s="32"/>
      <c r="D395" s="32"/>
      <c r="E395" s="32"/>
      <c r="F395" s="33"/>
      <c r="G395" s="32"/>
      <c r="H395" s="32"/>
      <c r="I395" s="32"/>
      <c r="J395" s="32"/>
      <c r="K395" s="33"/>
      <c r="L395" s="32"/>
      <c r="M395" s="33"/>
      <c r="N395" s="32"/>
      <c r="O395" s="33"/>
      <c r="P395" s="32"/>
      <c r="Q395" s="33"/>
      <c r="R395" s="32"/>
      <c r="S395" s="32"/>
      <c r="T395" s="32"/>
      <c r="U395" s="32"/>
      <c r="V395" s="34"/>
    </row>
    <row r="396" spans="1:22" ht="36" thickBot="1" x14ac:dyDescent="0.3">
      <c r="A396" s="32"/>
      <c r="B396" s="58" t="str">
        <f>IF(Q396&gt;1,"Считыватель вх",IF(F396&lt;1,"","Считыватель вх"))</f>
        <v>Считыватель вх</v>
      </c>
      <c r="C396" s="59"/>
      <c r="D396" s="60"/>
      <c r="E396" s="60"/>
      <c r="F396" s="61">
        <v>1</v>
      </c>
      <c r="G396" s="61"/>
      <c r="H396" s="62"/>
      <c r="I396" s="63"/>
      <c r="J396" s="35"/>
      <c r="K396" s="36"/>
      <c r="L396" s="37"/>
      <c r="M396" s="37" t="s">
        <v>10</v>
      </c>
      <c r="N396" s="38"/>
      <c r="O396" s="36"/>
      <c r="P396" s="38"/>
      <c r="Q396" s="39"/>
      <c r="R396" s="64" t="s">
        <v>11</v>
      </c>
      <c r="S396" s="65"/>
      <c r="T396" s="65"/>
      <c r="U396" s="65"/>
      <c r="V396" s="65"/>
    </row>
    <row r="397" spans="1:22" x14ac:dyDescent="0.25">
      <c r="A397" s="32"/>
      <c r="B397" s="50"/>
      <c r="C397" s="66"/>
      <c r="D397" s="66"/>
      <c r="E397" s="66"/>
      <c r="F397" s="66"/>
      <c r="G397" s="66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51" t="s">
        <v>12</v>
      </c>
      <c r="S397" s="51"/>
      <c r="T397" s="51"/>
      <c r="U397" s="51"/>
      <c r="V397" s="51"/>
    </row>
    <row r="399" spans="1:22" x14ac:dyDescent="0.25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x14ac:dyDescent="0.25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8.75" x14ac:dyDescent="0.3">
      <c r="E401" s="3" t="s">
        <v>0</v>
      </c>
      <c r="G401" s="4"/>
      <c r="H401" s="4"/>
      <c r="I401" s="4"/>
      <c r="J401" s="4"/>
      <c r="K401" s="4"/>
      <c r="L401" s="4"/>
      <c r="M401" s="41" t="s">
        <v>1</v>
      </c>
      <c r="N401" s="5"/>
    </row>
    <row r="402" spans="1:22" ht="18.75" x14ac:dyDescent="0.3">
      <c r="E402" s="3" t="s">
        <v>2</v>
      </c>
      <c r="J402" s="6"/>
      <c r="K402" s="6"/>
      <c r="L402" s="6"/>
      <c r="M402" s="41" t="s">
        <v>3</v>
      </c>
      <c r="N402" s="7"/>
    </row>
    <row r="403" spans="1:22" ht="18.75" x14ac:dyDescent="0.3">
      <c r="E403" t="s">
        <v>4</v>
      </c>
      <c r="H403" s="4"/>
      <c r="I403" s="4"/>
      <c r="J403" s="4"/>
      <c r="K403" s="4"/>
      <c r="L403" s="4"/>
      <c r="M403" s="42" t="s">
        <v>3</v>
      </c>
      <c r="N403" s="9"/>
    </row>
    <row r="404" spans="1:22" ht="18.75" x14ac:dyDescent="0.3">
      <c r="E404" t="s">
        <v>5</v>
      </c>
      <c r="L404" s="6"/>
      <c r="M404" s="42" t="s">
        <v>6</v>
      </c>
      <c r="N404" s="54"/>
      <c r="O404" s="54"/>
    </row>
    <row r="405" spans="1:22" ht="18.75" x14ac:dyDescent="0.3">
      <c r="E405" s="10" t="s">
        <v>7</v>
      </c>
      <c r="I405" s="4"/>
      <c r="J405" s="4"/>
      <c r="K405" s="4"/>
      <c r="L405" s="4"/>
      <c r="M405" s="42" t="s">
        <v>3</v>
      </c>
      <c r="N405" s="9"/>
    </row>
    <row r="406" spans="1:22" ht="15.75" thickBot="1" x14ac:dyDescent="0.3">
      <c r="E406" s="43" t="s">
        <v>8</v>
      </c>
      <c r="F406" s="43"/>
      <c r="G406" s="43"/>
      <c r="H406" s="43"/>
      <c r="I406" s="11"/>
      <c r="J406" s="11"/>
      <c r="K406" s="11"/>
      <c r="L406" s="11"/>
      <c r="M406" s="32" t="s">
        <v>3</v>
      </c>
      <c r="N406" s="55"/>
      <c r="O406" s="55"/>
    </row>
    <row r="407" spans="1:22" x14ac:dyDescent="0.25">
      <c r="A407" s="12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4"/>
    </row>
    <row r="408" spans="1:22" x14ac:dyDescent="0.25">
      <c r="A408" s="15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17"/>
    </row>
    <row r="409" spans="1:22" x14ac:dyDescent="0.25">
      <c r="A409" s="18"/>
      <c r="B409" s="56" t="s">
        <v>13</v>
      </c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2"/>
      <c r="V409" s="19"/>
    </row>
    <row r="410" spans="1:22" ht="15.75" thickBot="1" x14ac:dyDescent="0.3">
      <c r="A410" s="20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19"/>
    </row>
    <row r="411" spans="1:22" x14ac:dyDescent="0.25">
      <c r="A411" s="20"/>
      <c r="B411" s="45">
        <v>0</v>
      </c>
      <c r="C411" s="46"/>
      <c r="D411" s="46">
        <v>1</v>
      </c>
      <c r="E411" s="46">
        <v>1</v>
      </c>
      <c r="F411" s="46">
        <v>2</v>
      </c>
      <c r="G411" s="46">
        <v>2</v>
      </c>
      <c r="H411" s="46">
        <v>3</v>
      </c>
      <c r="I411" s="47">
        <v>3</v>
      </c>
      <c r="J411" s="45">
        <v>4</v>
      </c>
      <c r="K411" s="46">
        <v>4</v>
      </c>
      <c r="L411" s="46">
        <v>5</v>
      </c>
      <c r="M411" s="46"/>
      <c r="N411" s="46">
        <v>6</v>
      </c>
      <c r="O411" s="46">
        <v>1</v>
      </c>
      <c r="P411" s="46">
        <v>7</v>
      </c>
      <c r="Q411" s="47">
        <v>2</v>
      </c>
      <c r="R411" s="52">
        <v>8</v>
      </c>
      <c r="S411" s="53">
        <v>3</v>
      </c>
      <c r="T411" s="53">
        <v>9</v>
      </c>
      <c r="U411" s="53">
        <v>4</v>
      </c>
      <c r="V411" s="22"/>
    </row>
    <row r="412" spans="1:22" ht="15.75" thickBot="1" x14ac:dyDescent="0.3">
      <c r="A412" s="20"/>
      <c r="B412" s="23"/>
      <c r="C412" s="24"/>
      <c r="D412" s="24"/>
      <c r="E412" s="24"/>
      <c r="F412" s="24"/>
      <c r="G412" s="24"/>
      <c r="H412" s="24"/>
      <c r="I412" s="25"/>
      <c r="J412" s="23"/>
      <c r="K412" s="24"/>
      <c r="L412" s="24"/>
      <c r="M412" s="24"/>
      <c r="N412" s="24"/>
      <c r="O412" s="24"/>
      <c r="P412" s="24"/>
      <c r="Q412" s="25"/>
      <c r="R412" s="26"/>
      <c r="S412" s="21"/>
      <c r="T412" s="21"/>
      <c r="U412" s="21"/>
      <c r="V412" s="22"/>
    </row>
    <row r="413" spans="1:22" ht="15.75" thickBot="1" x14ac:dyDescent="0.3">
      <c r="A413" s="27"/>
      <c r="B413" s="28"/>
      <c r="C413" s="28"/>
      <c r="D413" s="28"/>
      <c r="E413" s="28"/>
      <c r="F413" s="29"/>
      <c r="G413" s="28"/>
      <c r="H413" s="28"/>
      <c r="I413" s="28"/>
      <c r="J413" s="28"/>
      <c r="K413" s="29"/>
      <c r="L413" s="28"/>
      <c r="M413" s="29"/>
      <c r="N413" s="28"/>
      <c r="O413" s="29"/>
      <c r="P413" s="28"/>
      <c r="Q413" s="29"/>
      <c r="R413" s="30"/>
      <c r="S413" s="30"/>
      <c r="T413" s="30"/>
      <c r="U413" s="30"/>
      <c r="V413" s="31"/>
    </row>
    <row r="414" spans="1:22" ht="15.75" thickBot="1" x14ac:dyDescent="0.3">
      <c r="A414" s="32"/>
      <c r="B414" s="32"/>
      <c r="C414" s="32"/>
      <c r="D414" s="32"/>
      <c r="E414" s="32"/>
      <c r="F414" s="33"/>
      <c r="G414" s="32"/>
      <c r="H414" s="32"/>
      <c r="I414" s="32"/>
      <c r="J414" s="32"/>
      <c r="K414" s="33"/>
      <c r="L414" s="32"/>
      <c r="M414" s="33"/>
      <c r="N414" s="32"/>
      <c r="O414" s="33"/>
      <c r="P414" s="32"/>
      <c r="Q414" s="33"/>
      <c r="R414" s="32"/>
      <c r="S414" s="32"/>
      <c r="T414" s="32"/>
      <c r="U414" s="32"/>
      <c r="V414" s="34"/>
    </row>
    <row r="415" spans="1:22" ht="36" thickBot="1" x14ac:dyDescent="0.3">
      <c r="A415" s="32"/>
      <c r="B415" s="58" t="str">
        <f>IF(Q415&gt;1,"Считыватель вх",IF(F415&lt;1,"","Считыватель вых"))</f>
        <v>Считыватель вых</v>
      </c>
      <c r="C415" s="59"/>
      <c r="D415" s="60"/>
      <c r="E415" s="60"/>
      <c r="F415" s="61">
        <v>4</v>
      </c>
      <c r="G415" s="61"/>
      <c r="H415" s="62"/>
      <c r="I415" s="63"/>
      <c r="J415" s="35"/>
      <c r="K415" s="36"/>
      <c r="L415" s="37"/>
      <c r="M415" s="37" t="s">
        <v>10</v>
      </c>
      <c r="N415" s="38"/>
      <c r="O415" s="36"/>
      <c r="P415" s="38"/>
      <c r="Q415" s="39"/>
      <c r="R415" s="64" t="s">
        <v>11</v>
      </c>
      <c r="S415" s="65"/>
      <c r="T415" s="65"/>
      <c r="U415" s="65"/>
      <c r="V415" s="65"/>
    </row>
    <row r="416" spans="1:22" x14ac:dyDescent="0.25">
      <c r="A416" s="32"/>
      <c r="B416" s="48">
        <f>IF(B415="Считыватель вых",B397,IF(B415="Считыватель вх",J416,""))</f>
        <v>0</v>
      </c>
      <c r="C416" s="49"/>
      <c r="D416" s="49"/>
      <c r="E416" s="49"/>
      <c r="F416" s="49"/>
      <c r="G416" s="49"/>
      <c r="H416" s="49"/>
      <c r="I416" s="49"/>
      <c r="J416" s="50" t="s">
        <v>14</v>
      </c>
      <c r="K416" s="49"/>
      <c r="L416" s="49"/>
      <c r="M416" s="49"/>
      <c r="N416" s="49"/>
      <c r="O416" s="49"/>
      <c r="P416" s="49"/>
      <c r="Q416" s="49"/>
      <c r="R416" s="51" t="s">
        <v>12</v>
      </c>
      <c r="S416" s="51"/>
      <c r="T416" s="51"/>
      <c r="U416" s="51"/>
      <c r="V416" s="51"/>
    </row>
    <row r="418" spans="1:22" x14ac:dyDescent="0.25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x14ac:dyDescent="0.25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8.75" x14ac:dyDescent="0.3">
      <c r="E420" s="3" t="s">
        <v>0</v>
      </c>
      <c r="G420" s="4"/>
      <c r="H420" s="4"/>
      <c r="I420" s="4"/>
      <c r="J420" s="4"/>
      <c r="K420" s="4"/>
      <c r="L420" s="4"/>
      <c r="M420" s="41" t="s">
        <v>1</v>
      </c>
      <c r="N420" s="5"/>
    </row>
    <row r="421" spans="1:22" ht="18.75" x14ac:dyDescent="0.3">
      <c r="E421" s="3" t="s">
        <v>2</v>
      </c>
      <c r="J421" s="6"/>
      <c r="K421" s="6"/>
      <c r="L421" s="6"/>
      <c r="M421" s="41" t="s">
        <v>3</v>
      </c>
      <c r="N421" s="7"/>
    </row>
    <row r="422" spans="1:22" ht="18.75" x14ac:dyDescent="0.3">
      <c r="E422" t="s">
        <v>4</v>
      </c>
      <c r="H422" s="4"/>
      <c r="I422" s="4"/>
      <c r="J422" s="4"/>
      <c r="K422" s="4"/>
      <c r="L422" s="4"/>
      <c r="M422" s="42" t="s">
        <v>3</v>
      </c>
      <c r="N422" s="9"/>
    </row>
    <row r="423" spans="1:22" ht="18.75" x14ac:dyDescent="0.3">
      <c r="E423" t="s">
        <v>5</v>
      </c>
      <c r="L423" s="6"/>
      <c r="M423" s="42" t="s">
        <v>6</v>
      </c>
      <c r="N423" s="9"/>
      <c r="O423" s="9"/>
    </row>
    <row r="424" spans="1:22" ht="18.75" x14ac:dyDescent="0.3">
      <c r="E424" s="10" t="s">
        <v>7</v>
      </c>
      <c r="I424" s="4"/>
      <c r="J424" s="4"/>
      <c r="K424" s="4"/>
      <c r="L424" s="4"/>
      <c r="M424" s="42" t="s">
        <v>3</v>
      </c>
      <c r="N424" s="9"/>
    </row>
    <row r="425" spans="1:22" ht="15.75" thickBot="1" x14ac:dyDescent="0.3">
      <c r="E425" s="43" t="s">
        <v>8</v>
      </c>
      <c r="F425" s="43"/>
      <c r="G425" s="43"/>
      <c r="H425" s="43"/>
      <c r="I425" s="11"/>
      <c r="J425" s="11"/>
      <c r="K425" s="11"/>
      <c r="L425" s="11"/>
      <c r="M425" s="32" t="s">
        <v>3</v>
      </c>
      <c r="N425" s="40"/>
      <c r="O425" s="40"/>
    </row>
    <row r="426" spans="1:22" x14ac:dyDescent="0.25">
      <c r="A426" s="12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4"/>
    </row>
    <row r="427" spans="1:22" x14ac:dyDescent="0.25">
      <c r="A427" s="15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17"/>
    </row>
    <row r="428" spans="1:22" x14ac:dyDescent="0.25">
      <c r="A428" s="18"/>
      <c r="B428" s="56" t="s">
        <v>9</v>
      </c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2"/>
      <c r="V428" s="19"/>
    </row>
    <row r="429" spans="1:22" ht="15.75" thickBot="1" x14ac:dyDescent="0.3">
      <c r="A429" s="20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19"/>
    </row>
    <row r="430" spans="1:22" x14ac:dyDescent="0.25">
      <c r="A430" s="20"/>
      <c r="B430" s="45">
        <v>0</v>
      </c>
      <c r="C430" s="46"/>
      <c r="D430" s="46">
        <v>1</v>
      </c>
      <c r="E430" s="46">
        <v>1</v>
      </c>
      <c r="F430" s="46">
        <v>2</v>
      </c>
      <c r="G430" s="46">
        <v>2</v>
      </c>
      <c r="H430" s="46">
        <v>3</v>
      </c>
      <c r="I430" s="47">
        <v>3</v>
      </c>
      <c r="J430" s="45">
        <v>4</v>
      </c>
      <c r="K430" s="46">
        <v>4</v>
      </c>
      <c r="L430" s="46">
        <v>5</v>
      </c>
      <c r="M430" s="46"/>
      <c r="N430" s="46">
        <v>6</v>
      </c>
      <c r="O430" s="46">
        <v>1</v>
      </c>
      <c r="P430" s="46">
        <v>7</v>
      </c>
      <c r="Q430" s="47">
        <v>2</v>
      </c>
      <c r="R430" s="52">
        <v>8</v>
      </c>
      <c r="S430" s="53">
        <v>3</v>
      </c>
      <c r="T430" s="53">
        <v>9</v>
      </c>
      <c r="U430" s="53">
        <v>4</v>
      </c>
      <c r="V430" s="22"/>
    </row>
    <row r="431" spans="1:22" ht="15.75" thickBot="1" x14ac:dyDescent="0.3">
      <c r="A431" s="20"/>
      <c r="B431" s="23"/>
      <c r="C431" s="24"/>
      <c r="D431" s="24"/>
      <c r="E431" s="24"/>
      <c r="F431" s="24"/>
      <c r="G431" s="24"/>
      <c r="H431" s="24"/>
      <c r="I431" s="25"/>
      <c r="J431" s="23"/>
      <c r="K431" s="24"/>
      <c r="L431" s="24"/>
      <c r="M431" s="24"/>
      <c r="N431" s="24"/>
      <c r="O431" s="24"/>
      <c r="P431" s="24"/>
      <c r="Q431" s="25"/>
      <c r="R431" s="26"/>
      <c r="S431" s="21"/>
      <c r="T431" s="21"/>
      <c r="U431" s="21"/>
      <c r="V431" s="22"/>
    </row>
    <row r="432" spans="1:22" ht="15.75" thickBot="1" x14ac:dyDescent="0.3">
      <c r="A432" s="27"/>
      <c r="B432" s="28"/>
      <c r="C432" s="28"/>
      <c r="D432" s="28"/>
      <c r="E432" s="28"/>
      <c r="F432" s="29"/>
      <c r="G432" s="28"/>
      <c r="H432" s="28"/>
      <c r="I432" s="28"/>
      <c r="J432" s="28"/>
      <c r="K432" s="29"/>
      <c r="L432" s="28"/>
      <c r="M432" s="29"/>
      <c r="N432" s="28"/>
      <c r="O432" s="29"/>
      <c r="P432" s="28"/>
      <c r="Q432" s="29"/>
      <c r="R432" s="30"/>
      <c r="S432" s="30"/>
      <c r="T432" s="30"/>
      <c r="U432" s="30"/>
      <c r="V432" s="31"/>
    </row>
    <row r="433" spans="1:22" ht="15.75" thickBot="1" x14ac:dyDescent="0.3">
      <c r="A433" s="32"/>
      <c r="B433" s="32"/>
      <c r="C433" s="32"/>
      <c r="D433" s="32"/>
      <c r="E433" s="32"/>
      <c r="F433" s="33"/>
      <c r="G433" s="32"/>
      <c r="H433" s="32"/>
      <c r="I433" s="32"/>
      <c r="J433" s="32"/>
      <c r="K433" s="33"/>
      <c r="L433" s="32"/>
      <c r="M433" s="33"/>
      <c r="N433" s="32"/>
      <c r="O433" s="33"/>
      <c r="P433" s="32"/>
      <c r="Q433" s="33"/>
      <c r="R433" s="32"/>
      <c r="S433" s="32"/>
      <c r="T433" s="32"/>
      <c r="U433" s="32"/>
      <c r="V433" s="34"/>
    </row>
    <row r="434" spans="1:22" ht="36" thickBot="1" x14ac:dyDescent="0.3">
      <c r="A434" s="32"/>
      <c r="B434" s="58" t="str">
        <f>IF(Q434&gt;1,"Считыватель вх",IF(F434&lt;1,"","Считыватель вх"))</f>
        <v>Считыватель вх</v>
      </c>
      <c r="C434" s="59"/>
      <c r="D434" s="60"/>
      <c r="E434" s="60"/>
      <c r="F434" s="61">
        <v>1</v>
      </c>
      <c r="G434" s="61"/>
      <c r="H434" s="62"/>
      <c r="I434" s="63"/>
      <c r="J434" s="35"/>
      <c r="K434" s="36"/>
      <c r="L434" s="37"/>
      <c r="M434" s="37" t="s">
        <v>10</v>
      </c>
      <c r="N434" s="38"/>
      <c r="O434" s="36"/>
      <c r="P434" s="38"/>
      <c r="Q434" s="39"/>
      <c r="R434" s="64" t="s">
        <v>11</v>
      </c>
      <c r="S434" s="65"/>
      <c r="T434" s="65"/>
      <c r="U434" s="65"/>
      <c r="V434" s="65"/>
    </row>
    <row r="435" spans="1:22" x14ac:dyDescent="0.25">
      <c r="A435" s="32"/>
      <c r="B435" s="50"/>
      <c r="C435" s="66"/>
      <c r="D435" s="66"/>
      <c r="E435" s="66"/>
      <c r="F435" s="66"/>
      <c r="G435" s="66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51" t="s">
        <v>12</v>
      </c>
      <c r="S435" s="51"/>
      <c r="T435" s="51"/>
      <c r="U435" s="51"/>
      <c r="V435" s="51"/>
    </row>
    <row r="437" spans="1:22" x14ac:dyDescent="0.25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x14ac:dyDescent="0.25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8.75" x14ac:dyDescent="0.3">
      <c r="E439" s="3" t="s">
        <v>0</v>
      </c>
      <c r="G439" s="4"/>
      <c r="H439" s="4"/>
      <c r="I439" s="4"/>
      <c r="J439" s="4"/>
      <c r="K439" s="4"/>
      <c r="L439" s="4"/>
      <c r="M439" s="41" t="s">
        <v>1</v>
      </c>
      <c r="N439" s="5"/>
    </row>
    <row r="440" spans="1:22" ht="18.75" x14ac:dyDescent="0.3">
      <c r="E440" s="3" t="s">
        <v>2</v>
      </c>
      <c r="J440" s="6"/>
      <c r="K440" s="6"/>
      <c r="L440" s="6"/>
      <c r="M440" s="41" t="s">
        <v>3</v>
      </c>
      <c r="N440" s="7"/>
    </row>
    <row r="441" spans="1:22" ht="18.75" x14ac:dyDescent="0.3">
      <c r="E441" t="s">
        <v>4</v>
      </c>
      <c r="H441" s="4"/>
      <c r="I441" s="4"/>
      <c r="J441" s="4"/>
      <c r="K441" s="4"/>
      <c r="L441" s="4"/>
      <c r="M441" s="42" t="s">
        <v>3</v>
      </c>
      <c r="N441" s="9"/>
    </row>
    <row r="442" spans="1:22" ht="18.75" x14ac:dyDescent="0.3">
      <c r="E442" t="s">
        <v>5</v>
      </c>
      <c r="L442" s="6"/>
      <c r="M442" s="42" t="s">
        <v>6</v>
      </c>
      <c r="N442" s="54"/>
      <c r="O442" s="54"/>
    </row>
    <row r="443" spans="1:22" ht="18.75" x14ac:dyDescent="0.3">
      <c r="E443" s="10" t="s">
        <v>7</v>
      </c>
      <c r="I443" s="4"/>
      <c r="J443" s="4"/>
      <c r="K443" s="4"/>
      <c r="L443" s="4"/>
      <c r="M443" s="42" t="s">
        <v>3</v>
      </c>
      <c r="N443" s="9"/>
    </row>
    <row r="444" spans="1:22" ht="15.75" thickBot="1" x14ac:dyDescent="0.3">
      <c r="E444" s="43" t="s">
        <v>8</v>
      </c>
      <c r="F444" s="43"/>
      <c r="G444" s="43"/>
      <c r="H444" s="43"/>
      <c r="I444" s="11"/>
      <c r="J444" s="11"/>
      <c r="K444" s="11"/>
      <c r="L444" s="11"/>
      <c r="M444" s="32" t="s">
        <v>3</v>
      </c>
      <c r="N444" s="55"/>
      <c r="O444" s="55"/>
    </row>
    <row r="445" spans="1:22" x14ac:dyDescent="0.25">
      <c r="A445" s="12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4"/>
    </row>
    <row r="446" spans="1:22" x14ac:dyDescent="0.25">
      <c r="A446" s="15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17"/>
    </row>
    <row r="447" spans="1:22" x14ac:dyDescent="0.25">
      <c r="A447" s="18"/>
      <c r="B447" s="56" t="s">
        <v>13</v>
      </c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2"/>
      <c r="V447" s="19"/>
    </row>
    <row r="448" spans="1:22" ht="15.75" thickBot="1" x14ac:dyDescent="0.3">
      <c r="A448" s="20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19"/>
    </row>
    <row r="449" spans="1:22" x14ac:dyDescent="0.25">
      <c r="A449" s="20"/>
      <c r="B449" s="45">
        <v>0</v>
      </c>
      <c r="C449" s="46"/>
      <c r="D449" s="46">
        <v>1</v>
      </c>
      <c r="E449" s="46">
        <v>1</v>
      </c>
      <c r="F449" s="46">
        <v>2</v>
      </c>
      <c r="G449" s="46">
        <v>2</v>
      </c>
      <c r="H449" s="46">
        <v>3</v>
      </c>
      <c r="I449" s="47">
        <v>3</v>
      </c>
      <c r="J449" s="45">
        <v>4</v>
      </c>
      <c r="K449" s="46">
        <v>4</v>
      </c>
      <c r="L449" s="46">
        <v>5</v>
      </c>
      <c r="M449" s="46"/>
      <c r="N449" s="46">
        <v>6</v>
      </c>
      <c r="O449" s="46">
        <v>1</v>
      </c>
      <c r="P449" s="46">
        <v>7</v>
      </c>
      <c r="Q449" s="47">
        <v>2</v>
      </c>
      <c r="R449" s="52">
        <v>8</v>
      </c>
      <c r="S449" s="53">
        <v>3</v>
      </c>
      <c r="T449" s="53">
        <v>9</v>
      </c>
      <c r="U449" s="53">
        <v>4</v>
      </c>
      <c r="V449" s="22"/>
    </row>
    <row r="450" spans="1:22" ht="15.75" thickBot="1" x14ac:dyDescent="0.3">
      <c r="A450" s="20"/>
      <c r="B450" s="23"/>
      <c r="C450" s="24"/>
      <c r="D450" s="24"/>
      <c r="E450" s="24"/>
      <c r="F450" s="24"/>
      <c r="G450" s="24"/>
      <c r="H450" s="24"/>
      <c r="I450" s="25"/>
      <c r="J450" s="23"/>
      <c r="K450" s="24"/>
      <c r="L450" s="24"/>
      <c r="M450" s="24"/>
      <c r="N450" s="24"/>
      <c r="O450" s="24"/>
      <c r="P450" s="24"/>
      <c r="Q450" s="25"/>
      <c r="R450" s="26"/>
      <c r="S450" s="21"/>
      <c r="T450" s="21"/>
      <c r="U450" s="21"/>
      <c r="V450" s="22"/>
    </row>
    <row r="451" spans="1:22" ht="15.75" thickBot="1" x14ac:dyDescent="0.3">
      <c r="A451" s="27"/>
      <c r="B451" s="28"/>
      <c r="C451" s="28"/>
      <c r="D451" s="28"/>
      <c r="E451" s="28"/>
      <c r="F451" s="29"/>
      <c r="G451" s="28"/>
      <c r="H451" s="28"/>
      <c r="I451" s="28"/>
      <c r="J451" s="28"/>
      <c r="K451" s="29"/>
      <c r="L451" s="28"/>
      <c r="M451" s="29"/>
      <c r="N451" s="28"/>
      <c r="O451" s="29"/>
      <c r="P451" s="28"/>
      <c r="Q451" s="29"/>
      <c r="R451" s="30"/>
      <c r="S451" s="30"/>
      <c r="T451" s="30"/>
      <c r="U451" s="30"/>
      <c r="V451" s="31"/>
    </row>
    <row r="452" spans="1:22" ht="15.75" thickBot="1" x14ac:dyDescent="0.3">
      <c r="A452" s="32"/>
      <c r="B452" s="32"/>
      <c r="C452" s="32"/>
      <c r="D452" s="32"/>
      <c r="E452" s="32"/>
      <c r="F452" s="33"/>
      <c r="G452" s="32"/>
      <c r="H452" s="32"/>
      <c r="I452" s="32"/>
      <c r="J452" s="32"/>
      <c r="K452" s="33"/>
      <c r="L452" s="32"/>
      <c r="M452" s="33"/>
      <c r="N452" s="32"/>
      <c r="O452" s="33"/>
      <c r="P452" s="32"/>
      <c r="Q452" s="33"/>
      <c r="R452" s="32"/>
      <c r="S452" s="32"/>
      <c r="T452" s="32"/>
      <c r="U452" s="32"/>
      <c r="V452" s="34"/>
    </row>
    <row r="453" spans="1:22" ht="36" thickBot="1" x14ac:dyDescent="0.3">
      <c r="A453" s="32"/>
      <c r="B453" s="58" t="str">
        <f>IF(Q453&gt;1,"Считыватель вх",IF(F453&lt;1,"","Считыватель вых"))</f>
        <v>Считыватель вых</v>
      </c>
      <c r="C453" s="59"/>
      <c r="D453" s="60"/>
      <c r="E453" s="60"/>
      <c r="F453" s="61">
        <v>4</v>
      </c>
      <c r="G453" s="61"/>
      <c r="H453" s="62"/>
      <c r="I453" s="63"/>
      <c r="J453" s="35"/>
      <c r="K453" s="36"/>
      <c r="L453" s="37"/>
      <c r="M453" s="37" t="s">
        <v>10</v>
      </c>
      <c r="N453" s="38"/>
      <c r="O453" s="36"/>
      <c r="P453" s="38"/>
      <c r="Q453" s="39"/>
      <c r="R453" s="64" t="s">
        <v>11</v>
      </c>
      <c r="S453" s="65"/>
      <c r="T453" s="65"/>
      <c r="U453" s="65"/>
      <c r="V453" s="65"/>
    </row>
    <row r="454" spans="1:22" x14ac:dyDescent="0.25">
      <c r="A454" s="32"/>
      <c r="B454" s="48">
        <f>IF(B453="Считыватель вых",B435,IF(B453="Считыватель вх",J454,""))</f>
        <v>0</v>
      </c>
      <c r="C454" s="49"/>
      <c r="D454" s="49"/>
      <c r="E454" s="49"/>
      <c r="F454" s="49"/>
      <c r="G454" s="49"/>
      <c r="H454" s="49"/>
      <c r="I454" s="49"/>
      <c r="J454" s="50" t="s">
        <v>14</v>
      </c>
      <c r="K454" s="49"/>
      <c r="L454" s="49"/>
      <c r="M454" s="49"/>
      <c r="N454" s="49"/>
      <c r="O454" s="49"/>
      <c r="P454" s="49"/>
      <c r="Q454" s="49"/>
      <c r="R454" s="51" t="s">
        <v>12</v>
      </c>
      <c r="S454" s="51"/>
      <c r="T454" s="51"/>
      <c r="U454" s="51"/>
      <c r="V454" s="51"/>
    </row>
    <row r="456" spans="1:22" x14ac:dyDescent="0.25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x14ac:dyDescent="0.25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8.75" x14ac:dyDescent="0.3">
      <c r="E458" s="3" t="s">
        <v>0</v>
      </c>
      <c r="G458" s="4"/>
      <c r="H458" s="4"/>
      <c r="I458" s="4"/>
      <c r="J458" s="4"/>
      <c r="K458" s="4"/>
      <c r="L458" s="4"/>
      <c r="M458" s="41" t="s">
        <v>1</v>
      </c>
      <c r="N458" s="5"/>
    </row>
    <row r="459" spans="1:22" ht="18.75" x14ac:dyDescent="0.3">
      <c r="E459" s="3" t="s">
        <v>2</v>
      </c>
      <c r="J459" s="6"/>
      <c r="K459" s="6"/>
      <c r="L459" s="6"/>
      <c r="M459" s="41" t="s">
        <v>3</v>
      </c>
      <c r="N459" s="7"/>
    </row>
    <row r="460" spans="1:22" ht="18.75" x14ac:dyDescent="0.3">
      <c r="E460" t="s">
        <v>4</v>
      </c>
      <c r="H460" s="4"/>
      <c r="I460" s="4"/>
      <c r="J460" s="4"/>
      <c r="K460" s="4"/>
      <c r="L460" s="4"/>
      <c r="M460" s="42" t="s">
        <v>3</v>
      </c>
      <c r="N460" s="9"/>
    </row>
    <row r="461" spans="1:22" ht="18.75" x14ac:dyDescent="0.3">
      <c r="E461" t="s">
        <v>5</v>
      </c>
      <c r="L461" s="6"/>
      <c r="M461" s="42" t="s">
        <v>6</v>
      </c>
      <c r="N461" s="9"/>
      <c r="O461" s="9"/>
    </row>
    <row r="462" spans="1:22" ht="18.75" x14ac:dyDescent="0.3">
      <c r="E462" s="10" t="s">
        <v>7</v>
      </c>
      <c r="I462" s="4"/>
      <c r="J462" s="4"/>
      <c r="K462" s="4"/>
      <c r="L462" s="4"/>
      <c r="M462" s="42" t="s">
        <v>3</v>
      </c>
      <c r="N462" s="9"/>
    </row>
    <row r="463" spans="1:22" ht="15.75" thickBot="1" x14ac:dyDescent="0.3">
      <c r="E463" s="43" t="s">
        <v>8</v>
      </c>
      <c r="F463" s="43"/>
      <c r="G463" s="43"/>
      <c r="H463" s="43"/>
      <c r="I463" s="11"/>
      <c r="J463" s="11"/>
      <c r="K463" s="11"/>
      <c r="L463" s="11"/>
      <c r="M463" s="32" t="s">
        <v>3</v>
      </c>
      <c r="N463" s="40"/>
      <c r="O463" s="40"/>
    </row>
    <row r="464" spans="1:22" x14ac:dyDescent="0.25">
      <c r="A464" s="12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4"/>
    </row>
    <row r="465" spans="1:22" x14ac:dyDescent="0.25">
      <c r="A465" s="15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17"/>
    </row>
    <row r="466" spans="1:22" x14ac:dyDescent="0.25">
      <c r="A466" s="18"/>
      <c r="B466" s="56" t="s">
        <v>9</v>
      </c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2"/>
      <c r="V466" s="19"/>
    </row>
    <row r="467" spans="1:22" ht="15.75" thickBot="1" x14ac:dyDescent="0.3">
      <c r="A467" s="20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19"/>
    </row>
    <row r="468" spans="1:22" x14ac:dyDescent="0.25">
      <c r="A468" s="20"/>
      <c r="B468" s="45">
        <v>0</v>
      </c>
      <c r="C468" s="46"/>
      <c r="D468" s="46">
        <v>1</v>
      </c>
      <c r="E468" s="46">
        <v>1</v>
      </c>
      <c r="F468" s="46">
        <v>2</v>
      </c>
      <c r="G468" s="46">
        <v>2</v>
      </c>
      <c r="H468" s="46">
        <v>3</v>
      </c>
      <c r="I468" s="47">
        <v>3</v>
      </c>
      <c r="J468" s="45">
        <v>4</v>
      </c>
      <c r="K468" s="46">
        <v>4</v>
      </c>
      <c r="L468" s="46">
        <v>5</v>
      </c>
      <c r="M468" s="46"/>
      <c r="N468" s="46">
        <v>6</v>
      </c>
      <c r="O468" s="46">
        <v>1</v>
      </c>
      <c r="P468" s="46">
        <v>7</v>
      </c>
      <c r="Q468" s="47">
        <v>2</v>
      </c>
      <c r="R468" s="52">
        <v>8</v>
      </c>
      <c r="S468" s="53">
        <v>3</v>
      </c>
      <c r="T468" s="53">
        <v>9</v>
      </c>
      <c r="U468" s="53">
        <v>4</v>
      </c>
      <c r="V468" s="22"/>
    </row>
    <row r="469" spans="1:22" ht="15.75" thickBot="1" x14ac:dyDescent="0.3">
      <c r="A469" s="20"/>
      <c r="B469" s="23"/>
      <c r="C469" s="24"/>
      <c r="D469" s="24"/>
      <c r="E469" s="24"/>
      <c r="F469" s="24"/>
      <c r="G469" s="24"/>
      <c r="H469" s="24"/>
      <c r="I469" s="25"/>
      <c r="J469" s="23"/>
      <c r="K469" s="24"/>
      <c r="L469" s="24"/>
      <c r="M469" s="24"/>
      <c r="N469" s="24"/>
      <c r="O469" s="24"/>
      <c r="P469" s="24"/>
      <c r="Q469" s="25"/>
      <c r="R469" s="26"/>
      <c r="S469" s="21"/>
      <c r="T469" s="21"/>
      <c r="U469" s="21"/>
      <c r="V469" s="22"/>
    </row>
    <row r="470" spans="1:22" ht="15.75" thickBot="1" x14ac:dyDescent="0.3">
      <c r="A470" s="27"/>
      <c r="B470" s="28"/>
      <c r="C470" s="28"/>
      <c r="D470" s="28"/>
      <c r="E470" s="28"/>
      <c r="F470" s="29"/>
      <c r="G470" s="28"/>
      <c r="H470" s="28"/>
      <c r="I470" s="28"/>
      <c r="J470" s="28"/>
      <c r="K470" s="29"/>
      <c r="L470" s="28"/>
      <c r="M470" s="29"/>
      <c r="N470" s="28"/>
      <c r="O470" s="29"/>
      <c r="P470" s="28"/>
      <c r="Q470" s="29"/>
      <c r="R470" s="30"/>
      <c r="S470" s="30"/>
      <c r="T470" s="30"/>
      <c r="U470" s="30"/>
      <c r="V470" s="31"/>
    </row>
    <row r="471" spans="1:22" ht="15.75" thickBot="1" x14ac:dyDescent="0.3">
      <c r="A471" s="32"/>
      <c r="B471" s="32"/>
      <c r="C471" s="32"/>
      <c r="D471" s="32"/>
      <c r="E471" s="32"/>
      <c r="F471" s="33"/>
      <c r="G471" s="32"/>
      <c r="H471" s="32"/>
      <c r="I471" s="32"/>
      <c r="J471" s="32"/>
      <c r="K471" s="33"/>
      <c r="L471" s="32"/>
      <c r="M471" s="33"/>
      <c r="N471" s="32"/>
      <c r="O471" s="33"/>
      <c r="P471" s="32"/>
      <c r="Q471" s="33"/>
      <c r="R471" s="32"/>
      <c r="S471" s="32"/>
      <c r="T471" s="32"/>
      <c r="U471" s="32"/>
      <c r="V471" s="34"/>
    </row>
    <row r="472" spans="1:22" ht="36" thickBot="1" x14ac:dyDescent="0.3">
      <c r="A472" s="32"/>
      <c r="B472" s="58" t="str">
        <f>IF(Q472&gt;1,"Считыватель вх",IF(F472&lt;1,"","Считыватель вх"))</f>
        <v>Считыватель вх</v>
      </c>
      <c r="C472" s="59"/>
      <c r="D472" s="60"/>
      <c r="E472" s="60"/>
      <c r="F472" s="61">
        <v>1</v>
      </c>
      <c r="G472" s="61"/>
      <c r="H472" s="62"/>
      <c r="I472" s="63"/>
      <c r="J472" s="35"/>
      <c r="K472" s="36"/>
      <c r="L472" s="37"/>
      <c r="M472" s="37" t="s">
        <v>10</v>
      </c>
      <c r="N472" s="38"/>
      <c r="O472" s="36"/>
      <c r="P472" s="38"/>
      <c r="Q472" s="39"/>
      <c r="R472" s="64" t="s">
        <v>11</v>
      </c>
      <c r="S472" s="65"/>
      <c r="T472" s="65"/>
      <c r="U472" s="65"/>
      <c r="V472" s="65"/>
    </row>
    <row r="473" spans="1:22" x14ac:dyDescent="0.25">
      <c r="A473" s="32"/>
      <c r="B473" s="50"/>
      <c r="C473" s="66"/>
      <c r="D473" s="66"/>
      <c r="E473" s="66"/>
      <c r="F473" s="66"/>
      <c r="G473" s="66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51" t="s">
        <v>12</v>
      </c>
      <c r="S473" s="51"/>
      <c r="T473" s="51"/>
      <c r="U473" s="51"/>
      <c r="V473" s="51"/>
    </row>
    <row r="475" spans="1:22" x14ac:dyDescent="0.25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x14ac:dyDescent="0.25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8.75" x14ac:dyDescent="0.3">
      <c r="E477" s="3" t="s">
        <v>0</v>
      </c>
      <c r="G477" s="4"/>
      <c r="H477" s="4"/>
      <c r="I477" s="4"/>
      <c r="J477" s="4"/>
      <c r="K477" s="4"/>
      <c r="L477" s="4"/>
      <c r="M477" s="41" t="s">
        <v>1</v>
      </c>
      <c r="N477" s="5"/>
    </row>
    <row r="478" spans="1:22" ht="18.75" x14ac:dyDescent="0.3">
      <c r="E478" s="3" t="s">
        <v>2</v>
      </c>
      <c r="J478" s="6"/>
      <c r="K478" s="6"/>
      <c r="L478" s="6"/>
      <c r="M478" s="41" t="s">
        <v>3</v>
      </c>
      <c r="N478" s="7"/>
    </row>
    <row r="479" spans="1:22" ht="18.75" x14ac:dyDescent="0.3">
      <c r="E479" t="s">
        <v>4</v>
      </c>
      <c r="H479" s="4"/>
      <c r="I479" s="4"/>
      <c r="J479" s="4"/>
      <c r="K479" s="4"/>
      <c r="L479" s="4"/>
      <c r="M479" s="42" t="s">
        <v>3</v>
      </c>
      <c r="N479" s="9"/>
    </row>
    <row r="480" spans="1:22" ht="18.75" x14ac:dyDescent="0.3">
      <c r="E480" t="s">
        <v>5</v>
      </c>
      <c r="L480" s="6"/>
      <c r="M480" s="42" t="s">
        <v>6</v>
      </c>
      <c r="N480" s="54"/>
      <c r="O480" s="54"/>
    </row>
    <row r="481" spans="1:22" ht="18.75" x14ac:dyDescent="0.3">
      <c r="E481" s="10" t="s">
        <v>7</v>
      </c>
      <c r="I481" s="4"/>
      <c r="J481" s="4"/>
      <c r="K481" s="4"/>
      <c r="L481" s="4"/>
      <c r="M481" s="42" t="s">
        <v>3</v>
      </c>
      <c r="N481" s="9"/>
    </row>
    <row r="482" spans="1:22" ht="15.75" thickBot="1" x14ac:dyDescent="0.3">
      <c r="E482" s="43" t="s">
        <v>8</v>
      </c>
      <c r="F482" s="43"/>
      <c r="G482" s="43"/>
      <c r="H482" s="43"/>
      <c r="I482" s="11"/>
      <c r="J482" s="11"/>
      <c r="K482" s="11"/>
      <c r="L482" s="11"/>
      <c r="M482" s="32" t="s">
        <v>3</v>
      </c>
      <c r="N482" s="55"/>
      <c r="O482" s="55"/>
    </row>
    <row r="483" spans="1:22" x14ac:dyDescent="0.25">
      <c r="A483" s="12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4"/>
    </row>
    <row r="484" spans="1:22" x14ac:dyDescent="0.25">
      <c r="A484" s="15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17"/>
    </row>
    <row r="485" spans="1:22" x14ac:dyDescent="0.25">
      <c r="A485" s="18"/>
      <c r="B485" s="56" t="s">
        <v>13</v>
      </c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2"/>
      <c r="V485" s="19"/>
    </row>
    <row r="486" spans="1:22" ht="15.75" thickBot="1" x14ac:dyDescent="0.3">
      <c r="A486" s="20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19"/>
    </row>
    <row r="487" spans="1:22" x14ac:dyDescent="0.25">
      <c r="A487" s="20"/>
      <c r="B487" s="45">
        <v>0</v>
      </c>
      <c r="C487" s="46"/>
      <c r="D487" s="46">
        <v>1</v>
      </c>
      <c r="E487" s="46">
        <v>1</v>
      </c>
      <c r="F487" s="46">
        <v>2</v>
      </c>
      <c r="G487" s="46">
        <v>2</v>
      </c>
      <c r="H487" s="46">
        <v>3</v>
      </c>
      <c r="I487" s="47">
        <v>3</v>
      </c>
      <c r="J487" s="45">
        <v>4</v>
      </c>
      <c r="K487" s="46">
        <v>4</v>
      </c>
      <c r="L487" s="46">
        <v>5</v>
      </c>
      <c r="M487" s="46"/>
      <c r="N487" s="46">
        <v>6</v>
      </c>
      <c r="O487" s="46">
        <v>1</v>
      </c>
      <c r="P487" s="46">
        <v>7</v>
      </c>
      <c r="Q487" s="47">
        <v>2</v>
      </c>
      <c r="R487" s="52">
        <v>8</v>
      </c>
      <c r="S487" s="53">
        <v>3</v>
      </c>
      <c r="T487" s="53">
        <v>9</v>
      </c>
      <c r="U487" s="53">
        <v>4</v>
      </c>
      <c r="V487" s="22"/>
    </row>
    <row r="488" spans="1:22" ht="15.75" thickBot="1" x14ac:dyDescent="0.3">
      <c r="A488" s="20"/>
      <c r="B488" s="23"/>
      <c r="C488" s="24"/>
      <c r="D488" s="24"/>
      <c r="E488" s="24"/>
      <c r="F488" s="24"/>
      <c r="G488" s="24"/>
      <c r="H488" s="24"/>
      <c r="I488" s="25"/>
      <c r="J488" s="23"/>
      <c r="K488" s="24"/>
      <c r="L488" s="24"/>
      <c r="M488" s="24"/>
      <c r="N488" s="24"/>
      <c r="O488" s="24"/>
      <c r="P488" s="24"/>
      <c r="Q488" s="25"/>
      <c r="R488" s="26"/>
      <c r="S488" s="21"/>
      <c r="T488" s="21"/>
      <c r="U488" s="21"/>
      <c r="V488" s="22"/>
    </row>
    <row r="489" spans="1:22" ht="15.75" thickBot="1" x14ac:dyDescent="0.3">
      <c r="A489" s="27"/>
      <c r="B489" s="28"/>
      <c r="C489" s="28"/>
      <c r="D489" s="28"/>
      <c r="E489" s="28"/>
      <c r="F489" s="29"/>
      <c r="G489" s="28"/>
      <c r="H489" s="28"/>
      <c r="I489" s="28"/>
      <c r="J489" s="28"/>
      <c r="K489" s="29"/>
      <c r="L489" s="28"/>
      <c r="M489" s="29"/>
      <c r="N489" s="28"/>
      <c r="O489" s="29"/>
      <c r="P489" s="28"/>
      <c r="Q489" s="29"/>
      <c r="R489" s="30"/>
      <c r="S489" s="30"/>
      <c r="T489" s="30"/>
      <c r="U489" s="30"/>
      <c r="V489" s="31"/>
    </row>
    <row r="490" spans="1:22" ht="15.75" thickBot="1" x14ac:dyDescent="0.3">
      <c r="A490" s="32"/>
      <c r="B490" s="32"/>
      <c r="C490" s="32"/>
      <c r="D490" s="32"/>
      <c r="E490" s="32"/>
      <c r="F490" s="33"/>
      <c r="G490" s="32"/>
      <c r="H490" s="32"/>
      <c r="I490" s="32"/>
      <c r="J490" s="32"/>
      <c r="K490" s="33"/>
      <c r="L490" s="32"/>
      <c r="M490" s="33"/>
      <c r="N490" s="32"/>
      <c r="O490" s="33"/>
      <c r="P490" s="32"/>
      <c r="Q490" s="33"/>
      <c r="R490" s="32"/>
      <c r="S490" s="32"/>
      <c r="T490" s="32"/>
      <c r="U490" s="32"/>
      <c r="V490" s="34"/>
    </row>
    <row r="491" spans="1:22" ht="36" thickBot="1" x14ac:dyDescent="0.3">
      <c r="A491" s="32"/>
      <c r="B491" s="58" t="str">
        <f>IF(Q491&gt;1,"Считыватель вх",IF(F491&lt;1,"","Считыватель вых"))</f>
        <v>Считыватель вых</v>
      </c>
      <c r="C491" s="59"/>
      <c r="D491" s="60"/>
      <c r="E491" s="60"/>
      <c r="F491" s="61">
        <v>4</v>
      </c>
      <c r="G491" s="61"/>
      <c r="H491" s="62"/>
      <c r="I491" s="63"/>
      <c r="J491" s="35"/>
      <c r="K491" s="36"/>
      <c r="L491" s="37"/>
      <c r="M491" s="37" t="s">
        <v>10</v>
      </c>
      <c r="N491" s="38"/>
      <c r="O491" s="36"/>
      <c r="P491" s="38"/>
      <c r="Q491" s="39"/>
      <c r="R491" s="64" t="s">
        <v>11</v>
      </c>
      <c r="S491" s="65"/>
      <c r="T491" s="65"/>
      <c r="U491" s="65"/>
      <c r="V491" s="65"/>
    </row>
    <row r="492" spans="1:22" x14ac:dyDescent="0.25">
      <c r="A492" s="32"/>
      <c r="B492" s="48">
        <f>IF(B491="Считыватель вых",B473,IF(B491="Считыватель вх",J492,""))</f>
        <v>0</v>
      </c>
      <c r="C492" s="49"/>
      <c r="D492" s="49"/>
      <c r="E492" s="49"/>
      <c r="F492" s="49"/>
      <c r="G492" s="49"/>
      <c r="H492" s="49"/>
      <c r="I492" s="49"/>
      <c r="J492" s="50" t="s">
        <v>14</v>
      </c>
      <c r="K492" s="49"/>
      <c r="L492" s="49"/>
      <c r="M492" s="49"/>
      <c r="N492" s="49"/>
      <c r="O492" s="49"/>
      <c r="P492" s="49"/>
      <c r="Q492" s="49"/>
      <c r="R492" s="51" t="s">
        <v>12</v>
      </c>
      <c r="S492" s="51"/>
      <c r="T492" s="51"/>
      <c r="U492" s="51"/>
      <c r="V492" s="51"/>
    </row>
    <row r="494" spans="1:22" x14ac:dyDescent="0.25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x14ac:dyDescent="0.25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8.75" x14ac:dyDescent="0.3">
      <c r="E496" s="3" t="s">
        <v>0</v>
      </c>
      <c r="G496" s="4"/>
      <c r="H496" s="4"/>
      <c r="I496" s="4"/>
      <c r="J496" s="4"/>
      <c r="K496" s="4"/>
      <c r="L496" s="4"/>
      <c r="M496" s="41" t="s">
        <v>1</v>
      </c>
      <c r="N496" s="5"/>
    </row>
    <row r="497" spans="1:22" ht="18.75" x14ac:dyDescent="0.3">
      <c r="E497" s="3" t="s">
        <v>2</v>
      </c>
      <c r="J497" s="6"/>
      <c r="K497" s="6"/>
      <c r="L497" s="6"/>
      <c r="M497" s="41" t="s">
        <v>3</v>
      </c>
      <c r="N497" s="7"/>
    </row>
    <row r="498" spans="1:22" ht="18.75" x14ac:dyDescent="0.3">
      <c r="E498" t="s">
        <v>4</v>
      </c>
      <c r="H498" s="4"/>
      <c r="I498" s="4"/>
      <c r="J498" s="4"/>
      <c r="K498" s="4"/>
      <c r="L498" s="4"/>
      <c r="M498" s="42" t="s">
        <v>3</v>
      </c>
      <c r="N498" s="9"/>
    </row>
    <row r="499" spans="1:22" ht="18.75" x14ac:dyDescent="0.3">
      <c r="E499" t="s">
        <v>5</v>
      </c>
      <c r="L499" s="6"/>
      <c r="M499" s="42" t="s">
        <v>6</v>
      </c>
      <c r="N499" s="9"/>
      <c r="O499" s="9"/>
    </row>
    <row r="500" spans="1:22" ht="18.75" x14ac:dyDescent="0.3">
      <c r="E500" s="10" t="s">
        <v>7</v>
      </c>
      <c r="I500" s="4"/>
      <c r="J500" s="4"/>
      <c r="K500" s="4"/>
      <c r="L500" s="4"/>
      <c r="M500" s="42" t="s">
        <v>3</v>
      </c>
      <c r="N500" s="9"/>
    </row>
    <row r="501" spans="1:22" ht="15.75" thickBot="1" x14ac:dyDescent="0.3">
      <c r="E501" s="43" t="s">
        <v>8</v>
      </c>
      <c r="F501" s="43"/>
      <c r="G501" s="43"/>
      <c r="H501" s="43"/>
      <c r="I501" s="11"/>
      <c r="J501" s="11"/>
      <c r="K501" s="11"/>
      <c r="L501" s="11"/>
      <c r="M501" s="32" t="s">
        <v>3</v>
      </c>
      <c r="N501" s="40"/>
      <c r="O501" s="40"/>
    </row>
    <row r="502" spans="1:22" x14ac:dyDescent="0.25">
      <c r="A502" s="12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4"/>
    </row>
    <row r="503" spans="1:22" x14ac:dyDescent="0.25">
      <c r="A503" s="15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17"/>
    </row>
    <row r="504" spans="1:22" x14ac:dyDescent="0.25">
      <c r="A504" s="18"/>
      <c r="B504" s="56" t="s">
        <v>9</v>
      </c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2"/>
      <c r="V504" s="19"/>
    </row>
    <row r="505" spans="1:22" ht="15.75" thickBot="1" x14ac:dyDescent="0.3">
      <c r="A505" s="20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19"/>
    </row>
    <row r="506" spans="1:22" x14ac:dyDescent="0.25">
      <c r="A506" s="20"/>
      <c r="B506" s="45">
        <v>0</v>
      </c>
      <c r="C506" s="46"/>
      <c r="D506" s="46">
        <v>1</v>
      </c>
      <c r="E506" s="46">
        <v>1</v>
      </c>
      <c r="F506" s="46">
        <v>2</v>
      </c>
      <c r="G506" s="46">
        <v>2</v>
      </c>
      <c r="H506" s="46">
        <v>3</v>
      </c>
      <c r="I506" s="47">
        <v>3</v>
      </c>
      <c r="J506" s="45">
        <v>4</v>
      </c>
      <c r="K506" s="46">
        <v>4</v>
      </c>
      <c r="L506" s="46">
        <v>5</v>
      </c>
      <c r="M506" s="46"/>
      <c r="N506" s="46">
        <v>6</v>
      </c>
      <c r="O506" s="46">
        <v>1</v>
      </c>
      <c r="P506" s="46">
        <v>7</v>
      </c>
      <c r="Q506" s="47">
        <v>2</v>
      </c>
      <c r="R506" s="52">
        <v>8</v>
      </c>
      <c r="S506" s="53">
        <v>3</v>
      </c>
      <c r="T506" s="53">
        <v>9</v>
      </c>
      <c r="U506" s="53">
        <v>4</v>
      </c>
      <c r="V506" s="22"/>
    </row>
    <row r="507" spans="1:22" ht="15.75" thickBot="1" x14ac:dyDescent="0.3">
      <c r="A507" s="20"/>
      <c r="B507" s="23"/>
      <c r="C507" s="24"/>
      <c r="D507" s="24"/>
      <c r="E507" s="24"/>
      <c r="F507" s="24"/>
      <c r="G507" s="24"/>
      <c r="H507" s="24"/>
      <c r="I507" s="25"/>
      <c r="J507" s="23"/>
      <c r="K507" s="24"/>
      <c r="L507" s="24"/>
      <c r="M507" s="24"/>
      <c r="N507" s="24"/>
      <c r="O507" s="24"/>
      <c r="P507" s="24"/>
      <c r="Q507" s="25"/>
      <c r="R507" s="26"/>
      <c r="S507" s="21"/>
      <c r="T507" s="21"/>
      <c r="U507" s="21"/>
      <c r="V507" s="22"/>
    </row>
    <row r="508" spans="1:22" ht="15.75" thickBot="1" x14ac:dyDescent="0.3">
      <c r="A508" s="27"/>
      <c r="B508" s="28"/>
      <c r="C508" s="28"/>
      <c r="D508" s="28"/>
      <c r="E508" s="28"/>
      <c r="F508" s="29"/>
      <c r="G508" s="28"/>
      <c r="H508" s="28"/>
      <c r="I508" s="28"/>
      <c r="J508" s="28"/>
      <c r="K508" s="29"/>
      <c r="L508" s="28"/>
      <c r="M508" s="29"/>
      <c r="N508" s="28"/>
      <c r="O508" s="29"/>
      <c r="P508" s="28"/>
      <c r="Q508" s="29"/>
      <c r="R508" s="30"/>
      <c r="S508" s="30"/>
      <c r="T508" s="30"/>
      <c r="U508" s="30"/>
      <c r="V508" s="31"/>
    </row>
    <row r="509" spans="1:22" ht="15.75" thickBot="1" x14ac:dyDescent="0.3">
      <c r="A509" s="32"/>
      <c r="B509" s="32"/>
      <c r="C509" s="32"/>
      <c r="D509" s="32"/>
      <c r="E509" s="32"/>
      <c r="F509" s="33"/>
      <c r="G509" s="32"/>
      <c r="H509" s="32"/>
      <c r="I509" s="32"/>
      <c r="J509" s="32"/>
      <c r="K509" s="33"/>
      <c r="L509" s="32"/>
      <c r="M509" s="33"/>
      <c r="N509" s="32"/>
      <c r="O509" s="33"/>
      <c r="P509" s="32"/>
      <c r="Q509" s="33"/>
      <c r="R509" s="32"/>
      <c r="S509" s="32"/>
      <c r="T509" s="32"/>
      <c r="U509" s="32"/>
      <c r="V509" s="34"/>
    </row>
    <row r="510" spans="1:22" ht="36" thickBot="1" x14ac:dyDescent="0.3">
      <c r="A510" s="32"/>
      <c r="B510" s="58" t="str">
        <f>IF(Q510&gt;1,"Считыватель вх",IF(F510&lt;1,"","Считыватель вх"))</f>
        <v>Считыватель вх</v>
      </c>
      <c r="C510" s="59"/>
      <c r="D510" s="60"/>
      <c r="E510" s="60"/>
      <c r="F510" s="61">
        <v>1</v>
      </c>
      <c r="G510" s="61"/>
      <c r="H510" s="62"/>
      <c r="I510" s="63"/>
      <c r="J510" s="35"/>
      <c r="K510" s="36"/>
      <c r="L510" s="37"/>
      <c r="M510" s="37" t="s">
        <v>10</v>
      </c>
      <c r="N510" s="38"/>
      <c r="O510" s="36"/>
      <c r="P510" s="38"/>
      <c r="Q510" s="39"/>
      <c r="R510" s="64" t="s">
        <v>11</v>
      </c>
      <c r="S510" s="65"/>
      <c r="T510" s="65"/>
      <c r="U510" s="65"/>
      <c r="V510" s="65"/>
    </row>
    <row r="511" spans="1:22" x14ac:dyDescent="0.25">
      <c r="A511" s="32"/>
      <c r="B511" s="50"/>
      <c r="C511" s="66"/>
      <c r="D511" s="66"/>
      <c r="E511" s="66"/>
      <c r="F511" s="66"/>
      <c r="G511" s="66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51" t="s">
        <v>12</v>
      </c>
      <c r="S511" s="51"/>
      <c r="T511" s="51"/>
      <c r="U511" s="51"/>
      <c r="V511" s="51"/>
    </row>
    <row r="513" spans="1:22" x14ac:dyDescent="0.25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x14ac:dyDescent="0.25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8.75" x14ac:dyDescent="0.3">
      <c r="E515" s="3" t="s">
        <v>0</v>
      </c>
      <c r="G515" s="4"/>
      <c r="H515" s="4"/>
      <c r="I515" s="4"/>
      <c r="J515" s="4"/>
      <c r="K515" s="4"/>
      <c r="L515" s="4"/>
      <c r="M515" s="41" t="s">
        <v>1</v>
      </c>
      <c r="N515" s="5"/>
    </row>
    <row r="516" spans="1:22" ht="18.75" x14ac:dyDescent="0.3">
      <c r="E516" s="3" t="s">
        <v>2</v>
      </c>
      <c r="J516" s="6"/>
      <c r="K516" s="6"/>
      <c r="L516" s="6"/>
      <c r="M516" s="41" t="s">
        <v>3</v>
      </c>
      <c r="N516" s="7"/>
    </row>
    <row r="517" spans="1:22" ht="18.75" x14ac:dyDescent="0.3">
      <c r="E517" t="s">
        <v>4</v>
      </c>
      <c r="H517" s="4"/>
      <c r="I517" s="4"/>
      <c r="J517" s="4"/>
      <c r="K517" s="4"/>
      <c r="L517" s="4"/>
      <c r="M517" s="42" t="s">
        <v>3</v>
      </c>
      <c r="N517" s="9"/>
    </row>
    <row r="518" spans="1:22" ht="18.75" x14ac:dyDescent="0.3">
      <c r="E518" t="s">
        <v>5</v>
      </c>
      <c r="L518" s="6"/>
      <c r="M518" s="42" t="s">
        <v>6</v>
      </c>
      <c r="N518" s="54"/>
      <c r="O518" s="54"/>
    </row>
    <row r="519" spans="1:22" ht="18.75" x14ac:dyDescent="0.3">
      <c r="E519" s="10" t="s">
        <v>7</v>
      </c>
      <c r="I519" s="4"/>
      <c r="J519" s="4"/>
      <c r="K519" s="4"/>
      <c r="L519" s="4"/>
      <c r="M519" s="42" t="s">
        <v>3</v>
      </c>
      <c r="N519" s="9"/>
    </row>
    <row r="520" spans="1:22" ht="15.75" thickBot="1" x14ac:dyDescent="0.3">
      <c r="E520" s="43" t="s">
        <v>8</v>
      </c>
      <c r="F520" s="43"/>
      <c r="G520" s="43"/>
      <c r="H520" s="43"/>
      <c r="I520" s="11"/>
      <c r="J520" s="11"/>
      <c r="K520" s="11"/>
      <c r="L520" s="11"/>
      <c r="M520" s="32" t="s">
        <v>3</v>
      </c>
      <c r="N520" s="55"/>
      <c r="O520" s="55"/>
    </row>
    <row r="521" spans="1:22" x14ac:dyDescent="0.25">
      <c r="A521" s="12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4"/>
    </row>
    <row r="522" spans="1:22" x14ac:dyDescent="0.25">
      <c r="A522" s="15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17"/>
    </row>
    <row r="523" spans="1:22" x14ac:dyDescent="0.25">
      <c r="A523" s="18"/>
      <c r="B523" s="56" t="s">
        <v>13</v>
      </c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2"/>
      <c r="V523" s="19"/>
    </row>
    <row r="524" spans="1:22" ht="15.75" thickBot="1" x14ac:dyDescent="0.3">
      <c r="A524" s="20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19"/>
    </row>
    <row r="525" spans="1:22" x14ac:dyDescent="0.25">
      <c r="A525" s="20"/>
      <c r="B525" s="45">
        <v>0</v>
      </c>
      <c r="C525" s="46"/>
      <c r="D525" s="46">
        <v>1</v>
      </c>
      <c r="E525" s="46">
        <v>1</v>
      </c>
      <c r="F525" s="46">
        <v>2</v>
      </c>
      <c r="G525" s="46">
        <v>2</v>
      </c>
      <c r="H525" s="46">
        <v>3</v>
      </c>
      <c r="I525" s="47">
        <v>3</v>
      </c>
      <c r="J525" s="45">
        <v>4</v>
      </c>
      <c r="K525" s="46">
        <v>4</v>
      </c>
      <c r="L525" s="46">
        <v>5</v>
      </c>
      <c r="M525" s="46"/>
      <c r="N525" s="46">
        <v>6</v>
      </c>
      <c r="O525" s="46">
        <v>1</v>
      </c>
      <c r="P525" s="46">
        <v>7</v>
      </c>
      <c r="Q525" s="47">
        <v>2</v>
      </c>
      <c r="R525" s="52">
        <v>8</v>
      </c>
      <c r="S525" s="53">
        <v>3</v>
      </c>
      <c r="T525" s="53">
        <v>9</v>
      </c>
      <c r="U525" s="53">
        <v>4</v>
      </c>
      <c r="V525" s="22"/>
    </row>
    <row r="526" spans="1:22" ht="15.75" thickBot="1" x14ac:dyDescent="0.3">
      <c r="A526" s="20"/>
      <c r="B526" s="23"/>
      <c r="C526" s="24"/>
      <c r="D526" s="24"/>
      <c r="E526" s="24"/>
      <c r="F526" s="24"/>
      <c r="G526" s="24"/>
      <c r="H526" s="24"/>
      <c r="I526" s="25"/>
      <c r="J526" s="23"/>
      <c r="K526" s="24"/>
      <c r="L526" s="24"/>
      <c r="M526" s="24"/>
      <c r="N526" s="24"/>
      <c r="O526" s="24"/>
      <c r="P526" s="24"/>
      <c r="Q526" s="25"/>
      <c r="R526" s="26"/>
      <c r="S526" s="21"/>
      <c r="T526" s="21"/>
      <c r="U526" s="21"/>
      <c r="V526" s="22"/>
    </row>
    <row r="527" spans="1:22" ht="15.75" thickBot="1" x14ac:dyDescent="0.3">
      <c r="A527" s="27"/>
      <c r="B527" s="28"/>
      <c r="C527" s="28"/>
      <c r="D527" s="28"/>
      <c r="E527" s="28"/>
      <c r="F527" s="29"/>
      <c r="G527" s="28"/>
      <c r="H527" s="28"/>
      <c r="I527" s="28"/>
      <c r="J527" s="28"/>
      <c r="K527" s="29"/>
      <c r="L527" s="28"/>
      <c r="M527" s="29"/>
      <c r="N527" s="28"/>
      <c r="O527" s="29"/>
      <c r="P527" s="28"/>
      <c r="Q527" s="29"/>
      <c r="R527" s="30"/>
      <c r="S527" s="30"/>
      <c r="T527" s="30"/>
      <c r="U527" s="30"/>
      <c r="V527" s="31"/>
    </row>
    <row r="528" spans="1:22" ht="15.75" thickBot="1" x14ac:dyDescent="0.3">
      <c r="A528" s="32"/>
      <c r="B528" s="32"/>
      <c r="C528" s="32"/>
      <c r="D528" s="32"/>
      <c r="E528" s="32"/>
      <c r="F528" s="33"/>
      <c r="G528" s="32"/>
      <c r="H528" s="32"/>
      <c r="I528" s="32"/>
      <c r="J528" s="32"/>
      <c r="K528" s="33"/>
      <c r="L528" s="32"/>
      <c r="M528" s="33"/>
      <c r="N528" s="32"/>
      <c r="O528" s="33"/>
      <c r="P528" s="32"/>
      <c r="Q528" s="33"/>
      <c r="R528" s="32"/>
      <c r="S528" s="32"/>
      <c r="T528" s="32"/>
      <c r="U528" s="32"/>
      <c r="V528" s="34"/>
    </row>
    <row r="529" spans="1:22" ht="36" thickBot="1" x14ac:dyDescent="0.3">
      <c r="A529" s="32"/>
      <c r="B529" s="58" t="str">
        <f>IF(Q529&gt;1,"Считыватель вх",IF(F529&lt;1,"","Считыватель вых"))</f>
        <v>Считыватель вых</v>
      </c>
      <c r="C529" s="59"/>
      <c r="D529" s="60"/>
      <c r="E529" s="60"/>
      <c r="F529" s="61">
        <v>4</v>
      </c>
      <c r="G529" s="61"/>
      <c r="H529" s="62"/>
      <c r="I529" s="63"/>
      <c r="J529" s="35"/>
      <c r="K529" s="36"/>
      <c r="L529" s="37"/>
      <c r="M529" s="37" t="s">
        <v>10</v>
      </c>
      <c r="N529" s="38"/>
      <c r="O529" s="36"/>
      <c r="P529" s="38"/>
      <c r="Q529" s="39"/>
      <c r="R529" s="64" t="s">
        <v>11</v>
      </c>
      <c r="S529" s="65"/>
      <c r="T529" s="65"/>
      <c r="U529" s="65"/>
      <c r="V529" s="65"/>
    </row>
    <row r="530" spans="1:22" x14ac:dyDescent="0.25">
      <c r="A530" s="32"/>
      <c r="B530" s="48">
        <f>IF(B529="Считыватель вых",B511,IF(B529="Считыватель вх",J530,""))</f>
        <v>0</v>
      </c>
      <c r="C530" s="49"/>
      <c r="D530" s="49"/>
      <c r="E530" s="49"/>
      <c r="F530" s="49"/>
      <c r="G530" s="49"/>
      <c r="H530" s="49"/>
      <c r="I530" s="49"/>
      <c r="J530" s="50" t="s">
        <v>14</v>
      </c>
      <c r="K530" s="49"/>
      <c r="L530" s="49"/>
      <c r="M530" s="49"/>
      <c r="N530" s="49"/>
      <c r="O530" s="49"/>
      <c r="P530" s="49"/>
      <c r="Q530" s="49"/>
      <c r="R530" s="51" t="s">
        <v>12</v>
      </c>
      <c r="S530" s="51"/>
      <c r="T530" s="51"/>
      <c r="U530" s="51"/>
      <c r="V530" s="51"/>
    </row>
    <row r="532" spans="1:22" x14ac:dyDescent="0.25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x14ac:dyDescent="0.25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8.75" x14ac:dyDescent="0.3">
      <c r="E534" s="3" t="s">
        <v>0</v>
      </c>
      <c r="G534" s="4"/>
      <c r="H534" s="4"/>
      <c r="I534" s="4"/>
      <c r="J534" s="4"/>
      <c r="K534" s="4"/>
      <c r="L534" s="4"/>
      <c r="M534" s="41" t="s">
        <v>1</v>
      </c>
      <c r="N534" s="5"/>
    </row>
    <row r="535" spans="1:22" ht="18.75" x14ac:dyDescent="0.3">
      <c r="E535" s="3" t="s">
        <v>2</v>
      </c>
      <c r="J535" s="6"/>
      <c r="K535" s="6"/>
      <c r="L535" s="6"/>
      <c r="M535" s="41" t="s">
        <v>3</v>
      </c>
      <c r="N535" s="7"/>
    </row>
    <row r="536" spans="1:22" ht="18.75" x14ac:dyDescent="0.3">
      <c r="E536" t="s">
        <v>4</v>
      </c>
      <c r="H536" s="4"/>
      <c r="I536" s="4"/>
      <c r="J536" s="4"/>
      <c r="K536" s="4"/>
      <c r="L536" s="4"/>
      <c r="M536" s="42" t="s">
        <v>3</v>
      </c>
      <c r="N536" s="9"/>
    </row>
    <row r="537" spans="1:22" ht="18.75" x14ac:dyDescent="0.3">
      <c r="E537" t="s">
        <v>5</v>
      </c>
      <c r="L537" s="6"/>
      <c r="M537" s="42" t="s">
        <v>6</v>
      </c>
      <c r="N537" s="9"/>
      <c r="O537" s="9"/>
    </row>
    <row r="538" spans="1:22" ht="18.75" x14ac:dyDescent="0.3">
      <c r="E538" s="10" t="s">
        <v>7</v>
      </c>
      <c r="I538" s="4"/>
      <c r="J538" s="4"/>
      <c r="K538" s="4"/>
      <c r="L538" s="4"/>
      <c r="M538" s="42" t="s">
        <v>3</v>
      </c>
      <c r="N538" s="9"/>
    </row>
    <row r="539" spans="1:22" ht="15.75" thickBot="1" x14ac:dyDescent="0.3">
      <c r="E539" s="43" t="s">
        <v>8</v>
      </c>
      <c r="F539" s="43"/>
      <c r="G539" s="43"/>
      <c r="H539" s="43"/>
      <c r="I539" s="11"/>
      <c r="J539" s="11"/>
      <c r="K539" s="11"/>
      <c r="L539" s="11"/>
      <c r="M539" s="32" t="s">
        <v>3</v>
      </c>
      <c r="N539" s="40"/>
      <c r="O539" s="40"/>
    </row>
    <row r="540" spans="1:22" x14ac:dyDescent="0.25">
      <c r="A540" s="12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4"/>
    </row>
    <row r="541" spans="1:22" x14ac:dyDescent="0.25">
      <c r="A541" s="15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17"/>
    </row>
    <row r="542" spans="1:22" x14ac:dyDescent="0.25">
      <c r="A542" s="18"/>
      <c r="B542" s="56" t="s">
        <v>9</v>
      </c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2"/>
      <c r="V542" s="19"/>
    </row>
    <row r="543" spans="1:22" ht="15.75" thickBot="1" x14ac:dyDescent="0.3">
      <c r="A543" s="20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19"/>
    </row>
    <row r="544" spans="1:22" x14ac:dyDescent="0.25">
      <c r="A544" s="20"/>
      <c r="B544" s="45">
        <v>0</v>
      </c>
      <c r="C544" s="46"/>
      <c r="D544" s="46">
        <v>1</v>
      </c>
      <c r="E544" s="46">
        <v>1</v>
      </c>
      <c r="F544" s="46">
        <v>2</v>
      </c>
      <c r="G544" s="46">
        <v>2</v>
      </c>
      <c r="H544" s="46">
        <v>3</v>
      </c>
      <c r="I544" s="47">
        <v>3</v>
      </c>
      <c r="J544" s="45">
        <v>4</v>
      </c>
      <c r="K544" s="46">
        <v>4</v>
      </c>
      <c r="L544" s="46">
        <v>5</v>
      </c>
      <c r="M544" s="46"/>
      <c r="N544" s="46">
        <v>6</v>
      </c>
      <c r="O544" s="46">
        <v>1</v>
      </c>
      <c r="P544" s="46">
        <v>7</v>
      </c>
      <c r="Q544" s="47">
        <v>2</v>
      </c>
      <c r="R544" s="52">
        <v>8</v>
      </c>
      <c r="S544" s="53">
        <v>3</v>
      </c>
      <c r="T544" s="53">
        <v>9</v>
      </c>
      <c r="U544" s="53">
        <v>4</v>
      </c>
      <c r="V544" s="22"/>
    </row>
    <row r="545" spans="1:22" ht="15.75" thickBot="1" x14ac:dyDescent="0.3">
      <c r="A545" s="20"/>
      <c r="B545" s="23"/>
      <c r="C545" s="24"/>
      <c r="D545" s="24"/>
      <c r="E545" s="24"/>
      <c r="F545" s="24"/>
      <c r="G545" s="24"/>
      <c r="H545" s="24"/>
      <c r="I545" s="25"/>
      <c r="J545" s="23"/>
      <c r="K545" s="24"/>
      <c r="L545" s="24"/>
      <c r="M545" s="24"/>
      <c r="N545" s="24"/>
      <c r="O545" s="24"/>
      <c r="P545" s="24"/>
      <c r="Q545" s="25"/>
      <c r="R545" s="26"/>
      <c r="S545" s="21"/>
      <c r="T545" s="21"/>
      <c r="U545" s="21"/>
      <c r="V545" s="22"/>
    </row>
    <row r="546" spans="1:22" ht="15.75" thickBot="1" x14ac:dyDescent="0.3">
      <c r="A546" s="27"/>
      <c r="B546" s="28"/>
      <c r="C546" s="28"/>
      <c r="D546" s="28"/>
      <c r="E546" s="28"/>
      <c r="F546" s="29"/>
      <c r="G546" s="28"/>
      <c r="H546" s="28"/>
      <c r="I546" s="28"/>
      <c r="J546" s="28"/>
      <c r="K546" s="29"/>
      <c r="L546" s="28"/>
      <c r="M546" s="29"/>
      <c r="N546" s="28"/>
      <c r="O546" s="29"/>
      <c r="P546" s="28"/>
      <c r="Q546" s="29"/>
      <c r="R546" s="30"/>
      <c r="S546" s="30"/>
      <c r="T546" s="30"/>
      <c r="U546" s="30"/>
      <c r="V546" s="31"/>
    </row>
    <row r="547" spans="1:22" ht="15.75" thickBot="1" x14ac:dyDescent="0.3">
      <c r="A547" s="32"/>
      <c r="B547" s="32"/>
      <c r="C547" s="32"/>
      <c r="D547" s="32"/>
      <c r="E547" s="32"/>
      <c r="F547" s="33"/>
      <c r="G547" s="32"/>
      <c r="H547" s="32"/>
      <c r="I547" s="32"/>
      <c r="J547" s="32"/>
      <c r="K547" s="33"/>
      <c r="L547" s="32"/>
      <c r="M547" s="33"/>
      <c r="N547" s="32"/>
      <c r="O547" s="33"/>
      <c r="P547" s="32"/>
      <c r="Q547" s="33"/>
      <c r="R547" s="32"/>
      <c r="S547" s="32"/>
      <c r="T547" s="32"/>
      <c r="U547" s="32"/>
      <c r="V547" s="34"/>
    </row>
    <row r="548" spans="1:22" ht="36" thickBot="1" x14ac:dyDescent="0.3">
      <c r="A548" s="32"/>
      <c r="B548" s="58" t="str">
        <f>IF(Q548&gt;1,"Считыватель вх",IF(F548&lt;1,"","Считыватель вх"))</f>
        <v>Считыватель вх</v>
      </c>
      <c r="C548" s="59"/>
      <c r="D548" s="60"/>
      <c r="E548" s="60"/>
      <c r="F548" s="61">
        <v>1</v>
      </c>
      <c r="G548" s="61"/>
      <c r="H548" s="62"/>
      <c r="I548" s="63"/>
      <c r="J548" s="35"/>
      <c r="K548" s="36"/>
      <c r="L548" s="37"/>
      <c r="M548" s="37" t="s">
        <v>10</v>
      </c>
      <c r="N548" s="38"/>
      <c r="O548" s="36"/>
      <c r="P548" s="38"/>
      <c r="Q548" s="39"/>
      <c r="R548" s="64" t="s">
        <v>11</v>
      </c>
      <c r="S548" s="65"/>
      <c r="T548" s="65"/>
      <c r="U548" s="65"/>
      <c r="V548" s="65"/>
    </row>
    <row r="549" spans="1:22" x14ac:dyDescent="0.25">
      <c r="A549" s="32"/>
      <c r="B549" s="50"/>
      <c r="C549" s="66"/>
      <c r="D549" s="66"/>
      <c r="E549" s="66"/>
      <c r="F549" s="66"/>
      <c r="G549" s="66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51" t="s">
        <v>12</v>
      </c>
      <c r="S549" s="51"/>
      <c r="T549" s="51"/>
      <c r="U549" s="51"/>
      <c r="V549" s="51"/>
    </row>
    <row r="551" spans="1:22" x14ac:dyDescent="0.25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x14ac:dyDescent="0.25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8.75" x14ac:dyDescent="0.3">
      <c r="E553" s="3" t="s">
        <v>0</v>
      </c>
      <c r="G553" s="4"/>
      <c r="H553" s="4"/>
      <c r="I553" s="4"/>
      <c r="J553" s="4"/>
      <c r="K553" s="4"/>
      <c r="L553" s="4"/>
      <c r="M553" s="41" t="s">
        <v>1</v>
      </c>
      <c r="N553" s="5"/>
    </row>
    <row r="554" spans="1:22" ht="18.75" x14ac:dyDescent="0.3">
      <c r="E554" s="3" t="s">
        <v>2</v>
      </c>
      <c r="J554" s="6"/>
      <c r="K554" s="6"/>
      <c r="L554" s="6"/>
      <c r="M554" s="41" t="s">
        <v>3</v>
      </c>
      <c r="N554" s="7"/>
    </row>
    <row r="555" spans="1:22" ht="18.75" x14ac:dyDescent="0.3">
      <c r="E555" t="s">
        <v>4</v>
      </c>
      <c r="H555" s="4"/>
      <c r="I555" s="4"/>
      <c r="J555" s="4"/>
      <c r="K555" s="4"/>
      <c r="L555" s="4"/>
      <c r="M555" s="42" t="s">
        <v>3</v>
      </c>
      <c r="N555" s="9"/>
    </row>
    <row r="556" spans="1:22" ht="18.75" x14ac:dyDescent="0.3">
      <c r="E556" t="s">
        <v>5</v>
      </c>
      <c r="L556" s="6"/>
      <c r="M556" s="42" t="s">
        <v>6</v>
      </c>
      <c r="N556" s="54"/>
      <c r="O556" s="54"/>
    </row>
    <row r="557" spans="1:22" ht="18.75" x14ac:dyDescent="0.3">
      <c r="E557" s="10" t="s">
        <v>7</v>
      </c>
      <c r="I557" s="4"/>
      <c r="J557" s="4"/>
      <c r="K557" s="4"/>
      <c r="L557" s="4"/>
      <c r="M557" s="42" t="s">
        <v>3</v>
      </c>
      <c r="N557" s="9"/>
    </row>
    <row r="558" spans="1:22" ht="15.75" thickBot="1" x14ac:dyDescent="0.3">
      <c r="E558" s="43" t="s">
        <v>8</v>
      </c>
      <c r="F558" s="43"/>
      <c r="G558" s="43"/>
      <c r="H558" s="43"/>
      <c r="I558" s="11"/>
      <c r="J558" s="11"/>
      <c r="K558" s="11"/>
      <c r="L558" s="11"/>
      <c r="M558" s="32" t="s">
        <v>3</v>
      </c>
      <c r="N558" s="55"/>
      <c r="O558" s="55"/>
    </row>
    <row r="559" spans="1:22" x14ac:dyDescent="0.25">
      <c r="A559" s="12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4"/>
    </row>
    <row r="560" spans="1:22" x14ac:dyDescent="0.25">
      <c r="A560" s="15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17"/>
    </row>
    <row r="561" spans="1:22" x14ac:dyDescent="0.25">
      <c r="A561" s="18"/>
      <c r="B561" s="56" t="s">
        <v>13</v>
      </c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2"/>
      <c r="V561" s="19"/>
    </row>
    <row r="562" spans="1:22" ht="15.75" thickBot="1" x14ac:dyDescent="0.3">
      <c r="A562" s="20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19"/>
    </row>
    <row r="563" spans="1:22" x14ac:dyDescent="0.25">
      <c r="A563" s="20"/>
      <c r="B563" s="45">
        <v>0</v>
      </c>
      <c r="C563" s="46"/>
      <c r="D563" s="46">
        <v>1</v>
      </c>
      <c r="E563" s="46">
        <v>1</v>
      </c>
      <c r="F563" s="46">
        <v>2</v>
      </c>
      <c r="G563" s="46">
        <v>2</v>
      </c>
      <c r="H563" s="46">
        <v>3</v>
      </c>
      <c r="I563" s="47">
        <v>3</v>
      </c>
      <c r="J563" s="45">
        <v>4</v>
      </c>
      <c r="K563" s="46">
        <v>4</v>
      </c>
      <c r="L563" s="46">
        <v>5</v>
      </c>
      <c r="M563" s="46"/>
      <c r="N563" s="46">
        <v>6</v>
      </c>
      <c r="O563" s="46">
        <v>1</v>
      </c>
      <c r="P563" s="46">
        <v>7</v>
      </c>
      <c r="Q563" s="47">
        <v>2</v>
      </c>
      <c r="R563" s="52">
        <v>8</v>
      </c>
      <c r="S563" s="53">
        <v>3</v>
      </c>
      <c r="T563" s="53">
        <v>9</v>
      </c>
      <c r="U563" s="53">
        <v>4</v>
      </c>
      <c r="V563" s="22"/>
    </row>
    <row r="564" spans="1:22" ht="15.75" thickBot="1" x14ac:dyDescent="0.3">
      <c r="A564" s="20"/>
      <c r="B564" s="23"/>
      <c r="C564" s="24"/>
      <c r="D564" s="24"/>
      <c r="E564" s="24"/>
      <c r="F564" s="24"/>
      <c r="G564" s="24"/>
      <c r="H564" s="24"/>
      <c r="I564" s="25"/>
      <c r="J564" s="23"/>
      <c r="K564" s="24"/>
      <c r="L564" s="24"/>
      <c r="M564" s="24"/>
      <c r="N564" s="24"/>
      <c r="O564" s="24"/>
      <c r="P564" s="24"/>
      <c r="Q564" s="25"/>
      <c r="R564" s="26"/>
      <c r="S564" s="21"/>
      <c r="T564" s="21"/>
      <c r="U564" s="21"/>
      <c r="V564" s="22"/>
    </row>
    <row r="565" spans="1:22" ht="15.75" thickBot="1" x14ac:dyDescent="0.3">
      <c r="A565" s="27"/>
      <c r="B565" s="28"/>
      <c r="C565" s="28"/>
      <c r="D565" s="28"/>
      <c r="E565" s="28"/>
      <c r="F565" s="29"/>
      <c r="G565" s="28"/>
      <c r="H565" s="28"/>
      <c r="I565" s="28"/>
      <c r="J565" s="28"/>
      <c r="K565" s="29"/>
      <c r="L565" s="28"/>
      <c r="M565" s="29"/>
      <c r="N565" s="28"/>
      <c r="O565" s="29"/>
      <c r="P565" s="28"/>
      <c r="Q565" s="29"/>
      <c r="R565" s="30"/>
      <c r="S565" s="30"/>
      <c r="T565" s="30"/>
      <c r="U565" s="30"/>
      <c r="V565" s="31"/>
    </row>
    <row r="566" spans="1:22" ht="15.75" thickBot="1" x14ac:dyDescent="0.3">
      <c r="A566" s="32"/>
      <c r="B566" s="32"/>
      <c r="C566" s="32"/>
      <c r="D566" s="32"/>
      <c r="E566" s="32"/>
      <c r="F566" s="33"/>
      <c r="G566" s="32"/>
      <c r="H566" s="32"/>
      <c r="I566" s="32"/>
      <c r="J566" s="32"/>
      <c r="K566" s="33"/>
      <c r="L566" s="32"/>
      <c r="M566" s="33"/>
      <c r="N566" s="32"/>
      <c r="O566" s="33"/>
      <c r="P566" s="32"/>
      <c r="Q566" s="33"/>
      <c r="R566" s="32"/>
      <c r="S566" s="32"/>
      <c r="T566" s="32"/>
      <c r="U566" s="32"/>
      <c r="V566" s="34"/>
    </row>
    <row r="567" spans="1:22" ht="36" thickBot="1" x14ac:dyDescent="0.3">
      <c r="A567" s="32"/>
      <c r="B567" s="58" t="str">
        <f>IF(Q567&gt;1,"Считыватель вх",IF(F567&lt;1,"","Считыватель вых"))</f>
        <v>Считыватель вых</v>
      </c>
      <c r="C567" s="59"/>
      <c r="D567" s="60"/>
      <c r="E567" s="60"/>
      <c r="F567" s="61">
        <v>4</v>
      </c>
      <c r="G567" s="61"/>
      <c r="H567" s="62"/>
      <c r="I567" s="63"/>
      <c r="J567" s="35"/>
      <c r="K567" s="36"/>
      <c r="L567" s="37"/>
      <c r="M567" s="37" t="s">
        <v>10</v>
      </c>
      <c r="N567" s="38"/>
      <c r="O567" s="36"/>
      <c r="P567" s="38"/>
      <c r="Q567" s="39"/>
      <c r="R567" s="64" t="s">
        <v>11</v>
      </c>
      <c r="S567" s="65"/>
      <c r="T567" s="65"/>
      <c r="U567" s="65"/>
      <c r="V567" s="65"/>
    </row>
    <row r="568" spans="1:22" x14ac:dyDescent="0.25">
      <c r="A568" s="32"/>
      <c r="B568" s="48">
        <f>IF(B567="Считыватель вых",B549,IF(B567="Считыватель вх",J568,""))</f>
        <v>0</v>
      </c>
      <c r="C568" s="49"/>
      <c r="D568" s="49"/>
      <c r="E568" s="49"/>
      <c r="F568" s="49"/>
      <c r="G568" s="49"/>
      <c r="H568" s="49"/>
      <c r="I568" s="49"/>
      <c r="J568" s="50" t="s">
        <v>14</v>
      </c>
      <c r="K568" s="49"/>
      <c r="L568" s="49"/>
      <c r="M568" s="49"/>
      <c r="N568" s="49"/>
      <c r="O568" s="49"/>
      <c r="P568" s="49"/>
      <c r="Q568" s="49"/>
      <c r="R568" s="51" t="s">
        <v>12</v>
      </c>
      <c r="S568" s="51"/>
      <c r="T568" s="51"/>
      <c r="U568" s="51"/>
      <c r="V568" s="51"/>
    </row>
    <row r="570" spans="1:22" x14ac:dyDescent="0.25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</sheetData>
  <mergeCells count="855">
    <mergeCell ref="B567:E567"/>
    <mergeCell ref="F567:I567"/>
    <mergeCell ref="R567:V567"/>
    <mergeCell ref="B568:I568"/>
    <mergeCell ref="J568:Q568"/>
    <mergeCell ref="R568:V568"/>
    <mergeCell ref="T562:U562"/>
    <mergeCell ref="B563:C563"/>
    <mergeCell ref="D563:E563"/>
    <mergeCell ref="F563:G563"/>
    <mergeCell ref="H563:I563"/>
    <mergeCell ref="J563:K563"/>
    <mergeCell ref="L563:M563"/>
    <mergeCell ref="N563:O563"/>
    <mergeCell ref="P563:Q563"/>
    <mergeCell ref="R563:S563"/>
    <mergeCell ref="T563:U563"/>
    <mergeCell ref="B562:C562"/>
    <mergeCell ref="D562:E562"/>
    <mergeCell ref="F562:G562"/>
    <mergeCell ref="H562:I562"/>
    <mergeCell ref="J562:K562"/>
    <mergeCell ref="L562:M562"/>
    <mergeCell ref="N562:O562"/>
    <mergeCell ref="P562:Q562"/>
    <mergeCell ref="R562:S562"/>
    <mergeCell ref="B548:E548"/>
    <mergeCell ref="F548:I548"/>
    <mergeCell ref="R548:V548"/>
    <mergeCell ref="B549:Q549"/>
    <mergeCell ref="R549:V549"/>
    <mergeCell ref="N556:O556"/>
    <mergeCell ref="E558:H558"/>
    <mergeCell ref="N558:O558"/>
    <mergeCell ref="B561:U561"/>
    <mergeCell ref="T543:U543"/>
    <mergeCell ref="B544:C544"/>
    <mergeCell ref="D544:E544"/>
    <mergeCell ref="F544:G544"/>
    <mergeCell ref="H544:I544"/>
    <mergeCell ref="J544:K544"/>
    <mergeCell ref="L544:M544"/>
    <mergeCell ref="N544:O544"/>
    <mergeCell ref="P544:Q544"/>
    <mergeCell ref="R544:S544"/>
    <mergeCell ref="T544:U544"/>
    <mergeCell ref="B543:C543"/>
    <mergeCell ref="D543:E543"/>
    <mergeCell ref="F543:G543"/>
    <mergeCell ref="H543:I543"/>
    <mergeCell ref="J543:K543"/>
    <mergeCell ref="L543:M543"/>
    <mergeCell ref="N543:O543"/>
    <mergeCell ref="P543:Q543"/>
    <mergeCell ref="R543:S543"/>
    <mergeCell ref="T525:U525"/>
    <mergeCell ref="B529:E529"/>
    <mergeCell ref="F529:I529"/>
    <mergeCell ref="R529:V529"/>
    <mergeCell ref="B530:I530"/>
    <mergeCell ref="J530:Q530"/>
    <mergeCell ref="R530:V530"/>
    <mergeCell ref="E539:H539"/>
    <mergeCell ref="B542:U542"/>
    <mergeCell ref="B525:C525"/>
    <mergeCell ref="D525:E525"/>
    <mergeCell ref="F525:G525"/>
    <mergeCell ref="H525:I525"/>
    <mergeCell ref="J525:K525"/>
    <mergeCell ref="L525:M525"/>
    <mergeCell ref="N525:O525"/>
    <mergeCell ref="P525:Q525"/>
    <mergeCell ref="R525:S525"/>
    <mergeCell ref="B523:U523"/>
    <mergeCell ref="B524:C524"/>
    <mergeCell ref="D524:E524"/>
    <mergeCell ref="F524:G524"/>
    <mergeCell ref="H524:I524"/>
    <mergeCell ref="J524:K524"/>
    <mergeCell ref="L524:M524"/>
    <mergeCell ref="N524:O524"/>
    <mergeCell ref="P524:Q524"/>
    <mergeCell ref="R524:S524"/>
    <mergeCell ref="T524:U524"/>
    <mergeCell ref="T506:U506"/>
    <mergeCell ref="B510:E510"/>
    <mergeCell ref="F510:I510"/>
    <mergeCell ref="R510:V510"/>
    <mergeCell ref="B511:Q511"/>
    <mergeCell ref="R511:V511"/>
    <mergeCell ref="N518:O518"/>
    <mergeCell ref="E520:H520"/>
    <mergeCell ref="N520:O520"/>
    <mergeCell ref="B506:C506"/>
    <mergeCell ref="D506:E506"/>
    <mergeCell ref="F506:G506"/>
    <mergeCell ref="H506:I506"/>
    <mergeCell ref="J506:K506"/>
    <mergeCell ref="L506:M506"/>
    <mergeCell ref="N506:O506"/>
    <mergeCell ref="P506:Q506"/>
    <mergeCell ref="R506:S506"/>
    <mergeCell ref="B491:E491"/>
    <mergeCell ref="F491:I491"/>
    <mergeCell ref="R491:V491"/>
    <mergeCell ref="B492:I492"/>
    <mergeCell ref="J492:Q492"/>
    <mergeCell ref="R492:V492"/>
    <mergeCell ref="E501:H501"/>
    <mergeCell ref="B504:U504"/>
    <mergeCell ref="B505:C505"/>
    <mergeCell ref="D505:E505"/>
    <mergeCell ref="F505:G505"/>
    <mergeCell ref="H505:I505"/>
    <mergeCell ref="J505:K505"/>
    <mergeCell ref="L505:M505"/>
    <mergeCell ref="N505:O505"/>
    <mergeCell ref="P505:Q505"/>
    <mergeCell ref="R505:S505"/>
    <mergeCell ref="T505:U505"/>
    <mergeCell ref="T486:U486"/>
    <mergeCell ref="B487:C487"/>
    <mergeCell ref="D487:E487"/>
    <mergeCell ref="F487:G487"/>
    <mergeCell ref="H487:I487"/>
    <mergeCell ref="J487:K487"/>
    <mergeCell ref="L487:M487"/>
    <mergeCell ref="N487:O487"/>
    <mergeCell ref="P487:Q487"/>
    <mergeCell ref="R487:S487"/>
    <mergeCell ref="T487:U487"/>
    <mergeCell ref="B486:C486"/>
    <mergeCell ref="D486:E486"/>
    <mergeCell ref="F486:G486"/>
    <mergeCell ref="H486:I486"/>
    <mergeCell ref="J486:K486"/>
    <mergeCell ref="L486:M486"/>
    <mergeCell ref="N486:O486"/>
    <mergeCell ref="P486:Q486"/>
    <mergeCell ref="R486:S486"/>
    <mergeCell ref="B472:E472"/>
    <mergeCell ref="F472:I472"/>
    <mergeCell ref="R472:V472"/>
    <mergeCell ref="B473:Q473"/>
    <mergeCell ref="R473:V473"/>
    <mergeCell ref="N480:O480"/>
    <mergeCell ref="E482:H482"/>
    <mergeCell ref="N482:O482"/>
    <mergeCell ref="B485:U485"/>
    <mergeCell ref="T467:U467"/>
    <mergeCell ref="B468:C468"/>
    <mergeCell ref="D468:E468"/>
    <mergeCell ref="F468:G468"/>
    <mergeCell ref="H468:I468"/>
    <mergeCell ref="J468:K468"/>
    <mergeCell ref="L468:M468"/>
    <mergeCell ref="N468:O468"/>
    <mergeCell ref="P468:Q468"/>
    <mergeCell ref="R468:S468"/>
    <mergeCell ref="T468:U468"/>
    <mergeCell ref="B467:C467"/>
    <mergeCell ref="D467:E467"/>
    <mergeCell ref="F467:G467"/>
    <mergeCell ref="H467:I467"/>
    <mergeCell ref="J467:K467"/>
    <mergeCell ref="L467:M467"/>
    <mergeCell ref="N467:O467"/>
    <mergeCell ref="P467:Q467"/>
    <mergeCell ref="R467:S467"/>
    <mergeCell ref="T449:U449"/>
    <mergeCell ref="B453:E453"/>
    <mergeCell ref="F453:I453"/>
    <mergeCell ref="R453:V453"/>
    <mergeCell ref="B454:I454"/>
    <mergeCell ref="J454:Q454"/>
    <mergeCell ref="R454:V454"/>
    <mergeCell ref="E463:H463"/>
    <mergeCell ref="B466:U466"/>
    <mergeCell ref="B449:C449"/>
    <mergeCell ref="D449:E449"/>
    <mergeCell ref="F449:G449"/>
    <mergeCell ref="H449:I449"/>
    <mergeCell ref="J449:K449"/>
    <mergeCell ref="L449:M449"/>
    <mergeCell ref="N449:O449"/>
    <mergeCell ref="P449:Q449"/>
    <mergeCell ref="R449:S449"/>
    <mergeCell ref="B447:U447"/>
    <mergeCell ref="B448:C448"/>
    <mergeCell ref="D448:E448"/>
    <mergeCell ref="F448:G448"/>
    <mergeCell ref="H448:I448"/>
    <mergeCell ref="J448:K448"/>
    <mergeCell ref="L448:M448"/>
    <mergeCell ref="N448:O448"/>
    <mergeCell ref="P448:Q448"/>
    <mergeCell ref="R448:S448"/>
    <mergeCell ref="T448:U448"/>
    <mergeCell ref="T430:U430"/>
    <mergeCell ref="B434:E434"/>
    <mergeCell ref="F434:I434"/>
    <mergeCell ref="R434:V434"/>
    <mergeCell ref="B435:Q435"/>
    <mergeCell ref="R435:V435"/>
    <mergeCell ref="N442:O442"/>
    <mergeCell ref="E444:H444"/>
    <mergeCell ref="N444:O444"/>
    <mergeCell ref="B430:C430"/>
    <mergeCell ref="D430:E430"/>
    <mergeCell ref="F430:G430"/>
    <mergeCell ref="H430:I430"/>
    <mergeCell ref="J430:K430"/>
    <mergeCell ref="L430:M430"/>
    <mergeCell ref="N430:O430"/>
    <mergeCell ref="P430:Q430"/>
    <mergeCell ref="R430:S430"/>
    <mergeCell ref="B415:E415"/>
    <mergeCell ref="F415:I415"/>
    <mergeCell ref="R415:V415"/>
    <mergeCell ref="B416:I416"/>
    <mergeCell ref="J416:Q416"/>
    <mergeCell ref="R416:V416"/>
    <mergeCell ref="E425:H425"/>
    <mergeCell ref="B428:U428"/>
    <mergeCell ref="B429:C429"/>
    <mergeCell ref="D429:E429"/>
    <mergeCell ref="F429:G429"/>
    <mergeCell ref="H429:I429"/>
    <mergeCell ref="J429:K429"/>
    <mergeCell ref="L429:M429"/>
    <mergeCell ref="N429:O429"/>
    <mergeCell ref="P429:Q429"/>
    <mergeCell ref="R429:S429"/>
    <mergeCell ref="T429:U429"/>
    <mergeCell ref="T410:U410"/>
    <mergeCell ref="B411:C411"/>
    <mergeCell ref="D411:E411"/>
    <mergeCell ref="F411:G411"/>
    <mergeCell ref="H411:I411"/>
    <mergeCell ref="J411:K411"/>
    <mergeCell ref="L411:M411"/>
    <mergeCell ref="N411:O411"/>
    <mergeCell ref="P411:Q411"/>
    <mergeCell ref="R411:S411"/>
    <mergeCell ref="T411:U411"/>
    <mergeCell ref="B410:C410"/>
    <mergeCell ref="D410:E410"/>
    <mergeCell ref="F410:G410"/>
    <mergeCell ref="H410:I410"/>
    <mergeCell ref="J410:K410"/>
    <mergeCell ref="L410:M410"/>
    <mergeCell ref="N410:O410"/>
    <mergeCell ref="P410:Q410"/>
    <mergeCell ref="R410:S410"/>
    <mergeCell ref="B396:E396"/>
    <mergeCell ref="F396:I396"/>
    <mergeCell ref="R396:V396"/>
    <mergeCell ref="B397:Q397"/>
    <mergeCell ref="R397:V397"/>
    <mergeCell ref="N404:O404"/>
    <mergeCell ref="E406:H406"/>
    <mergeCell ref="N406:O406"/>
    <mergeCell ref="B409:U409"/>
    <mergeCell ref="T391:U391"/>
    <mergeCell ref="B392:C392"/>
    <mergeCell ref="D392:E392"/>
    <mergeCell ref="F392:G392"/>
    <mergeCell ref="H392:I392"/>
    <mergeCell ref="J392:K392"/>
    <mergeCell ref="L392:M392"/>
    <mergeCell ref="N392:O392"/>
    <mergeCell ref="P392:Q392"/>
    <mergeCell ref="R392:S392"/>
    <mergeCell ref="T392:U392"/>
    <mergeCell ref="B391:C391"/>
    <mergeCell ref="D391:E391"/>
    <mergeCell ref="F391:G391"/>
    <mergeCell ref="H391:I391"/>
    <mergeCell ref="J391:K391"/>
    <mergeCell ref="L391:M391"/>
    <mergeCell ref="N391:O391"/>
    <mergeCell ref="P391:Q391"/>
    <mergeCell ref="R391:S391"/>
    <mergeCell ref="T373:U373"/>
    <mergeCell ref="B377:E377"/>
    <mergeCell ref="F377:I377"/>
    <mergeCell ref="R377:V377"/>
    <mergeCell ref="B378:I378"/>
    <mergeCell ref="J378:Q378"/>
    <mergeCell ref="R378:V378"/>
    <mergeCell ref="E387:H387"/>
    <mergeCell ref="B390:U390"/>
    <mergeCell ref="B373:C373"/>
    <mergeCell ref="D373:E373"/>
    <mergeCell ref="F373:G373"/>
    <mergeCell ref="H373:I373"/>
    <mergeCell ref="J373:K373"/>
    <mergeCell ref="L373:M373"/>
    <mergeCell ref="N373:O373"/>
    <mergeCell ref="P373:Q373"/>
    <mergeCell ref="R373:S373"/>
    <mergeCell ref="B371:U371"/>
    <mergeCell ref="B372:C372"/>
    <mergeCell ref="D372:E372"/>
    <mergeCell ref="F372:G372"/>
    <mergeCell ref="H372:I372"/>
    <mergeCell ref="J372:K372"/>
    <mergeCell ref="L372:M372"/>
    <mergeCell ref="N372:O372"/>
    <mergeCell ref="P372:Q372"/>
    <mergeCell ref="R372:S372"/>
    <mergeCell ref="T372:U372"/>
    <mergeCell ref="T354:U354"/>
    <mergeCell ref="B358:E358"/>
    <mergeCell ref="F358:I358"/>
    <mergeCell ref="R358:V358"/>
    <mergeCell ref="B359:Q359"/>
    <mergeCell ref="R359:V359"/>
    <mergeCell ref="N366:O366"/>
    <mergeCell ref="E368:H368"/>
    <mergeCell ref="N368:O368"/>
    <mergeCell ref="B354:C354"/>
    <mergeCell ref="D354:E354"/>
    <mergeCell ref="F354:G354"/>
    <mergeCell ref="H354:I354"/>
    <mergeCell ref="J354:K354"/>
    <mergeCell ref="L354:M354"/>
    <mergeCell ref="N354:O354"/>
    <mergeCell ref="P354:Q354"/>
    <mergeCell ref="R354:S354"/>
    <mergeCell ref="B339:E339"/>
    <mergeCell ref="F339:I339"/>
    <mergeCell ref="R339:V339"/>
    <mergeCell ref="B340:I340"/>
    <mergeCell ref="J340:Q340"/>
    <mergeCell ref="R340:V340"/>
    <mergeCell ref="E349:H349"/>
    <mergeCell ref="B352:U352"/>
    <mergeCell ref="B353:C353"/>
    <mergeCell ref="D353:E353"/>
    <mergeCell ref="F353:G353"/>
    <mergeCell ref="H353:I353"/>
    <mergeCell ref="J353:K353"/>
    <mergeCell ref="L353:M353"/>
    <mergeCell ref="N353:O353"/>
    <mergeCell ref="P353:Q353"/>
    <mergeCell ref="R353:S353"/>
    <mergeCell ref="T353:U353"/>
    <mergeCell ref="T334:U334"/>
    <mergeCell ref="B335:C335"/>
    <mergeCell ref="D335:E335"/>
    <mergeCell ref="F335:G335"/>
    <mergeCell ref="H335:I335"/>
    <mergeCell ref="J335:K335"/>
    <mergeCell ref="L335:M335"/>
    <mergeCell ref="N335:O335"/>
    <mergeCell ref="P335:Q335"/>
    <mergeCell ref="R335:S335"/>
    <mergeCell ref="T335:U335"/>
    <mergeCell ref="B334:C334"/>
    <mergeCell ref="D334:E334"/>
    <mergeCell ref="F334:G334"/>
    <mergeCell ref="H334:I334"/>
    <mergeCell ref="J334:K334"/>
    <mergeCell ref="L334:M334"/>
    <mergeCell ref="N334:O334"/>
    <mergeCell ref="P334:Q334"/>
    <mergeCell ref="R334:S334"/>
    <mergeCell ref="B320:E320"/>
    <mergeCell ref="F320:I320"/>
    <mergeCell ref="R320:V320"/>
    <mergeCell ref="B321:Q321"/>
    <mergeCell ref="R321:V321"/>
    <mergeCell ref="N328:O328"/>
    <mergeCell ref="E330:H330"/>
    <mergeCell ref="N330:O330"/>
    <mergeCell ref="B333:U333"/>
    <mergeCell ref="T315:U315"/>
    <mergeCell ref="B316:C316"/>
    <mergeCell ref="D316:E316"/>
    <mergeCell ref="F316:G316"/>
    <mergeCell ref="H316:I316"/>
    <mergeCell ref="J316:K316"/>
    <mergeCell ref="L316:M316"/>
    <mergeCell ref="N316:O316"/>
    <mergeCell ref="P316:Q316"/>
    <mergeCell ref="R316:S316"/>
    <mergeCell ref="T316:U316"/>
    <mergeCell ref="B315:C315"/>
    <mergeCell ref="D315:E315"/>
    <mergeCell ref="F315:G315"/>
    <mergeCell ref="H315:I315"/>
    <mergeCell ref="J315:K315"/>
    <mergeCell ref="L315:M315"/>
    <mergeCell ref="N315:O315"/>
    <mergeCell ref="P315:Q315"/>
    <mergeCell ref="R315:S315"/>
    <mergeCell ref="T297:U297"/>
    <mergeCell ref="B301:E301"/>
    <mergeCell ref="F301:I301"/>
    <mergeCell ref="R301:V301"/>
    <mergeCell ref="B302:I302"/>
    <mergeCell ref="J302:Q302"/>
    <mergeCell ref="R302:V302"/>
    <mergeCell ref="E311:H311"/>
    <mergeCell ref="B314:U314"/>
    <mergeCell ref="B297:C297"/>
    <mergeCell ref="D297:E297"/>
    <mergeCell ref="F297:G297"/>
    <mergeCell ref="H297:I297"/>
    <mergeCell ref="J297:K297"/>
    <mergeCell ref="L297:M297"/>
    <mergeCell ref="N297:O297"/>
    <mergeCell ref="P297:Q297"/>
    <mergeCell ref="R297:S297"/>
    <mergeCell ref="B295:U295"/>
    <mergeCell ref="B296:C296"/>
    <mergeCell ref="D296:E296"/>
    <mergeCell ref="F296:G296"/>
    <mergeCell ref="H296:I296"/>
    <mergeCell ref="J296:K296"/>
    <mergeCell ref="L296:M296"/>
    <mergeCell ref="N296:O296"/>
    <mergeCell ref="P296:Q296"/>
    <mergeCell ref="R296:S296"/>
    <mergeCell ref="T296:U296"/>
    <mergeCell ref="T278:U278"/>
    <mergeCell ref="B282:E282"/>
    <mergeCell ref="F282:I282"/>
    <mergeCell ref="R282:V282"/>
    <mergeCell ref="B283:Q283"/>
    <mergeCell ref="R283:V283"/>
    <mergeCell ref="N290:O290"/>
    <mergeCell ref="E292:H292"/>
    <mergeCell ref="N292:O292"/>
    <mergeCell ref="B278:C278"/>
    <mergeCell ref="D278:E278"/>
    <mergeCell ref="F278:G278"/>
    <mergeCell ref="H278:I278"/>
    <mergeCell ref="J278:K278"/>
    <mergeCell ref="L278:M278"/>
    <mergeCell ref="N278:O278"/>
    <mergeCell ref="P278:Q278"/>
    <mergeCell ref="R278:S278"/>
    <mergeCell ref="B263:E263"/>
    <mergeCell ref="F263:I263"/>
    <mergeCell ref="R263:V263"/>
    <mergeCell ref="B264:I264"/>
    <mergeCell ref="J264:Q264"/>
    <mergeCell ref="R264:V264"/>
    <mergeCell ref="E273:H273"/>
    <mergeCell ref="B276:U276"/>
    <mergeCell ref="B277:C277"/>
    <mergeCell ref="D277:E277"/>
    <mergeCell ref="F277:G277"/>
    <mergeCell ref="H277:I277"/>
    <mergeCell ref="J277:K277"/>
    <mergeCell ref="L277:M277"/>
    <mergeCell ref="N277:O277"/>
    <mergeCell ref="P277:Q277"/>
    <mergeCell ref="R277:S277"/>
    <mergeCell ref="T277:U277"/>
    <mergeCell ref="T258:U258"/>
    <mergeCell ref="B259:C259"/>
    <mergeCell ref="D259:E259"/>
    <mergeCell ref="F259:G259"/>
    <mergeCell ref="H259:I259"/>
    <mergeCell ref="J259:K259"/>
    <mergeCell ref="L259:M259"/>
    <mergeCell ref="N259:O259"/>
    <mergeCell ref="P259:Q259"/>
    <mergeCell ref="R259:S259"/>
    <mergeCell ref="T259:U259"/>
    <mergeCell ref="B258:C258"/>
    <mergeCell ref="D258:E258"/>
    <mergeCell ref="F258:G258"/>
    <mergeCell ref="H258:I258"/>
    <mergeCell ref="J258:K258"/>
    <mergeCell ref="L258:M258"/>
    <mergeCell ref="N258:O258"/>
    <mergeCell ref="P258:Q258"/>
    <mergeCell ref="R258:S258"/>
    <mergeCell ref="B244:E244"/>
    <mergeCell ref="F244:I244"/>
    <mergeCell ref="R244:V244"/>
    <mergeCell ref="B245:Q245"/>
    <mergeCell ref="R245:V245"/>
    <mergeCell ref="N252:O252"/>
    <mergeCell ref="E254:H254"/>
    <mergeCell ref="N254:O254"/>
    <mergeCell ref="B257:U257"/>
    <mergeCell ref="T239:U239"/>
    <mergeCell ref="B240:C240"/>
    <mergeCell ref="D240:E240"/>
    <mergeCell ref="F240:G240"/>
    <mergeCell ref="H240:I240"/>
    <mergeCell ref="J240:K240"/>
    <mergeCell ref="L240:M240"/>
    <mergeCell ref="N240:O240"/>
    <mergeCell ref="P240:Q240"/>
    <mergeCell ref="R240:S240"/>
    <mergeCell ref="T240:U240"/>
    <mergeCell ref="B239:C239"/>
    <mergeCell ref="D239:E239"/>
    <mergeCell ref="F239:G239"/>
    <mergeCell ref="H239:I239"/>
    <mergeCell ref="J239:K239"/>
    <mergeCell ref="L239:M239"/>
    <mergeCell ref="N239:O239"/>
    <mergeCell ref="P239:Q239"/>
    <mergeCell ref="R239:S239"/>
    <mergeCell ref="T221:U221"/>
    <mergeCell ref="B225:E225"/>
    <mergeCell ref="F225:I225"/>
    <mergeCell ref="R225:V225"/>
    <mergeCell ref="B226:I226"/>
    <mergeCell ref="J226:Q226"/>
    <mergeCell ref="R226:V226"/>
    <mergeCell ref="E235:H235"/>
    <mergeCell ref="B238:U238"/>
    <mergeCell ref="B221:C221"/>
    <mergeCell ref="D221:E221"/>
    <mergeCell ref="F221:G221"/>
    <mergeCell ref="H221:I221"/>
    <mergeCell ref="J221:K221"/>
    <mergeCell ref="L221:M221"/>
    <mergeCell ref="N221:O221"/>
    <mergeCell ref="P221:Q221"/>
    <mergeCell ref="R221:S221"/>
    <mergeCell ref="B219:U219"/>
    <mergeCell ref="B220:C220"/>
    <mergeCell ref="D220:E220"/>
    <mergeCell ref="F220:G220"/>
    <mergeCell ref="H220:I220"/>
    <mergeCell ref="J220:K220"/>
    <mergeCell ref="L220:M220"/>
    <mergeCell ref="N220:O220"/>
    <mergeCell ref="P220:Q220"/>
    <mergeCell ref="R220:S220"/>
    <mergeCell ref="T220:U220"/>
    <mergeCell ref="T202:U202"/>
    <mergeCell ref="B206:E206"/>
    <mergeCell ref="F206:I206"/>
    <mergeCell ref="R206:V206"/>
    <mergeCell ref="B207:Q207"/>
    <mergeCell ref="R207:V207"/>
    <mergeCell ref="N214:O214"/>
    <mergeCell ref="E216:H216"/>
    <mergeCell ref="N216:O216"/>
    <mergeCell ref="B202:C202"/>
    <mergeCell ref="D202:E202"/>
    <mergeCell ref="F202:G202"/>
    <mergeCell ref="H202:I202"/>
    <mergeCell ref="J202:K202"/>
    <mergeCell ref="L202:M202"/>
    <mergeCell ref="N202:O202"/>
    <mergeCell ref="P202:Q202"/>
    <mergeCell ref="R202:S202"/>
    <mergeCell ref="B200:U200"/>
    <mergeCell ref="B201:C201"/>
    <mergeCell ref="D201:E201"/>
    <mergeCell ref="F201:G201"/>
    <mergeCell ref="H201:I201"/>
    <mergeCell ref="J201:K201"/>
    <mergeCell ref="L201:M201"/>
    <mergeCell ref="N201:O201"/>
    <mergeCell ref="P201:Q201"/>
    <mergeCell ref="R201:S201"/>
    <mergeCell ref="T201:U201"/>
    <mergeCell ref="E7:H7"/>
    <mergeCell ref="B10:U10"/>
    <mergeCell ref="B11:C11"/>
    <mergeCell ref="D11:E11"/>
    <mergeCell ref="F11:G11"/>
    <mergeCell ref="H11:I11"/>
    <mergeCell ref="J11:K11"/>
    <mergeCell ref="L11:M11"/>
    <mergeCell ref="N64:O64"/>
    <mergeCell ref="N12:O12"/>
    <mergeCell ref="P12:Q12"/>
    <mergeCell ref="R12:S12"/>
    <mergeCell ref="T12:U12"/>
    <mergeCell ref="B16:E16"/>
    <mergeCell ref="F16:I16"/>
    <mergeCell ref="R16:V16"/>
    <mergeCell ref="N11:O11"/>
    <mergeCell ref="P11:Q11"/>
    <mergeCell ref="R11:S11"/>
    <mergeCell ref="T11:U11"/>
    <mergeCell ref="B12:C12"/>
    <mergeCell ref="D12:E12"/>
    <mergeCell ref="F12:G12"/>
    <mergeCell ref="H12:I12"/>
    <mergeCell ref="J12:K12"/>
    <mergeCell ref="L12:M12"/>
    <mergeCell ref="B17:Q17"/>
    <mergeCell ref="R17:V17"/>
    <mergeCell ref="E45:H45"/>
    <mergeCell ref="B48:U48"/>
    <mergeCell ref="B49:C49"/>
    <mergeCell ref="D49:E49"/>
    <mergeCell ref="F49:G49"/>
    <mergeCell ref="H49:I49"/>
    <mergeCell ref="J49:K49"/>
    <mergeCell ref="L49:M49"/>
    <mergeCell ref="N50:O50"/>
    <mergeCell ref="P50:Q50"/>
    <mergeCell ref="R50:S50"/>
    <mergeCell ref="T50:U50"/>
    <mergeCell ref="B54:E54"/>
    <mergeCell ref="F54:I54"/>
    <mergeCell ref="R54:V54"/>
    <mergeCell ref="N49:O49"/>
    <mergeCell ref="P49:Q49"/>
    <mergeCell ref="R49:S49"/>
    <mergeCell ref="T49:U49"/>
    <mergeCell ref="B50:C50"/>
    <mergeCell ref="D50:E50"/>
    <mergeCell ref="F50:G50"/>
    <mergeCell ref="H50:I50"/>
    <mergeCell ref="J50:K50"/>
    <mergeCell ref="L50:M50"/>
    <mergeCell ref="B55:Q55"/>
    <mergeCell ref="R55:V55"/>
    <mergeCell ref="E64:H64"/>
    <mergeCell ref="B67:U67"/>
    <mergeCell ref="B68:C68"/>
    <mergeCell ref="D68:E68"/>
    <mergeCell ref="F68:G68"/>
    <mergeCell ref="H68:I68"/>
    <mergeCell ref="J68:K68"/>
    <mergeCell ref="L68:M68"/>
    <mergeCell ref="N69:O69"/>
    <mergeCell ref="P69:Q69"/>
    <mergeCell ref="R69:S69"/>
    <mergeCell ref="T69:U69"/>
    <mergeCell ref="B73:E73"/>
    <mergeCell ref="F73:I73"/>
    <mergeCell ref="R73:V73"/>
    <mergeCell ref="N68:O68"/>
    <mergeCell ref="P68:Q68"/>
    <mergeCell ref="R68:S68"/>
    <mergeCell ref="T68:U68"/>
    <mergeCell ref="B69:C69"/>
    <mergeCell ref="D69:E69"/>
    <mergeCell ref="F69:G69"/>
    <mergeCell ref="H69:I69"/>
    <mergeCell ref="J69:K69"/>
    <mergeCell ref="L69:M69"/>
    <mergeCell ref="R74:V74"/>
    <mergeCell ref="E83:H83"/>
    <mergeCell ref="B86:U86"/>
    <mergeCell ref="B87:C87"/>
    <mergeCell ref="D87:E87"/>
    <mergeCell ref="F87:G87"/>
    <mergeCell ref="H87:I87"/>
    <mergeCell ref="J87:K87"/>
    <mergeCell ref="L87:M87"/>
    <mergeCell ref="B74:I74"/>
    <mergeCell ref="J74:Q74"/>
    <mergeCell ref="N88:O88"/>
    <mergeCell ref="P88:Q88"/>
    <mergeCell ref="R88:S88"/>
    <mergeCell ref="T88:U88"/>
    <mergeCell ref="B92:E92"/>
    <mergeCell ref="F92:I92"/>
    <mergeCell ref="R92:V92"/>
    <mergeCell ref="N87:O87"/>
    <mergeCell ref="P87:Q87"/>
    <mergeCell ref="R87:S87"/>
    <mergeCell ref="T87:U87"/>
    <mergeCell ref="B88:C88"/>
    <mergeCell ref="D88:E88"/>
    <mergeCell ref="F88:G88"/>
    <mergeCell ref="H88:I88"/>
    <mergeCell ref="J88:K88"/>
    <mergeCell ref="L88:M88"/>
    <mergeCell ref="B93:Q93"/>
    <mergeCell ref="R93:V93"/>
    <mergeCell ref="E102:H102"/>
    <mergeCell ref="B105:U105"/>
    <mergeCell ref="B106:C106"/>
    <mergeCell ref="D106:E106"/>
    <mergeCell ref="F106:G106"/>
    <mergeCell ref="H106:I106"/>
    <mergeCell ref="J106:K106"/>
    <mergeCell ref="L106:M106"/>
    <mergeCell ref="N100:O100"/>
    <mergeCell ref="N102:O102"/>
    <mergeCell ref="N107:O107"/>
    <mergeCell ref="P107:Q107"/>
    <mergeCell ref="R107:S107"/>
    <mergeCell ref="T107:U107"/>
    <mergeCell ref="B111:E111"/>
    <mergeCell ref="F111:I111"/>
    <mergeCell ref="R111:V111"/>
    <mergeCell ref="N106:O106"/>
    <mergeCell ref="P106:Q106"/>
    <mergeCell ref="R106:S106"/>
    <mergeCell ref="T106:U106"/>
    <mergeCell ref="B107:C107"/>
    <mergeCell ref="D107:E107"/>
    <mergeCell ref="F107:G107"/>
    <mergeCell ref="H107:I107"/>
    <mergeCell ref="J107:K107"/>
    <mergeCell ref="L107:M107"/>
    <mergeCell ref="R112:V112"/>
    <mergeCell ref="E121:H121"/>
    <mergeCell ref="B124:U124"/>
    <mergeCell ref="B125:C125"/>
    <mergeCell ref="D125:E125"/>
    <mergeCell ref="F125:G125"/>
    <mergeCell ref="H125:I125"/>
    <mergeCell ref="J125:K125"/>
    <mergeCell ref="L125:M125"/>
    <mergeCell ref="B112:I112"/>
    <mergeCell ref="J112:Q112"/>
    <mergeCell ref="N126:O126"/>
    <mergeCell ref="P126:Q126"/>
    <mergeCell ref="R126:S126"/>
    <mergeCell ref="T126:U126"/>
    <mergeCell ref="B130:E130"/>
    <mergeCell ref="F130:I130"/>
    <mergeCell ref="R130:V130"/>
    <mergeCell ref="N125:O125"/>
    <mergeCell ref="P125:Q125"/>
    <mergeCell ref="R125:S125"/>
    <mergeCell ref="T125:U125"/>
    <mergeCell ref="B126:C126"/>
    <mergeCell ref="D126:E126"/>
    <mergeCell ref="F126:G126"/>
    <mergeCell ref="H126:I126"/>
    <mergeCell ref="J126:K126"/>
    <mergeCell ref="L126:M126"/>
    <mergeCell ref="B131:Q131"/>
    <mergeCell ref="R131:V131"/>
    <mergeCell ref="E140:H140"/>
    <mergeCell ref="B143:U143"/>
    <mergeCell ref="B144:C144"/>
    <mergeCell ref="D144:E144"/>
    <mergeCell ref="F144:G144"/>
    <mergeCell ref="H144:I144"/>
    <mergeCell ref="J144:K144"/>
    <mergeCell ref="L144:M144"/>
    <mergeCell ref="N140:O140"/>
    <mergeCell ref="N138:O138"/>
    <mergeCell ref="N145:O145"/>
    <mergeCell ref="P145:Q145"/>
    <mergeCell ref="R145:S145"/>
    <mergeCell ref="T145:U145"/>
    <mergeCell ref="B149:E149"/>
    <mergeCell ref="F149:I149"/>
    <mergeCell ref="R149:V149"/>
    <mergeCell ref="N144:O144"/>
    <mergeCell ref="P144:Q144"/>
    <mergeCell ref="R144:S144"/>
    <mergeCell ref="T144:U144"/>
    <mergeCell ref="B145:C145"/>
    <mergeCell ref="D145:E145"/>
    <mergeCell ref="F145:G145"/>
    <mergeCell ref="H145:I145"/>
    <mergeCell ref="J145:K145"/>
    <mergeCell ref="L145:M145"/>
    <mergeCell ref="R150:V150"/>
    <mergeCell ref="E159:H159"/>
    <mergeCell ref="B162:U162"/>
    <mergeCell ref="B163:C163"/>
    <mergeCell ref="D163:E163"/>
    <mergeCell ref="F163:G163"/>
    <mergeCell ref="H163:I163"/>
    <mergeCell ref="J163:K163"/>
    <mergeCell ref="L163:M163"/>
    <mergeCell ref="B150:I150"/>
    <mergeCell ref="J150:Q150"/>
    <mergeCell ref="N164:O164"/>
    <mergeCell ref="P164:Q164"/>
    <mergeCell ref="R164:S164"/>
    <mergeCell ref="T164:U164"/>
    <mergeCell ref="B168:E168"/>
    <mergeCell ref="F168:I168"/>
    <mergeCell ref="R168:V168"/>
    <mergeCell ref="N163:O163"/>
    <mergeCell ref="P163:Q163"/>
    <mergeCell ref="R163:S163"/>
    <mergeCell ref="T163:U163"/>
    <mergeCell ref="B164:C164"/>
    <mergeCell ref="D164:E164"/>
    <mergeCell ref="F164:G164"/>
    <mergeCell ref="H164:I164"/>
    <mergeCell ref="J164:K164"/>
    <mergeCell ref="L164:M164"/>
    <mergeCell ref="B169:Q169"/>
    <mergeCell ref="R169:V169"/>
    <mergeCell ref="E178:H178"/>
    <mergeCell ref="B181:U181"/>
    <mergeCell ref="B182:C182"/>
    <mergeCell ref="D182:E182"/>
    <mergeCell ref="F182:G182"/>
    <mergeCell ref="H182:I182"/>
    <mergeCell ref="J182:K182"/>
    <mergeCell ref="L182:M182"/>
    <mergeCell ref="N176:O176"/>
    <mergeCell ref="N178:O178"/>
    <mergeCell ref="N182:O182"/>
    <mergeCell ref="P182:Q182"/>
    <mergeCell ref="R182:S182"/>
    <mergeCell ref="T182:U182"/>
    <mergeCell ref="B183:C183"/>
    <mergeCell ref="D183:E183"/>
    <mergeCell ref="F183:G183"/>
    <mergeCell ref="H183:I183"/>
    <mergeCell ref="J183:K183"/>
    <mergeCell ref="L183:M183"/>
    <mergeCell ref="R188:V188"/>
    <mergeCell ref="N24:O24"/>
    <mergeCell ref="E26:H26"/>
    <mergeCell ref="N26:O26"/>
    <mergeCell ref="B29:U29"/>
    <mergeCell ref="N183:O183"/>
    <mergeCell ref="P183:Q183"/>
    <mergeCell ref="R183:S183"/>
    <mergeCell ref="T183:U183"/>
    <mergeCell ref="B187:E187"/>
    <mergeCell ref="F187:I187"/>
    <mergeCell ref="R187:V187"/>
    <mergeCell ref="B188:I188"/>
    <mergeCell ref="J188:Q188"/>
    <mergeCell ref="B35:E35"/>
    <mergeCell ref="F35:I35"/>
    <mergeCell ref="R35:V35"/>
    <mergeCell ref="N62:O62"/>
    <mergeCell ref="E197:H197"/>
    <mergeCell ref="N30:O30"/>
    <mergeCell ref="P30:Q30"/>
    <mergeCell ref="R30:S30"/>
    <mergeCell ref="T30:U30"/>
    <mergeCell ref="B31:C31"/>
    <mergeCell ref="D31:E31"/>
    <mergeCell ref="F31:G31"/>
    <mergeCell ref="H31:I31"/>
    <mergeCell ref="J31:K31"/>
    <mergeCell ref="L31:M31"/>
    <mergeCell ref="B30:C30"/>
    <mergeCell ref="D30:E30"/>
    <mergeCell ref="F30:G30"/>
    <mergeCell ref="H30:I30"/>
    <mergeCell ref="J30:K30"/>
    <mergeCell ref="L30:M30"/>
    <mergeCell ref="B36:I36"/>
    <mergeCell ref="J36:Q36"/>
    <mergeCell ref="R36:V36"/>
    <mergeCell ref="N31:O31"/>
    <mergeCell ref="P31:Q31"/>
    <mergeCell ref="R31:S31"/>
    <mergeCell ref="T31:U3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tech6</dc:creator>
  <cp:lastModifiedBy>tech6</cp:lastModifiedBy>
  <dcterms:created xsi:type="dcterms:W3CDTF">2026-06-09T15:50:07Z</dcterms:created>
  <dcterms:modified xsi:type="dcterms:W3CDTF">2026-06-09T18:22:44Z</dcterms:modified>
</cp:coreProperties>
</file>